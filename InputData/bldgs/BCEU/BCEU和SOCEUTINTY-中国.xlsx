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 tabRatio="841" firstSheet="1" activeTab="31"/>
  </bookViews>
  <sheets>
    <sheet name="20240130" sheetId="85" r:id="rId1"/>
    <sheet name="情景输入参数" sheetId="68" r:id="rId2"/>
    <sheet name="情景介绍 (2)" sheetId="66" r:id="rId3"/>
    <sheet name="情景介绍" sheetId="65" r:id="rId4"/>
    <sheet name="About中文" sheetId="57" r:id="rId5"/>
    <sheet name="人口变化预测" sheetId="48" r:id="rId6"/>
    <sheet name="BAU建筑面积计算" sheetId="50" r:id="rId7"/>
    <sheet name="改造情景建筑面积计算 " sheetId="61" r:id="rId8"/>
    <sheet name="BAU建筑总能耗计算" sheetId="53" r:id="rId9"/>
    <sheet name="政策数据来源" sheetId="54" r:id="rId10"/>
    <sheet name="能源换算" sheetId="52" r:id="rId11"/>
    <sheet name="建筑新建率" sheetId="60" r:id="rId12"/>
    <sheet name="改造总比例（vensim直接输入）" sheetId="64" r:id="rId13"/>
    <sheet name="建筑改造情景参数" sheetId="62" r:id="rId14"/>
    <sheet name="BRESaC" sheetId="63" r:id="rId15"/>
    <sheet name="SoCEUTiNTY" sheetId="56" r:id="rId16"/>
    <sheet name="建筑各项能耗拆分" sheetId="55" r:id="rId17"/>
    <sheet name="rural-residential-heating0" sheetId="41" r:id="rId18"/>
    <sheet name="BCEU-rural-residential-cooling" sheetId="42" r:id="rId19"/>
    <sheet name="BCEU-rural-residential-lighting" sheetId="43" r:id="rId20"/>
    <sheet name="rural-residential-appliance0" sheetId="44" r:id="rId21"/>
    <sheet name="rural-residential-other0" sheetId="45" r:id="rId22"/>
    <sheet name="commercial-heating0" sheetId="37" r:id="rId23"/>
    <sheet name="BCEU-commercial-cooling" sheetId="38" r:id="rId24"/>
    <sheet name="BCEU-commercial-lighting" sheetId="39" r:id="rId25"/>
    <sheet name="commercial-appliance0" sheetId="36" r:id="rId26"/>
    <sheet name="commercial-other0" sheetId="40" r:id="rId27"/>
    <sheet name="urban-residential-heating0" sheetId="4" r:id="rId28"/>
    <sheet name="BCEU-urban-residential-cooling" sheetId="26" r:id="rId29"/>
    <sheet name="BCEU-urban-residential-lighting" sheetId="25" r:id="rId30"/>
    <sheet name="urban-residential-appliance0" sheetId="24" r:id="rId31"/>
    <sheet name="urban-residential-other0" sheetId="23" r:id="rId32"/>
    <sheet name="BCEU-all-envelope" sheetId="46" r:id="rId3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<sst xmlns="http://schemas.openxmlformats.org/spreadsheetml/2006/main" count="2275" uniqueCount="1135">
  <si>
    <t>新建 既改 都作用于 heating cooling lighting</t>
  </si>
  <si>
    <t>新建 既改之间的关系</t>
  </si>
  <si>
    <t>集中供暖受电碳因子的影响</t>
  </si>
  <si>
    <t>生活设施 heating考虑下热泵</t>
  </si>
  <si>
    <t>COP2.5</t>
  </si>
  <si>
    <t>一、关键时间点参数（重点核对）</t>
  </si>
  <si>
    <t>是否核对</t>
  </si>
  <si>
    <t>目前数值</t>
  </si>
  <si>
    <t>2020年建筑运行碳排放</t>
  </si>
  <si>
    <t>21.8亿吨</t>
  </si>
  <si>
    <t>2030年建筑运行碳排放（峰值）</t>
  </si>
  <si>
    <t>26亿吨</t>
  </si>
  <si>
    <t>2020-2060建筑新建面积总和</t>
  </si>
  <si>
    <t>392亿㎡</t>
  </si>
  <si>
    <t>是</t>
  </si>
  <si>
    <t>350.3亿</t>
  </si>
  <si>
    <t>建面2050 2060年建面</t>
  </si>
  <si>
    <t>约750亿㎡</t>
  </si>
  <si>
    <t>60年757.5 50年751.6</t>
  </si>
  <si>
    <t>建筑总改造量</t>
  </si>
  <si>
    <t>起始年份建面的40%</t>
  </si>
  <si>
    <t>建筑总拆除量</t>
  </si>
  <si>
    <t>起始年份建面的20%</t>
  </si>
  <si>
    <t>目前存在问题</t>
  </si>
  <si>
    <t>若要满足750亿㎡，392亿新建，那拆除必须高。建议用：我国城镇住房拆除率及影响因素研究-黄禹 表4.10 中的0.71%每年</t>
  </si>
  <si>
    <t>2020年集中供暖面积</t>
  </si>
  <si>
    <t>156亿㎡</t>
  </si>
  <si>
    <t>181.9亿㎡</t>
  </si>
  <si>
    <t>2050年集中供暖面积</t>
  </si>
  <si>
    <t>218亿㎡</t>
  </si>
  <si>
    <t>255亿㎡</t>
  </si>
  <si>
    <t>2050年集中供暖量</t>
  </si>
  <si>
    <t>54亿GJ</t>
  </si>
  <si>
    <t>BAU越高34% 这个数可能带了政策</t>
  </si>
  <si>
    <t>各能效水平下建筑节能率</t>
  </si>
  <si>
    <t>住宅</t>
  </si>
  <si>
    <t>公建</t>
  </si>
  <si>
    <t>2016年节能</t>
  </si>
  <si>
    <t>2022年新规</t>
  </si>
  <si>
    <t>严寒寒冷75% 其他65%</t>
  </si>
  <si>
    <t>超低能耗</t>
  </si>
  <si>
    <t>严寒寒冷83% 其他75%</t>
  </si>
  <si>
    <t>近零能耗</t>
  </si>
  <si>
    <t>零碳建筑</t>
  </si>
  <si>
    <t>按南北方加权：</t>
  </si>
  <si>
    <t>注：此表仅考虑维护结构热工性能提升带来的节能率，可再生能源另行计算</t>
  </si>
  <si>
    <t>新建建筑能效分布</t>
  </si>
  <si>
    <t>BAU情景</t>
  </si>
  <si>
    <t>16年规定能耗建筑</t>
  </si>
  <si>
    <t>22年新规能耗建筑</t>
  </si>
  <si>
    <t>超低能耗建筑</t>
  </si>
  <si>
    <t>近零能耗建筑</t>
  </si>
  <si>
    <t>2040以后</t>
  </si>
  <si>
    <t>政策情景</t>
  </si>
  <si>
    <t>注：绿建三星在围护结构上与22年新规相同，零碳建筑在围护结构上与近零能耗相同，故去掉这两个能效等级</t>
  </si>
  <si>
    <t>注：新建能效仅作用于heating cooling lighting</t>
  </si>
  <si>
    <t>即存建筑改造率</t>
  </si>
  <si>
    <t>年改造率</t>
  </si>
  <si>
    <t>2020-2060</t>
  </si>
  <si>
    <t>改造前能效水平</t>
  </si>
  <si>
    <t>改造后能效</t>
  </si>
  <si>
    <t>基线</t>
  </si>
  <si>
    <t>2022年标准节能</t>
  </si>
  <si>
    <t>注：2020年后建成的建筑不改造，2020年前建成的建筑，有40%处于基线能效，这部分建筑到2060年恰好改完</t>
  </si>
  <si>
    <t>分布式光伏</t>
  </si>
  <si>
    <t>城市住宅装机容量</t>
  </si>
  <si>
    <t>城市公建装机容量</t>
  </si>
  <si>
    <t>农村住宅装机容量</t>
  </si>
  <si>
    <t>0.1亿kW</t>
  </si>
  <si>
    <t>0.2亿kW</t>
  </si>
  <si>
    <t>0.7亿kW</t>
  </si>
  <si>
    <t>0.3亿kW</t>
  </si>
  <si>
    <t>3亿kW</t>
  </si>
  <si>
    <t>2亿kW</t>
  </si>
  <si>
    <t>6亿kW</t>
  </si>
  <si>
    <t>20亿kW</t>
  </si>
  <si>
    <t>注：中间线性增加</t>
  </si>
  <si>
    <t>全国年有效日照小时数</t>
  </si>
  <si>
    <t>1000h</t>
  </si>
  <si>
    <t>集中供暖电气化</t>
  </si>
  <si>
    <t>电力供暖占比</t>
  </si>
  <si>
    <t>零碳热源（各类余热供暖）占比</t>
  </si>
  <si>
    <t>传统供暖占比</t>
  </si>
  <si>
    <t>到2030</t>
  </si>
  <si>
    <t>到2060</t>
  </si>
  <si>
    <t>家用设施电气化</t>
  </si>
  <si>
    <t>城市</t>
  </si>
  <si>
    <t>农村</t>
  </si>
  <si>
    <t>到2035</t>
  </si>
  <si>
    <t>到2040</t>
  </si>
  <si>
    <t>到2050</t>
  </si>
  <si>
    <t>注：该部分影响组件为：heating中非集中供暖部分 appliance other，其中heating中非集中供暖部分考虑热泵效率，COP=2.5 其余组件不考虑</t>
  </si>
  <si>
    <t>电碳因子</t>
  </si>
  <si>
    <t>电碳因子 单位：万吨CO2/TWh</t>
  </si>
  <si>
    <t>九、输入参数表头名</t>
  </si>
  <si>
    <t>改造总比例（vensim直接输入）</t>
  </si>
  <si>
    <t>BRESaC</t>
  </si>
  <si>
    <t>SoCEUTiNTY</t>
  </si>
  <si>
    <t>urban-residential-heating</t>
  </si>
  <si>
    <t>urban-residential-cooling</t>
  </si>
  <si>
    <t>urban-residential-envelope</t>
  </si>
  <si>
    <t>urban-residential-lighting</t>
  </si>
  <si>
    <t>urban-residential-appl</t>
  </si>
  <si>
    <t>urban-residential-other</t>
  </si>
  <si>
    <t>rural-residential-heating</t>
  </si>
  <si>
    <t>rural-residential-cooling</t>
  </si>
  <si>
    <t>rural-residential-envelope</t>
  </si>
  <si>
    <t>rural-residential-lighting</t>
  </si>
  <si>
    <t>rural-residential-appl</t>
  </si>
  <si>
    <t>rural-residential-other</t>
  </si>
  <si>
    <t>commercial-heating</t>
  </si>
  <si>
    <t>commercial-cooling</t>
  </si>
  <si>
    <t>commercial-envelope</t>
  </si>
  <si>
    <t>commercial-lighting</t>
  </si>
  <si>
    <t>commercial-appl</t>
  </si>
  <si>
    <t>commercial-other</t>
  </si>
  <si>
    <t>urban-residential-heating 供暖清洁</t>
  </si>
  <si>
    <t>rural-residential-heating 供暖清洁</t>
  </si>
  <si>
    <t>commercial-heating 供暖清洁</t>
  </si>
  <si>
    <t>加一个2030累积的</t>
  </si>
  <si>
    <t>减排情景</t>
  </si>
  <si>
    <t>新建建筑能效</t>
  </si>
  <si>
    <t>新建建筑能效始终保持在2016标准节能水平</t>
  </si>
  <si>
    <t>新建建筑能效逐步提升，到2060年新建建筑100%为零碳建筑。具体能效分布见附表1</t>
  </si>
  <si>
    <t>2020年建筑运行碳排放21.8亿吨co2</t>
  </si>
  <si>
    <t>另一个口径是21.6亿</t>
  </si>
  <si>
    <t>改SYCEU</t>
  </si>
  <si>
    <t>既存建筑改造</t>
  </si>
  <si>
    <t>不进行建筑节能改造。2020年之前建成的建筑，其能效水平一直保持不变。</t>
  </si>
  <si>
    <t>仅改造2020年之前建成的建筑，这部分建筑每年改造1%，改造后的能效从2022标准节能逐步提升至近零能耗，详见附表2。2020年后新建的建筑不改造</t>
  </si>
  <si>
    <t>光伏装机量一直保持在2020年水平，不再增加</t>
  </si>
  <si>
    <t>屋顶光伏装机量随时间线性增加，到2050年，农村屋顶光伏装机20亿kW,城镇屋顶光伏装机8亿kW。</t>
  </si>
  <si>
    <t>集中供暖电气化率一直保持在2020年水平，不再增加</t>
  </si>
  <si>
    <t>集中供暖电气化率随时间线性增加，到2050年集中供暖全部电气化</t>
  </si>
  <si>
    <t>家用设施电气化率一直保持在2020年水平，不再增加</t>
  </si>
  <si>
    <t>家用设施电气化率随时间线性增加，到2030年，公建设施100%电气化，住宅设施80%电气化</t>
  </si>
  <si>
    <t>家用设施稍小点，农村化石能源建筑排放应该是6亿吨co2，参考</t>
  </si>
  <si>
    <t>2040年住宅也要完全电气化，情景保守了</t>
  </si>
  <si>
    <t>电力系统优化</t>
  </si>
  <si>
    <t>电力系统一直保持在2020年水平，不进行改造</t>
  </si>
  <si>
    <t>2020年后新建建筑全部进行电力系统优化，既存建筑的节能改造也全部进行电力系统优化</t>
  </si>
  <si>
    <t>16年新规是</t>
  </si>
  <si>
    <t>附表3：各能效水平建筑相较于基线能效建筑的节能率</t>
  </si>
  <si>
    <t>22年新规</t>
  </si>
  <si>
    <t>绿建三星</t>
  </si>
  <si>
    <t>-</t>
  </si>
  <si>
    <t>新建、既改一个柱子两个颜色</t>
  </si>
  <si>
    <t>注：附表3仅考虑围护结构热工性能提升带来的节能率，分布式光伏和电力系统优化的节能另行计算</t>
  </si>
  <si>
    <t>附表1：新建建筑能效分布</t>
  </si>
  <si>
    <t>附表2：既存建筑改造后能效水平分布</t>
  </si>
  <si>
    <t>零能耗</t>
  </si>
  <si>
    <t>2020-2029</t>
  </si>
  <si>
    <t>2030-2039</t>
  </si>
  <si>
    <t>2040-2049</t>
  </si>
  <si>
    <t>2050-2060</t>
  </si>
  <si>
    <t>2020年建筑运行碳排放21,8亿吨co2</t>
  </si>
  <si>
    <t>新建占比过大，不科学</t>
  </si>
  <si>
    <t>既改很激进，但减碳量低</t>
  </si>
  <si>
    <t>集中供暖有多少是换热源、有多少是转电，这个比例解释清楚</t>
  </si>
  <si>
    <t>吴博士说是20%的热泵</t>
  </si>
  <si>
    <t>电气化就只是本地化石能源电气化，不含别的</t>
  </si>
  <si>
    <t>电碳因子目前接近BAU,政策情景电碳因子用赵言冰发的，最终结果电碳因子加上</t>
  </si>
  <si>
    <t>电碳因子单独分出来</t>
  </si>
  <si>
    <t>写零碳政策情景</t>
  </si>
  <si>
    <t>建筑用电调峰，言冰老师认为直接说节能量不合适，建议不放了</t>
  </si>
  <si>
    <t>光伏有效日照小时数全国应为1200小时，现在可能偏低，需要核实</t>
  </si>
  <si>
    <t>2030年建筑碳排放峰值约为26亿吨</t>
  </si>
  <si>
    <t>确认下2060年为什么碳排放还有剩余？正常肯定没了</t>
  </si>
  <si>
    <t>2020-2060年新建总392亿㎡</t>
  </si>
  <si>
    <t>电力系统优化（柔性），去掉，不考虑了</t>
  </si>
  <si>
    <t>建面到2060年调到2050年 2060年750亿，参考750亿情景</t>
  </si>
  <si>
    <t>绿建去掉</t>
  </si>
  <si>
    <t>2030年全部达到超低及以上</t>
  </si>
  <si>
    <t>住宅超低83% 公建78%</t>
  </si>
  <si>
    <t>2040年全部达到近零及以上</t>
  </si>
  <si>
    <t>最高近零能耗</t>
  </si>
  <si>
    <t>建筑2040年新建建筑全部电气化</t>
  </si>
  <si>
    <t xml:space="preserve">2040年住宅既存电气化80% </t>
  </si>
  <si>
    <t>按江亿的</t>
  </si>
  <si>
    <t>建筑改造，改造到节能率75%</t>
  </si>
  <si>
    <t>既存建筑有40%是不节能的（能效低于16年标准），只改造这一部分，改之前基线，改之后节能率65%</t>
  </si>
  <si>
    <t>20-60年拆除量不能超过改造面积的20%，即起始年份的8%</t>
  </si>
  <si>
    <t>2020集中供暖面积 156亿㎡</t>
  </si>
  <si>
    <t>2030年，燃煤锅炉全部取消</t>
  </si>
  <si>
    <t>2050年 集中供暖54亿GJ</t>
  </si>
  <si>
    <t>2050集中供暖面积 218亿㎡</t>
  </si>
  <si>
    <t>BCEU BAU Components Energy Use</t>
  </si>
  <si>
    <t>source:</t>
  </si>
  <si>
    <t>人口计算</t>
  </si>
  <si>
    <t>Leslie人口模型</t>
  </si>
  <si>
    <t>建筑面积计算</t>
  </si>
  <si>
    <t>Chongqing University &amp; Energy Statistics Committee of China Building Energy Conservation Association</t>
  </si>
  <si>
    <t xml:space="preserve">2018 Annual Report  on China Building Energy Consumption </t>
  </si>
  <si>
    <t>https://kns.cnki.net/kcms2/article/abstract?v=3uoqIhG8C44YLTlOAiTRKibYlV5Vjs7iLik5jEcCI09uHa3oBxtWoLXBqMuT2L2CQ_SDgkvzeuyHBRpPejPl_DToiZ2ygw3-&amp;uniplatform=NZKPT</t>
  </si>
  <si>
    <t>note:</t>
  </si>
  <si>
    <t>1.根据Leslie人口模型的数据，预测中国城市人口，农村人口，采暖人口的变化</t>
  </si>
  <si>
    <t>2.从&lt;2018 Annual Report  on China Building Energy Consumption &gt;中获取起始年份中国的人均城市住宅面积、人均农村住宅面积、人均公建面积。咨询专家得知，未来中国人均建面年增长率为0.3%，据此预测未来中国人均建筑面积的变化</t>
  </si>
  <si>
    <t>3.用人口乘以人均建面可获取未来城市住宅、农村住宅、公共建筑面积的变化趋势。建筑面积的变化量由新建量和拆除量构成，建筑的拆除量按住宅每年拆除1/70,公建每年拆除1/50考虑，然后用前后两年的总变化量加上上年拆除量即为上年新建量。由此可将每年的建筑面积分为起始年份留存面积和新建面积</t>
  </si>
  <si>
    <t>4.从SYCEU中获取起始年份留存建筑的总能耗，除以建面即得留存建筑的能耗强度。 从&lt;2018 Annual Report  on China Building Energy Consumption &gt;获取各类建筑的基线能耗强度，从&lt;建筑节能与可再生能源利用通用规范&gt;中获取未来新建建筑的节能率，据此计算未来新建建筑的能耗强度</t>
  </si>
  <si>
    <t>5.用既存建筑面积和新建建筑面积分别乘以各自对应的能耗强度，即可得到各类建筑未来的能耗变化趋势</t>
  </si>
  <si>
    <t>6.将建筑能耗按SYCEU的比例拆分</t>
  </si>
  <si>
    <t>山东历年人口数据&amp;人口变化预测</t>
  </si>
  <si>
    <t>城镇化率</t>
  </si>
  <si>
    <t>总人口</t>
  </si>
  <si>
    <t>城市人口</t>
  </si>
  <si>
    <t>农村人口</t>
  </si>
  <si>
    <t>采暖省份人口</t>
  </si>
  <si>
    <t>采暖人口</t>
  </si>
  <si>
    <t>采暖省份的人口占比</t>
  </si>
  <si>
    <t>Leslie人口源数据：</t>
  </si>
  <si>
    <t>City</t>
  </si>
  <si>
    <t>是否采暖</t>
  </si>
  <si>
    <t>北京市</t>
  </si>
  <si>
    <t>北京</t>
  </si>
  <si>
    <t>天津市</t>
  </si>
  <si>
    <t>天津</t>
  </si>
  <si>
    <t>石家庄市</t>
  </si>
  <si>
    <t>石家庄</t>
  </si>
  <si>
    <t>唐山市</t>
  </si>
  <si>
    <t>唐山</t>
  </si>
  <si>
    <t>秦皇岛市</t>
  </si>
  <si>
    <t>秦皇岛</t>
  </si>
  <si>
    <t>邯郸市</t>
  </si>
  <si>
    <t>邯郸</t>
  </si>
  <si>
    <t>邢台市</t>
  </si>
  <si>
    <t>邢台</t>
  </si>
  <si>
    <t>保定市</t>
  </si>
  <si>
    <t>保定</t>
  </si>
  <si>
    <t>张家口市</t>
  </si>
  <si>
    <t>张家口</t>
  </si>
  <si>
    <t>承德市</t>
  </si>
  <si>
    <t>承德</t>
  </si>
  <si>
    <t>沧州市</t>
  </si>
  <si>
    <t>沧州</t>
  </si>
  <si>
    <t>廊坊市</t>
  </si>
  <si>
    <t>廊坊</t>
  </si>
  <si>
    <t>衡水市</t>
  </si>
  <si>
    <t>衡水</t>
  </si>
  <si>
    <t>太原市</t>
  </si>
  <si>
    <t>太原</t>
  </si>
  <si>
    <t>大同市</t>
  </si>
  <si>
    <t>大同</t>
  </si>
  <si>
    <t>阳泉市</t>
  </si>
  <si>
    <t>阳泉</t>
  </si>
  <si>
    <t>长治市</t>
  </si>
  <si>
    <t>长治</t>
  </si>
  <si>
    <t>晋城市</t>
  </si>
  <si>
    <t>晋城</t>
  </si>
  <si>
    <t>朔州市</t>
  </si>
  <si>
    <t>朔州</t>
  </si>
  <si>
    <t>晋中市</t>
  </si>
  <si>
    <t>晋中</t>
  </si>
  <si>
    <t>运城市</t>
  </si>
  <si>
    <t>运城</t>
  </si>
  <si>
    <t>忻州市</t>
  </si>
  <si>
    <t>忻州</t>
  </si>
  <si>
    <t>临汾市</t>
  </si>
  <si>
    <t>临汾</t>
  </si>
  <si>
    <t>吕梁市</t>
  </si>
  <si>
    <t>吕梁</t>
  </si>
  <si>
    <t>呼和浩特市</t>
  </si>
  <si>
    <t>呼和浩特</t>
  </si>
  <si>
    <t>包头市</t>
  </si>
  <si>
    <t>包头</t>
  </si>
  <si>
    <t>乌海市</t>
  </si>
  <si>
    <t>乌海</t>
  </si>
  <si>
    <t>赤峰市</t>
  </si>
  <si>
    <t>赤峰</t>
  </si>
  <si>
    <t>通辽市</t>
  </si>
  <si>
    <t>通辽</t>
  </si>
  <si>
    <t>鄂尔多斯市</t>
  </si>
  <si>
    <t>鄂尔多斯</t>
  </si>
  <si>
    <t>呼伦贝尔市</t>
  </si>
  <si>
    <t>呼伦贝尔</t>
  </si>
  <si>
    <t>巴彦淖尔市</t>
  </si>
  <si>
    <t>巴彦淖尔</t>
  </si>
  <si>
    <t>乌兰察布市</t>
  </si>
  <si>
    <t>乌兰察布</t>
  </si>
  <si>
    <t>兴安盟</t>
  </si>
  <si>
    <t>兴安</t>
  </si>
  <si>
    <t>锡林郭勒盟</t>
  </si>
  <si>
    <t>锡林郭勒</t>
  </si>
  <si>
    <t>阿拉善盟</t>
  </si>
  <si>
    <t>阿拉善</t>
  </si>
  <si>
    <t>沈阳市</t>
  </si>
  <si>
    <t>沈阳</t>
  </si>
  <si>
    <t>大连市</t>
  </si>
  <si>
    <t>大连</t>
  </si>
  <si>
    <t>鞍山市</t>
  </si>
  <si>
    <t>鞍山</t>
  </si>
  <si>
    <t>抚顺市</t>
  </si>
  <si>
    <t>抚顺</t>
  </si>
  <si>
    <t>本溪市</t>
  </si>
  <si>
    <t>本溪</t>
  </si>
  <si>
    <t>丹东市</t>
  </si>
  <si>
    <t>丹东</t>
  </si>
  <si>
    <t>锦州市</t>
  </si>
  <si>
    <t>锦州</t>
  </si>
  <si>
    <t>营口市</t>
  </si>
  <si>
    <t>营口</t>
  </si>
  <si>
    <t>阜新市</t>
  </si>
  <si>
    <t>阜新</t>
  </si>
  <si>
    <t>辽阳市</t>
  </si>
  <si>
    <t>辽阳</t>
  </si>
  <si>
    <t>盘锦市</t>
  </si>
  <si>
    <t>盘锦</t>
  </si>
  <si>
    <t>铁岭市</t>
  </si>
  <si>
    <t>铁岭</t>
  </si>
  <si>
    <t>朝阳市</t>
  </si>
  <si>
    <t>朝阳</t>
  </si>
  <si>
    <t>葫芦岛市</t>
  </si>
  <si>
    <t>葫芦岛</t>
  </si>
  <si>
    <t>长春市</t>
  </si>
  <si>
    <t>长春</t>
  </si>
  <si>
    <t>吉林市</t>
  </si>
  <si>
    <t>吉林</t>
  </si>
  <si>
    <t>四平市</t>
  </si>
  <si>
    <t>四平</t>
  </si>
  <si>
    <t>辽源市</t>
  </si>
  <si>
    <t>辽源</t>
  </si>
  <si>
    <t>通化市</t>
  </si>
  <si>
    <t>通化</t>
  </si>
  <si>
    <t>白山市</t>
  </si>
  <si>
    <t>白山</t>
  </si>
  <si>
    <t>松原市</t>
  </si>
  <si>
    <t>松原</t>
  </si>
  <si>
    <t>白城市</t>
  </si>
  <si>
    <t>白城</t>
  </si>
  <si>
    <t>延边朝鲜族自治州</t>
  </si>
  <si>
    <t>延边</t>
  </si>
  <si>
    <t>哈尔滨市</t>
  </si>
  <si>
    <t>哈尔滨</t>
  </si>
  <si>
    <t>齐齐哈尔市</t>
  </si>
  <si>
    <t>齐齐哈尔</t>
  </si>
  <si>
    <t>鸡西市</t>
  </si>
  <si>
    <t>鸡西</t>
  </si>
  <si>
    <t>鹤岗市</t>
  </si>
  <si>
    <t>鹤岗</t>
  </si>
  <si>
    <t>双鸭山市</t>
  </si>
  <si>
    <t>双鸭山</t>
  </si>
  <si>
    <t>大庆市</t>
  </si>
  <si>
    <t>大庆</t>
  </si>
  <si>
    <t>伊春市</t>
  </si>
  <si>
    <t>伊春</t>
  </si>
  <si>
    <t>佳木斯市</t>
  </si>
  <si>
    <t>佳木斯</t>
  </si>
  <si>
    <t>七台河市</t>
  </si>
  <si>
    <t>七台河</t>
  </si>
  <si>
    <t>牡丹江市</t>
  </si>
  <si>
    <t>牡丹江</t>
  </si>
  <si>
    <t>黑河市</t>
  </si>
  <si>
    <t>黑河</t>
  </si>
  <si>
    <t>绥化市</t>
  </si>
  <si>
    <t>绥化</t>
  </si>
  <si>
    <t>大兴安岭地区</t>
  </si>
  <si>
    <t>大兴安岭</t>
  </si>
  <si>
    <t>上海市</t>
  </si>
  <si>
    <t>上海</t>
  </si>
  <si>
    <t>否</t>
  </si>
  <si>
    <t>南京市</t>
  </si>
  <si>
    <t>南京</t>
  </si>
  <si>
    <t>无锡市</t>
  </si>
  <si>
    <t>无锡</t>
  </si>
  <si>
    <t>徐州市</t>
  </si>
  <si>
    <t>徐州</t>
  </si>
  <si>
    <t>常州市</t>
  </si>
  <si>
    <t>常州</t>
  </si>
  <si>
    <t>苏州市</t>
  </si>
  <si>
    <t>苏州</t>
  </si>
  <si>
    <t>南通市</t>
  </si>
  <si>
    <t>南通</t>
  </si>
  <si>
    <t>连云港市</t>
  </si>
  <si>
    <t>连云港</t>
  </si>
  <si>
    <t>淮安市</t>
  </si>
  <si>
    <t>淮安</t>
  </si>
  <si>
    <t>盐城市</t>
  </si>
  <si>
    <t>盐城</t>
  </si>
  <si>
    <t>扬州市</t>
  </si>
  <si>
    <t>扬州</t>
  </si>
  <si>
    <t>镇江市</t>
  </si>
  <si>
    <t>镇江</t>
  </si>
  <si>
    <t>泰州市</t>
  </si>
  <si>
    <t>泰州</t>
  </si>
  <si>
    <t>宿迁市</t>
  </si>
  <si>
    <t>宿迁</t>
  </si>
  <si>
    <t>杭州市</t>
  </si>
  <si>
    <t>杭州</t>
  </si>
  <si>
    <t>宁波市</t>
  </si>
  <si>
    <t>宁波</t>
  </si>
  <si>
    <t>温州市</t>
  </si>
  <si>
    <t>温州</t>
  </si>
  <si>
    <t>嘉兴市</t>
  </si>
  <si>
    <t>嘉兴</t>
  </si>
  <si>
    <t>湖州市</t>
  </si>
  <si>
    <t>湖州</t>
  </si>
  <si>
    <t>绍兴市</t>
  </si>
  <si>
    <t>绍兴</t>
  </si>
  <si>
    <t>金华市</t>
  </si>
  <si>
    <t>金华</t>
  </si>
  <si>
    <t>衢州市</t>
  </si>
  <si>
    <t>衢州</t>
  </si>
  <si>
    <t>舟山市</t>
  </si>
  <si>
    <t>舟山</t>
  </si>
  <si>
    <t>台州市</t>
  </si>
  <si>
    <t>台州</t>
  </si>
  <si>
    <t>丽水市</t>
  </si>
  <si>
    <t>丽水</t>
  </si>
  <si>
    <t>合肥市</t>
  </si>
  <si>
    <t>合肥</t>
  </si>
  <si>
    <t>芜湖市</t>
  </si>
  <si>
    <t>芜湖</t>
  </si>
  <si>
    <t>蚌埠市</t>
  </si>
  <si>
    <t>蚌埠</t>
  </si>
  <si>
    <t>淮南市</t>
  </si>
  <si>
    <t>淮南</t>
  </si>
  <si>
    <t>马鞍山市</t>
  </si>
  <si>
    <t>马鞍山</t>
  </si>
  <si>
    <t>淮北市</t>
  </si>
  <si>
    <t>淮北</t>
  </si>
  <si>
    <t>铜陵市</t>
  </si>
  <si>
    <t>铜陵</t>
  </si>
  <si>
    <t>安庆市</t>
  </si>
  <si>
    <t>安庆</t>
  </si>
  <si>
    <t>黄山市</t>
  </si>
  <si>
    <t>黄山</t>
  </si>
  <si>
    <t>滁州市</t>
  </si>
  <si>
    <t>滁州</t>
  </si>
  <si>
    <t>阜阳市</t>
  </si>
  <si>
    <t>阜阳</t>
  </si>
  <si>
    <t>宿州市</t>
  </si>
  <si>
    <t>宿州</t>
  </si>
  <si>
    <t>六安市</t>
  </si>
  <si>
    <t>六安</t>
  </si>
  <si>
    <t>亳州市</t>
  </si>
  <si>
    <t>亳州</t>
  </si>
  <si>
    <t>池州市</t>
  </si>
  <si>
    <t>池州</t>
  </si>
  <si>
    <t>宣城市</t>
  </si>
  <si>
    <t>宣城</t>
  </si>
  <si>
    <t>福州市</t>
  </si>
  <si>
    <t>福州</t>
  </si>
  <si>
    <t>厦门市</t>
  </si>
  <si>
    <t>厦门</t>
  </si>
  <si>
    <t>莆田市</t>
  </si>
  <si>
    <t>莆田</t>
  </si>
  <si>
    <t>三明市</t>
  </si>
  <si>
    <t>三明</t>
  </si>
  <si>
    <t>泉州市</t>
  </si>
  <si>
    <t>泉州</t>
  </si>
  <si>
    <t>漳州市</t>
  </si>
  <si>
    <t>漳州</t>
  </si>
  <si>
    <t>南平市</t>
  </si>
  <si>
    <t>南平</t>
  </si>
  <si>
    <t>龙岩市</t>
  </si>
  <si>
    <t>龙岩</t>
  </si>
  <si>
    <t>宁德市</t>
  </si>
  <si>
    <t>宁德</t>
  </si>
  <si>
    <t>南昌市</t>
  </si>
  <si>
    <t>南昌</t>
  </si>
  <si>
    <t>景德镇市</t>
  </si>
  <si>
    <t>景德镇</t>
  </si>
  <si>
    <t>萍乡市</t>
  </si>
  <si>
    <t>萍乡</t>
  </si>
  <si>
    <t>九江市</t>
  </si>
  <si>
    <t>九江</t>
  </si>
  <si>
    <t>新余市</t>
  </si>
  <si>
    <t>新余</t>
  </si>
  <si>
    <t>鹰潭市</t>
  </si>
  <si>
    <t>鹰潭</t>
  </si>
  <si>
    <t>赣州市</t>
  </si>
  <si>
    <t>赣州</t>
  </si>
  <si>
    <t>吉安市</t>
  </si>
  <si>
    <t>吉安</t>
  </si>
  <si>
    <t>宜春市</t>
  </si>
  <si>
    <t>宜春</t>
  </si>
  <si>
    <t>抚州市</t>
  </si>
  <si>
    <t>抚州</t>
  </si>
  <si>
    <t>上饶市</t>
  </si>
  <si>
    <t>上饶</t>
  </si>
  <si>
    <t>济南市</t>
  </si>
  <si>
    <t>济南</t>
  </si>
  <si>
    <t>青岛市</t>
  </si>
  <si>
    <t>青岛</t>
  </si>
  <si>
    <t>淄博市</t>
  </si>
  <si>
    <t>淄博</t>
  </si>
  <si>
    <t>枣庄市</t>
  </si>
  <si>
    <t>枣庄</t>
  </si>
  <si>
    <t>东营市</t>
  </si>
  <si>
    <t>东营</t>
  </si>
  <si>
    <t>烟台市</t>
  </si>
  <si>
    <t>烟台</t>
  </si>
  <si>
    <t>潍坊市</t>
  </si>
  <si>
    <t>潍坊</t>
  </si>
  <si>
    <t>济宁市</t>
  </si>
  <si>
    <t>济宁</t>
  </si>
  <si>
    <t>泰安市</t>
  </si>
  <si>
    <t>泰安</t>
  </si>
  <si>
    <t>威海市</t>
  </si>
  <si>
    <t>威海</t>
  </si>
  <si>
    <t>日照市</t>
  </si>
  <si>
    <t>日照</t>
  </si>
  <si>
    <t>临沂市</t>
  </si>
  <si>
    <t>临沂</t>
  </si>
  <si>
    <t>德州市</t>
  </si>
  <si>
    <t>德州</t>
  </si>
  <si>
    <t>聊城市</t>
  </si>
  <si>
    <t>聊城</t>
  </si>
  <si>
    <t>滨州市</t>
  </si>
  <si>
    <t>滨州</t>
  </si>
  <si>
    <t>菏泽市</t>
  </si>
  <si>
    <t>菏泽</t>
  </si>
  <si>
    <t>郑州市</t>
  </si>
  <si>
    <t>郑州</t>
  </si>
  <si>
    <t>开封市</t>
  </si>
  <si>
    <t>开封</t>
  </si>
  <si>
    <t>洛阳市</t>
  </si>
  <si>
    <t>洛阳</t>
  </si>
  <si>
    <t>平顶山市</t>
  </si>
  <si>
    <t>平顶山</t>
  </si>
  <si>
    <t>安阳市</t>
  </si>
  <si>
    <t>安阳</t>
  </si>
  <si>
    <t>鹤壁市</t>
  </si>
  <si>
    <t>鹤壁</t>
  </si>
  <si>
    <t>新乡市</t>
  </si>
  <si>
    <t>新乡</t>
  </si>
  <si>
    <t>焦作市</t>
  </si>
  <si>
    <t>焦作</t>
  </si>
  <si>
    <t>濮阳市</t>
  </si>
  <si>
    <t>濮阳</t>
  </si>
  <si>
    <t>许昌市</t>
  </si>
  <si>
    <t>许昌</t>
  </si>
  <si>
    <t>漯河市</t>
  </si>
  <si>
    <t>漯河</t>
  </si>
  <si>
    <t>三门峡市</t>
  </si>
  <si>
    <t>三门峡</t>
  </si>
  <si>
    <t>南阳市</t>
  </si>
  <si>
    <t>南阳</t>
  </si>
  <si>
    <t>商丘市</t>
  </si>
  <si>
    <t>商丘</t>
  </si>
  <si>
    <t>信阳市</t>
  </si>
  <si>
    <t>信阳</t>
  </si>
  <si>
    <t>周口市</t>
  </si>
  <si>
    <t>周口</t>
  </si>
  <si>
    <t>驻马店市</t>
  </si>
  <si>
    <t>驻马店</t>
  </si>
  <si>
    <t>济源市</t>
  </si>
  <si>
    <t>济源</t>
  </si>
  <si>
    <t>武汉市</t>
  </si>
  <si>
    <t>武汉</t>
  </si>
  <si>
    <t>黄石市</t>
  </si>
  <si>
    <t>黄石</t>
  </si>
  <si>
    <t>十堰市</t>
  </si>
  <si>
    <t>十堰</t>
  </si>
  <si>
    <t>宜昌市</t>
  </si>
  <si>
    <t>宜昌</t>
  </si>
  <si>
    <t>襄阳市</t>
  </si>
  <si>
    <t>襄阳</t>
  </si>
  <si>
    <t>鄂州市</t>
  </si>
  <si>
    <t>鄂州</t>
  </si>
  <si>
    <t>荆门市</t>
  </si>
  <si>
    <t>荆门</t>
  </si>
  <si>
    <t>孝感市</t>
  </si>
  <si>
    <t>孝感</t>
  </si>
  <si>
    <t>荆州市</t>
  </si>
  <si>
    <t>荆州</t>
  </si>
  <si>
    <t>黄冈市</t>
  </si>
  <si>
    <t>黄冈</t>
  </si>
  <si>
    <t>咸宁市</t>
  </si>
  <si>
    <t>咸宁</t>
  </si>
  <si>
    <t>随州市</t>
  </si>
  <si>
    <t>随州</t>
  </si>
  <si>
    <t>恩施土家族苗族自治州</t>
  </si>
  <si>
    <t>恩施</t>
  </si>
  <si>
    <t>仙桃市</t>
  </si>
  <si>
    <t>仙桃</t>
  </si>
  <si>
    <t>潜江市</t>
  </si>
  <si>
    <t>潜江</t>
  </si>
  <si>
    <t>天门市</t>
  </si>
  <si>
    <t>天门</t>
  </si>
  <si>
    <t>神农架林区</t>
  </si>
  <si>
    <t>神农架林</t>
  </si>
  <si>
    <t>长沙市</t>
  </si>
  <si>
    <t>长沙</t>
  </si>
  <si>
    <t>株洲市</t>
  </si>
  <si>
    <t>株洲</t>
  </si>
  <si>
    <t>湘潭市</t>
  </si>
  <si>
    <t>湘潭</t>
  </si>
  <si>
    <t>衡阳市</t>
  </si>
  <si>
    <t>衡阳</t>
  </si>
  <si>
    <t>邵阳市</t>
  </si>
  <si>
    <t>邵阳</t>
  </si>
  <si>
    <t>岳阳市</t>
  </si>
  <si>
    <t>岳阳</t>
  </si>
  <si>
    <t>常德市</t>
  </si>
  <si>
    <t>常德</t>
  </si>
  <si>
    <t>张家界市</t>
  </si>
  <si>
    <t>张家界</t>
  </si>
  <si>
    <t>益阳市</t>
  </si>
  <si>
    <t>益阳</t>
  </si>
  <si>
    <t>郴州市</t>
  </si>
  <si>
    <t>郴州</t>
  </si>
  <si>
    <t>永州市</t>
  </si>
  <si>
    <t>永州</t>
  </si>
  <si>
    <t>怀化市</t>
  </si>
  <si>
    <t>怀化</t>
  </si>
  <si>
    <t>娄底市</t>
  </si>
  <si>
    <t>娄底</t>
  </si>
  <si>
    <t>湘西土家族苗族自治州</t>
  </si>
  <si>
    <t>湘西</t>
  </si>
  <si>
    <t>广州市</t>
  </si>
  <si>
    <t>广州</t>
  </si>
  <si>
    <t>韶关市</t>
  </si>
  <si>
    <t>韶关</t>
  </si>
  <si>
    <t>深圳市</t>
  </si>
  <si>
    <t>深圳</t>
  </si>
  <si>
    <t>珠海市</t>
  </si>
  <si>
    <t>珠海</t>
  </si>
  <si>
    <t>汕头市</t>
  </si>
  <si>
    <t>汕头</t>
  </si>
  <si>
    <t>佛山市</t>
  </si>
  <si>
    <t>佛山</t>
  </si>
  <si>
    <t>江门市</t>
  </si>
  <si>
    <t>江门</t>
  </si>
  <si>
    <t>湛江市</t>
  </si>
  <si>
    <t>湛江</t>
  </si>
  <si>
    <t>茂名市</t>
  </si>
  <si>
    <t>茂名</t>
  </si>
  <si>
    <t>肇庆市</t>
  </si>
  <si>
    <t>肇庆</t>
  </si>
  <si>
    <t>惠州市</t>
  </si>
  <si>
    <t>惠州</t>
  </si>
  <si>
    <t>梅州市</t>
  </si>
  <si>
    <t>梅州</t>
  </si>
  <si>
    <t>汕尾市</t>
  </si>
  <si>
    <t>汕尾</t>
  </si>
  <si>
    <t>河源市</t>
  </si>
  <si>
    <t>河源</t>
  </si>
  <si>
    <t>阳江市</t>
  </si>
  <si>
    <t>阳江</t>
  </si>
  <si>
    <t>清远市</t>
  </si>
  <si>
    <t>清远</t>
  </si>
  <si>
    <t>东莞市</t>
  </si>
  <si>
    <t>东莞</t>
  </si>
  <si>
    <t>中山市</t>
  </si>
  <si>
    <t>中山</t>
  </si>
  <si>
    <t>潮州市</t>
  </si>
  <si>
    <t>潮州</t>
  </si>
  <si>
    <t>揭阳市</t>
  </si>
  <si>
    <t>揭阳</t>
  </si>
  <si>
    <t>云浮市</t>
  </si>
  <si>
    <t>云浮</t>
  </si>
  <si>
    <t>南宁市</t>
  </si>
  <si>
    <t>南宁</t>
  </si>
  <si>
    <t>柳州市</t>
  </si>
  <si>
    <t>柳州</t>
  </si>
  <si>
    <t>桂林市</t>
  </si>
  <si>
    <t>桂林</t>
  </si>
  <si>
    <t>梧州市</t>
  </si>
  <si>
    <t>梧州</t>
  </si>
  <si>
    <t>北海市</t>
  </si>
  <si>
    <t>北海</t>
  </si>
  <si>
    <t>防城港市</t>
  </si>
  <si>
    <t>防城港</t>
  </si>
  <si>
    <t>钦州市</t>
  </si>
  <si>
    <t>钦州</t>
  </si>
  <si>
    <t>贵港市</t>
  </si>
  <si>
    <t>贵港</t>
  </si>
  <si>
    <t>玉林市</t>
  </si>
  <si>
    <t>玉林</t>
  </si>
  <si>
    <t>百色市</t>
  </si>
  <si>
    <t>百色</t>
  </si>
  <si>
    <t>贺州市</t>
  </si>
  <si>
    <t>贺州</t>
  </si>
  <si>
    <t>河池市</t>
  </si>
  <si>
    <t>河池</t>
  </si>
  <si>
    <t>来宾市</t>
  </si>
  <si>
    <t>来宾</t>
  </si>
  <si>
    <t>崇左市</t>
  </si>
  <si>
    <t>崇左</t>
  </si>
  <si>
    <t>海口市</t>
  </si>
  <si>
    <t>海口</t>
  </si>
  <si>
    <t>三亚市</t>
  </si>
  <si>
    <t>三亚</t>
  </si>
  <si>
    <t>三沙市</t>
  </si>
  <si>
    <t>三沙</t>
  </si>
  <si>
    <t>儋州市</t>
  </si>
  <si>
    <t>儋州</t>
  </si>
  <si>
    <t>五指山市</t>
  </si>
  <si>
    <t>五指山</t>
  </si>
  <si>
    <t>琼海市</t>
  </si>
  <si>
    <t>琼海</t>
  </si>
  <si>
    <t>文昌市</t>
  </si>
  <si>
    <t>文昌</t>
  </si>
  <si>
    <t>万宁市</t>
  </si>
  <si>
    <t>万宁</t>
  </si>
  <si>
    <t>东方市</t>
  </si>
  <si>
    <t>东方</t>
  </si>
  <si>
    <t>定安县</t>
  </si>
  <si>
    <t>定安</t>
  </si>
  <si>
    <t>屯昌县</t>
  </si>
  <si>
    <t>屯昌</t>
  </si>
  <si>
    <t>澄迈县</t>
  </si>
  <si>
    <t>澄迈</t>
  </si>
  <si>
    <t>临高县</t>
  </si>
  <si>
    <t>临高</t>
  </si>
  <si>
    <t>白沙黎族自治县</t>
  </si>
  <si>
    <t>白沙</t>
  </si>
  <si>
    <t>昌江黎族自治县</t>
  </si>
  <si>
    <t>昌江</t>
  </si>
  <si>
    <t>乐东黎族自治县</t>
  </si>
  <si>
    <t>乐东</t>
  </si>
  <si>
    <t>陵水黎族自治县</t>
  </si>
  <si>
    <t>陵水</t>
  </si>
  <si>
    <t>保亭黎族苗族自治县</t>
  </si>
  <si>
    <t>保亭</t>
  </si>
  <si>
    <t>琼中黎族苗族自治县</t>
  </si>
  <si>
    <t>琼中</t>
  </si>
  <si>
    <t>重庆市</t>
  </si>
  <si>
    <t>重庆</t>
  </si>
  <si>
    <t>成都市</t>
  </si>
  <si>
    <t>成都</t>
  </si>
  <si>
    <t>自贡市</t>
  </si>
  <si>
    <t>自贡</t>
  </si>
  <si>
    <t>攀枝花市</t>
  </si>
  <si>
    <t>攀枝花</t>
  </si>
  <si>
    <t>泸州市</t>
  </si>
  <si>
    <t>泸州</t>
  </si>
  <si>
    <t>德阳市</t>
  </si>
  <si>
    <t>德阳</t>
  </si>
  <si>
    <t>绵阳市</t>
  </si>
  <si>
    <t>绵阳</t>
  </si>
  <si>
    <t>广元市</t>
  </si>
  <si>
    <t>广元</t>
  </si>
  <si>
    <t>遂宁市</t>
  </si>
  <si>
    <t>遂宁</t>
  </si>
  <si>
    <t>内江市</t>
  </si>
  <si>
    <t>内江</t>
  </si>
  <si>
    <t>乐山市</t>
  </si>
  <si>
    <t>乐山</t>
  </si>
  <si>
    <t>南充市</t>
  </si>
  <si>
    <t>南充</t>
  </si>
  <si>
    <t>眉山市</t>
  </si>
  <si>
    <t>眉山</t>
  </si>
  <si>
    <t>宜宾市</t>
  </si>
  <si>
    <t>宜宾</t>
  </si>
  <si>
    <t>广安市</t>
  </si>
  <si>
    <t>广安</t>
  </si>
  <si>
    <t>达州市</t>
  </si>
  <si>
    <t>达州</t>
  </si>
  <si>
    <t>雅安市</t>
  </si>
  <si>
    <t>雅安</t>
  </si>
  <si>
    <t>巴中市</t>
  </si>
  <si>
    <t>巴中</t>
  </si>
  <si>
    <t>资阳市</t>
  </si>
  <si>
    <t>资阳</t>
  </si>
  <si>
    <t>阿坝藏族羌族自治州</t>
  </si>
  <si>
    <t>阿坝</t>
  </si>
  <si>
    <t>甘孜藏族自治州</t>
  </si>
  <si>
    <t>凉山彝族自治州</t>
  </si>
  <si>
    <t>凉山</t>
  </si>
  <si>
    <t>贵阳市</t>
  </si>
  <si>
    <t>贵阳</t>
  </si>
  <si>
    <t>六盘水市</t>
  </si>
  <si>
    <t>六盘水</t>
  </si>
  <si>
    <t>遵义市</t>
  </si>
  <si>
    <t>遵义</t>
  </si>
  <si>
    <t>安顺市</t>
  </si>
  <si>
    <t>安顺</t>
  </si>
  <si>
    <t>毕节市</t>
  </si>
  <si>
    <t>毕节</t>
  </si>
  <si>
    <t>铜仁市</t>
  </si>
  <si>
    <t>铜仁</t>
  </si>
  <si>
    <t>黔西南布依族苗族自治州</t>
  </si>
  <si>
    <t>黔东南苗族侗族自治州</t>
  </si>
  <si>
    <t>黔南布依族苗族自治州</t>
  </si>
  <si>
    <t>昆明市</t>
  </si>
  <si>
    <t>昆明</t>
  </si>
  <si>
    <t>曲靖市</t>
  </si>
  <si>
    <t>曲靖</t>
  </si>
  <si>
    <t>玉溪市</t>
  </si>
  <si>
    <t>玉溪</t>
  </si>
  <si>
    <t>保山市</t>
  </si>
  <si>
    <t>保山</t>
  </si>
  <si>
    <t>昭通市</t>
  </si>
  <si>
    <t>昭通</t>
  </si>
  <si>
    <t>丽江市</t>
  </si>
  <si>
    <t>丽江</t>
  </si>
  <si>
    <t>普洱市</t>
  </si>
  <si>
    <t>普洱</t>
  </si>
  <si>
    <t>临沧市</t>
  </si>
  <si>
    <t>临沧</t>
  </si>
  <si>
    <t>楚雄彝族自治州</t>
  </si>
  <si>
    <t>楚雄</t>
  </si>
  <si>
    <t>红河哈尼族彝族自治州</t>
  </si>
  <si>
    <t>红河</t>
  </si>
  <si>
    <t>文山壮族苗族自治州</t>
  </si>
  <si>
    <t>文山</t>
  </si>
  <si>
    <t>西双版纳傣族自治州</t>
  </si>
  <si>
    <t>西双版纳</t>
  </si>
  <si>
    <t>大理白族自治州</t>
  </si>
  <si>
    <t>大理</t>
  </si>
  <si>
    <t>德宏傣族景颇族自治州</t>
  </si>
  <si>
    <t>德宏</t>
  </si>
  <si>
    <t>怒江傈僳族自治州</t>
  </si>
  <si>
    <t>怒江</t>
  </si>
  <si>
    <t>迪庆藏族自治州</t>
  </si>
  <si>
    <t>迪庆</t>
  </si>
  <si>
    <t>拉萨市</t>
  </si>
  <si>
    <t>拉萨</t>
  </si>
  <si>
    <t>日喀则市</t>
  </si>
  <si>
    <t>日喀则</t>
  </si>
  <si>
    <t>昌都市</t>
  </si>
  <si>
    <t>昌都</t>
  </si>
  <si>
    <t>林芝市</t>
  </si>
  <si>
    <t>林芝</t>
  </si>
  <si>
    <t>山南市</t>
  </si>
  <si>
    <t>山南</t>
  </si>
  <si>
    <t>那曲市</t>
  </si>
  <si>
    <t>那曲</t>
  </si>
  <si>
    <t>阿里地区</t>
  </si>
  <si>
    <t>阿里</t>
  </si>
  <si>
    <t>西安市</t>
  </si>
  <si>
    <t>西安</t>
  </si>
  <si>
    <t>铜川市</t>
  </si>
  <si>
    <t>铜川</t>
  </si>
  <si>
    <t>宝鸡市</t>
  </si>
  <si>
    <t>宝鸡</t>
  </si>
  <si>
    <t>咸阳市</t>
  </si>
  <si>
    <t>咸阳</t>
  </si>
  <si>
    <t>渭南市</t>
  </si>
  <si>
    <t>渭南</t>
  </si>
  <si>
    <t>延安市</t>
  </si>
  <si>
    <t>延安</t>
  </si>
  <si>
    <t>汉中市</t>
  </si>
  <si>
    <t>汉中</t>
  </si>
  <si>
    <t>榆林市</t>
  </si>
  <si>
    <t>榆林</t>
  </si>
  <si>
    <t>安康市</t>
  </si>
  <si>
    <t>安康</t>
  </si>
  <si>
    <t>商洛市</t>
  </si>
  <si>
    <t>商洛</t>
  </si>
  <si>
    <t>兰州市</t>
  </si>
  <si>
    <t>兰州</t>
  </si>
  <si>
    <t>嘉峪关市</t>
  </si>
  <si>
    <t>嘉峪关</t>
  </si>
  <si>
    <t>金昌市</t>
  </si>
  <si>
    <t>金昌</t>
  </si>
  <si>
    <t>白银市</t>
  </si>
  <si>
    <t>白银</t>
  </si>
  <si>
    <t>天水市</t>
  </si>
  <si>
    <t>天水</t>
  </si>
  <si>
    <t>武威市</t>
  </si>
  <si>
    <t>武威</t>
  </si>
  <si>
    <t>张掖市</t>
  </si>
  <si>
    <t>张掖</t>
  </si>
  <si>
    <t>平凉市</t>
  </si>
  <si>
    <t>平凉</t>
  </si>
  <si>
    <t>酒泉市</t>
  </si>
  <si>
    <t>酒泉</t>
  </si>
  <si>
    <t>庆阳市</t>
  </si>
  <si>
    <t>庆阳</t>
  </si>
  <si>
    <t>定西市</t>
  </si>
  <si>
    <t>定西</t>
  </si>
  <si>
    <t>陇南市</t>
  </si>
  <si>
    <t>陇南</t>
  </si>
  <si>
    <t>临夏回族自治州</t>
  </si>
  <si>
    <t>甘南藏族自治州</t>
  </si>
  <si>
    <t>西宁市</t>
  </si>
  <si>
    <t>西宁</t>
  </si>
  <si>
    <t>海东市</t>
  </si>
  <si>
    <t>海东</t>
  </si>
  <si>
    <t>海北藏族自治州</t>
  </si>
  <si>
    <t>黄南藏族自治州</t>
  </si>
  <si>
    <t>海南藏族自治州</t>
  </si>
  <si>
    <t>果洛藏族自治州</t>
  </si>
  <si>
    <t>玉树藏族自治州</t>
  </si>
  <si>
    <t>海西蒙古族藏族自治州</t>
  </si>
  <si>
    <t>银川市</t>
  </si>
  <si>
    <t>银川</t>
  </si>
  <si>
    <t>石嘴山市</t>
  </si>
  <si>
    <t>石嘴山</t>
  </si>
  <si>
    <t>吴忠市</t>
  </si>
  <si>
    <t>吴忠</t>
  </si>
  <si>
    <t>固原市</t>
  </si>
  <si>
    <t>固原</t>
  </si>
  <si>
    <t>中卫市</t>
  </si>
  <si>
    <t>中卫</t>
  </si>
  <si>
    <t>乌鲁木齐市</t>
  </si>
  <si>
    <t>乌鲁木齐</t>
  </si>
  <si>
    <t>克拉玛依市</t>
  </si>
  <si>
    <t>克拉玛依</t>
  </si>
  <si>
    <t>吐鲁番市</t>
  </si>
  <si>
    <t>吐鲁番</t>
  </si>
  <si>
    <t>哈密市</t>
  </si>
  <si>
    <t>哈密</t>
  </si>
  <si>
    <t>昌吉回族自治州</t>
  </si>
  <si>
    <t>博尔塔拉蒙古自治州</t>
  </si>
  <si>
    <t>巴音郭楞蒙古自治州</t>
  </si>
  <si>
    <t>阿克苏地区</t>
  </si>
  <si>
    <t>克孜勒苏柯尔克孜自治州</t>
  </si>
  <si>
    <t>喀什地区</t>
  </si>
  <si>
    <t>和田地区</t>
  </si>
  <si>
    <t>伊犁哈萨克自治州</t>
  </si>
  <si>
    <t>塔城地区</t>
  </si>
  <si>
    <t>塔城</t>
  </si>
  <si>
    <t>阿勒泰地区</t>
  </si>
  <si>
    <t>阿勒泰</t>
  </si>
  <si>
    <t>石河子市</t>
  </si>
  <si>
    <t>石河子</t>
  </si>
  <si>
    <t>阿拉尔市</t>
  </si>
  <si>
    <t>阿拉尔</t>
  </si>
  <si>
    <t>图木舒克市</t>
  </si>
  <si>
    <t>图木舒克</t>
  </si>
  <si>
    <t>五家渠市</t>
  </si>
  <si>
    <t>五家渠</t>
  </si>
  <si>
    <t>北屯市</t>
  </si>
  <si>
    <t>北屯</t>
  </si>
  <si>
    <t>铁门关市</t>
  </si>
  <si>
    <t>铁门关</t>
  </si>
  <si>
    <t>双河市</t>
  </si>
  <si>
    <t>双河</t>
  </si>
  <si>
    <t>可克达拉市</t>
  </si>
  <si>
    <t>可克达拉</t>
  </si>
  <si>
    <t>昆玉市</t>
  </si>
  <si>
    <t>昆玉</t>
  </si>
  <si>
    <t>胡杨河市</t>
  </si>
  <si>
    <t>胡杨河</t>
  </si>
  <si>
    <t>各类建筑既存和新建面积计算结果</t>
  </si>
  <si>
    <t>城市住宅建面 万㎡</t>
  </si>
  <si>
    <t xml:space="preserve"> 其中：拆除</t>
  </si>
  <si>
    <t xml:space="preserve">       拆除量修正值</t>
  </si>
  <si>
    <t xml:space="preserve">       当年新建</t>
  </si>
  <si>
    <t xml:space="preserve">       新建面积累计</t>
  </si>
  <si>
    <t xml:space="preserve">       起始年份留存</t>
  </si>
  <si>
    <t>农村住宅建面 万㎡</t>
  </si>
  <si>
    <t>公共建筑建面 万㎡</t>
  </si>
  <si>
    <t>住宅采暖建面 万㎡</t>
  </si>
  <si>
    <t xml:space="preserve">       改造</t>
  </si>
  <si>
    <t>公建采暖建面 万㎡</t>
  </si>
  <si>
    <t>城市住宅人均建面 ㎡</t>
  </si>
  <si>
    <t>农村住宅人均建面 ㎡</t>
  </si>
  <si>
    <t>公共建筑人均建面 ㎡</t>
  </si>
  <si>
    <t>人均建面年增长率</t>
  </si>
  <si>
    <t>重庆大学报告附件：</t>
  </si>
  <si>
    <t>地区</t>
  </si>
  <si>
    <t>建筑面积</t>
  </si>
  <si>
    <t>合计</t>
  </si>
  <si>
    <t>城市公共建筑</t>
  </si>
  <si>
    <t>城镇居住建筑</t>
  </si>
  <si>
    <t>村镇公建面积</t>
  </si>
  <si>
    <t>村镇住宅面积</t>
  </si>
  <si>
    <t>其中:北方城镇采暖</t>
  </si>
  <si>
    <t>公共建筑能耗强度(kgce/m2）</t>
  </si>
  <si>
    <t>公共建筑能耗(万kgce）</t>
  </si>
  <si>
    <t>城镇建筑（kgce/m2)</t>
  </si>
  <si>
    <t>城市住宅能耗(万kgce）</t>
  </si>
  <si>
    <t>城镇住宅+城镇公建</t>
  </si>
  <si>
    <t>北方采暖能耗强度（kgce/ m2）</t>
  </si>
  <si>
    <t>（万m2）</t>
  </si>
  <si>
    <t>面积（万m2）</t>
  </si>
  <si>
    <t>全国</t>
  </si>
  <si>
    <t>河北省</t>
  </si>
  <si>
    <t>河北</t>
  </si>
  <si>
    <t>山西省</t>
  </si>
  <si>
    <t>山西</t>
  </si>
  <si>
    <t>内蒙古自治区</t>
  </si>
  <si>
    <t>内蒙古</t>
  </si>
  <si>
    <t>辽宁省</t>
  </si>
  <si>
    <t>辽宁</t>
  </si>
  <si>
    <t>吉林省</t>
  </si>
  <si>
    <t>黑龙江省</t>
  </si>
  <si>
    <t>黑龙江</t>
  </si>
  <si>
    <t>江苏省</t>
  </si>
  <si>
    <t>江苏</t>
  </si>
  <si>
    <t>浙江省</t>
  </si>
  <si>
    <t>浙江</t>
  </si>
  <si>
    <t>安徽省</t>
  </si>
  <si>
    <t>安徽</t>
  </si>
  <si>
    <t>福建省</t>
  </si>
  <si>
    <t>福建</t>
  </si>
  <si>
    <t>江西省</t>
  </si>
  <si>
    <t>江西</t>
  </si>
  <si>
    <t>山东省</t>
  </si>
  <si>
    <t>山东</t>
  </si>
  <si>
    <t>河南省</t>
  </si>
  <si>
    <t>河南</t>
  </si>
  <si>
    <t>湖北省</t>
  </si>
  <si>
    <t>湖北</t>
  </si>
  <si>
    <t>湖南省</t>
  </si>
  <si>
    <t>湖南</t>
  </si>
  <si>
    <t>广东省</t>
  </si>
  <si>
    <t>广东</t>
  </si>
  <si>
    <t>广西壮族自治区</t>
  </si>
  <si>
    <t>广西</t>
  </si>
  <si>
    <t>海南省</t>
  </si>
  <si>
    <t>海南</t>
  </si>
  <si>
    <t>四川省</t>
  </si>
  <si>
    <t>四  川</t>
  </si>
  <si>
    <t>贵州省</t>
  </si>
  <si>
    <t>贵  州</t>
  </si>
  <si>
    <t>云南省</t>
  </si>
  <si>
    <t>云  南</t>
  </si>
  <si>
    <t>陕西省</t>
  </si>
  <si>
    <t>陕  西</t>
  </si>
  <si>
    <t>甘肃省</t>
  </si>
  <si>
    <t>甘  肃</t>
  </si>
  <si>
    <t>青海省</t>
  </si>
  <si>
    <t>青  海</t>
  </si>
  <si>
    <t>宁夏回族自治区</t>
  </si>
  <si>
    <t>宁  夏</t>
  </si>
  <si>
    <t>新疆维吾尔自治区</t>
  </si>
  <si>
    <t>新  疆</t>
  </si>
  <si>
    <t>西藏自治区</t>
  </si>
  <si>
    <t xml:space="preserve">       当年改造</t>
  </si>
  <si>
    <t>一.建筑能耗的计算</t>
  </si>
  <si>
    <t>建筑总能耗 单位万tce</t>
  </si>
  <si>
    <t>公共建筑</t>
  </si>
  <si>
    <t>城市住宅</t>
  </si>
  <si>
    <t>农村住宅</t>
  </si>
  <si>
    <t>住宅采暖</t>
  </si>
  <si>
    <t>公建采暖</t>
  </si>
  <si>
    <t>既存建筑能耗 单位万tce</t>
  </si>
  <si>
    <t>新建建筑能耗 单位万tce</t>
  </si>
  <si>
    <t>二.既存和新建建筑能耗强度的计算</t>
  </si>
  <si>
    <t>总能耗 万tce</t>
  </si>
  <si>
    <t>建筑基线能耗强度 kgce/㎡ （重大报告）</t>
  </si>
  <si>
    <t>2018年各类既存建筑能耗强度 kgce/㎡ （能源平衡表）</t>
  </si>
  <si>
    <t>BTU/万吨标煤</t>
  </si>
  <si>
    <t>2018-2023</t>
  </si>
  <si>
    <t>2024-2060</t>
  </si>
  <si>
    <t>新建住宅节能率</t>
  </si>
  <si>
    <t>2018-2025</t>
  </si>
  <si>
    <t>2026-2060</t>
  </si>
  <si>
    <t>新建公建节能率</t>
  </si>
  <si>
    <t>新建建筑能耗强度 单位kgce/㎡</t>
  </si>
  <si>
    <t>十四五验算</t>
  </si>
  <si>
    <t>十四五期间新建建面统计 万㎡</t>
  </si>
  <si>
    <t>要求新增绿色建筑至少5万㎡，故十四五之后的新建建筑近似都按绿建三星处理，相较于现状能效提升20%</t>
  </si>
  <si>
    <t>https://www.chndaqi.com/news/328990.html</t>
  </si>
  <si>
    <t>22年之后 根据新规 住宅、公建能耗强度相较于BAU降低30% 20%</t>
  </si>
  <si>
    <t>30年之后，没有特别明确的数据，暂时按新建100%超低能耗计算，相较BAU能耗强度降低50%</t>
  </si>
  <si>
    <t>能源名称</t>
  </si>
  <si>
    <t>实物量单位</t>
  </si>
  <si>
    <t>平均低位发热量</t>
  </si>
  <si>
    <t>平均发热量</t>
  </si>
  <si>
    <t>TJ/单位</t>
  </si>
  <si>
    <t>万tce/单位</t>
  </si>
  <si>
    <t>BTU/单位</t>
  </si>
  <si>
    <t>煤合计</t>
  </si>
  <si>
    <t>原煤</t>
  </si>
  <si>
    <t>万吨</t>
  </si>
  <si>
    <t>洗精煤</t>
  </si>
  <si>
    <t>其他洗煤</t>
  </si>
  <si>
    <t>型煤</t>
  </si>
  <si>
    <t>煤矸石</t>
  </si>
  <si>
    <t>焦炭</t>
  </si>
  <si>
    <t>焦炉煤气</t>
  </si>
  <si>
    <t>亿立方米</t>
  </si>
  <si>
    <t>高炉煤气</t>
  </si>
  <si>
    <t>转炉煤气</t>
  </si>
  <si>
    <t>其他煤气</t>
  </si>
  <si>
    <t>其他焦化产品</t>
  </si>
  <si>
    <t>油品合计</t>
  </si>
  <si>
    <t>原油</t>
  </si>
  <si>
    <t>汽油</t>
  </si>
  <si>
    <t>煤油</t>
  </si>
  <si>
    <t>柴油</t>
  </si>
  <si>
    <t>燃料油</t>
  </si>
  <si>
    <t>石脑油</t>
  </si>
  <si>
    <t>润滑油</t>
  </si>
  <si>
    <t>石蜡</t>
  </si>
  <si>
    <t>溶剂油</t>
  </si>
  <si>
    <t>石油沥青</t>
  </si>
  <si>
    <t>石油焦</t>
  </si>
  <si>
    <t>液化石油气</t>
  </si>
  <si>
    <t>炼厂干气</t>
  </si>
  <si>
    <t>其他石油制品</t>
  </si>
  <si>
    <t>天然气</t>
  </si>
  <si>
    <t>液化天然气</t>
  </si>
  <si>
    <t>热力</t>
  </si>
  <si>
    <t>万百万千焦</t>
  </si>
  <si>
    <t>电力</t>
  </si>
  <si>
    <t>亿千瓦时</t>
  </si>
  <si>
    <t>其他能源</t>
  </si>
  <si>
    <t>万吨标准煤</t>
  </si>
  <si>
    <t>##氢能源被删掉，无效值</t>
  </si>
  <si>
    <t>各类建筑新建率</t>
  </si>
  <si>
    <t>平均值</t>
  </si>
  <si>
    <t>情景一：</t>
  </si>
  <si>
    <t>城市住宅改造率</t>
  </si>
  <si>
    <t>城市住宅改造后能效提升</t>
  </si>
  <si>
    <t>年均改造率</t>
  </si>
  <si>
    <t>平均能效提升</t>
  </si>
  <si>
    <t>农村住宅改造率</t>
  </si>
  <si>
    <t>公建改造率</t>
  </si>
  <si>
    <t>公建改造后能效提升</t>
  </si>
  <si>
    <t>Percent energy saving (dimensionless)</t>
  </si>
  <si>
    <t>urban residential</t>
  </si>
  <si>
    <t>rural residential</t>
  </si>
  <si>
    <t>commercial</t>
  </si>
  <si>
    <t>heating</t>
  </si>
  <si>
    <t>cooling and ventilation</t>
  </si>
  <si>
    <t>envelope</t>
  </si>
  <si>
    <t>lighting</t>
  </si>
  <si>
    <t>appliances</t>
  </si>
  <si>
    <t>other component</t>
  </si>
  <si>
    <t>Building Component</t>
  </si>
  <si>
    <t>appliance</t>
  </si>
  <si>
    <t>拆分依据：山东省SYCEU输出</t>
  </si>
  <si>
    <t>electricity (BTU)</t>
  </si>
  <si>
    <t>coal (BTU)</t>
  </si>
  <si>
    <t>natural gas (BTU)</t>
  </si>
  <si>
    <t>petroleum diesel (BTU)</t>
  </si>
  <si>
    <t>heat (BTU)</t>
  </si>
  <si>
    <t>biomass (BTU)</t>
  </si>
  <si>
    <t>kerosene (BTU)</t>
  </si>
  <si>
    <t>heavy or residual fuel oil (BTU)</t>
  </si>
  <si>
    <t>LPG propane or butane (BTU)</t>
  </si>
  <si>
    <t>hydrogen(BTU)</t>
  </si>
  <si>
    <t>total</t>
  </si>
  <si>
    <t>电</t>
  </si>
  <si>
    <t>all</t>
  </si>
  <si>
    <t>下为各类建筑各组件照此比例拆分结果：</t>
  </si>
  <si>
    <t>electricity (万tce)</t>
  </si>
  <si>
    <t>coal (万tce)</t>
  </si>
  <si>
    <t>natural gas (万tce)</t>
  </si>
  <si>
    <t>petroleum diesel (万tce)</t>
  </si>
  <si>
    <t>heat (万tce)</t>
  </si>
  <si>
    <t>biomass (万tce)</t>
  </si>
  <si>
    <t>kerosene (万tce)</t>
  </si>
  <si>
    <t>heavy or residual fuel oil (万tce)</t>
  </si>
  <si>
    <t>LPG propane or butane (万tce)</t>
  </si>
  <si>
    <t>hydrogen(万tce)</t>
  </si>
  <si>
    <t>Year</t>
  </si>
  <si>
    <t>hydrogen (BTU)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</si>
</sst>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);[Red]\(0.00\)"/>
    <numFmt numFmtId="177" formatCode="0.0000E+00"/>
    <numFmt numFmtId="178" formatCode="0.0000"/>
    <numFmt numFmtId="179" formatCode="0.000"/>
    <numFmt numFmtId="180" formatCode="0_);[Red]\(0\)"/>
    <numFmt numFmtId="181" formatCode="0.0%"/>
  </numFmts>
  <fonts count="26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2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u/>
      <sz val="11"/>
      <color theme="10"/>
      <name val="宋体"/>
      <charset val="134"/>
      <scheme val="minor"/>
    </font>
    <font>
      <b/>
      <sz val="13"/>
      <color theme="1"/>
      <name val="宋体"/>
      <charset val="134"/>
      <scheme val="minor"/>
    </font>
    <font>
      <b/>
      <sz val="11"/>
      <color rgb="FFFF0000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0" tint="-0.149998474074526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8" borderId="5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9" borderId="8" applyNumberFormat="0" applyAlignment="0" applyProtection="0">
      <alignment vertical="center"/>
    </xf>
    <xf numFmtId="0" fontId="16" fillId="10" borderId="9" applyNumberFormat="0" applyAlignment="0" applyProtection="0">
      <alignment vertical="center"/>
    </xf>
    <xf numFmtId="0" fontId="17" fillId="10" borderId="8" applyNumberFormat="0" applyAlignment="0" applyProtection="0">
      <alignment vertical="center"/>
    </xf>
    <xf numFmtId="0" fontId="18" fillId="11" borderId="10" applyNumberFormat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0" borderId="12" applyNumberFormat="0" applyFill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/>
    <xf numFmtId="0" fontId="0" fillId="0" borderId="0"/>
  </cellStyleXfs>
  <cellXfs count="76">
    <xf numFmtId="0" fontId="0" fillId="0" borderId="0" xfId="0">
      <alignment vertical="center"/>
    </xf>
    <xf numFmtId="11" fontId="0" fillId="0" borderId="0" xfId="0" applyNumberFormat="1">
      <alignment vertical="center"/>
    </xf>
    <xf numFmtId="9" fontId="0" fillId="0" borderId="0" xfId="0" applyNumberFormat="1">
      <alignment vertical="center"/>
    </xf>
    <xf numFmtId="0" fontId="0" fillId="0" borderId="0" xfId="0" applyAlignment="1">
      <alignment vertical="center" wrapText="1"/>
    </xf>
    <xf numFmtId="176" fontId="0" fillId="0" borderId="0" xfId="0" applyNumberFormat="1">
      <alignment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1" fontId="2" fillId="3" borderId="0" xfId="0" applyNumberFormat="1" applyFont="1" applyFill="1">
      <alignment vertical="center"/>
    </xf>
    <xf numFmtId="11" fontId="0" fillId="0" borderId="0" xfId="0" applyNumberFormat="1" applyAlignment="1">
      <alignment vertical="center" wrapText="1"/>
    </xf>
    <xf numFmtId="177" fontId="0" fillId="0" borderId="0" xfId="51" applyNumberFormat="1" applyAlignment="1">
      <alignment vertical="center"/>
    </xf>
    <xf numFmtId="11" fontId="0" fillId="0" borderId="0" xfId="51" applyNumberFormat="1" applyAlignment="1">
      <alignment vertical="center"/>
    </xf>
    <xf numFmtId="0" fontId="1" fillId="2" borderId="0" xfId="0" applyFont="1" applyFill="1">
      <alignment vertical="center"/>
    </xf>
    <xf numFmtId="11" fontId="1" fillId="2" borderId="1" xfId="0" applyNumberFormat="1" applyFont="1" applyFill="1" applyBorder="1" applyAlignment="1">
      <alignment horizontal="center" vertical="center" wrapText="1"/>
    </xf>
    <xf numFmtId="11" fontId="0" fillId="0" borderId="1" xfId="0" applyNumberFormat="1" applyBorder="1" applyAlignment="1">
      <alignment horizontal="center" vertical="center"/>
    </xf>
    <xf numFmtId="0" fontId="3" fillId="0" borderId="0" xfId="0" applyFont="1">
      <alignment vertical="center"/>
    </xf>
    <xf numFmtId="178" fontId="0" fillId="0" borderId="0" xfId="3" applyNumberFormat="1" applyFont="1">
      <alignment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right"/>
    </xf>
    <xf numFmtId="0" fontId="0" fillId="0" borderId="0" xfId="0" applyAlignment="1"/>
    <xf numFmtId="179" fontId="0" fillId="0" borderId="0" xfId="0" applyNumberFormat="1" applyAlignment="1"/>
    <xf numFmtId="0" fontId="0" fillId="0" borderId="0" xfId="0" applyAlignment="1">
      <alignment horizontal="center" vertical="center"/>
    </xf>
    <xf numFmtId="9" fontId="0" fillId="0" borderId="0" xfId="3" applyFont="1" applyAlignment="1">
      <alignment horizontal="center" vertical="center"/>
    </xf>
    <xf numFmtId="10" fontId="0" fillId="0" borderId="0" xfId="0" applyNumberFormat="1">
      <alignment vertical="center"/>
    </xf>
    <xf numFmtId="2" fontId="0" fillId="0" borderId="0" xfId="0" applyNumberFormat="1">
      <alignment vertical="center"/>
    </xf>
    <xf numFmtId="0" fontId="4" fillId="0" borderId="0" xfId="6">
      <alignment vertical="center"/>
    </xf>
    <xf numFmtId="176" fontId="1" fillId="2" borderId="1" xfId="0" applyNumberFormat="1" applyFont="1" applyFill="1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11" fontId="5" fillId="2" borderId="0" xfId="0" applyNumberFormat="1" applyFont="1" applyFill="1" applyAlignment="1">
      <alignment horizontal="center" vertical="center"/>
    </xf>
    <xf numFmtId="180" fontId="1" fillId="2" borderId="1" xfId="0" applyNumberFormat="1" applyFont="1" applyFill="1" applyBorder="1" applyAlignment="1">
      <alignment horizontal="center" vertical="center"/>
    </xf>
    <xf numFmtId="11" fontId="5" fillId="2" borderId="0" xfId="0" applyNumberFormat="1" applyFont="1" applyFill="1" applyAlignment="1">
      <alignment horizontal="center" vertical="center" wrapText="1"/>
    </xf>
    <xf numFmtId="11" fontId="0" fillId="0" borderId="1" xfId="0" applyNumberFormat="1" applyBorder="1" applyAlignment="1">
      <alignment vertical="center" wrapText="1"/>
    </xf>
    <xf numFmtId="11" fontId="1" fillId="2" borderId="1" xfId="0" applyNumberFormat="1" applyFont="1" applyFill="1" applyBorder="1" applyAlignment="1">
      <alignment horizontal="center" vertical="center"/>
    </xf>
    <xf numFmtId="180" fontId="0" fillId="0" borderId="1" xfId="0" applyNumberFormat="1" applyBorder="1">
      <alignment vertical="center"/>
    </xf>
    <xf numFmtId="176" fontId="0" fillId="0" borderId="1" xfId="0" applyNumberFormat="1" applyBorder="1">
      <alignment vertical="center"/>
    </xf>
    <xf numFmtId="2" fontId="0" fillId="0" borderId="1" xfId="0" applyNumberFormat="1" applyBorder="1">
      <alignment vertical="center"/>
    </xf>
    <xf numFmtId="11" fontId="0" fillId="2" borderId="1" xfId="0" applyNumberFormat="1" applyFill="1" applyBorder="1">
      <alignment vertical="center"/>
    </xf>
    <xf numFmtId="180" fontId="0" fillId="0" borderId="0" xfId="0" applyNumberFormat="1">
      <alignment vertical="center"/>
    </xf>
    <xf numFmtId="1" fontId="0" fillId="0" borderId="0" xfId="0" applyNumberFormat="1">
      <alignment vertical="center"/>
    </xf>
    <xf numFmtId="0" fontId="5" fillId="0" borderId="0" xfId="0" applyFont="1" applyAlignment="1">
      <alignment vertical="center" wrapText="1"/>
    </xf>
    <xf numFmtId="10" fontId="0" fillId="0" borderId="0" xfId="0" applyNumberFormat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2" fontId="0" fillId="0" borderId="1" xfId="0" applyNumberFormat="1" applyBorder="1" applyAlignment="1">
      <alignment horizontal="center" vertical="center" wrapText="1"/>
    </xf>
    <xf numFmtId="2" fontId="0" fillId="0" borderId="0" xfId="0" applyNumberFormat="1" applyAlignment="1">
      <alignment vertical="center" wrapText="1"/>
    </xf>
    <xf numFmtId="0" fontId="5" fillId="2" borderId="1" xfId="0" applyFont="1" applyFill="1" applyBorder="1" applyAlignment="1">
      <alignment horizontal="center" vertical="center" wrapText="1"/>
    </xf>
    <xf numFmtId="181" fontId="0" fillId="0" borderId="1" xfId="3" applyNumberFormat="1" applyFont="1" applyBorder="1" applyAlignment="1">
      <alignment horizontal="center" vertical="center"/>
    </xf>
    <xf numFmtId="180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0" borderId="0" xfId="0" applyFont="1">
      <alignment vertical="center"/>
    </xf>
    <xf numFmtId="0" fontId="1" fillId="4" borderId="0" xfId="0" applyFont="1" applyFill="1" applyAlignment="1"/>
    <xf numFmtId="0" fontId="0" fillId="0" borderId="0" xfId="0" applyAlignment="1">
      <alignment horizontal="left"/>
    </xf>
    <xf numFmtId="0" fontId="4" fillId="0" borderId="0" xfId="6" applyAlignment="1"/>
    <xf numFmtId="0" fontId="0" fillId="0" borderId="0" xfId="0" applyFont="1">
      <alignment vertical="center"/>
    </xf>
    <xf numFmtId="0" fontId="0" fillId="2" borderId="1" xfId="0" applyFill="1" applyBorder="1" applyAlignment="1">
      <alignment horizontal="center" vertical="center"/>
    </xf>
    <xf numFmtId="17" fontId="0" fillId="0" borderId="0" xfId="0" applyNumberFormat="1">
      <alignment vertical="center"/>
    </xf>
    <xf numFmtId="0" fontId="0" fillId="2" borderId="1" xfId="0" applyFill="1" applyBorder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0" fillId="2" borderId="0" xfId="0" applyFill="1" applyAlignment="1">
      <alignment horizontal="center" vertical="center"/>
    </xf>
    <xf numFmtId="9" fontId="0" fillId="0" borderId="1" xfId="3" applyFont="1" applyBorder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9" fontId="0" fillId="0" borderId="1" xfId="0" applyNumberFormat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6" fillId="0" borderId="0" xfId="0" applyFont="1">
      <alignment vertical="center"/>
    </xf>
    <xf numFmtId="9" fontId="7" fillId="0" borderId="1" xfId="3" applyFont="1" applyBorder="1" applyAlignment="1">
      <alignment horizontal="center" vertical="center"/>
    </xf>
    <xf numFmtId="9" fontId="7" fillId="0" borderId="0" xfId="3" applyFont="1" applyBorder="1" applyAlignment="1">
      <alignment horizontal="center" vertical="center"/>
    </xf>
    <xf numFmtId="9" fontId="0" fillId="0" borderId="0" xfId="3" applyFont="1" applyBorder="1" applyAlignment="1">
      <alignment horizontal="center" vertical="center"/>
    </xf>
    <xf numFmtId="9" fontId="7" fillId="6" borderId="0" xfId="3" applyFon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6" fillId="2" borderId="2" xfId="0" applyFont="1" applyFill="1" applyBorder="1" applyAlignment="1">
      <alignment horizontal="left" vertical="center"/>
    </xf>
    <xf numFmtId="0" fontId="0" fillId="7" borderId="0" xfId="0" applyFill="1">
      <alignment vertical="center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 2" xfId="49"/>
    <cellStyle name="常规 2" xfId="50"/>
    <cellStyle name="常规 4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6" Type="http://schemas.openxmlformats.org/officeDocument/2006/relationships/styles" Target="styles.xml"/><Relationship Id="rId35" Type="http://schemas.openxmlformats.org/officeDocument/2006/relationships/sharedStrings" Target="sharedStrings.xml"/><Relationship Id="rId34" Type="http://schemas.openxmlformats.org/officeDocument/2006/relationships/theme" Target="theme/theme1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kns.cnki.net/kcms2/article/abstract?v=3uoqIhG8C44YLTlOAiTRKibYlV5Vjs7iLik5jEcCI09uHa3oBxtWoLXBqMuT2L2CQ_SDgkvzeuyHBRpPejPl_DToiZ2ygw3-&amp;uniplatform=NZKPT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chndaqi.com/news/328990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5"/>
  <sheetViews>
    <sheetView workbookViewId="0">
      <selection activeCell="A1" sqref="A1"/>
    </sheetView>
  </sheetViews>
  <sheetFormatPr defaultColWidth="9" defaultRowHeight="13.5" outlineLevelRow="4"/>
  <cols>
    <col min="1" max="1" width="50.3833333333333" customWidth="1"/>
  </cols>
  <sheetData>
    <row r="1" spans="1:1">
      <c r="A1" t="s">
        <v>0</v>
      </c>
    </row>
    <row r="2" spans="1:1">
      <c r="A2" t="s">
        <v>1</v>
      </c>
    </row>
    <row r="3" spans="1:1">
      <c r="A3" t="s">
        <v>2</v>
      </c>
    </row>
    <row r="4" spans="1:1">
      <c r="A4" t="s">
        <v>3</v>
      </c>
    </row>
    <row r="5" spans="1:1">
      <c r="A5" t="s">
        <v>4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34"/>
  <sheetViews>
    <sheetView topLeftCell="A79" workbookViewId="0">
      <selection activeCell="C94" sqref="C94"/>
    </sheetView>
  </sheetViews>
  <sheetFormatPr defaultColWidth="9" defaultRowHeight="13.5" outlineLevelCol="4"/>
  <cols>
    <col min="1" max="1" width="29.5" customWidth="1"/>
    <col min="2" max="2" width="22.5" customWidth="1"/>
    <col min="3" max="3" width="19.75" customWidth="1"/>
    <col min="4" max="4" width="20.6333333333333" customWidth="1"/>
    <col min="5" max="5" width="21.6333333333333" customWidth="1"/>
  </cols>
  <sheetData>
    <row r="1" spans="1:4">
      <c r="A1" s="66" t="s">
        <v>5</v>
      </c>
      <c r="C1" t="s">
        <v>6</v>
      </c>
      <c r="D1" t="s">
        <v>7</v>
      </c>
    </row>
    <row r="2" spans="1:4">
      <c r="A2" t="s">
        <v>8</v>
      </c>
      <c r="B2" t="s">
        <v>9</v>
      </c>
    </row>
    <row r="3" spans="1:4">
      <c r="A3" t="s">
        <v>10</v>
      </c>
      <c r="B3" t="s">
        <v>11</v>
      </c>
    </row>
    <row r="4" spans="1:4">
      <c r="A4" t="s">
        <v>12</v>
      </c>
      <c r="B4" t="s">
        <v>13</v>
      </c>
      <c r="C4" t="s">
        <v>14</v>
      </c>
      <c r="D4" t="s">
        <v>15</v>
      </c>
    </row>
    <row r="5" spans="1:4">
      <c r="A5" t="s">
        <v>16</v>
      </c>
      <c r="B5" t="s">
        <v>17</v>
      </c>
      <c r="C5" t="s">
        <v>14</v>
      </c>
      <c r="D5" t="s">
        <v>18</v>
      </c>
    </row>
    <row r="6" spans="1:4">
      <c r="A6" t="s">
        <v>19</v>
      </c>
      <c r="B6" t="s">
        <v>20</v>
      </c>
      <c r="C6" t="s">
        <v>14</v>
      </c>
      <c r="D6" s="2">
        <v>0.4</v>
      </c>
    </row>
    <row r="7" spans="1:4">
      <c r="A7" t="s">
        <v>21</v>
      </c>
      <c r="B7" t="s">
        <v>22</v>
      </c>
      <c r="C7" t="s">
        <v>23</v>
      </c>
      <c r="D7" t="s">
        <v>24</v>
      </c>
    </row>
    <row r="8" spans="1:4">
      <c r="A8" t="s">
        <v>25</v>
      </c>
      <c r="B8" t="s">
        <v>26</v>
      </c>
      <c r="C8" t="s">
        <v>14</v>
      </c>
      <c r="D8" t="s">
        <v>27</v>
      </c>
    </row>
    <row r="9" spans="1:4">
      <c r="A9" t="s">
        <v>28</v>
      </c>
      <c r="B9" t="s">
        <v>29</v>
      </c>
      <c r="C9" t="s">
        <v>14</v>
      </c>
      <c r="D9" t="s">
        <v>30</v>
      </c>
    </row>
    <row r="10" spans="1:4">
      <c r="A10" t="s">
        <v>31</v>
      </c>
      <c r="B10" t="s">
        <v>32</v>
      </c>
      <c r="C10" t="s">
        <v>14</v>
      </c>
      <c r="D10" t="s">
        <v>33</v>
      </c>
    </row>
    <row r="12" spans="1:4">
      <c r="A12" s="66" t="s">
        <v>34</v>
      </c>
    </row>
    <row r="13" spans="1:4">
      <c r="A13" s="60"/>
      <c r="B13" s="58" t="s">
        <v>35</v>
      </c>
      <c r="C13" s="58" t="s">
        <v>36</v>
      </c>
    </row>
    <row r="14" spans="1:4">
      <c r="A14" s="60" t="s">
        <v>37</v>
      </c>
      <c r="B14" s="6">
        <v>0.65</v>
      </c>
      <c r="C14" s="6">
        <v>0.65</v>
      </c>
    </row>
    <row r="15" spans="1:4">
      <c r="A15" s="58" t="s">
        <v>38</v>
      </c>
      <c r="B15" s="6" t="s">
        <v>39</v>
      </c>
      <c r="C15" s="6">
        <v>0.72</v>
      </c>
    </row>
    <row r="16" spans="1:4">
      <c r="A16" s="58" t="s">
        <v>40</v>
      </c>
      <c r="B16" s="6" t="s">
        <v>41</v>
      </c>
      <c r="C16" s="6">
        <v>0.75</v>
      </c>
    </row>
    <row r="17" spans="1:5">
      <c r="A17" s="58" t="s">
        <v>42</v>
      </c>
      <c r="B17" s="6">
        <v>0.82</v>
      </c>
      <c r="C17" s="6">
        <v>0.82</v>
      </c>
    </row>
    <row r="18" spans="1:5">
      <c r="A18" s="58" t="s">
        <v>43</v>
      </c>
      <c r="B18" s="6">
        <v>0.82</v>
      </c>
      <c r="C18" s="6">
        <v>0.82</v>
      </c>
    </row>
    <row r="20" spans="1:5">
      <c r="A20" s="62" t="s">
        <v>44</v>
      </c>
      <c r="B20" s="58" t="s">
        <v>35</v>
      </c>
      <c r="C20" s="58" t="s">
        <v>36</v>
      </c>
    </row>
    <row r="21" spans="1:5">
      <c r="A21" s="60" t="s">
        <v>37</v>
      </c>
      <c r="B21" s="6">
        <v>0.65</v>
      </c>
      <c r="C21" s="6">
        <v>0.65</v>
      </c>
    </row>
    <row r="22" spans="1:5">
      <c r="A22" s="58" t="s">
        <v>38</v>
      </c>
      <c r="B22" s="7">
        <f>0.75*人口变化预测!F8+0.65*(1-人口变化预测!F8)</f>
        <v>0.69090799911556</v>
      </c>
      <c r="C22" s="6">
        <v>0.72</v>
      </c>
    </row>
    <row r="23" spans="1:5">
      <c r="A23" s="58" t="s">
        <v>40</v>
      </c>
      <c r="B23" s="7">
        <f>0.83*人口变化预测!F8+0.75*(1-人口变化预测!F8)</f>
        <v>0.782726399292448</v>
      </c>
      <c r="C23" s="6">
        <v>0.75</v>
      </c>
    </row>
    <row r="24" spans="1:5">
      <c r="A24" s="58" t="s">
        <v>42</v>
      </c>
      <c r="B24" s="6">
        <v>0.82</v>
      </c>
      <c r="C24" s="6">
        <v>0.82</v>
      </c>
    </row>
    <row r="25" spans="1:5">
      <c r="A25" s="58" t="s">
        <v>43</v>
      </c>
      <c r="B25" s="6">
        <v>0.82</v>
      </c>
      <c r="C25" s="6">
        <v>0.82</v>
      </c>
    </row>
    <row r="26" spans="1:5">
      <c r="A26" s="53" t="s">
        <v>45</v>
      </c>
    </row>
    <row r="28" spans="1:5">
      <c r="A28" s="66" t="s">
        <v>46</v>
      </c>
    </row>
    <row r="29" spans="1:5">
      <c r="A29" s="62" t="s">
        <v>47</v>
      </c>
      <c r="B29" s="58" t="s">
        <v>48</v>
      </c>
      <c r="C29" s="58" t="s">
        <v>49</v>
      </c>
      <c r="D29" s="58" t="s">
        <v>50</v>
      </c>
      <c r="E29" s="58" t="s">
        <v>51</v>
      </c>
    </row>
    <row r="30" spans="1:5">
      <c r="A30" s="58">
        <v>2020</v>
      </c>
      <c r="B30" s="63">
        <v>1</v>
      </c>
      <c r="C30" s="63">
        <v>0</v>
      </c>
      <c r="D30" s="63">
        <v>0</v>
      </c>
      <c r="E30" s="63">
        <v>0</v>
      </c>
    </row>
    <row r="31" spans="1:5">
      <c r="A31" s="58">
        <v>2022</v>
      </c>
      <c r="B31" s="63">
        <v>1</v>
      </c>
      <c r="C31" s="63">
        <v>0</v>
      </c>
      <c r="D31" s="63">
        <v>0</v>
      </c>
      <c r="E31" s="63">
        <v>0</v>
      </c>
    </row>
    <row r="32" spans="1:5">
      <c r="A32" s="58">
        <v>2025</v>
      </c>
      <c r="B32" s="63">
        <v>1</v>
      </c>
      <c r="C32" s="63">
        <v>0</v>
      </c>
      <c r="D32" s="63">
        <v>0</v>
      </c>
      <c r="E32" s="63">
        <v>0</v>
      </c>
    </row>
    <row r="33" spans="1:5">
      <c r="A33" s="58">
        <v>2030</v>
      </c>
      <c r="B33" s="63">
        <v>1</v>
      </c>
      <c r="C33" s="63">
        <v>0</v>
      </c>
      <c r="D33" s="63">
        <v>0</v>
      </c>
      <c r="E33" s="63">
        <v>0</v>
      </c>
    </row>
    <row r="34" spans="1:5">
      <c r="A34" s="58">
        <v>2035</v>
      </c>
      <c r="B34" s="63">
        <v>1</v>
      </c>
      <c r="C34" s="63">
        <v>0</v>
      </c>
      <c r="D34" s="63">
        <v>0</v>
      </c>
      <c r="E34" s="63">
        <v>0</v>
      </c>
    </row>
    <row r="35" spans="1:5">
      <c r="A35" s="58" t="s">
        <v>52</v>
      </c>
      <c r="B35" s="63">
        <v>1</v>
      </c>
      <c r="C35" s="63">
        <v>0</v>
      </c>
      <c r="D35" s="63">
        <v>0</v>
      </c>
      <c r="E35" s="63">
        <v>0</v>
      </c>
    </row>
    <row r="37" spans="1:5">
      <c r="A37" s="62" t="s">
        <v>53</v>
      </c>
      <c r="B37" s="58" t="s">
        <v>48</v>
      </c>
      <c r="C37" s="58" t="s">
        <v>49</v>
      </c>
      <c r="D37" s="58" t="s">
        <v>50</v>
      </c>
      <c r="E37" s="58" t="s">
        <v>51</v>
      </c>
    </row>
    <row r="38" spans="1:5">
      <c r="A38" s="58">
        <v>2020</v>
      </c>
      <c r="B38" s="63">
        <v>1</v>
      </c>
      <c r="C38" s="63">
        <v>0</v>
      </c>
      <c r="D38" s="63">
        <v>0</v>
      </c>
      <c r="E38" s="63">
        <v>0</v>
      </c>
    </row>
    <row r="39" spans="1:5">
      <c r="A39" s="58">
        <v>2022</v>
      </c>
      <c r="B39" s="63">
        <v>0</v>
      </c>
      <c r="C39" s="63">
        <v>1</v>
      </c>
      <c r="D39" s="63">
        <v>0</v>
      </c>
      <c r="E39" s="63">
        <v>0</v>
      </c>
    </row>
    <row r="40" spans="1:5">
      <c r="A40" s="58">
        <v>2025</v>
      </c>
      <c r="B40" s="63">
        <v>0</v>
      </c>
      <c r="C40" s="63">
        <v>0.6</v>
      </c>
      <c r="D40" s="63">
        <v>0.4</v>
      </c>
      <c r="E40" s="63">
        <v>0</v>
      </c>
    </row>
    <row r="41" spans="1:5">
      <c r="A41" s="58">
        <v>2030</v>
      </c>
      <c r="B41" s="63">
        <v>0</v>
      </c>
      <c r="C41" s="63">
        <v>0</v>
      </c>
      <c r="D41" s="63">
        <v>1</v>
      </c>
      <c r="E41" s="63">
        <v>0</v>
      </c>
    </row>
    <row r="42" spans="1:5">
      <c r="A42" s="58">
        <v>2035</v>
      </c>
      <c r="B42" s="63">
        <v>0</v>
      </c>
      <c r="C42" s="63">
        <v>0</v>
      </c>
      <c r="D42" s="63">
        <v>0.6</v>
      </c>
      <c r="E42" s="63">
        <v>0.4</v>
      </c>
    </row>
    <row r="43" spans="1:5">
      <c r="A43" s="58" t="s">
        <v>52</v>
      </c>
      <c r="B43" s="63">
        <v>0</v>
      </c>
      <c r="C43" s="63">
        <v>0</v>
      </c>
      <c r="D43" s="63">
        <v>0</v>
      </c>
      <c r="E43" s="63">
        <v>1</v>
      </c>
    </row>
    <row r="44" spans="1:5">
      <c r="A44" s="53" t="s">
        <v>54</v>
      </c>
    </row>
    <row r="45" spans="1:5">
      <c r="A45" s="67" t="s">
        <v>55</v>
      </c>
    </row>
    <row r="47" spans="1:5">
      <c r="A47" s="66" t="s">
        <v>56</v>
      </c>
    </row>
    <row r="48" spans="1:5">
      <c r="A48" s="62" t="s">
        <v>47</v>
      </c>
      <c r="B48" s="58" t="s">
        <v>57</v>
      </c>
    </row>
    <row r="49" spans="1:4">
      <c r="A49" s="58" t="s">
        <v>58</v>
      </c>
      <c r="B49" s="63">
        <v>0</v>
      </c>
    </row>
    <row r="51" spans="1:4">
      <c r="A51" s="62" t="s">
        <v>53</v>
      </c>
      <c r="B51" s="58" t="s">
        <v>57</v>
      </c>
      <c r="C51" s="58" t="s">
        <v>59</v>
      </c>
      <c r="D51" s="58" t="s">
        <v>60</v>
      </c>
    </row>
    <row r="52" spans="1:4">
      <c r="A52" s="58" t="s">
        <v>58</v>
      </c>
      <c r="B52" s="63">
        <v>0.01</v>
      </c>
      <c r="C52" s="63" t="s">
        <v>61</v>
      </c>
      <c r="D52" s="63" t="s">
        <v>62</v>
      </c>
    </row>
    <row r="53" spans="1:4">
      <c r="A53" s="53" t="s">
        <v>63</v>
      </c>
    </row>
    <row r="54" spans="1:4">
      <c r="A54" s="67" t="s">
        <v>55</v>
      </c>
    </row>
    <row r="56" spans="1:4">
      <c r="A56" s="66" t="s">
        <v>64</v>
      </c>
    </row>
    <row r="57" spans="1:4">
      <c r="A57" s="62" t="s">
        <v>47</v>
      </c>
      <c r="B57" s="58" t="s">
        <v>65</v>
      </c>
      <c r="C57" s="58" t="s">
        <v>66</v>
      </c>
      <c r="D57" s="58" t="s">
        <v>67</v>
      </c>
    </row>
    <row r="58" spans="1:4">
      <c r="A58" s="58" t="s">
        <v>58</v>
      </c>
      <c r="B58" s="63" t="s">
        <v>68</v>
      </c>
      <c r="C58" s="63" t="s">
        <v>69</v>
      </c>
      <c r="D58" s="63" t="s">
        <v>70</v>
      </c>
    </row>
    <row r="60" spans="1:4">
      <c r="A60" s="62" t="s">
        <v>53</v>
      </c>
      <c r="B60" s="58" t="s">
        <v>65</v>
      </c>
      <c r="C60" s="58" t="s">
        <v>66</v>
      </c>
      <c r="D60" s="58" t="s">
        <v>67</v>
      </c>
    </row>
    <row r="61" spans="1:4">
      <c r="A61" s="58">
        <v>2020</v>
      </c>
      <c r="B61" s="63" t="s">
        <v>68</v>
      </c>
      <c r="C61" s="63" t="s">
        <v>69</v>
      </c>
      <c r="D61" s="63" t="s">
        <v>70</v>
      </c>
    </row>
    <row r="62" spans="1:4">
      <c r="A62" s="58">
        <v>2030</v>
      </c>
      <c r="B62" s="68" t="s">
        <v>71</v>
      </c>
      <c r="C62" s="68" t="s">
        <v>70</v>
      </c>
      <c r="D62" s="68" t="s">
        <v>72</v>
      </c>
    </row>
    <row r="63" spans="1:4">
      <c r="A63" s="58">
        <v>2060</v>
      </c>
      <c r="B63" s="63" t="s">
        <v>73</v>
      </c>
      <c r="C63" s="63" t="s">
        <v>74</v>
      </c>
      <c r="D63" s="63" t="s">
        <v>75</v>
      </c>
    </row>
    <row r="64" spans="1:4">
      <c r="A64" s="69" t="s">
        <v>76</v>
      </c>
      <c r="B64" s="70"/>
      <c r="C64" s="70"/>
    </row>
    <row r="65" spans="1:5">
      <c r="A65" s="70" t="s">
        <v>77</v>
      </c>
      <c r="B65" s="71" t="s">
        <v>78</v>
      </c>
    </row>
    <row r="66" spans="1:5">
      <c r="A66" s="70"/>
    </row>
    <row r="67" spans="1:5">
      <c r="A67" s="70"/>
    </row>
    <row r="68" spans="1:5">
      <c r="A68" s="70"/>
    </row>
    <row r="70" spans="1:5">
      <c r="A70" s="66" t="s">
        <v>79</v>
      </c>
    </row>
    <row r="71" ht="27" spans="1:5">
      <c r="A71" s="62" t="s">
        <v>47</v>
      </c>
      <c r="B71" s="58" t="s">
        <v>80</v>
      </c>
      <c r="C71" s="60" t="s">
        <v>81</v>
      </c>
      <c r="D71" s="58" t="s">
        <v>82</v>
      </c>
    </row>
    <row r="72" spans="1:5">
      <c r="A72" s="58" t="s">
        <v>58</v>
      </c>
      <c r="B72" s="63">
        <v>0.02</v>
      </c>
      <c r="C72" s="63">
        <v>0</v>
      </c>
      <c r="D72" s="63">
        <v>0.98</v>
      </c>
    </row>
    <row r="74" ht="27" spans="1:5">
      <c r="A74" s="62" t="s">
        <v>53</v>
      </c>
      <c r="B74" s="58" t="s">
        <v>80</v>
      </c>
      <c r="C74" s="60" t="s">
        <v>81</v>
      </c>
      <c r="D74" s="58" t="s">
        <v>82</v>
      </c>
    </row>
    <row r="75" spans="1:5">
      <c r="A75" s="58">
        <v>2020</v>
      </c>
      <c r="B75" s="63">
        <v>0.02</v>
      </c>
      <c r="C75" s="63">
        <v>0</v>
      </c>
      <c r="D75" s="63">
        <v>0.98</v>
      </c>
    </row>
    <row r="76" spans="1:5">
      <c r="A76" s="58" t="s">
        <v>83</v>
      </c>
      <c r="B76" s="63">
        <v>0.08</v>
      </c>
      <c r="C76" s="68">
        <v>0.2</v>
      </c>
      <c r="D76" s="63">
        <v>0.72</v>
      </c>
    </row>
    <row r="77" spans="1:5">
      <c r="A77" s="58" t="s">
        <v>84</v>
      </c>
      <c r="B77" s="63">
        <v>0.2</v>
      </c>
      <c r="C77" s="63">
        <v>0.8</v>
      </c>
      <c r="D77" s="63">
        <v>0</v>
      </c>
    </row>
    <row r="79" spans="1:5">
      <c r="A79" s="66" t="s">
        <v>85</v>
      </c>
    </row>
    <row r="80" spans="1:5">
      <c r="A80" s="62" t="s">
        <v>47</v>
      </c>
      <c r="B80" s="72" t="s">
        <v>36</v>
      </c>
      <c r="C80" s="73"/>
      <c r="D80" s="72" t="s">
        <v>35</v>
      </c>
      <c r="E80" s="73"/>
    </row>
    <row r="81" spans="1:5">
      <c r="A81" s="62"/>
      <c r="B81" s="58" t="s">
        <v>86</v>
      </c>
      <c r="C81" s="60" t="s">
        <v>87</v>
      </c>
      <c r="D81" s="58" t="s">
        <v>86</v>
      </c>
      <c r="E81" s="60" t="s">
        <v>87</v>
      </c>
    </row>
    <row r="82" spans="1:5">
      <c r="A82" s="58" t="s">
        <v>58</v>
      </c>
      <c r="B82" s="63">
        <v>0.02</v>
      </c>
      <c r="C82" s="63">
        <v>0.02</v>
      </c>
      <c r="D82" s="63">
        <v>0.02</v>
      </c>
      <c r="E82" s="63">
        <v>0.02</v>
      </c>
    </row>
    <row r="84" spans="1:5">
      <c r="A84" s="62" t="s">
        <v>53</v>
      </c>
      <c r="B84" s="72" t="s">
        <v>36</v>
      </c>
      <c r="C84" s="73"/>
      <c r="D84" s="72" t="s">
        <v>35</v>
      </c>
      <c r="E84" s="73"/>
    </row>
    <row r="85" spans="1:5">
      <c r="A85" s="62"/>
      <c r="B85" s="58" t="s">
        <v>86</v>
      </c>
      <c r="C85" s="60" t="s">
        <v>87</v>
      </c>
      <c r="D85" s="58" t="s">
        <v>86</v>
      </c>
      <c r="E85" s="60" t="s">
        <v>87</v>
      </c>
    </row>
    <row r="86" spans="1:5">
      <c r="A86" s="58">
        <v>2020</v>
      </c>
      <c r="B86" s="63">
        <v>0.02</v>
      </c>
      <c r="C86" s="63">
        <v>0.02</v>
      </c>
      <c r="D86" s="63">
        <v>0.02</v>
      </c>
      <c r="E86" s="63">
        <v>0.02</v>
      </c>
    </row>
    <row r="87" spans="1:5">
      <c r="A87" s="58" t="s">
        <v>83</v>
      </c>
      <c r="B87" s="63">
        <v>0.4</v>
      </c>
      <c r="C87" s="63">
        <v>0.2</v>
      </c>
      <c r="D87" s="63">
        <v>0.3</v>
      </c>
      <c r="E87" s="63">
        <v>0.1</v>
      </c>
    </row>
    <row r="88" spans="1:5">
      <c r="A88" s="58" t="s">
        <v>88</v>
      </c>
      <c r="B88" s="63">
        <v>0.8</v>
      </c>
      <c r="C88" s="63">
        <v>0.6</v>
      </c>
      <c r="D88" s="63">
        <v>0.8</v>
      </c>
      <c r="E88" s="63">
        <v>0.5</v>
      </c>
    </row>
    <row r="89" spans="1:5">
      <c r="A89" s="58" t="s">
        <v>89</v>
      </c>
      <c r="B89" s="63">
        <v>1</v>
      </c>
      <c r="C89" s="63">
        <v>1</v>
      </c>
      <c r="D89" s="63">
        <v>1</v>
      </c>
      <c r="E89" s="63">
        <v>0.8</v>
      </c>
    </row>
    <row r="90" spans="1:5">
      <c r="A90" s="58" t="s">
        <v>90</v>
      </c>
      <c r="B90" s="63">
        <v>1</v>
      </c>
      <c r="C90" s="63">
        <v>1</v>
      </c>
      <c r="D90" s="63">
        <v>1</v>
      </c>
      <c r="E90" s="63">
        <v>1</v>
      </c>
    </row>
    <row r="91" spans="1:5">
      <c r="A91" s="74" t="s">
        <v>91</v>
      </c>
      <c r="B91" s="70"/>
      <c r="C91" s="70"/>
      <c r="D91" s="70"/>
      <c r="E91" s="70"/>
    </row>
    <row r="93" spans="1:5">
      <c r="A93" s="66" t="s">
        <v>92</v>
      </c>
    </row>
    <row r="94" ht="27" spans="1:5">
      <c r="A94" s="62" t="s">
        <v>47</v>
      </c>
      <c r="B94" s="64" t="s">
        <v>93</v>
      </c>
    </row>
    <row r="95" spans="1:5">
      <c r="A95" s="58">
        <v>2020</v>
      </c>
      <c r="B95" s="6">
        <v>60.9</v>
      </c>
    </row>
    <row r="96" spans="1:5">
      <c r="A96" s="58">
        <v>2030</v>
      </c>
      <c r="B96" s="6">
        <v>54.8</v>
      </c>
    </row>
    <row r="97" spans="1:2">
      <c r="A97" s="58">
        <v>2040</v>
      </c>
      <c r="B97" s="6">
        <v>39.6</v>
      </c>
    </row>
    <row r="98" spans="1:2">
      <c r="A98" s="58">
        <v>2050</v>
      </c>
      <c r="B98" s="6">
        <v>16.8</v>
      </c>
    </row>
    <row r="99" spans="1:2">
      <c r="A99" s="58">
        <v>2060</v>
      </c>
      <c r="B99" s="6">
        <v>5.7</v>
      </c>
    </row>
    <row r="101" ht="27" spans="1:2">
      <c r="A101" s="62" t="s">
        <v>53</v>
      </c>
      <c r="B101" s="64" t="s">
        <v>93</v>
      </c>
    </row>
    <row r="102" spans="1:2">
      <c r="A102" s="58">
        <v>2020</v>
      </c>
      <c r="B102" s="6">
        <v>50.43</v>
      </c>
    </row>
    <row r="103" spans="1:2">
      <c r="A103" s="58">
        <v>2030</v>
      </c>
      <c r="B103" s="6">
        <v>35.97</v>
      </c>
    </row>
    <row r="104" spans="1:2">
      <c r="A104" s="58">
        <v>2040</v>
      </c>
      <c r="B104" s="6">
        <v>14.96</v>
      </c>
    </row>
    <row r="105" spans="1:2">
      <c r="A105" s="58">
        <v>2050</v>
      </c>
      <c r="B105" s="6">
        <v>0.33</v>
      </c>
    </row>
    <row r="106" spans="1:2">
      <c r="A106" s="58">
        <v>2060</v>
      </c>
      <c r="B106" s="6">
        <v>0</v>
      </c>
    </row>
    <row r="108" spans="1:2">
      <c r="A108" s="66" t="s">
        <v>94</v>
      </c>
    </row>
    <row r="109" spans="1:2">
      <c r="A109" t="s">
        <v>95</v>
      </c>
    </row>
    <row r="110" spans="1:2">
      <c r="A110" t="s">
        <v>96</v>
      </c>
    </row>
    <row r="111" spans="1:2">
      <c r="A111" t="s">
        <v>97</v>
      </c>
    </row>
    <row r="112" spans="1:2">
      <c r="A112" t="s">
        <v>98</v>
      </c>
    </row>
    <row r="113" spans="1:1">
      <c r="A113" t="s">
        <v>99</v>
      </c>
    </row>
    <row r="114" spans="1:1">
      <c r="A114" t="s">
        <v>100</v>
      </c>
    </row>
    <row r="115" spans="1:1">
      <c r="A115" t="s">
        <v>101</v>
      </c>
    </row>
    <row r="116" spans="1:1">
      <c r="A116" t="s">
        <v>102</v>
      </c>
    </row>
    <row r="117" spans="1:1">
      <c r="A117" t="s">
        <v>103</v>
      </c>
    </row>
    <row r="118" spans="1:1">
      <c r="A118" t="s">
        <v>104</v>
      </c>
    </row>
    <row r="119" spans="1:1">
      <c r="A119" t="s">
        <v>105</v>
      </c>
    </row>
    <row r="120" spans="1:1">
      <c r="A120" t="s">
        <v>106</v>
      </c>
    </row>
    <row r="121" spans="1:1">
      <c r="A121" t="s">
        <v>107</v>
      </c>
    </row>
    <row r="122" spans="1:1">
      <c r="A122" t="s">
        <v>108</v>
      </c>
    </row>
    <row r="123" spans="1:1">
      <c r="A123" t="s">
        <v>109</v>
      </c>
    </row>
    <row r="124" spans="1:1">
      <c r="A124" t="s">
        <v>110</v>
      </c>
    </row>
    <row r="125" spans="1:1">
      <c r="A125" t="s">
        <v>111</v>
      </c>
    </row>
    <row r="126" spans="1:1">
      <c r="A126" t="s">
        <v>112</v>
      </c>
    </row>
    <row r="127" spans="1:1">
      <c r="A127" t="s">
        <v>113</v>
      </c>
    </row>
    <row r="128" spans="1:1">
      <c r="A128" t="s">
        <v>114</v>
      </c>
    </row>
    <row r="129" spans="1:1">
      <c r="A129" t="s">
        <v>115</v>
      </c>
    </row>
    <row r="130" spans="1:1">
      <c r="A130" t="s">
        <v>116</v>
      </c>
    </row>
    <row r="131" spans="1:1">
      <c r="A131" t="s">
        <v>117</v>
      </c>
    </row>
    <row r="132" spans="1:1">
      <c r="A132" t="s">
        <v>118</v>
      </c>
    </row>
    <row r="134" spans="1:1">
      <c r="A134" s="75" t="s">
        <v>119</v>
      </c>
    </row>
  </sheetData>
  <mergeCells count="4">
    <mergeCell ref="B80:C80"/>
    <mergeCell ref="D80:E80"/>
    <mergeCell ref="B84:C84"/>
    <mergeCell ref="D84:E84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5"/>
  <sheetViews>
    <sheetView workbookViewId="0">
      <selection activeCell="A1" sqref="A1"/>
    </sheetView>
  </sheetViews>
  <sheetFormatPr defaultColWidth="9" defaultRowHeight="13.5" outlineLevelCol="5"/>
  <cols>
    <col min="1" max="1" width="23.8833333333333" customWidth="1"/>
    <col min="2" max="2" width="24.3833333333333" customWidth="1"/>
    <col min="3" max="3" width="30.75" customWidth="1"/>
    <col min="4" max="4" width="27.1333333333333" customWidth="1"/>
    <col min="5" max="6" width="19.1333333333333" customWidth="1"/>
    <col min="7" max="7" width="14.8833333333333" customWidth="1"/>
  </cols>
  <sheetData>
    <row r="1" spans="1:6">
      <c r="A1" s="58"/>
      <c r="B1" s="58" t="s">
        <v>47</v>
      </c>
      <c r="C1" s="58" t="s">
        <v>120</v>
      </c>
    </row>
    <row r="2" ht="40.5" spans="1:6">
      <c r="A2" s="58" t="s">
        <v>121</v>
      </c>
      <c r="B2" s="44" t="s">
        <v>122</v>
      </c>
      <c r="C2" s="44" t="s">
        <v>123</v>
      </c>
      <c r="D2" t="s">
        <v>124</v>
      </c>
      <c r="E2" t="s">
        <v>125</v>
      </c>
      <c r="F2" t="s">
        <v>126</v>
      </c>
    </row>
    <row r="3" ht="67.5" spans="1:6">
      <c r="A3" s="58" t="s">
        <v>127</v>
      </c>
      <c r="B3" s="44" t="s">
        <v>128</v>
      </c>
      <c r="C3" s="44" t="s">
        <v>129</v>
      </c>
    </row>
    <row r="4" ht="40.5" spans="1:6">
      <c r="A4" s="58" t="s">
        <v>64</v>
      </c>
      <c r="B4" s="44" t="s">
        <v>130</v>
      </c>
      <c r="C4" s="44" t="s">
        <v>131</v>
      </c>
    </row>
    <row r="5" ht="27" spans="1:6">
      <c r="A5" s="58" t="s">
        <v>79</v>
      </c>
      <c r="B5" s="44" t="s">
        <v>132</v>
      </c>
      <c r="C5" s="44" t="s">
        <v>133</v>
      </c>
    </row>
    <row r="6" ht="40.5" spans="1:6">
      <c r="A6" s="58" t="s">
        <v>85</v>
      </c>
      <c r="B6" s="44" t="s">
        <v>134</v>
      </c>
      <c r="C6" s="44" t="s">
        <v>135</v>
      </c>
      <c r="D6" t="s">
        <v>136</v>
      </c>
      <c r="E6" t="s">
        <v>137</v>
      </c>
    </row>
    <row r="7" ht="40.5" spans="1:6">
      <c r="A7" s="58" t="s">
        <v>138</v>
      </c>
      <c r="B7" s="44" t="s">
        <v>139</v>
      </c>
      <c r="C7" s="44" t="s">
        <v>140</v>
      </c>
    </row>
    <row r="9" spans="1:6">
      <c r="D9" s="59"/>
    </row>
    <row r="10" spans="1:6">
      <c r="A10" t="s">
        <v>141</v>
      </c>
      <c r="B10">
        <v>0.65</v>
      </c>
      <c r="C10">
        <v>0.65</v>
      </c>
    </row>
    <row r="11" ht="27" spans="1:6">
      <c r="A11" s="60" t="s">
        <v>142</v>
      </c>
      <c r="B11" s="58" t="s">
        <v>35</v>
      </c>
      <c r="C11" s="58" t="s">
        <v>36</v>
      </c>
    </row>
    <row r="12" spans="1:6">
      <c r="A12" s="58" t="s">
        <v>143</v>
      </c>
      <c r="B12" s="6" t="s">
        <v>39</v>
      </c>
      <c r="C12" s="6">
        <v>0.72</v>
      </c>
    </row>
    <row r="13" spans="1:6">
      <c r="A13" s="58" t="s">
        <v>144</v>
      </c>
      <c r="B13" s="6" t="s">
        <v>145</v>
      </c>
      <c r="C13" s="6" t="s">
        <v>145</v>
      </c>
    </row>
    <row r="14" spans="1:6">
      <c r="A14" s="58" t="s">
        <v>40</v>
      </c>
      <c r="B14" s="6" t="s">
        <v>41</v>
      </c>
      <c r="C14" s="6">
        <v>0.75</v>
      </c>
    </row>
    <row r="15" spans="1:6">
      <c r="A15" s="58" t="s">
        <v>42</v>
      </c>
      <c r="B15" s="6">
        <v>0.82</v>
      </c>
      <c r="C15" s="6">
        <v>0.82</v>
      </c>
    </row>
    <row r="16" spans="1:6">
      <c r="A16" s="58" t="s">
        <v>43</v>
      </c>
      <c r="B16" s="6">
        <v>0.82</v>
      </c>
      <c r="C16" s="6">
        <v>0.82</v>
      </c>
      <c r="D16" t="s">
        <v>146</v>
      </c>
    </row>
    <row r="17" ht="54" spans="1:5">
      <c r="A17" s="61" t="s">
        <v>147</v>
      </c>
    </row>
    <row r="26" spans="1:5">
      <c r="A26" s="62" t="s">
        <v>148</v>
      </c>
      <c r="B26" s="58" t="s">
        <v>48</v>
      </c>
      <c r="C26" s="58" t="s">
        <v>49</v>
      </c>
      <c r="D26" s="58" t="s">
        <v>50</v>
      </c>
      <c r="E26" s="58" t="s">
        <v>51</v>
      </c>
    </row>
    <row r="27" spans="1:5">
      <c r="A27" s="58">
        <v>2020</v>
      </c>
      <c r="B27" s="63">
        <v>1</v>
      </c>
      <c r="C27" s="63">
        <v>0</v>
      </c>
      <c r="D27" s="63">
        <v>0</v>
      </c>
      <c r="E27" s="63">
        <v>0</v>
      </c>
    </row>
    <row r="28" spans="1:5">
      <c r="A28" s="58">
        <v>2022</v>
      </c>
      <c r="B28" s="63">
        <v>0</v>
      </c>
      <c r="C28" s="63">
        <v>1</v>
      </c>
      <c r="D28" s="63">
        <v>0</v>
      </c>
      <c r="E28" s="63">
        <v>0</v>
      </c>
    </row>
    <row r="29" spans="1:5">
      <c r="A29" s="58">
        <v>2025</v>
      </c>
      <c r="B29" s="63">
        <v>0</v>
      </c>
      <c r="C29" s="63">
        <v>0.6</v>
      </c>
      <c r="D29" s="63">
        <v>0.4</v>
      </c>
      <c r="E29" s="63">
        <v>0</v>
      </c>
    </row>
    <row r="30" spans="1:5">
      <c r="A30" s="58">
        <v>2030</v>
      </c>
      <c r="B30" s="63">
        <v>0</v>
      </c>
      <c r="C30" s="63">
        <v>0</v>
      </c>
      <c r="D30" s="63">
        <v>1</v>
      </c>
      <c r="E30" s="63">
        <v>0</v>
      </c>
    </row>
    <row r="31" spans="1:5">
      <c r="A31" s="58">
        <v>2035</v>
      </c>
      <c r="B31" s="63">
        <v>0</v>
      </c>
      <c r="C31" s="63">
        <v>0</v>
      </c>
      <c r="D31" s="63">
        <v>0.6</v>
      </c>
      <c r="E31" s="63">
        <v>0.4</v>
      </c>
    </row>
    <row r="32" spans="1:5">
      <c r="A32" s="58" t="s">
        <v>52</v>
      </c>
      <c r="B32" s="63">
        <v>0</v>
      </c>
      <c r="C32" s="63">
        <v>0</v>
      </c>
      <c r="D32" s="63">
        <v>0</v>
      </c>
      <c r="E32" s="63">
        <v>1</v>
      </c>
    </row>
    <row r="35" ht="27" spans="1:6">
      <c r="A35" s="64" t="s">
        <v>149</v>
      </c>
      <c r="B35" s="58" t="s">
        <v>143</v>
      </c>
      <c r="C35" s="58" t="s">
        <v>144</v>
      </c>
      <c r="D35" s="58" t="s">
        <v>40</v>
      </c>
      <c r="E35" s="58" t="s">
        <v>42</v>
      </c>
      <c r="F35" s="58" t="s">
        <v>150</v>
      </c>
    </row>
    <row r="36" spans="1:6">
      <c r="A36" s="58" t="s">
        <v>151</v>
      </c>
      <c r="B36" s="65">
        <v>1</v>
      </c>
      <c r="C36" s="6">
        <v>0</v>
      </c>
      <c r="D36" s="6">
        <v>0</v>
      </c>
      <c r="E36" s="6">
        <v>0</v>
      </c>
      <c r="F36" s="6">
        <v>0</v>
      </c>
    </row>
    <row r="37" spans="1:6">
      <c r="A37" s="58" t="s">
        <v>152</v>
      </c>
      <c r="B37" s="6">
        <v>0</v>
      </c>
      <c r="C37" s="65">
        <v>1</v>
      </c>
      <c r="D37" s="6">
        <v>0</v>
      </c>
      <c r="E37" s="6">
        <v>0</v>
      </c>
      <c r="F37" s="6">
        <v>0</v>
      </c>
    </row>
    <row r="38" spans="1:6">
      <c r="A38" s="58" t="s">
        <v>153</v>
      </c>
      <c r="B38" s="6">
        <v>0</v>
      </c>
      <c r="C38" s="6">
        <v>0</v>
      </c>
      <c r="D38" s="65">
        <v>1</v>
      </c>
      <c r="E38" s="6">
        <v>0</v>
      </c>
      <c r="F38" s="6">
        <v>0</v>
      </c>
    </row>
    <row r="39" spans="1:6">
      <c r="A39" s="58" t="s">
        <v>154</v>
      </c>
      <c r="B39" s="6">
        <v>0</v>
      </c>
      <c r="C39" s="6">
        <v>0</v>
      </c>
      <c r="D39" s="6">
        <v>0</v>
      </c>
      <c r="E39" s="65">
        <v>1</v>
      </c>
      <c r="F39" s="6">
        <v>0</v>
      </c>
    </row>
    <row r="53" spans="4:4">
      <c r="D53">
        <f>5.4*10^18/1055</f>
        <v>5118483412322270</v>
      </c>
    </row>
    <row r="54" spans="4:4">
      <c r="D54">
        <f>6.89*10^15</f>
        <v>6890000000000000</v>
      </c>
    </row>
    <row r="55" spans="4:4">
      <c r="D55">
        <f>D54/D53</f>
        <v>1.34610185185185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0"/>
  <sheetViews>
    <sheetView workbookViewId="0">
      <selection activeCell="A1" sqref="A1"/>
    </sheetView>
  </sheetViews>
  <sheetFormatPr defaultColWidth="9" defaultRowHeight="13.5" outlineLevelCol="5"/>
  <cols>
    <col min="1" max="1" width="23.8833333333333" customWidth="1"/>
    <col min="2" max="2" width="24.3833333333333" customWidth="1"/>
    <col min="3" max="3" width="30.75" customWidth="1"/>
    <col min="4" max="4" width="27.1333333333333" customWidth="1"/>
    <col min="5" max="6" width="19.1333333333333" customWidth="1"/>
    <col min="7" max="7" width="14.8833333333333" customWidth="1"/>
  </cols>
  <sheetData>
    <row r="1" spans="1:6">
      <c r="A1" s="58"/>
      <c r="B1" s="58" t="s">
        <v>47</v>
      </c>
      <c r="C1" s="58" t="s">
        <v>120</v>
      </c>
    </row>
    <row r="2" ht="40.5" spans="1:6">
      <c r="A2" s="58" t="s">
        <v>121</v>
      </c>
      <c r="B2" s="44" t="s">
        <v>122</v>
      </c>
      <c r="C2" s="44" t="s">
        <v>123</v>
      </c>
      <c r="D2" t="s">
        <v>155</v>
      </c>
      <c r="E2" t="s">
        <v>125</v>
      </c>
    </row>
    <row r="3" ht="67.5" spans="1:6">
      <c r="A3" s="58" t="s">
        <v>127</v>
      </c>
      <c r="B3" s="44" t="s">
        <v>128</v>
      </c>
      <c r="C3" s="44" t="s">
        <v>129</v>
      </c>
      <c r="D3" t="s">
        <v>156</v>
      </c>
    </row>
    <row r="4" ht="40.5" spans="1:6">
      <c r="A4" s="58" t="s">
        <v>64</v>
      </c>
      <c r="B4" s="44" t="s">
        <v>130</v>
      </c>
      <c r="C4" s="44" t="s">
        <v>131</v>
      </c>
      <c r="D4" t="s">
        <v>157</v>
      </c>
    </row>
    <row r="5" ht="27" spans="1:6">
      <c r="A5" s="58" t="s">
        <v>79</v>
      </c>
      <c r="B5" s="44" t="s">
        <v>132</v>
      </c>
      <c r="C5" s="44" t="s">
        <v>133</v>
      </c>
      <c r="D5" t="s">
        <v>158</v>
      </c>
      <c r="E5" t="s">
        <v>159</v>
      </c>
      <c r="F5" t="s">
        <v>160</v>
      </c>
    </row>
    <row r="6" ht="40.5" spans="1:6">
      <c r="A6" s="58" t="s">
        <v>85</v>
      </c>
      <c r="B6" s="44" t="s">
        <v>134</v>
      </c>
      <c r="C6" s="44" t="s">
        <v>135</v>
      </c>
      <c r="D6" t="s">
        <v>136</v>
      </c>
      <c r="E6" t="s">
        <v>137</v>
      </c>
    </row>
    <row r="7" ht="40.5" spans="1:6">
      <c r="A7" s="58" t="s">
        <v>138</v>
      </c>
      <c r="B7" s="44" t="s">
        <v>139</v>
      </c>
      <c r="C7" s="44" t="s">
        <v>140</v>
      </c>
      <c r="D7" t="s">
        <v>161</v>
      </c>
    </row>
    <row r="8" spans="1:6">
      <c r="D8" t="s">
        <v>162</v>
      </c>
    </row>
    <row r="9" spans="1:6">
      <c r="D9" s="59" t="s">
        <v>163</v>
      </c>
    </row>
    <row r="10" spans="1:6">
      <c r="A10" t="s">
        <v>141</v>
      </c>
      <c r="B10">
        <v>0.65</v>
      </c>
      <c r="C10">
        <v>0.65</v>
      </c>
      <c r="D10" t="s">
        <v>164</v>
      </c>
    </row>
    <row r="11" ht="27" spans="1:6">
      <c r="A11" s="60" t="s">
        <v>142</v>
      </c>
      <c r="B11" s="58" t="s">
        <v>35</v>
      </c>
      <c r="C11" s="58" t="s">
        <v>36</v>
      </c>
      <c r="D11" t="s">
        <v>165</v>
      </c>
    </row>
    <row r="12" spans="1:6">
      <c r="A12" s="58" t="s">
        <v>143</v>
      </c>
      <c r="B12" s="6" t="s">
        <v>39</v>
      </c>
      <c r="C12" s="6">
        <v>0.72</v>
      </c>
      <c r="D12" t="s">
        <v>166</v>
      </c>
    </row>
    <row r="13" spans="1:6">
      <c r="A13" s="58" t="s">
        <v>144</v>
      </c>
      <c r="B13" s="6" t="s">
        <v>145</v>
      </c>
      <c r="C13" s="6" t="s">
        <v>145</v>
      </c>
      <c r="D13" t="s">
        <v>167</v>
      </c>
    </row>
    <row r="14" spans="1:6">
      <c r="A14" s="58" t="s">
        <v>40</v>
      </c>
      <c r="B14" s="6" t="s">
        <v>41</v>
      </c>
      <c r="C14" s="6">
        <v>0.75</v>
      </c>
      <c r="D14" t="s">
        <v>168</v>
      </c>
    </row>
    <row r="15" spans="1:6">
      <c r="A15" s="58" t="s">
        <v>42</v>
      </c>
      <c r="B15" s="6">
        <v>0.82</v>
      </c>
      <c r="C15" s="6">
        <v>0.82</v>
      </c>
      <c r="D15" t="s">
        <v>169</v>
      </c>
    </row>
    <row r="16" spans="1:6">
      <c r="A16" s="58" t="s">
        <v>43</v>
      </c>
      <c r="B16" s="6">
        <v>0.82</v>
      </c>
      <c r="C16" s="6">
        <v>0.82</v>
      </c>
      <c r="D16" t="s">
        <v>146</v>
      </c>
    </row>
    <row r="17" ht="54" spans="1:5">
      <c r="A17" s="61" t="s">
        <v>147</v>
      </c>
      <c r="D17" t="s">
        <v>170</v>
      </c>
    </row>
    <row r="18" spans="1:5">
      <c r="D18" t="s">
        <v>171</v>
      </c>
    </row>
    <row r="19" spans="1:5">
      <c r="D19" t="s">
        <v>172</v>
      </c>
      <c r="E19" t="s">
        <v>173</v>
      </c>
    </row>
    <row r="20" spans="1:5">
      <c r="D20" t="s">
        <v>174</v>
      </c>
    </row>
    <row r="21" spans="1:5">
      <c r="D21" t="s">
        <v>175</v>
      </c>
    </row>
    <row r="22" spans="1:5">
      <c r="D22" t="s">
        <v>176</v>
      </c>
    </row>
    <row r="23" spans="1:5">
      <c r="D23" t="s">
        <v>177</v>
      </c>
      <c r="E23" t="s">
        <v>178</v>
      </c>
    </row>
    <row r="26" spans="1:5">
      <c r="A26" s="62" t="s">
        <v>148</v>
      </c>
      <c r="B26" s="58" t="s">
        <v>48</v>
      </c>
      <c r="C26" s="58" t="s">
        <v>49</v>
      </c>
      <c r="D26" s="58" t="s">
        <v>50</v>
      </c>
      <c r="E26" s="58" t="s">
        <v>51</v>
      </c>
    </row>
    <row r="27" spans="1:5">
      <c r="A27" s="58">
        <v>2020</v>
      </c>
      <c r="B27" s="63">
        <v>1</v>
      </c>
      <c r="C27" s="63">
        <v>0</v>
      </c>
      <c r="D27" s="63">
        <v>0</v>
      </c>
      <c r="E27" s="63">
        <v>0</v>
      </c>
    </row>
    <row r="28" spans="1:5">
      <c r="A28" s="58">
        <v>2022</v>
      </c>
      <c r="B28" s="63">
        <v>0</v>
      </c>
      <c r="C28" s="63">
        <v>1</v>
      </c>
      <c r="D28" s="63">
        <v>0</v>
      </c>
      <c r="E28" s="63">
        <v>0</v>
      </c>
    </row>
    <row r="29" spans="1:5">
      <c r="A29" s="58">
        <v>2025</v>
      </c>
      <c r="B29" s="63">
        <v>0</v>
      </c>
      <c r="C29" s="63">
        <v>0.6</v>
      </c>
      <c r="D29" s="63">
        <v>0.4</v>
      </c>
      <c r="E29" s="63">
        <v>0</v>
      </c>
    </row>
    <row r="30" spans="1:5">
      <c r="A30" s="58">
        <v>2030</v>
      </c>
      <c r="B30" s="63">
        <v>0</v>
      </c>
      <c r="C30" s="63">
        <v>0</v>
      </c>
      <c r="D30" s="63">
        <v>1</v>
      </c>
      <c r="E30" s="63">
        <v>0</v>
      </c>
    </row>
    <row r="31" spans="1:5">
      <c r="A31" s="58">
        <v>2035</v>
      </c>
      <c r="B31" s="63">
        <v>0</v>
      </c>
      <c r="C31" s="63">
        <v>0</v>
      </c>
      <c r="D31" s="63">
        <v>0.6</v>
      </c>
      <c r="E31" s="63">
        <v>0.4</v>
      </c>
    </row>
    <row r="32" spans="1:5">
      <c r="A32" s="58" t="s">
        <v>52</v>
      </c>
      <c r="B32" s="63">
        <v>0</v>
      </c>
      <c r="C32" s="63">
        <v>0</v>
      </c>
      <c r="D32" s="63">
        <v>0</v>
      </c>
      <c r="E32" s="63">
        <v>1</v>
      </c>
    </row>
    <row r="35" ht="27" spans="1:6">
      <c r="A35" s="64" t="s">
        <v>149</v>
      </c>
      <c r="B35" s="58" t="s">
        <v>143</v>
      </c>
      <c r="C35" s="58" t="s">
        <v>144</v>
      </c>
      <c r="D35" s="58" t="s">
        <v>40</v>
      </c>
      <c r="E35" s="58" t="s">
        <v>42</v>
      </c>
      <c r="F35" s="58" t="s">
        <v>150</v>
      </c>
    </row>
    <row r="36" spans="1:6">
      <c r="A36" s="58" t="s">
        <v>151</v>
      </c>
      <c r="B36" s="65">
        <v>1</v>
      </c>
      <c r="C36" s="6">
        <v>0</v>
      </c>
      <c r="D36" s="6">
        <v>0</v>
      </c>
      <c r="E36" s="6">
        <v>0</v>
      </c>
      <c r="F36" s="6">
        <v>0</v>
      </c>
    </row>
    <row r="37" spans="1:6">
      <c r="A37" s="58" t="s">
        <v>152</v>
      </c>
      <c r="B37" s="6">
        <v>0</v>
      </c>
      <c r="C37" s="65">
        <v>1</v>
      </c>
      <c r="D37" s="6">
        <v>0</v>
      </c>
      <c r="E37" s="6">
        <v>0</v>
      </c>
      <c r="F37" s="6">
        <v>0</v>
      </c>
    </row>
    <row r="38" spans="1:6">
      <c r="A38" s="58" t="s">
        <v>153</v>
      </c>
      <c r="B38" s="6">
        <v>0</v>
      </c>
      <c r="C38" s="6">
        <v>0</v>
      </c>
      <c r="D38" s="65">
        <v>1</v>
      </c>
      <c r="E38" s="6">
        <v>0</v>
      </c>
      <c r="F38" s="6">
        <v>0</v>
      </c>
    </row>
    <row r="39" spans="1:6">
      <c r="A39" s="58" t="s">
        <v>154</v>
      </c>
      <c r="B39" s="6">
        <v>0</v>
      </c>
      <c r="C39" s="6">
        <v>0</v>
      </c>
      <c r="D39" s="6">
        <v>0</v>
      </c>
      <c r="E39" s="65">
        <v>1</v>
      </c>
      <c r="F39" s="6">
        <v>0</v>
      </c>
    </row>
    <row r="41" spans="1:6">
      <c r="D41" t="s">
        <v>179</v>
      </c>
    </row>
    <row r="42" spans="1:6">
      <c r="D42" t="s">
        <v>180</v>
      </c>
    </row>
    <row r="43" spans="1:6">
      <c r="D43" t="s">
        <v>181</v>
      </c>
    </row>
    <row r="46" spans="1:6">
      <c r="D46" t="s">
        <v>182</v>
      </c>
    </row>
    <row r="48" spans="1:6">
      <c r="D48" t="s">
        <v>183</v>
      </c>
    </row>
    <row r="49" spans="4:4">
      <c r="D49" t="s">
        <v>184</v>
      </c>
    </row>
    <row r="50" spans="4:4">
      <c r="D50" t="s">
        <v>185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3"/>
  <sheetViews>
    <sheetView workbookViewId="0">
      <selection activeCell="A1" sqref="A1"/>
    </sheetView>
  </sheetViews>
  <sheetFormatPr defaultColWidth="9" defaultRowHeight="13.5" outlineLevelCol="1"/>
  <cols>
    <col min="1" max="1" width="10.75" customWidth="1"/>
    <col min="2" max="2" width="102.133333333333" customWidth="1"/>
  </cols>
  <sheetData>
    <row r="1" spans="1:2">
      <c r="A1" s="53" t="s">
        <v>186</v>
      </c>
    </row>
    <row r="3" spans="1:2">
      <c r="A3" s="53" t="s">
        <v>187</v>
      </c>
      <c r="B3" s="54" t="s">
        <v>188</v>
      </c>
    </row>
    <row r="4" spans="1:2">
      <c r="B4" s="19" t="s">
        <v>189</v>
      </c>
    </row>
    <row r="6" spans="1:2">
      <c r="B6" s="54" t="s">
        <v>190</v>
      </c>
    </row>
    <row r="7" spans="1:2">
      <c r="B7" s="19" t="s">
        <v>191</v>
      </c>
    </row>
    <row r="8" spans="1:2">
      <c r="B8" s="55">
        <v>2018</v>
      </c>
    </row>
    <row r="9" spans="1:2">
      <c r="B9" s="19" t="s">
        <v>192</v>
      </c>
    </row>
    <row r="10" spans="1:2">
      <c r="B10" s="56" t="s">
        <v>193</v>
      </c>
    </row>
    <row r="12" spans="1:2">
      <c r="B12" s="19"/>
    </row>
    <row r="13" spans="1:2">
      <c r="B13" s="55"/>
    </row>
    <row r="14" spans="1:2">
      <c r="B14" s="19"/>
    </row>
    <row r="15" spans="1:2">
      <c r="B15" s="56"/>
    </row>
    <row r="18" spans="1:2">
      <c r="A18" s="53" t="s">
        <v>194</v>
      </c>
      <c r="B18" s="3" t="s">
        <v>195</v>
      </c>
    </row>
    <row r="19" ht="40.5" spans="1:2">
      <c r="A19" s="57"/>
      <c r="B19" s="3" t="s">
        <v>196</v>
      </c>
    </row>
    <row r="20" ht="40.5" spans="1:2">
      <c r="B20" s="3" t="s">
        <v>197</v>
      </c>
    </row>
    <row r="21" ht="40.5" spans="1:2">
      <c r="B21" s="3" t="s">
        <v>198</v>
      </c>
    </row>
    <row r="22" spans="1:2">
      <c r="B22" s="3" t="s">
        <v>199</v>
      </c>
    </row>
    <row r="23" spans="1:2">
      <c r="B23" s="3" t="s">
        <v>200</v>
      </c>
    </row>
  </sheetData>
  <hyperlinks>
    <hyperlink ref="B10" r:id="rId1" display="https://kns.cnki.net/kcms2/article/abstract?v=3uoqIhG8C44YLTlOAiTRKibYlV5Vjs7iLik5jEcCI09uHa3oBxtWoLXBqMuT2L2CQ_SDgkvzeuyHBRpPejPl_DToiZ2ygw3-&amp;uniplatform=NZKPT"/>
  </hyperlinks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V378"/>
  <sheetViews>
    <sheetView workbookViewId="0">
      <selection activeCell="A1" sqref="A1"/>
    </sheetView>
  </sheetViews>
  <sheetFormatPr defaultColWidth="13.3833333333333" defaultRowHeight="13.5"/>
  <cols>
    <col min="1" max="1" width="26.6333333333333" customWidth="1"/>
    <col min="4" max="7" width="14.3833333333333" customWidth="1"/>
  </cols>
  <sheetData>
    <row r="1" s="5" customFormat="1" ht="30" spans="1:48">
      <c r="A1" s="48" t="s">
        <v>201</v>
      </c>
      <c r="B1" s="5">
        <v>2016</v>
      </c>
      <c r="C1" s="5">
        <v>2017</v>
      </c>
      <c r="D1" s="5">
        <v>2018</v>
      </c>
      <c r="E1" s="5">
        <v>2019</v>
      </c>
      <c r="F1" s="5">
        <v>2020</v>
      </c>
      <c r="G1" s="5">
        <v>2021</v>
      </c>
      <c r="H1" s="5">
        <v>2022</v>
      </c>
      <c r="I1" s="5">
        <v>2023</v>
      </c>
      <c r="J1" s="5">
        <v>2024</v>
      </c>
      <c r="K1" s="5">
        <v>2025</v>
      </c>
      <c r="L1" s="5">
        <v>2026</v>
      </c>
      <c r="M1" s="5">
        <v>2027</v>
      </c>
      <c r="N1" s="5">
        <v>2028</v>
      </c>
      <c r="O1" s="5">
        <v>2029</v>
      </c>
      <c r="P1" s="5">
        <v>2030</v>
      </c>
      <c r="Q1" s="5">
        <v>2031</v>
      </c>
      <c r="R1" s="5">
        <v>2032</v>
      </c>
      <c r="S1" s="5">
        <v>2033</v>
      </c>
      <c r="T1" s="5">
        <v>2034</v>
      </c>
      <c r="U1" s="5">
        <v>2035</v>
      </c>
      <c r="V1" s="5">
        <v>2036</v>
      </c>
      <c r="W1" s="5">
        <v>2037</v>
      </c>
      <c r="X1" s="5">
        <v>2038</v>
      </c>
      <c r="Y1" s="5">
        <v>2039</v>
      </c>
      <c r="Z1" s="5">
        <v>2040</v>
      </c>
      <c r="AA1" s="5">
        <v>2041</v>
      </c>
      <c r="AB1" s="5">
        <v>2042</v>
      </c>
      <c r="AC1" s="5">
        <v>2043</v>
      </c>
      <c r="AD1" s="5">
        <v>2044</v>
      </c>
      <c r="AE1" s="5">
        <v>2045</v>
      </c>
      <c r="AF1" s="5">
        <v>2046</v>
      </c>
      <c r="AG1" s="5">
        <v>2047</v>
      </c>
      <c r="AH1" s="5">
        <v>2048</v>
      </c>
      <c r="AI1" s="5">
        <v>2049</v>
      </c>
      <c r="AJ1" s="5">
        <v>2050</v>
      </c>
      <c r="AK1" s="5">
        <v>2051</v>
      </c>
      <c r="AL1" s="5">
        <v>2052</v>
      </c>
      <c r="AM1" s="5">
        <v>2053</v>
      </c>
      <c r="AN1" s="5">
        <v>2054</v>
      </c>
      <c r="AO1" s="5">
        <v>2055</v>
      </c>
      <c r="AP1" s="5">
        <v>2056</v>
      </c>
      <c r="AQ1" s="5">
        <v>2057</v>
      </c>
      <c r="AR1" s="5">
        <v>2058</v>
      </c>
      <c r="AS1" s="5">
        <v>2059</v>
      </c>
      <c r="AT1" s="5">
        <v>2060</v>
      </c>
    </row>
    <row r="2" s="6" customFormat="1" spans="1:48">
      <c r="A2" s="5" t="s">
        <v>202</v>
      </c>
      <c r="B2" s="49">
        <v>0.588</v>
      </c>
      <c r="C2" s="49">
        <f>$B$2*($F$2/$B$2)^((C1-2016)/4)</f>
        <v>0.600355106623809</v>
      </c>
      <c r="D2" s="49">
        <f>$B$2*($F$2/$B$2)^((D1-2016)/4)</f>
        <v>0.61296981981171</v>
      </c>
      <c r="E2" s="49">
        <f>$B$2*($F$2/$B$2)^((E1-2016)/4)</f>
        <v>0.625849594439177</v>
      </c>
      <c r="F2" s="49">
        <v>0.639</v>
      </c>
      <c r="G2" s="49">
        <f>$F$2*(0.8/$F$2)^((G1-2020)/40)</f>
        <v>0.642599800490747</v>
      </c>
      <c r="H2" s="49">
        <f t="shared" ref="H2:AT2" si="0">$F$2*(0.8/$F$2)^((H1-2020)/40)</f>
        <v>0.646219880423706</v>
      </c>
      <c r="I2" s="49">
        <f t="shared" si="0"/>
        <v>0.649860354042924</v>
      </c>
      <c r="J2" s="49">
        <f t="shared" si="0"/>
        <v>0.653521336236039</v>
      </c>
      <c r="K2" s="49">
        <f t="shared" si="0"/>
        <v>0.657202942537911</v>
      </c>
      <c r="L2" s="49">
        <f t="shared" si="0"/>
        <v>0.660905289134262</v>
      </c>
      <c r="M2" s="49">
        <f t="shared" si="0"/>
        <v>0.664628492865347</v>
      </c>
      <c r="N2" s="49">
        <f t="shared" si="0"/>
        <v>0.668372671229637</v>
      </c>
      <c r="O2" s="49">
        <f t="shared" si="0"/>
        <v>0.672137942387531</v>
      </c>
      <c r="P2" s="49">
        <f t="shared" si="0"/>
        <v>0.675924425165084</v>
      </c>
      <c r="Q2" s="49">
        <f t="shared" si="0"/>
        <v>0.679732239057756</v>
      </c>
      <c r="R2" s="49">
        <f t="shared" si="0"/>
        <v>0.683561504234183</v>
      </c>
      <c r="S2" s="49">
        <f t="shared" si="0"/>
        <v>0.687412341539971</v>
      </c>
      <c r="T2" s="49">
        <f t="shared" si="0"/>
        <v>0.691284872501506</v>
      </c>
      <c r="U2" s="49">
        <f t="shared" si="0"/>
        <v>0.695179219329796</v>
      </c>
      <c r="V2" s="49">
        <f t="shared" si="0"/>
        <v>0.69909550492432</v>
      </c>
      <c r="W2" s="49">
        <f t="shared" si="0"/>
        <v>0.703033852876911</v>
      </c>
      <c r="X2" s="49">
        <f t="shared" si="0"/>
        <v>0.706994387475656</v>
      </c>
      <c r="Y2" s="49">
        <f t="shared" si="0"/>
        <v>0.710977233708818</v>
      </c>
      <c r="Z2" s="49">
        <f t="shared" si="0"/>
        <v>0.714982517268779</v>
      </c>
      <c r="AA2" s="49">
        <f t="shared" si="0"/>
        <v>0.719010364556009</v>
      </c>
      <c r="AB2" s="49">
        <f t="shared" si="0"/>
        <v>0.723060902683053</v>
      </c>
      <c r="AC2" s="49">
        <f t="shared" si="0"/>
        <v>0.727134259478544</v>
      </c>
      <c r="AD2" s="49">
        <f t="shared" si="0"/>
        <v>0.731230563491235</v>
      </c>
      <c r="AE2" s="49">
        <f t="shared" si="0"/>
        <v>0.73534994399406</v>
      </c>
      <c r="AF2" s="49">
        <f t="shared" si="0"/>
        <v>0.739492530988209</v>
      </c>
      <c r="AG2" s="49">
        <f t="shared" si="0"/>
        <v>0.743658455207231</v>
      </c>
      <c r="AH2" s="49">
        <f t="shared" si="0"/>
        <v>0.747847848121164</v>
      </c>
      <c r="AI2" s="49">
        <f t="shared" si="0"/>
        <v>0.75206084194068</v>
      </c>
      <c r="AJ2" s="49">
        <f t="shared" si="0"/>
        <v>0.756297569621259</v>
      </c>
      <c r="AK2" s="49">
        <f t="shared" si="0"/>
        <v>0.760558164867384</v>
      </c>
      <c r="AL2" s="49">
        <f t="shared" si="0"/>
        <v>0.76484276213676</v>
      </c>
      <c r="AM2" s="49">
        <f t="shared" si="0"/>
        <v>0.76915149664456</v>
      </c>
      <c r="AN2" s="49">
        <f t="shared" si="0"/>
        <v>0.77348450436769</v>
      </c>
      <c r="AO2" s="49">
        <f t="shared" si="0"/>
        <v>0.77784192204908</v>
      </c>
      <c r="AP2" s="49">
        <f t="shared" si="0"/>
        <v>0.782223887202</v>
      </c>
      <c r="AQ2" s="49">
        <f t="shared" si="0"/>
        <v>0.786630538114401</v>
      </c>
      <c r="AR2" s="49">
        <f t="shared" si="0"/>
        <v>0.791062013853276</v>
      </c>
      <c r="AS2" s="49">
        <f t="shared" si="0"/>
        <v>0.795518454269051</v>
      </c>
      <c r="AT2" s="49">
        <f t="shared" si="0"/>
        <v>0.8</v>
      </c>
    </row>
    <row r="3" s="6" customFormat="1" spans="1:48">
      <c r="A3" s="5" t="s">
        <v>203</v>
      </c>
      <c r="B3" s="50">
        <f>SUM(D12:D378)</f>
        <v>1386002387.72812</v>
      </c>
      <c r="C3" s="50">
        <f t="shared" ref="C3:AT3" si="1">SUM(E12:E378)</f>
        <v>1393442752.57079</v>
      </c>
      <c r="D3" s="50">
        <f t="shared" si="1"/>
        <v>1400313390.56265</v>
      </c>
      <c r="E3" s="50">
        <f t="shared" si="1"/>
        <v>1400793135</v>
      </c>
      <c r="F3" s="50">
        <f t="shared" si="1"/>
        <v>1410976903</v>
      </c>
      <c r="G3" s="50">
        <f t="shared" si="1"/>
        <v>1420266066</v>
      </c>
      <c r="H3" s="50">
        <f t="shared" si="1"/>
        <v>1428670957</v>
      </c>
      <c r="I3" s="50">
        <f t="shared" si="1"/>
        <v>1436203098</v>
      </c>
      <c r="J3" s="50">
        <f t="shared" si="1"/>
        <v>1442875150</v>
      </c>
      <c r="K3" s="50">
        <f t="shared" si="1"/>
        <v>1448701015</v>
      </c>
      <c r="L3" s="50">
        <f t="shared" si="1"/>
        <v>1453695689</v>
      </c>
      <c r="M3" s="50">
        <f t="shared" si="1"/>
        <v>1457875428</v>
      </c>
      <c r="N3" s="50">
        <f t="shared" si="1"/>
        <v>1461257603</v>
      </c>
      <c r="O3" s="50">
        <f t="shared" si="1"/>
        <v>1463860785</v>
      </c>
      <c r="P3" s="50">
        <f t="shared" si="1"/>
        <v>1465704725</v>
      </c>
      <c r="Q3" s="50">
        <f t="shared" si="1"/>
        <v>1466810320</v>
      </c>
      <c r="R3" s="50">
        <f t="shared" si="1"/>
        <v>1467199701</v>
      </c>
      <c r="S3" s="50">
        <f t="shared" si="1"/>
        <v>1466896114</v>
      </c>
      <c r="T3" s="50">
        <f t="shared" si="1"/>
        <v>1465924022</v>
      </c>
      <c r="U3" s="50">
        <f t="shared" si="1"/>
        <v>1464309042</v>
      </c>
      <c r="V3" s="50">
        <f t="shared" si="1"/>
        <v>1462077972</v>
      </c>
      <c r="W3" s="50">
        <f t="shared" si="1"/>
        <v>1459258813</v>
      </c>
      <c r="X3" s="50">
        <f t="shared" si="1"/>
        <v>1455880691</v>
      </c>
      <c r="Y3" s="50">
        <f t="shared" si="1"/>
        <v>1451973938</v>
      </c>
      <c r="Z3" s="50">
        <f t="shared" si="1"/>
        <v>1447570066</v>
      </c>
      <c r="AA3" s="50">
        <f t="shared" si="1"/>
        <v>1442701773</v>
      </c>
      <c r="AB3" s="50">
        <f t="shared" si="1"/>
        <v>1437402901</v>
      </c>
      <c r="AC3" s="50">
        <f t="shared" si="1"/>
        <v>1431708470</v>
      </c>
      <c r="AD3" s="50">
        <f t="shared" si="1"/>
        <v>1425654722</v>
      </c>
      <c r="AE3" s="50">
        <f t="shared" si="1"/>
        <v>1419279033</v>
      </c>
      <c r="AF3" s="50">
        <f t="shared" si="1"/>
        <v>1412619937</v>
      </c>
      <c r="AG3" s="50">
        <f t="shared" si="1"/>
        <v>1405717218</v>
      </c>
      <c r="AH3" s="50">
        <f t="shared" si="1"/>
        <v>1398611771</v>
      </c>
      <c r="AI3" s="50">
        <f t="shared" si="1"/>
        <v>1391345677</v>
      </c>
      <c r="AJ3" s="50">
        <f t="shared" si="1"/>
        <v>1383962233</v>
      </c>
      <c r="AK3" s="50">
        <f t="shared" si="1"/>
        <v>1376505845</v>
      </c>
      <c r="AL3" s="50">
        <f t="shared" si="1"/>
        <v>1369022176</v>
      </c>
      <c r="AM3" s="50">
        <f t="shared" si="1"/>
        <v>1361557975</v>
      </c>
      <c r="AN3" s="50">
        <f t="shared" si="1"/>
        <v>1354161244</v>
      </c>
      <c r="AO3" s="50">
        <f t="shared" si="1"/>
        <v>1346881133</v>
      </c>
      <c r="AP3" s="50">
        <f t="shared" si="1"/>
        <v>1339767961</v>
      </c>
      <c r="AQ3" s="50">
        <f t="shared" si="1"/>
        <v>1332873221</v>
      </c>
      <c r="AR3" s="50">
        <f t="shared" si="1"/>
        <v>1326249585</v>
      </c>
      <c r="AS3" s="50">
        <f t="shared" si="1"/>
        <v>1319950938</v>
      </c>
      <c r="AT3" s="50">
        <f t="shared" si="1"/>
        <v>1314032289</v>
      </c>
    </row>
    <row r="4" s="6" customFormat="1" spans="1:48">
      <c r="A4" s="5" t="s">
        <v>204</v>
      </c>
      <c r="B4" s="51">
        <f t="shared" ref="B4" si="2">B3*B2</f>
        <v>814969403.984132</v>
      </c>
      <c r="C4" s="51">
        <f t="shared" ref="C4:AT4" si="3">C3*C2</f>
        <v>836560472.293808</v>
      </c>
      <c r="D4" s="51">
        <f t="shared" si="3"/>
        <v>858349846.693112</v>
      </c>
      <c r="E4" s="51">
        <f t="shared" si="3"/>
        <v>876685815.432934</v>
      </c>
      <c r="F4" s="51">
        <f t="shared" si="3"/>
        <v>901614241.017</v>
      </c>
      <c r="G4" s="51">
        <f t="shared" si="3"/>
        <v>912662690.655378</v>
      </c>
      <c r="H4" s="51">
        <f t="shared" si="3"/>
        <v>923235574.997362</v>
      </c>
      <c r="I4" s="51">
        <f t="shared" si="3"/>
        <v>933331453.743824</v>
      </c>
      <c r="J4" s="51">
        <f t="shared" si="3"/>
        <v>942949696.049775</v>
      </c>
      <c r="K4" s="51">
        <f t="shared" si="3"/>
        <v>952090569.915658</v>
      </c>
      <c r="L4" s="51">
        <f t="shared" si="3"/>
        <v>960755169.651776</v>
      </c>
      <c r="M4" s="51">
        <f t="shared" si="3"/>
        <v>968945548.497063</v>
      </c>
      <c r="N4" s="51">
        <f t="shared" si="3"/>
        <v>976664647.471726</v>
      </c>
      <c r="O4" s="51">
        <f t="shared" si="3"/>
        <v>983916375.971696</v>
      </c>
      <c r="P4" s="51">
        <f t="shared" si="3"/>
        <v>990705623.707373</v>
      </c>
      <c r="Q4" s="51">
        <f t="shared" si="3"/>
        <v>997038263.086624</v>
      </c>
      <c r="R4" s="51">
        <f t="shared" si="3"/>
        <v>1002921234.6275</v>
      </c>
      <c r="S4" s="51">
        <f t="shared" si="3"/>
        <v>1008362492.52062</v>
      </c>
      <c r="T4" s="51">
        <f t="shared" si="3"/>
        <v>1013371100.64517</v>
      </c>
      <c r="U4" s="51">
        <f t="shared" si="3"/>
        <v>1017957216.67512</v>
      </c>
      <c r="V4" s="51">
        <f t="shared" si="3"/>
        <v>1022132138.07407</v>
      </c>
      <c r="W4" s="51">
        <f t="shared" si="3"/>
        <v>1025908345.64798</v>
      </c>
      <c r="X4" s="51">
        <f t="shared" si="3"/>
        <v>1029299477.37118</v>
      </c>
      <c r="Y4" s="51">
        <f t="shared" si="3"/>
        <v>1032320413.85654</v>
      </c>
      <c r="Z4" s="51">
        <f t="shared" si="3"/>
        <v>1034987289.71161</v>
      </c>
      <c r="AA4" s="51">
        <f t="shared" si="3"/>
        <v>1037317527.75033</v>
      </c>
      <c r="AB4" s="51">
        <f t="shared" si="3"/>
        <v>1039329839.1163</v>
      </c>
      <c r="AC4" s="51">
        <f t="shared" si="3"/>
        <v>1041044278.12261</v>
      </c>
      <c r="AD4" s="51">
        <f t="shared" si="3"/>
        <v>1042482305.712</v>
      </c>
      <c r="AE4" s="51">
        <f t="shared" si="3"/>
        <v>1043666757.42849</v>
      </c>
      <c r="AF4" s="51">
        <f t="shared" si="3"/>
        <v>1044621892.53653</v>
      </c>
      <c r="AG4" s="51">
        <f t="shared" si="3"/>
        <v>1045373494.79609</v>
      </c>
      <c r="AH4" s="51">
        <f t="shared" si="3"/>
        <v>1045948803.29928</v>
      </c>
      <c r="AI4" s="51">
        <f t="shared" si="3"/>
        <v>1046376601.27515</v>
      </c>
      <c r="AJ4" s="51">
        <f t="shared" si="3"/>
        <v>1046687273.26551</v>
      </c>
      <c r="AK4" s="51">
        <f t="shared" si="3"/>
        <v>1046912759.40243</v>
      </c>
      <c r="AL4" s="51">
        <f t="shared" si="3"/>
        <v>1047086702.51832</v>
      </c>
      <c r="AM4" s="51">
        <f t="shared" si="3"/>
        <v>1047244354.23959</v>
      </c>
      <c r="AN4" s="51">
        <f t="shared" si="3"/>
        <v>1047422738.64927</v>
      </c>
      <c r="AO4" s="51">
        <f t="shared" si="3"/>
        <v>1047660609.26436</v>
      </c>
      <c r="AP4" s="51">
        <f t="shared" si="3"/>
        <v>1047998502.40212</v>
      </c>
      <c r="AQ4" s="51">
        <f t="shared" si="3"/>
        <v>1048478779.07351</v>
      </c>
      <c r="AR4" s="51">
        <f t="shared" si="3"/>
        <v>1049145667.58217</v>
      </c>
      <c r="AS4" s="51">
        <f t="shared" si="3"/>
        <v>1050045329.90874</v>
      </c>
      <c r="AT4" s="51">
        <f t="shared" si="3"/>
        <v>1051225831.2</v>
      </c>
    </row>
    <row r="5" s="6" customFormat="1" spans="1:48">
      <c r="A5" s="5" t="s">
        <v>205</v>
      </c>
      <c r="B5" s="51">
        <f t="shared" ref="B5" si="4">B3-B4</f>
        <v>571032983.743984</v>
      </c>
      <c r="C5" s="51">
        <f t="shared" ref="C5:AT5" si="5">C3-C4</f>
        <v>556882280.276977</v>
      </c>
      <c r="D5" s="51">
        <f t="shared" si="5"/>
        <v>541963543.869538</v>
      </c>
      <c r="E5" s="51">
        <f t="shared" si="5"/>
        <v>524107319.567066</v>
      </c>
      <c r="F5" s="51">
        <f t="shared" si="5"/>
        <v>509362661.983</v>
      </c>
      <c r="G5" s="51">
        <f t="shared" si="5"/>
        <v>507603375.344622</v>
      </c>
      <c r="H5" s="51">
        <f t="shared" si="5"/>
        <v>505435382.002638</v>
      </c>
      <c r="I5" s="51">
        <f t="shared" si="5"/>
        <v>502871644.256176</v>
      </c>
      <c r="J5" s="51">
        <f t="shared" si="5"/>
        <v>499925453.950225</v>
      </c>
      <c r="K5" s="51">
        <f t="shared" si="5"/>
        <v>496610445.084342</v>
      </c>
      <c r="L5" s="51">
        <f t="shared" si="5"/>
        <v>492940519.348224</v>
      </c>
      <c r="M5" s="51">
        <f t="shared" si="5"/>
        <v>488929879.502937</v>
      </c>
      <c r="N5" s="51">
        <f t="shared" si="5"/>
        <v>484592955.528274</v>
      </c>
      <c r="O5" s="51">
        <f t="shared" si="5"/>
        <v>479944409.028304</v>
      </c>
      <c r="P5" s="51">
        <f t="shared" si="5"/>
        <v>474999101.292627</v>
      </c>
      <c r="Q5" s="51">
        <f t="shared" si="5"/>
        <v>469772056.913376</v>
      </c>
      <c r="R5" s="51">
        <f t="shared" si="5"/>
        <v>464278466.372496</v>
      </c>
      <c r="S5" s="51">
        <f t="shared" si="5"/>
        <v>458533621.479376</v>
      </c>
      <c r="T5" s="51">
        <f t="shared" si="5"/>
        <v>452552921.354835</v>
      </c>
      <c r="U5" s="51">
        <f t="shared" si="5"/>
        <v>446351825.324879</v>
      </c>
      <c r="V5" s="51">
        <f t="shared" si="5"/>
        <v>439945833.925935</v>
      </c>
      <c r="W5" s="51">
        <f t="shared" si="5"/>
        <v>433350467.352022</v>
      </c>
      <c r="X5" s="51">
        <f t="shared" si="5"/>
        <v>426581213.62882</v>
      </c>
      <c r="Y5" s="51">
        <f t="shared" si="5"/>
        <v>419653524.143461</v>
      </c>
      <c r="Z5" s="51">
        <f t="shared" si="5"/>
        <v>412582776.288387</v>
      </c>
      <c r="AA5" s="51">
        <f t="shared" si="5"/>
        <v>405384245.24967</v>
      </c>
      <c r="AB5" s="51">
        <f t="shared" si="5"/>
        <v>398073061.883701</v>
      </c>
      <c r="AC5" s="51">
        <f t="shared" si="5"/>
        <v>390664191.877391</v>
      </c>
      <c r="AD5" s="51">
        <f t="shared" si="5"/>
        <v>383172416.288</v>
      </c>
      <c r="AE5" s="51">
        <f t="shared" si="5"/>
        <v>375612275.571506</v>
      </c>
      <c r="AF5" s="51">
        <f t="shared" si="5"/>
        <v>367998044.463466</v>
      </c>
      <c r="AG5" s="51">
        <f t="shared" si="5"/>
        <v>360343723.203914</v>
      </c>
      <c r="AH5" s="51">
        <f t="shared" si="5"/>
        <v>352662967.70072</v>
      </c>
      <c r="AI5" s="51">
        <f t="shared" si="5"/>
        <v>344969075.724854</v>
      </c>
      <c r="AJ5" s="51">
        <f t="shared" si="5"/>
        <v>337274959.734489</v>
      </c>
      <c r="AK5" s="51">
        <f t="shared" si="5"/>
        <v>329593085.597573</v>
      </c>
      <c r="AL5" s="51">
        <f t="shared" si="5"/>
        <v>321935473.481683</v>
      </c>
      <c r="AM5" s="51">
        <f t="shared" si="5"/>
        <v>314313620.760413</v>
      </c>
      <c r="AN5" s="51">
        <f t="shared" si="5"/>
        <v>306738505.350725</v>
      </c>
      <c r="AO5" s="51">
        <f t="shared" si="5"/>
        <v>299220523.735637</v>
      </c>
      <c r="AP5" s="51">
        <f t="shared" si="5"/>
        <v>291769458.597882</v>
      </c>
      <c r="AQ5" s="51">
        <f t="shared" si="5"/>
        <v>284394441.926495</v>
      </c>
      <c r="AR5" s="51">
        <f t="shared" si="5"/>
        <v>277103917.417829</v>
      </c>
      <c r="AS5" s="51">
        <f t="shared" si="5"/>
        <v>269905608.091255</v>
      </c>
      <c r="AT5" s="51">
        <f t="shared" si="5"/>
        <v>262806457.8</v>
      </c>
    </row>
    <row r="6" s="6" customFormat="1" hidden="1" spans="1:48">
      <c r="A6" s="5" t="s">
        <v>206</v>
      </c>
      <c r="B6" s="6">
        <f t="shared" ref="B6" si="6">SUMIFS(D12:D378,$C$12:$C$378,"是")</f>
        <v>586766828.348954</v>
      </c>
      <c r="C6" s="6">
        <f t="shared" ref="C6" si="7">SUMIFS(E12:E378,$C$12:$C$378,"是")</f>
        <v>589984367.886804</v>
      </c>
      <c r="D6" s="6">
        <f t="shared" ref="D6" si="8">SUMIFS(F12:F378,$C$12:$C$378,"是")</f>
        <v>592936312.322945</v>
      </c>
      <c r="E6" s="6">
        <f t="shared" ref="E6" si="9">SUMIFS(G12:G378,$C$12:$C$378,"是")</f>
        <v>573112213</v>
      </c>
      <c r="F6" s="6">
        <f t="shared" ref="F6" si="10">SUMIFS(H12:H378,$C$12:$C$378,"是")</f>
        <v>577202419</v>
      </c>
      <c r="G6" s="6">
        <f t="shared" ref="G6" si="11">SUMIFS(I12:I378,$C$12:$C$378,"是")</f>
        <v>580887802</v>
      </c>
      <c r="H6" s="6">
        <f t="shared" ref="H6" si="12">SUMIFS(J12:J378,$C$12:$C$378,"是")</f>
        <v>584177205</v>
      </c>
      <c r="I6" s="6">
        <f t="shared" ref="I6" si="13">SUMIFS(K12:K378,$C$12:$C$378,"是")</f>
        <v>587079716</v>
      </c>
      <c r="J6" s="6">
        <f t="shared" ref="J6" si="14">SUMIFS(L12:L378,$C$12:$C$378,"是")</f>
        <v>589604661</v>
      </c>
      <c r="K6" s="6">
        <f t="shared" ref="K6" si="15">SUMIFS(M12:M378,$C$12:$C$378,"是")</f>
        <v>591761687</v>
      </c>
      <c r="L6" s="6">
        <f t="shared" ref="L6" si="16">SUMIFS(N12:N378,$C$12:$C$378,"是")</f>
        <v>593560663</v>
      </c>
      <c r="M6" s="6">
        <f t="shared" ref="M6" si="17">SUMIFS(O12:O378,$C$12:$C$378,"是")</f>
        <v>595011743</v>
      </c>
      <c r="N6" s="6">
        <f t="shared" ref="N6" si="18">SUMIFS(P12:P378,$C$12:$C$378,"是")</f>
        <v>596125346</v>
      </c>
      <c r="O6" s="6">
        <f t="shared" ref="O6" si="19">SUMIFS(Q12:Q378,$C$12:$C$378,"是")</f>
        <v>596912152</v>
      </c>
      <c r="P6" s="6">
        <f t="shared" ref="P6" si="20">SUMIFS(R12:R378,$C$12:$C$378,"是")</f>
        <v>597383106</v>
      </c>
      <c r="Q6" s="6">
        <f t="shared" ref="Q6" si="21">SUMIFS(S12:S378,$C$12:$C$378,"是")</f>
        <v>597549414</v>
      </c>
      <c r="R6" s="6">
        <f t="shared" ref="R6" si="22">SUMIFS(T12:T378,$C$12:$C$378,"是")</f>
        <v>597422565</v>
      </c>
      <c r="S6" s="6">
        <f t="shared" ref="S6" si="23">SUMIFS(U12:U378,$C$12:$C$378,"是")</f>
        <v>597014286</v>
      </c>
      <c r="T6" s="6">
        <f t="shared" ref="T6" si="24">SUMIFS(V12:V378,$C$12:$C$378,"是")</f>
        <v>596336593</v>
      </c>
      <c r="U6" s="6">
        <f t="shared" ref="U6" si="25">SUMIFS(W12:W378,$C$12:$C$378,"是")</f>
        <v>595401766</v>
      </c>
      <c r="V6" s="6">
        <f t="shared" ref="V6" si="26">SUMIFS(X12:X378,$C$12:$C$378,"是")</f>
        <v>594222335</v>
      </c>
      <c r="W6" s="6">
        <f t="shared" ref="W6" si="27">SUMIFS(Y12:Y378,$C$12:$C$378,"是")</f>
        <v>592811113</v>
      </c>
      <c r="X6" s="6">
        <f t="shared" ref="X6" si="28">SUMIFS(Z12:Z378,$C$12:$C$378,"是")</f>
        <v>591181162</v>
      </c>
      <c r="Y6" s="6">
        <f t="shared" ref="Y6" si="29">SUMIFS(AA12:AA378,$C$12:$C$378,"是")</f>
        <v>589345814</v>
      </c>
      <c r="Z6" s="6">
        <f t="shared" ref="Z6" si="30">SUMIFS(AB12:AB378,$C$12:$C$378,"是")</f>
        <v>587318673</v>
      </c>
      <c r="AA6" s="6">
        <f t="shared" ref="AA6" si="31">SUMIFS(AC12:AC378,$C$12:$C$378,"是")</f>
        <v>585113618</v>
      </c>
      <c r="AB6" s="6">
        <f t="shared" ref="AB6" si="32">SUMIFS(AD12:AD378,$C$12:$C$378,"是")</f>
        <v>582744767</v>
      </c>
      <c r="AC6" s="6">
        <f t="shared" ref="AC6" si="33">SUMIFS(AE12:AE378,$C$12:$C$378,"是")</f>
        <v>580226521</v>
      </c>
      <c r="AD6" s="6">
        <f t="shared" ref="AD6" si="34">SUMIFS(AF12:AF378,$C$12:$C$378,"是")</f>
        <v>577573545</v>
      </c>
      <c r="AE6" s="6">
        <f t="shared" ref="AE6" si="35">SUMIFS(AG12:AG378,$C$12:$C$378,"是")</f>
        <v>574800774</v>
      </c>
      <c r="AF6" s="6">
        <f t="shared" ref="AF6" si="36">SUMIFS(AH12:AH378,$C$12:$C$378,"是")</f>
        <v>571923378</v>
      </c>
      <c r="AG6" s="6">
        <f t="shared" ref="AG6" si="37">SUMIFS(AI12:AI378,$C$12:$C$378,"是")</f>
        <v>568956842</v>
      </c>
      <c r="AH6" s="6">
        <f t="shared" ref="AH6" si="38">SUMIFS(AJ12:AJ378,$C$12:$C$378,"是")</f>
        <v>565916879</v>
      </c>
      <c r="AI6" s="6">
        <f t="shared" ref="AI6" si="39">SUMIFS(AK12:AK378,$C$12:$C$378,"是")</f>
        <v>562819483</v>
      </c>
      <c r="AJ6" s="6">
        <f t="shared" ref="AJ6" si="40">SUMIFS(AL12:AL378,$C$12:$C$378,"是")</f>
        <v>559680919</v>
      </c>
      <c r="AK6" s="6">
        <f t="shared" ref="AK6" si="41">SUMIFS(AM12:AM378,$C$12:$C$378,"是")</f>
        <v>556517680</v>
      </c>
      <c r="AL6" s="6">
        <f t="shared" ref="AL6" si="42">SUMIFS(AN12:AN378,$C$12:$C$378,"是")</f>
        <v>553346585</v>
      </c>
      <c r="AM6" s="6">
        <f t="shared" ref="AM6" si="43">SUMIFS(AO12:AO378,$C$12:$C$378,"是")</f>
        <v>550184666</v>
      </c>
      <c r="AN6" s="6">
        <f t="shared" ref="AN6" si="44">SUMIFS(AP12:AP378,$C$12:$C$378,"是")</f>
        <v>547049248</v>
      </c>
      <c r="AO6" s="6">
        <f t="shared" ref="AO6" si="45">SUMIFS(AQ12:AQ378,$C$12:$C$378,"是")</f>
        <v>543957923</v>
      </c>
      <c r="AP6" s="6">
        <f t="shared" ref="AP6" si="46">SUMIFS(AR12:AR378,$C$12:$C$378,"是")</f>
        <v>540928522</v>
      </c>
      <c r="AQ6" s="6">
        <f t="shared" ref="AQ6" si="47">SUMIFS(AS12:AS378,$C$12:$C$378,"是")</f>
        <v>537979168</v>
      </c>
      <c r="AR6" s="6">
        <f t="shared" ref="AR6" si="48">SUMIFS(AT12:AT378,$C$12:$C$378,"是")</f>
        <v>535128230</v>
      </c>
      <c r="AS6" s="6">
        <f t="shared" ref="AS6" si="49">SUMIFS(AU12:AU378,$C$12:$C$378,"是")</f>
        <v>532394380</v>
      </c>
      <c r="AT6" s="6">
        <f t="shared" ref="AT6" si="50">SUMIFS(AV12:AV378,$C$12:$C$378,"是")</f>
        <v>529796515</v>
      </c>
    </row>
    <row r="7" s="6" customFormat="1" spans="1:48">
      <c r="A7" s="5" t="s">
        <v>207</v>
      </c>
      <c r="B7" s="51">
        <f t="shared" ref="B7:AT7" si="51">SUMIFS(D12:D378,$C$12:$C$378,"是")*B2</f>
        <v>345018895.069185</v>
      </c>
      <c r="C7" s="51">
        <f t="shared" si="51"/>
        <v>354200128.089063</v>
      </c>
      <c r="D7" s="51">
        <f t="shared" si="51"/>
        <v>363452064.524415</v>
      </c>
      <c r="E7" s="51">
        <f t="shared" si="51"/>
        <v>358682046.074189</v>
      </c>
      <c r="F7" s="51">
        <f t="shared" si="51"/>
        <v>368832345.741</v>
      </c>
      <c r="G7" s="51">
        <f t="shared" si="51"/>
        <v>373278385.672709</v>
      </c>
      <c r="H7" s="51">
        <f t="shared" si="51"/>
        <v>377506923.561355</v>
      </c>
      <c r="I7" s="51">
        <f t="shared" si="51"/>
        <v>381519832.091179</v>
      </c>
      <c r="J7" s="51">
        <f t="shared" si="51"/>
        <v>385319225.907717</v>
      </c>
      <c r="K7" s="51">
        <f t="shared" si="51"/>
        <v>388907521.977598</v>
      </c>
      <c r="L7" s="51">
        <f t="shared" si="51"/>
        <v>392287381.59874</v>
      </c>
      <c r="M7" s="51">
        <f t="shared" si="51"/>
        <v>395461757.987273</v>
      </c>
      <c r="N7" s="51">
        <f t="shared" si="51"/>
        <v>398433889.893712</v>
      </c>
      <c r="O7" s="51">
        <f t="shared" si="51"/>
        <v>401207305.631393</v>
      </c>
      <c r="P7" s="51">
        <f t="shared" si="51"/>
        <v>403785832.526383</v>
      </c>
      <c r="Q7" s="51">
        <f t="shared" si="51"/>
        <v>406173601.12587</v>
      </c>
      <c r="R7" s="51">
        <f t="shared" si="51"/>
        <v>408375067.194844</v>
      </c>
      <c r="S7" s="51">
        <f t="shared" si="51"/>
        <v>410394988.272074</v>
      </c>
      <c r="T7" s="51">
        <f t="shared" si="51"/>
        <v>412238465.659988</v>
      </c>
      <c r="U7" s="51">
        <f t="shared" si="51"/>
        <v>413910934.875462</v>
      </c>
      <c r="V7" s="51">
        <f t="shared" si="51"/>
        <v>415418163.324133</v>
      </c>
      <c r="W7" s="51">
        <f t="shared" si="51"/>
        <v>416766280.80064</v>
      </c>
      <c r="X7" s="51">
        <f t="shared" si="51"/>
        <v>417961763.515337</v>
      </c>
      <c r="Y7" s="51">
        <f t="shared" si="51"/>
        <v>419011456.535592</v>
      </c>
      <c r="Z7" s="51">
        <f t="shared" si="51"/>
        <v>419922583.260499</v>
      </c>
      <c r="AA7" s="51">
        <f t="shared" si="51"/>
        <v>420702755.784865</v>
      </c>
      <c r="AB7" s="51">
        <f t="shared" si="51"/>
        <v>421359957.260845</v>
      </c>
      <c r="AC7" s="51">
        <f t="shared" si="51"/>
        <v>421902581.677147</v>
      </c>
      <c r="AD7" s="51">
        <f t="shared" si="51"/>
        <v>422339428.76798</v>
      </c>
      <c r="AE7" s="51">
        <f t="shared" si="51"/>
        <v>422679716.968642</v>
      </c>
      <c r="AF7" s="51">
        <f t="shared" si="51"/>
        <v>422933066.328546</v>
      </c>
      <c r="AG7" s="51">
        <f t="shared" si="51"/>
        <v>423109566.201305</v>
      </c>
      <c r="AH7" s="51">
        <f t="shared" si="51"/>
        <v>423219720.175595</v>
      </c>
      <c r="AI7" s="51">
        <f t="shared" si="51"/>
        <v>423274494.245598</v>
      </c>
      <c r="AJ7" s="51">
        <f t="shared" si="51"/>
        <v>423285318.803093</v>
      </c>
      <c r="AK7" s="51">
        <f t="shared" si="51"/>
        <v>423264065.417054</v>
      </c>
      <c r="AL7" s="51">
        <f t="shared" si="51"/>
        <v>423223130.490343</v>
      </c>
      <c r="AM7" s="51">
        <f t="shared" si="51"/>
        <v>423175359.284787</v>
      </c>
      <c r="AN7" s="51">
        <f t="shared" si="51"/>
        <v>423134116.453998</v>
      </c>
      <c r="AO7" s="51">
        <f t="shared" si="51"/>
        <v>423113276.340146</v>
      </c>
      <c r="AP7" s="51">
        <f t="shared" si="51"/>
        <v>423127211.177273</v>
      </c>
      <c r="AQ7" s="51">
        <f t="shared" si="51"/>
        <v>423190842.418178</v>
      </c>
      <c r="AR7" s="51">
        <f t="shared" si="51"/>
        <v>423319615.293539</v>
      </c>
      <c r="AS7" s="51">
        <f t="shared" si="51"/>
        <v>423529554.23913</v>
      </c>
      <c r="AT7" s="51">
        <f t="shared" si="51"/>
        <v>423837212</v>
      </c>
    </row>
    <row r="8" spans="1:48">
      <c r="A8" s="52" t="s">
        <v>208</v>
      </c>
      <c r="B8">
        <f>B7/B2/B3</f>
        <v>0.423351960677904</v>
      </c>
      <c r="C8">
        <f t="shared" ref="C8:AT8" si="52">C7/C2/C3</f>
        <v>0.423400506980521</v>
      </c>
      <c r="D8">
        <f t="shared" si="52"/>
        <v>0.423431152139952</v>
      </c>
      <c r="E8">
        <f t="shared" si="52"/>
        <v>0.409134081742912</v>
      </c>
      <c r="F8">
        <f t="shared" si="52"/>
        <v>0.409079991155603</v>
      </c>
      <c r="G8">
        <f t="shared" si="52"/>
        <v>0.408999282533024</v>
      </c>
      <c r="H8">
        <f t="shared" si="52"/>
        <v>0.408895555787518</v>
      </c>
      <c r="I8">
        <f t="shared" si="52"/>
        <v>0.408772071873083</v>
      </c>
      <c r="J8">
        <f t="shared" si="52"/>
        <v>0.40863179395667</v>
      </c>
      <c r="K8">
        <f t="shared" si="52"/>
        <v>0.408477443497891</v>
      </c>
      <c r="L8">
        <f t="shared" si="52"/>
        <v>0.408311497028867</v>
      </c>
      <c r="M8">
        <f t="shared" si="52"/>
        <v>0.408136203939093</v>
      </c>
      <c r="N8">
        <f t="shared" si="52"/>
        <v>0.407953631704731</v>
      </c>
      <c r="O8">
        <f t="shared" si="52"/>
        <v>0.407765655119998</v>
      </c>
      <c r="P8">
        <f t="shared" si="52"/>
        <v>0.407573978449172</v>
      </c>
      <c r="Q8">
        <f t="shared" si="52"/>
        <v>0.407380153965647</v>
      </c>
      <c r="R8">
        <f t="shared" si="52"/>
        <v>0.407185582571217</v>
      </c>
      <c r="S8">
        <f t="shared" si="52"/>
        <v>0.406991524690889</v>
      </c>
      <c r="T8">
        <f t="shared" si="52"/>
        <v>0.406799113767439</v>
      </c>
      <c r="U8">
        <f t="shared" si="52"/>
        <v>0.406609362451782</v>
      </c>
      <c r="V8">
        <f t="shared" si="52"/>
        <v>0.406423150050714</v>
      </c>
      <c r="W8">
        <f t="shared" si="52"/>
        <v>0.406241242279206</v>
      </c>
      <c r="X8">
        <f t="shared" si="52"/>
        <v>0.40606429198119</v>
      </c>
      <c r="Y8">
        <f t="shared" si="52"/>
        <v>0.405892832216938</v>
      </c>
      <c r="Z8">
        <f t="shared" si="52"/>
        <v>0.405727285189662</v>
      </c>
      <c r="AA8">
        <f t="shared" si="52"/>
        <v>0.40556796210439</v>
      </c>
      <c r="AB8">
        <f t="shared" si="52"/>
        <v>0.40541504862317</v>
      </c>
      <c r="AC8">
        <f t="shared" si="52"/>
        <v>0.405268623576698</v>
      </c>
      <c r="AD8">
        <f t="shared" si="52"/>
        <v>0.405128630437069</v>
      </c>
      <c r="AE8">
        <f t="shared" si="52"/>
        <v>0.404994902788788</v>
      </c>
      <c r="AF8">
        <f t="shared" si="52"/>
        <v>0.404867128814989</v>
      </c>
      <c r="AG8">
        <f t="shared" si="52"/>
        <v>0.404744876647018</v>
      </c>
      <c r="AH8">
        <f t="shared" si="52"/>
        <v>0.404627567659732</v>
      </c>
      <c r="AI8">
        <f t="shared" si="52"/>
        <v>0.404514487164357</v>
      </c>
      <c r="AJ8">
        <f t="shared" si="52"/>
        <v>0.40440476311755</v>
      </c>
      <c r="AK8">
        <f t="shared" si="52"/>
        <v>0.404297360611643</v>
      </c>
      <c r="AL8">
        <f t="shared" si="52"/>
        <v>0.404191104206043</v>
      </c>
      <c r="AM8">
        <f t="shared" si="52"/>
        <v>0.404084641346249</v>
      </c>
      <c r="AN8">
        <f t="shared" si="52"/>
        <v>0.403976446988022</v>
      </c>
      <c r="AO8">
        <f t="shared" si="52"/>
        <v>0.40386483236899</v>
      </c>
      <c r="AP8">
        <f t="shared" si="52"/>
        <v>0.403747915867649</v>
      </c>
      <c r="AQ8">
        <f t="shared" si="52"/>
        <v>0.403623660168051</v>
      </c>
      <c r="AR8">
        <f t="shared" si="52"/>
        <v>0.403489837849789</v>
      </c>
      <c r="AS8">
        <f t="shared" si="52"/>
        <v>0.403344067323205</v>
      </c>
      <c r="AT8">
        <f t="shared" si="52"/>
        <v>0.403183787365822</v>
      </c>
    </row>
    <row r="10" ht="12.4" customHeight="1" spans="1:48">
      <c r="A10" t="s">
        <v>209</v>
      </c>
    </row>
    <row r="11" spans="1:48">
      <c r="A11" t="s">
        <v>210</v>
      </c>
      <c r="C11" t="s">
        <v>211</v>
      </c>
      <c r="D11">
        <v>2016</v>
      </c>
      <c r="E11">
        <v>2017</v>
      </c>
      <c r="F11">
        <v>2018</v>
      </c>
      <c r="G11">
        <v>2019</v>
      </c>
      <c r="H11">
        <v>2020</v>
      </c>
      <c r="I11">
        <v>2021</v>
      </c>
      <c r="J11">
        <v>2022</v>
      </c>
      <c r="K11">
        <v>2023</v>
      </c>
      <c r="L11">
        <v>2024</v>
      </c>
      <c r="M11">
        <v>2025</v>
      </c>
      <c r="N11">
        <v>2026</v>
      </c>
      <c r="O11">
        <v>2027</v>
      </c>
      <c r="P11">
        <v>2028</v>
      </c>
      <c r="Q11">
        <v>2029</v>
      </c>
      <c r="R11">
        <v>2030</v>
      </c>
      <c r="S11">
        <v>2031</v>
      </c>
      <c r="T11">
        <v>2032</v>
      </c>
      <c r="U11">
        <v>2033</v>
      </c>
      <c r="V11">
        <v>2034</v>
      </c>
      <c r="W11">
        <v>2035</v>
      </c>
      <c r="X11">
        <v>2036</v>
      </c>
      <c r="Y11">
        <v>2037</v>
      </c>
      <c r="Z11">
        <v>2038</v>
      </c>
      <c r="AA11">
        <v>2039</v>
      </c>
      <c r="AB11">
        <v>2040</v>
      </c>
      <c r="AC11">
        <v>2041</v>
      </c>
      <c r="AD11">
        <v>2042</v>
      </c>
      <c r="AE11">
        <v>2043</v>
      </c>
      <c r="AF11">
        <v>2044</v>
      </c>
      <c r="AG11">
        <v>2045</v>
      </c>
      <c r="AH11">
        <v>2046</v>
      </c>
      <c r="AI11">
        <v>2047</v>
      </c>
      <c r="AJ11">
        <v>2048</v>
      </c>
      <c r="AK11">
        <v>2049</v>
      </c>
      <c r="AL11">
        <v>2050</v>
      </c>
      <c r="AM11">
        <v>2051</v>
      </c>
      <c r="AN11">
        <v>2052</v>
      </c>
      <c r="AO11">
        <v>2053</v>
      </c>
      <c r="AP11">
        <v>2054</v>
      </c>
      <c r="AQ11">
        <v>2055</v>
      </c>
      <c r="AR11">
        <v>2056</v>
      </c>
      <c r="AS11">
        <v>2057</v>
      </c>
      <c r="AT11">
        <v>2058</v>
      </c>
      <c r="AU11">
        <v>2059</v>
      </c>
      <c r="AV11">
        <v>2060</v>
      </c>
    </row>
    <row r="12" spans="1:48">
      <c r="A12" t="s">
        <v>212</v>
      </c>
      <c r="B12" t="s">
        <v>213</v>
      </c>
      <c r="C12" t="s">
        <v>14</v>
      </c>
      <c r="D12" s="37">
        <v>20876817.7770755</v>
      </c>
      <c r="E12" s="37">
        <v>21043311.6079731</v>
      </c>
      <c r="F12" s="37">
        <v>21192712.3890679</v>
      </c>
      <c r="G12" s="37">
        <v>21641222</v>
      </c>
      <c r="H12">
        <v>21891193</v>
      </c>
      <c r="I12">
        <v>22092349</v>
      </c>
      <c r="J12">
        <v>22249167</v>
      </c>
      <c r="K12">
        <v>22365919</v>
      </c>
      <c r="L12">
        <v>22446671</v>
      </c>
      <c r="M12">
        <v>22495287</v>
      </c>
      <c r="N12">
        <v>22515425</v>
      </c>
      <c r="O12">
        <v>22510539</v>
      </c>
      <c r="P12">
        <v>22483879</v>
      </c>
      <c r="Q12">
        <v>22438490</v>
      </c>
      <c r="R12">
        <v>22377211</v>
      </c>
      <c r="S12">
        <v>22302681</v>
      </c>
      <c r="T12">
        <v>22217329</v>
      </c>
      <c r="U12">
        <v>22123385</v>
      </c>
      <c r="V12">
        <v>22022870</v>
      </c>
      <c r="W12">
        <v>21917603</v>
      </c>
      <c r="X12">
        <v>21809199</v>
      </c>
      <c r="Y12">
        <v>21699066</v>
      </c>
      <c r="Z12">
        <v>21588410</v>
      </c>
      <c r="AA12">
        <v>21478232</v>
      </c>
      <c r="AB12">
        <v>21369328</v>
      </c>
      <c r="AC12">
        <v>21262290</v>
      </c>
      <c r="AD12">
        <v>21157505</v>
      </c>
      <c r="AE12">
        <v>21055156</v>
      </c>
      <c r="AF12">
        <v>20955222</v>
      </c>
      <c r="AG12">
        <v>20857477</v>
      </c>
      <c r="AH12">
        <v>20761490</v>
      </c>
      <c r="AI12">
        <v>20666628</v>
      </c>
      <c r="AJ12">
        <v>20572049</v>
      </c>
      <c r="AK12">
        <v>20476712</v>
      </c>
      <c r="AL12">
        <v>20379368</v>
      </c>
      <c r="AM12">
        <v>20278564</v>
      </c>
      <c r="AN12">
        <v>20172643</v>
      </c>
      <c r="AO12">
        <v>20059744</v>
      </c>
      <c r="AP12">
        <v>19937802</v>
      </c>
      <c r="AQ12">
        <v>19804545</v>
      </c>
      <c r="AR12">
        <v>19657500</v>
      </c>
      <c r="AS12">
        <v>19493987</v>
      </c>
      <c r="AT12">
        <v>19311122</v>
      </c>
      <c r="AU12">
        <v>19105817</v>
      </c>
      <c r="AV12">
        <v>18874781</v>
      </c>
    </row>
    <row r="13" spans="1:48">
      <c r="A13" t="s">
        <v>214</v>
      </c>
      <c r="B13" t="s">
        <v>215</v>
      </c>
      <c r="C13" t="s">
        <v>14</v>
      </c>
      <c r="D13" s="37">
        <v>13567333.6771656</v>
      </c>
      <c r="E13" s="37">
        <v>13653977.2245873</v>
      </c>
      <c r="F13" s="37">
        <v>13732216.5743411</v>
      </c>
      <c r="G13" s="37">
        <v>13739203</v>
      </c>
      <c r="H13">
        <v>13864934</v>
      </c>
      <c r="I13">
        <v>13965579</v>
      </c>
      <c r="J13">
        <v>14043199</v>
      </c>
      <c r="K13">
        <v>14099770</v>
      </c>
      <c r="L13">
        <v>14137179</v>
      </c>
      <c r="M13">
        <v>14157227</v>
      </c>
      <c r="N13">
        <v>14161631</v>
      </c>
      <c r="O13">
        <v>14152018</v>
      </c>
      <c r="P13">
        <v>14129932</v>
      </c>
      <c r="Q13">
        <v>14096828</v>
      </c>
      <c r="R13">
        <v>14054075</v>
      </c>
      <c r="S13">
        <v>14002956</v>
      </c>
      <c r="T13">
        <v>13944668</v>
      </c>
      <c r="U13">
        <v>13880322</v>
      </c>
      <c r="V13">
        <v>13810939</v>
      </c>
      <c r="W13">
        <v>13737458</v>
      </c>
      <c r="X13">
        <v>13660729</v>
      </c>
      <c r="Y13">
        <v>13581517</v>
      </c>
      <c r="Z13">
        <v>13500498</v>
      </c>
      <c r="AA13">
        <v>13418265</v>
      </c>
      <c r="AB13">
        <v>13335323</v>
      </c>
      <c r="AC13">
        <v>13252088</v>
      </c>
      <c r="AD13">
        <v>13168894</v>
      </c>
      <c r="AE13">
        <v>13085986</v>
      </c>
      <c r="AF13">
        <v>13003523</v>
      </c>
      <c r="AG13">
        <v>12921577</v>
      </c>
      <c r="AH13">
        <v>12840135</v>
      </c>
      <c r="AI13">
        <v>12759095</v>
      </c>
      <c r="AJ13">
        <v>12678272</v>
      </c>
      <c r="AK13">
        <v>12597391</v>
      </c>
      <c r="AL13">
        <v>12516094</v>
      </c>
      <c r="AM13">
        <v>12433933</v>
      </c>
      <c r="AN13">
        <v>12350377</v>
      </c>
      <c r="AO13">
        <v>12264805</v>
      </c>
      <c r="AP13">
        <v>12176513</v>
      </c>
      <c r="AQ13">
        <v>12084708</v>
      </c>
      <c r="AR13">
        <v>11988512</v>
      </c>
      <c r="AS13">
        <v>11886960</v>
      </c>
      <c r="AT13">
        <v>11779000</v>
      </c>
      <c r="AU13">
        <v>11663494</v>
      </c>
      <c r="AV13">
        <v>11539219</v>
      </c>
    </row>
    <row r="14" spans="1:48">
      <c r="A14" t="s">
        <v>216</v>
      </c>
      <c r="B14" t="s">
        <v>217</v>
      </c>
      <c r="C14" t="s">
        <v>14</v>
      </c>
      <c r="D14" s="37">
        <v>10686650.8854224</v>
      </c>
      <c r="E14" s="37">
        <v>10759179.8051731</v>
      </c>
      <c r="F14" s="37">
        <v>10826288.8774325</v>
      </c>
      <c r="G14" s="37">
        <v>11135097</v>
      </c>
      <c r="H14">
        <v>11234139</v>
      </c>
      <c r="I14">
        <v>11322464</v>
      </c>
      <c r="J14">
        <v>11400612</v>
      </c>
      <c r="K14">
        <v>11469108</v>
      </c>
      <c r="L14">
        <v>11528463</v>
      </c>
      <c r="M14">
        <v>11579176</v>
      </c>
      <c r="N14">
        <v>11621729</v>
      </c>
      <c r="O14">
        <v>11656594</v>
      </c>
      <c r="P14">
        <v>11684227</v>
      </c>
      <c r="Q14">
        <v>11705069</v>
      </c>
      <c r="R14">
        <v>11719549</v>
      </c>
      <c r="S14">
        <v>11728082</v>
      </c>
      <c r="T14">
        <v>11731069</v>
      </c>
      <c r="U14">
        <v>11728896</v>
      </c>
      <c r="V14">
        <v>11721937</v>
      </c>
      <c r="W14">
        <v>11710551</v>
      </c>
      <c r="X14">
        <v>11695084</v>
      </c>
      <c r="Y14">
        <v>11675867</v>
      </c>
      <c r="Z14">
        <v>11653217</v>
      </c>
      <c r="AA14">
        <v>11627439</v>
      </c>
      <c r="AB14">
        <v>11598822</v>
      </c>
      <c r="AC14">
        <v>11567644</v>
      </c>
      <c r="AD14">
        <v>11534165</v>
      </c>
      <c r="AE14">
        <v>11498636</v>
      </c>
      <c r="AF14">
        <v>11461289</v>
      </c>
      <c r="AG14">
        <v>11422347</v>
      </c>
      <c r="AH14">
        <v>11382015</v>
      </c>
      <c r="AI14">
        <v>11340488</v>
      </c>
      <c r="AJ14">
        <v>11297944</v>
      </c>
      <c r="AK14">
        <v>11254549</v>
      </c>
      <c r="AL14">
        <v>11210455</v>
      </c>
      <c r="AM14">
        <v>11165798</v>
      </c>
      <c r="AN14">
        <v>11120704</v>
      </c>
      <c r="AO14">
        <v>11075281</v>
      </c>
      <c r="AP14">
        <v>11029627</v>
      </c>
      <c r="AQ14">
        <v>10983823</v>
      </c>
      <c r="AR14">
        <v>10937938</v>
      </c>
      <c r="AS14">
        <v>10892027</v>
      </c>
      <c r="AT14">
        <v>10846130</v>
      </c>
      <c r="AU14">
        <v>10800274</v>
      </c>
      <c r="AV14">
        <v>10754473</v>
      </c>
    </row>
    <row r="15" spans="1:48">
      <c r="A15" t="s">
        <v>218</v>
      </c>
      <c r="B15" t="s">
        <v>219</v>
      </c>
      <c r="C15" t="s">
        <v>14</v>
      </c>
      <c r="D15" s="37">
        <v>7874731.22758795</v>
      </c>
      <c r="E15" s="37">
        <v>7909763.95585932</v>
      </c>
      <c r="F15" s="37">
        <v>7940411.93618307</v>
      </c>
      <c r="G15" s="37">
        <v>7678887</v>
      </c>
      <c r="H15">
        <v>7717136</v>
      </c>
      <c r="I15">
        <v>7749822</v>
      </c>
      <c r="J15">
        <v>7777124</v>
      </c>
      <c r="K15">
        <v>7799223</v>
      </c>
      <c r="L15">
        <v>7816298</v>
      </c>
      <c r="M15">
        <v>7828530</v>
      </c>
      <c r="N15">
        <v>7836100</v>
      </c>
      <c r="O15">
        <v>7839190</v>
      </c>
      <c r="P15">
        <v>7837984</v>
      </c>
      <c r="Q15">
        <v>7832663</v>
      </c>
      <c r="R15">
        <v>7823411</v>
      </c>
      <c r="S15">
        <v>7810414</v>
      </c>
      <c r="T15">
        <v>7793854</v>
      </c>
      <c r="U15">
        <v>7773918</v>
      </c>
      <c r="V15">
        <v>7750791</v>
      </c>
      <c r="W15">
        <v>7724660</v>
      </c>
      <c r="X15">
        <v>7695713</v>
      </c>
      <c r="Y15">
        <v>7664135</v>
      </c>
      <c r="Z15">
        <v>7630116</v>
      </c>
      <c r="AA15">
        <v>7593844</v>
      </c>
      <c r="AB15">
        <v>7555509</v>
      </c>
      <c r="AC15">
        <v>7515300</v>
      </c>
      <c r="AD15">
        <v>7473408</v>
      </c>
      <c r="AE15">
        <v>7430023</v>
      </c>
      <c r="AF15">
        <v>7385337</v>
      </c>
      <c r="AG15">
        <v>7339543</v>
      </c>
      <c r="AH15">
        <v>7292832</v>
      </c>
      <c r="AI15">
        <v>7245399</v>
      </c>
      <c r="AJ15">
        <v>7197436</v>
      </c>
      <c r="AK15">
        <v>7149139</v>
      </c>
      <c r="AL15">
        <v>7100701</v>
      </c>
      <c r="AM15">
        <v>7052320</v>
      </c>
      <c r="AN15">
        <v>7004189</v>
      </c>
      <c r="AO15">
        <v>6956507</v>
      </c>
      <c r="AP15">
        <v>6909471</v>
      </c>
      <c r="AQ15">
        <v>6863277</v>
      </c>
      <c r="AR15">
        <v>6818125</v>
      </c>
      <c r="AS15">
        <v>6774213</v>
      </c>
      <c r="AT15">
        <v>6731741</v>
      </c>
      <c r="AU15">
        <v>6690909</v>
      </c>
      <c r="AV15">
        <v>6651916</v>
      </c>
    </row>
    <row r="16" spans="1:48">
      <c r="A16" t="s">
        <v>220</v>
      </c>
      <c r="B16" t="s">
        <v>221</v>
      </c>
      <c r="C16" t="s">
        <v>14</v>
      </c>
      <c r="D16" s="37">
        <v>3106235.04721987</v>
      </c>
      <c r="E16" s="37">
        <v>3121107.74725352</v>
      </c>
      <c r="F16" s="37">
        <v>3134335.64920778</v>
      </c>
      <c r="G16" s="37">
        <v>3118115</v>
      </c>
      <c r="H16">
        <v>3136546</v>
      </c>
      <c r="I16">
        <v>3152301</v>
      </c>
      <c r="J16">
        <v>3165496</v>
      </c>
      <c r="K16">
        <v>3176243</v>
      </c>
      <c r="L16">
        <v>3184654</v>
      </c>
      <c r="M16">
        <v>3190839</v>
      </c>
      <c r="N16">
        <v>3194906</v>
      </c>
      <c r="O16">
        <v>3196962</v>
      </c>
      <c r="P16">
        <v>3197112</v>
      </c>
      <c r="Q16">
        <v>3195459</v>
      </c>
      <c r="R16">
        <v>3192105</v>
      </c>
      <c r="S16">
        <v>3187150</v>
      </c>
      <c r="T16">
        <v>3180692</v>
      </c>
      <c r="U16">
        <v>3172828</v>
      </c>
      <c r="V16">
        <v>3163652</v>
      </c>
      <c r="W16">
        <v>3153260</v>
      </c>
      <c r="X16">
        <v>3141741</v>
      </c>
      <c r="Y16">
        <v>3129187</v>
      </c>
      <c r="Z16">
        <v>3115685</v>
      </c>
      <c r="AA16">
        <v>3101323</v>
      </c>
      <c r="AB16">
        <v>3086185</v>
      </c>
      <c r="AC16">
        <v>3070356</v>
      </c>
      <c r="AD16">
        <v>3053917</v>
      </c>
      <c r="AE16">
        <v>3036948</v>
      </c>
      <c r="AF16">
        <v>3019527</v>
      </c>
      <c r="AG16">
        <v>3001732</v>
      </c>
      <c r="AH16">
        <v>2983639</v>
      </c>
      <c r="AI16">
        <v>2965319</v>
      </c>
      <c r="AJ16">
        <v>2946846</v>
      </c>
      <c r="AK16">
        <v>2928290</v>
      </c>
      <c r="AL16">
        <v>2909719</v>
      </c>
      <c r="AM16">
        <v>2891201</v>
      </c>
      <c r="AN16">
        <v>2872800</v>
      </c>
      <c r="AO16">
        <v>2854581</v>
      </c>
      <c r="AP16">
        <v>2836605</v>
      </c>
      <c r="AQ16">
        <v>2818933</v>
      </c>
      <c r="AR16">
        <v>2801623</v>
      </c>
      <c r="AS16">
        <v>2784733</v>
      </c>
      <c r="AT16">
        <v>2768318</v>
      </c>
      <c r="AU16">
        <v>2752432</v>
      </c>
      <c r="AV16">
        <v>2737126</v>
      </c>
    </row>
    <row r="17" spans="1:48">
      <c r="A17" t="s">
        <v>222</v>
      </c>
      <c r="B17" t="s">
        <v>223</v>
      </c>
      <c r="C17" t="s">
        <v>14</v>
      </c>
      <c r="D17" s="37">
        <v>9673167.13127298</v>
      </c>
      <c r="E17" s="37">
        <v>9731065.4401651</v>
      </c>
      <c r="F17" s="37">
        <v>9783611.73828867</v>
      </c>
      <c r="G17" s="37">
        <v>9366372</v>
      </c>
      <c r="H17">
        <v>9413329</v>
      </c>
      <c r="I17">
        <v>9462180</v>
      </c>
      <c r="J17">
        <v>9512262</v>
      </c>
      <c r="K17">
        <v>9562952</v>
      </c>
      <c r="L17">
        <v>9613662</v>
      </c>
      <c r="M17">
        <v>9663844</v>
      </c>
      <c r="N17">
        <v>9712987</v>
      </c>
      <c r="O17">
        <v>9760617</v>
      </c>
      <c r="P17">
        <v>9806298</v>
      </c>
      <c r="Q17">
        <v>9849633</v>
      </c>
      <c r="R17">
        <v>9890260</v>
      </c>
      <c r="S17">
        <v>9927857</v>
      </c>
      <c r="T17">
        <v>9962140</v>
      </c>
      <c r="U17">
        <v>9992860</v>
      </c>
      <c r="V17">
        <v>10019810</v>
      </c>
      <c r="W17">
        <v>10042816</v>
      </c>
      <c r="X17">
        <v>10061745</v>
      </c>
      <c r="Y17">
        <v>10076500</v>
      </c>
      <c r="Z17">
        <v>10087024</v>
      </c>
      <c r="AA17">
        <v>10093294</v>
      </c>
      <c r="AB17">
        <v>10095328</v>
      </c>
      <c r="AC17">
        <v>10093180</v>
      </c>
      <c r="AD17">
        <v>10086943</v>
      </c>
      <c r="AE17">
        <v>10076746</v>
      </c>
      <c r="AF17">
        <v>10062758</v>
      </c>
      <c r="AG17">
        <v>10045183</v>
      </c>
      <c r="AH17">
        <v>10024266</v>
      </c>
      <c r="AI17">
        <v>10000285</v>
      </c>
      <c r="AJ17">
        <v>9973561</v>
      </c>
      <c r="AK17">
        <v>9944450</v>
      </c>
      <c r="AL17">
        <v>9913345</v>
      </c>
      <c r="AM17">
        <v>9880678</v>
      </c>
      <c r="AN17">
        <v>9846919</v>
      </c>
      <c r="AO17">
        <v>9812575</v>
      </c>
      <c r="AP17">
        <v>9778191</v>
      </c>
      <c r="AQ17">
        <v>9744349</v>
      </c>
      <c r="AR17">
        <v>9711669</v>
      </c>
      <c r="AS17">
        <v>9680811</v>
      </c>
      <c r="AT17">
        <v>9652468</v>
      </c>
      <c r="AU17">
        <v>9627376</v>
      </c>
      <c r="AV17">
        <v>9606304</v>
      </c>
    </row>
    <row r="18" spans="1:48">
      <c r="A18" t="s">
        <v>224</v>
      </c>
      <c r="B18" t="s">
        <v>225</v>
      </c>
      <c r="C18" t="s">
        <v>14</v>
      </c>
      <c r="D18" s="37">
        <v>7482382.95960124</v>
      </c>
      <c r="E18" s="37">
        <v>7531475.77501394</v>
      </c>
      <c r="F18" s="37">
        <v>7576754.67095216</v>
      </c>
      <c r="G18" s="37">
        <v>7058880</v>
      </c>
      <c r="H18">
        <v>7110576</v>
      </c>
      <c r="I18">
        <v>7159488</v>
      </c>
      <c r="J18">
        <v>7205534</v>
      </c>
      <c r="K18">
        <v>7248644</v>
      </c>
      <c r="L18">
        <v>7288757</v>
      </c>
      <c r="M18">
        <v>7325823</v>
      </c>
      <c r="N18">
        <v>7359802</v>
      </c>
      <c r="O18">
        <v>7390663</v>
      </c>
      <c r="P18">
        <v>7418388</v>
      </c>
      <c r="Q18">
        <v>7442968</v>
      </c>
      <c r="R18">
        <v>7464404</v>
      </c>
      <c r="S18">
        <v>7482708</v>
      </c>
      <c r="T18">
        <v>7497902</v>
      </c>
      <c r="U18">
        <v>7510018</v>
      </c>
      <c r="V18">
        <v>7519098</v>
      </c>
      <c r="W18">
        <v>7525196</v>
      </c>
      <c r="X18">
        <v>7528375</v>
      </c>
      <c r="Y18">
        <v>7528709</v>
      </c>
      <c r="Z18">
        <v>7526282</v>
      </c>
      <c r="AA18">
        <v>7521187</v>
      </c>
      <c r="AB18">
        <v>7513531</v>
      </c>
      <c r="AC18">
        <v>7503427</v>
      </c>
      <c r="AD18">
        <v>7491001</v>
      </c>
      <c r="AE18">
        <v>7476388</v>
      </c>
      <c r="AF18">
        <v>7459735</v>
      </c>
      <c r="AG18">
        <v>7441198</v>
      </c>
      <c r="AH18">
        <v>7420943</v>
      </c>
      <c r="AI18">
        <v>7399148</v>
      </c>
      <c r="AJ18">
        <v>7376000</v>
      </c>
      <c r="AK18">
        <v>7351696</v>
      </c>
      <c r="AL18">
        <v>7326444</v>
      </c>
      <c r="AM18">
        <v>7300463</v>
      </c>
      <c r="AN18">
        <v>7273981</v>
      </c>
      <c r="AO18">
        <v>7247237</v>
      </c>
      <c r="AP18">
        <v>7220481</v>
      </c>
      <c r="AQ18">
        <v>7193972</v>
      </c>
      <c r="AR18">
        <v>7167980</v>
      </c>
      <c r="AS18">
        <v>7142785</v>
      </c>
      <c r="AT18">
        <v>7118678</v>
      </c>
      <c r="AU18">
        <v>7095960</v>
      </c>
      <c r="AV18">
        <v>7074941</v>
      </c>
    </row>
    <row r="19" spans="1:48">
      <c r="A19" t="s">
        <v>226</v>
      </c>
      <c r="B19" t="s">
        <v>227</v>
      </c>
      <c r="C19" t="s">
        <v>14</v>
      </c>
      <c r="D19" s="37">
        <v>11726942.1862655</v>
      </c>
      <c r="E19" s="37">
        <v>11792754.199718</v>
      </c>
      <c r="F19" s="37">
        <v>11852313.0223476</v>
      </c>
      <c r="G19" s="37">
        <v>11475860</v>
      </c>
      <c r="H19">
        <v>11542974</v>
      </c>
      <c r="I19">
        <v>11605691</v>
      </c>
      <c r="J19">
        <v>11663886</v>
      </c>
      <c r="K19">
        <v>11717453</v>
      </c>
      <c r="L19">
        <v>11766300</v>
      </c>
      <c r="M19">
        <v>11810353</v>
      </c>
      <c r="N19">
        <v>11849553</v>
      </c>
      <c r="O19">
        <v>11883859</v>
      </c>
      <c r="P19">
        <v>11913244</v>
      </c>
      <c r="Q19">
        <v>11937700</v>
      </c>
      <c r="R19">
        <v>11957233</v>
      </c>
      <c r="S19">
        <v>11971868</v>
      </c>
      <c r="T19">
        <v>11981643</v>
      </c>
      <c r="U19">
        <v>11986615</v>
      </c>
      <c r="V19">
        <v>11986856</v>
      </c>
      <c r="W19">
        <v>11982455</v>
      </c>
      <c r="X19">
        <v>11973518</v>
      </c>
      <c r="Y19">
        <v>11960165</v>
      </c>
      <c r="Z19">
        <v>11942535</v>
      </c>
      <c r="AA19">
        <v>11920781</v>
      </c>
      <c r="AB19">
        <v>11895075</v>
      </c>
      <c r="AC19">
        <v>11865602</v>
      </c>
      <c r="AD19">
        <v>11832567</v>
      </c>
      <c r="AE19">
        <v>11796189</v>
      </c>
      <c r="AF19">
        <v>11756704</v>
      </c>
      <c r="AG19">
        <v>11714363</v>
      </c>
      <c r="AH19">
        <v>11669436</v>
      </c>
      <c r="AI19">
        <v>11622207</v>
      </c>
      <c r="AJ19">
        <v>11572979</v>
      </c>
      <c r="AK19">
        <v>11522067</v>
      </c>
      <c r="AL19">
        <v>11469807</v>
      </c>
      <c r="AM19">
        <v>11416549</v>
      </c>
      <c r="AN19">
        <v>11362659</v>
      </c>
      <c r="AO19">
        <v>11308520</v>
      </c>
      <c r="AP19">
        <v>11254532</v>
      </c>
      <c r="AQ19">
        <v>11201110</v>
      </c>
      <c r="AR19">
        <v>11148687</v>
      </c>
      <c r="AS19">
        <v>11097710</v>
      </c>
      <c r="AT19">
        <v>11048645</v>
      </c>
      <c r="AU19">
        <v>11001973</v>
      </c>
      <c r="AV19">
        <v>10958191</v>
      </c>
    </row>
    <row r="20" spans="1:48">
      <c r="A20" t="s">
        <v>228</v>
      </c>
      <c r="B20" t="s">
        <v>229</v>
      </c>
      <c r="C20" t="s">
        <v>14</v>
      </c>
      <c r="D20" s="37">
        <v>4466424.35352943</v>
      </c>
      <c r="E20" s="37">
        <v>4479269.96155836</v>
      </c>
      <c r="F20" s="37">
        <v>4490122.74318989</v>
      </c>
      <c r="G20" s="37">
        <v>4107476</v>
      </c>
      <c r="H20">
        <v>4118494</v>
      </c>
      <c r="I20">
        <v>4128506</v>
      </c>
      <c r="J20">
        <v>4137368</v>
      </c>
      <c r="K20">
        <v>4144948</v>
      </c>
      <c r="L20">
        <v>4151128</v>
      </c>
      <c r="M20">
        <v>4155802</v>
      </c>
      <c r="N20">
        <v>4158876</v>
      </c>
      <c r="O20">
        <v>4160270</v>
      </c>
      <c r="P20">
        <v>4159916</v>
      </c>
      <c r="Q20">
        <v>4157759</v>
      </c>
      <c r="R20">
        <v>4153756</v>
      </c>
      <c r="S20">
        <v>4147879</v>
      </c>
      <c r="T20">
        <v>4140110</v>
      </c>
      <c r="U20">
        <v>4130445</v>
      </c>
      <c r="V20">
        <v>4118892</v>
      </c>
      <c r="W20">
        <v>4105474</v>
      </c>
      <c r="X20">
        <v>4090223</v>
      </c>
      <c r="Y20">
        <v>4073187</v>
      </c>
      <c r="Z20">
        <v>4054425</v>
      </c>
      <c r="AA20">
        <v>4034009</v>
      </c>
      <c r="AB20">
        <v>4012024</v>
      </c>
      <c r="AC20">
        <v>3988568</v>
      </c>
      <c r="AD20">
        <v>3963751</v>
      </c>
      <c r="AE20">
        <v>3937696</v>
      </c>
      <c r="AF20">
        <v>3910540</v>
      </c>
      <c r="AG20">
        <v>3882430</v>
      </c>
      <c r="AH20">
        <v>3853528</v>
      </c>
      <c r="AI20">
        <v>3824008</v>
      </c>
      <c r="AJ20">
        <v>3794056</v>
      </c>
      <c r="AK20">
        <v>3763873</v>
      </c>
      <c r="AL20">
        <v>3733669</v>
      </c>
      <c r="AM20">
        <v>3703671</v>
      </c>
      <c r="AN20">
        <v>3674116</v>
      </c>
      <c r="AO20">
        <v>3645253</v>
      </c>
      <c r="AP20">
        <v>3617347</v>
      </c>
      <c r="AQ20">
        <v>3590673</v>
      </c>
      <c r="AR20">
        <v>3565519</v>
      </c>
      <c r="AS20">
        <v>3542188</v>
      </c>
      <c r="AT20">
        <v>3520991</v>
      </c>
      <c r="AU20">
        <v>3502258</v>
      </c>
      <c r="AV20">
        <v>3486326</v>
      </c>
    </row>
    <row r="21" spans="1:48">
      <c r="A21" t="s">
        <v>230</v>
      </c>
      <c r="B21" t="s">
        <v>231</v>
      </c>
      <c r="C21" t="s">
        <v>14</v>
      </c>
      <c r="D21" s="37">
        <v>3599572.42688734</v>
      </c>
      <c r="E21" s="37">
        <v>3613787.71668285</v>
      </c>
      <c r="F21" s="37">
        <v>3626369.09655185</v>
      </c>
      <c r="G21" s="37">
        <v>3341797</v>
      </c>
      <c r="H21">
        <v>3354153</v>
      </c>
      <c r="I21">
        <v>3366260</v>
      </c>
      <c r="J21">
        <v>3377932</v>
      </c>
      <c r="K21">
        <v>3388991</v>
      </c>
      <c r="L21">
        <v>3399277</v>
      </c>
      <c r="M21">
        <v>3408640</v>
      </c>
      <c r="N21">
        <v>3416946</v>
      </c>
      <c r="O21">
        <v>3424074</v>
      </c>
      <c r="P21">
        <v>3429915</v>
      </c>
      <c r="Q21">
        <v>3434376</v>
      </c>
      <c r="R21">
        <v>3437374</v>
      </c>
      <c r="S21">
        <v>3438844</v>
      </c>
      <c r="T21">
        <v>3438731</v>
      </c>
      <c r="U21">
        <v>3436994</v>
      </c>
      <c r="V21">
        <v>3433608</v>
      </c>
      <c r="W21">
        <v>3428558</v>
      </c>
      <c r="X21">
        <v>3421844</v>
      </c>
      <c r="Y21">
        <v>3413481</v>
      </c>
      <c r="Z21">
        <v>3403495</v>
      </c>
      <c r="AA21">
        <v>3391928</v>
      </c>
      <c r="AB21">
        <v>3378833</v>
      </c>
      <c r="AC21">
        <v>3364277</v>
      </c>
      <c r="AD21">
        <v>3348343</v>
      </c>
      <c r="AE21">
        <v>3331125</v>
      </c>
      <c r="AF21">
        <v>3312731</v>
      </c>
      <c r="AG21">
        <v>3293283</v>
      </c>
      <c r="AH21">
        <v>3272915</v>
      </c>
      <c r="AI21">
        <v>3251777</v>
      </c>
      <c r="AJ21">
        <v>3230032</v>
      </c>
      <c r="AK21">
        <v>3207853</v>
      </c>
      <c r="AL21">
        <v>3185432</v>
      </c>
      <c r="AM21">
        <v>3162970</v>
      </c>
      <c r="AN21">
        <v>3140684</v>
      </c>
      <c r="AO21">
        <v>3118803</v>
      </c>
      <c r="AP21">
        <v>3097571</v>
      </c>
      <c r="AQ21">
        <v>3077245</v>
      </c>
      <c r="AR21">
        <v>3058094</v>
      </c>
      <c r="AS21">
        <v>3040403</v>
      </c>
      <c r="AT21">
        <v>3024468</v>
      </c>
      <c r="AU21">
        <v>3010602</v>
      </c>
      <c r="AV21">
        <v>2999127</v>
      </c>
    </row>
    <row r="22" spans="1:48">
      <c r="A22" t="s">
        <v>232</v>
      </c>
      <c r="B22" t="s">
        <v>233</v>
      </c>
      <c r="C22" t="s">
        <v>14</v>
      </c>
      <c r="D22" s="37">
        <v>7456414.87777472</v>
      </c>
      <c r="E22" s="37">
        <v>7494078.09026341</v>
      </c>
      <c r="F22" s="37">
        <v>7527827.41402537</v>
      </c>
      <c r="G22" s="37">
        <v>7266521</v>
      </c>
      <c r="H22">
        <v>7300129</v>
      </c>
      <c r="I22">
        <v>7332887</v>
      </c>
      <c r="J22">
        <v>7364507</v>
      </c>
      <c r="K22">
        <v>7394719</v>
      </c>
      <c r="L22">
        <v>7423274</v>
      </c>
      <c r="M22">
        <v>7449946</v>
      </c>
      <c r="N22">
        <v>7474526</v>
      </c>
      <c r="O22">
        <v>7496828</v>
      </c>
      <c r="P22">
        <v>7516685</v>
      </c>
      <c r="Q22">
        <v>7533952</v>
      </c>
      <c r="R22">
        <v>7548503</v>
      </c>
      <c r="S22">
        <v>7560233</v>
      </c>
      <c r="T22">
        <v>7569060</v>
      </c>
      <c r="U22">
        <v>7574918</v>
      </c>
      <c r="V22">
        <v>7577765</v>
      </c>
      <c r="W22">
        <v>7577579</v>
      </c>
      <c r="X22">
        <v>7574358</v>
      </c>
      <c r="Y22">
        <v>7568120</v>
      </c>
      <c r="Z22">
        <v>7558904</v>
      </c>
      <c r="AA22">
        <v>7546770</v>
      </c>
      <c r="AB22">
        <v>7531799</v>
      </c>
      <c r="AC22">
        <v>7514091</v>
      </c>
      <c r="AD22">
        <v>7493768</v>
      </c>
      <c r="AE22">
        <v>7470971</v>
      </c>
      <c r="AF22">
        <v>7445863</v>
      </c>
      <c r="AG22">
        <v>7418628</v>
      </c>
      <c r="AH22">
        <v>7389467</v>
      </c>
      <c r="AI22">
        <v>7358607</v>
      </c>
      <c r="AJ22">
        <v>7326291</v>
      </c>
      <c r="AK22">
        <v>7292785</v>
      </c>
      <c r="AL22">
        <v>7258374</v>
      </c>
      <c r="AM22">
        <v>7223364</v>
      </c>
      <c r="AN22">
        <v>7188084</v>
      </c>
      <c r="AO22">
        <v>7152879</v>
      </c>
      <c r="AP22">
        <v>7118118</v>
      </c>
      <c r="AQ22">
        <v>7084189</v>
      </c>
      <c r="AR22">
        <v>7051502</v>
      </c>
      <c r="AS22">
        <v>7020485</v>
      </c>
      <c r="AT22">
        <v>6991590</v>
      </c>
      <c r="AU22">
        <v>6965287</v>
      </c>
      <c r="AV22">
        <v>6942067</v>
      </c>
    </row>
    <row r="23" spans="1:48">
      <c r="A23" t="s">
        <v>234</v>
      </c>
      <c r="B23" t="s">
        <v>235</v>
      </c>
      <c r="C23" t="s">
        <v>14</v>
      </c>
      <c r="D23" s="37">
        <v>4593015.8206246</v>
      </c>
      <c r="E23" s="37">
        <v>4625006.94685064</v>
      </c>
      <c r="F23" s="37">
        <v>4654532.1526478</v>
      </c>
      <c r="G23" s="37">
        <v>5414885</v>
      </c>
      <c r="H23">
        <v>5463661</v>
      </c>
      <c r="I23">
        <v>5507146</v>
      </c>
      <c r="J23">
        <v>5545612</v>
      </c>
      <c r="K23">
        <v>5579322</v>
      </c>
      <c r="L23">
        <v>5608534</v>
      </c>
      <c r="M23">
        <v>5633497</v>
      </c>
      <c r="N23">
        <v>5654453</v>
      </c>
      <c r="O23">
        <v>5671636</v>
      </c>
      <c r="P23">
        <v>5685274</v>
      </c>
      <c r="Q23">
        <v>5695585</v>
      </c>
      <c r="R23">
        <v>5702781</v>
      </c>
      <c r="S23">
        <v>5707067</v>
      </c>
      <c r="T23">
        <v>5708639</v>
      </c>
      <c r="U23">
        <v>5707688</v>
      </c>
      <c r="V23">
        <v>5704394</v>
      </c>
      <c r="W23">
        <v>5698931</v>
      </c>
      <c r="X23">
        <v>5691468</v>
      </c>
      <c r="Y23">
        <v>5682163</v>
      </c>
      <c r="Z23">
        <v>5671168</v>
      </c>
      <c r="AA23">
        <v>5658627</v>
      </c>
      <c r="AB23">
        <v>5644677</v>
      </c>
      <c r="AC23">
        <v>5629447</v>
      </c>
      <c r="AD23">
        <v>5613060</v>
      </c>
      <c r="AE23">
        <v>5595629</v>
      </c>
      <c r="AF23">
        <v>5577261</v>
      </c>
      <c r="AG23">
        <v>5558056</v>
      </c>
      <c r="AH23">
        <v>5538104</v>
      </c>
      <c r="AI23">
        <v>5517492</v>
      </c>
      <c r="AJ23">
        <v>5496295</v>
      </c>
      <c r="AK23">
        <v>5474582</v>
      </c>
      <c r="AL23">
        <v>5452416</v>
      </c>
      <c r="AM23">
        <v>5429850</v>
      </c>
      <c r="AN23">
        <v>5406932</v>
      </c>
      <c r="AO23">
        <v>5383701</v>
      </c>
      <c r="AP23">
        <v>5360187</v>
      </c>
      <c r="AQ23">
        <v>5336417</v>
      </c>
      <c r="AR23">
        <v>5312406</v>
      </c>
      <c r="AS23">
        <v>5288163</v>
      </c>
      <c r="AT23">
        <v>5263691</v>
      </c>
      <c r="AU23">
        <v>5238983</v>
      </c>
      <c r="AV23">
        <v>5214027</v>
      </c>
    </row>
    <row r="24" spans="1:48">
      <c r="A24" t="s">
        <v>236</v>
      </c>
      <c r="B24" t="s">
        <v>237</v>
      </c>
      <c r="C24" t="s">
        <v>14</v>
      </c>
      <c r="D24" s="37">
        <v>4513455.457812</v>
      </c>
      <c r="E24" s="37">
        <v>4535957.99555533</v>
      </c>
      <c r="F24" s="37">
        <v>4556447.72911827</v>
      </c>
      <c r="G24" s="37">
        <v>4188881</v>
      </c>
      <c r="H24">
        <v>4212532</v>
      </c>
      <c r="I24">
        <v>4234283</v>
      </c>
      <c r="J24">
        <v>4254096</v>
      </c>
      <c r="K24">
        <v>4271939</v>
      </c>
      <c r="L24">
        <v>4287788</v>
      </c>
      <c r="M24">
        <v>4301625</v>
      </c>
      <c r="N24">
        <v>4313439</v>
      </c>
      <c r="O24">
        <v>4323227</v>
      </c>
      <c r="P24">
        <v>4330992</v>
      </c>
      <c r="Q24">
        <v>4336744</v>
      </c>
      <c r="R24">
        <v>4340501</v>
      </c>
      <c r="S24">
        <v>4342288</v>
      </c>
      <c r="T24">
        <v>4342135</v>
      </c>
      <c r="U24">
        <v>4340081</v>
      </c>
      <c r="V24">
        <v>4336171</v>
      </c>
      <c r="W24">
        <v>4330457</v>
      </c>
      <c r="X24">
        <v>4322999</v>
      </c>
      <c r="Y24">
        <v>4313862</v>
      </c>
      <c r="Z24">
        <v>4303121</v>
      </c>
      <c r="AA24">
        <v>4290855</v>
      </c>
      <c r="AB24">
        <v>4277152</v>
      </c>
      <c r="AC24">
        <v>4262105</v>
      </c>
      <c r="AD24">
        <v>4245816</v>
      </c>
      <c r="AE24">
        <v>4228394</v>
      </c>
      <c r="AF24">
        <v>4209952</v>
      </c>
      <c r="AG24">
        <v>4190614</v>
      </c>
      <c r="AH24">
        <v>4170508</v>
      </c>
      <c r="AI24">
        <v>4149771</v>
      </c>
      <c r="AJ24">
        <v>4128546</v>
      </c>
      <c r="AK24">
        <v>4106983</v>
      </c>
      <c r="AL24">
        <v>4085238</v>
      </c>
      <c r="AM24">
        <v>4063476</v>
      </c>
      <c r="AN24">
        <v>4041868</v>
      </c>
      <c r="AO24">
        <v>4020592</v>
      </c>
      <c r="AP24">
        <v>3999834</v>
      </c>
      <c r="AQ24">
        <v>3979784</v>
      </c>
      <c r="AR24">
        <v>3960642</v>
      </c>
      <c r="AS24">
        <v>3942614</v>
      </c>
      <c r="AT24">
        <v>3925913</v>
      </c>
      <c r="AU24">
        <v>3910759</v>
      </c>
      <c r="AV24">
        <v>3897379</v>
      </c>
    </row>
    <row r="25" spans="1:48">
      <c r="A25" t="s">
        <v>238</v>
      </c>
      <c r="B25" t="s">
        <v>239</v>
      </c>
      <c r="C25" t="s">
        <v>14</v>
      </c>
      <c r="D25" s="37">
        <v>4415095.93410872</v>
      </c>
      <c r="E25" s="37">
        <v>4449729.86689544</v>
      </c>
      <c r="F25" s="37">
        <v>4482780.26580897</v>
      </c>
      <c r="G25" s="37">
        <v>5239059</v>
      </c>
      <c r="H25">
        <v>5303644</v>
      </c>
      <c r="I25">
        <v>5360421</v>
      </c>
      <c r="J25">
        <v>5409895</v>
      </c>
      <c r="K25">
        <v>5452553</v>
      </c>
      <c r="L25">
        <v>5488867</v>
      </c>
      <c r="M25">
        <v>5519288</v>
      </c>
      <c r="N25">
        <v>5544252</v>
      </c>
      <c r="O25">
        <v>5564176</v>
      </c>
      <c r="P25">
        <v>5579460</v>
      </c>
      <c r="Q25">
        <v>5590487</v>
      </c>
      <c r="R25">
        <v>5597620</v>
      </c>
      <c r="S25">
        <v>5601208</v>
      </c>
      <c r="T25">
        <v>5601579</v>
      </c>
      <c r="U25">
        <v>5599047</v>
      </c>
      <c r="V25">
        <v>5593904</v>
      </c>
      <c r="W25">
        <v>5586428</v>
      </c>
      <c r="X25">
        <v>5576878</v>
      </c>
      <c r="Y25">
        <v>5565496</v>
      </c>
      <c r="Z25">
        <v>5552506</v>
      </c>
      <c r="AA25">
        <v>5538115</v>
      </c>
      <c r="AB25">
        <v>5522510</v>
      </c>
      <c r="AC25">
        <v>5505864</v>
      </c>
      <c r="AD25">
        <v>5488330</v>
      </c>
      <c r="AE25">
        <v>5470044</v>
      </c>
      <c r="AF25">
        <v>5451126</v>
      </c>
      <c r="AG25">
        <v>5431675</v>
      </c>
      <c r="AH25">
        <v>5411775</v>
      </c>
      <c r="AI25">
        <v>5391493</v>
      </c>
      <c r="AJ25">
        <v>5370876</v>
      </c>
      <c r="AK25">
        <v>5349955</v>
      </c>
      <c r="AL25">
        <v>5328743</v>
      </c>
      <c r="AM25">
        <v>5307236</v>
      </c>
      <c r="AN25">
        <v>5285411</v>
      </c>
      <c r="AO25">
        <v>5263229</v>
      </c>
      <c r="AP25">
        <v>5240632</v>
      </c>
      <c r="AQ25">
        <v>5217546</v>
      </c>
      <c r="AR25">
        <v>5193878</v>
      </c>
      <c r="AS25">
        <v>5169518</v>
      </c>
      <c r="AT25">
        <v>5144339</v>
      </c>
      <c r="AU25">
        <v>5118196</v>
      </c>
      <c r="AV25">
        <v>5090925</v>
      </c>
    </row>
    <row r="26" spans="1:48">
      <c r="A26" t="s">
        <v>240</v>
      </c>
      <c r="B26" t="s">
        <v>241</v>
      </c>
      <c r="C26" t="s">
        <v>14</v>
      </c>
      <c r="D26" s="37">
        <v>3430533.92286236</v>
      </c>
      <c r="E26" s="37">
        <v>3449998.34756417</v>
      </c>
      <c r="F26" s="37">
        <v>3468885.35701202</v>
      </c>
      <c r="G26" s="37">
        <v>3078819</v>
      </c>
      <c r="H26">
        <v>3105346</v>
      </c>
      <c r="I26">
        <v>3129816</v>
      </c>
      <c r="J26">
        <v>3152210</v>
      </c>
      <c r="K26">
        <v>3172517</v>
      </c>
      <c r="L26">
        <v>3190730</v>
      </c>
      <c r="M26">
        <v>3206851</v>
      </c>
      <c r="N26">
        <v>3220885</v>
      </c>
      <c r="O26">
        <v>3232845</v>
      </c>
      <c r="P26">
        <v>3242750</v>
      </c>
      <c r="Q26">
        <v>3250624</v>
      </c>
      <c r="R26">
        <v>3256499</v>
      </c>
      <c r="S26">
        <v>3260411</v>
      </c>
      <c r="T26">
        <v>3262404</v>
      </c>
      <c r="U26">
        <v>3262528</v>
      </c>
      <c r="V26">
        <v>3260837</v>
      </c>
      <c r="W26">
        <v>3257393</v>
      </c>
      <c r="X26">
        <v>3252264</v>
      </c>
      <c r="Y26">
        <v>3245524</v>
      </c>
      <c r="Z26">
        <v>3237253</v>
      </c>
      <c r="AA26">
        <v>3227536</v>
      </c>
      <c r="AB26">
        <v>3216467</v>
      </c>
      <c r="AC26">
        <v>3204143</v>
      </c>
      <c r="AD26">
        <v>3190670</v>
      </c>
      <c r="AE26">
        <v>3176157</v>
      </c>
      <c r="AF26">
        <v>3160721</v>
      </c>
      <c r="AG26">
        <v>3144486</v>
      </c>
      <c r="AH26">
        <v>3127581</v>
      </c>
      <c r="AI26">
        <v>3110139</v>
      </c>
      <c r="AJ26">
        <v>3092304</v>
      </c>
      <c r="AK26">
        <v>3074222</v>
      </c>
      <c r="AL26">
        <v>3056046</v>
      </c>
      <c r="AM26">
        <v>3037937</v>
      </c>
      <c r="AN26">
        <v>3020061</v>
      </c>
      <c r="AO26">
        <v>3002588</v>
      </c>
      <c r="AP26">
        <v>2985698</v>
      </c>
      <c r="AQ26">
        <v>2969574</v>
      </c>
      <c r="AR26">
        <v>2954406</v>
      </c>
      <c r="AS26">
        <v>2940392</v>
      </c>
      <c r="AT26">
        <v>2927734</v>
      </c>
      <c r="AU26">
        <v>2916640</v>
      </c>
      <c r="AV26">
        <v>2907326</v>
      </c>
    </row>
    <row r="27" spans="1:48">
      <c r="A27" t="s">
        <v>242</v>
      </c>
      <c r="B27" t="s">
        <v>243</v>
      </c>
      <c r="C27" t="s">
        <v>14</v>
      </c>
      <c r="D27" s="37">
        <v>1415780.59716312</v>
      </c>
      <c r="E27" s="37">
        <v>1422691.49216242</v>
      </c>
      <c r="F27" s="37">
        <v>1429136.40754371</v>
      </c>
      <c r="G27" s="37">
        <v>1310028</v>
      </c>
      <c r="H27">
        <v>1318415</v>
      </c>
      <c r="I27">
        <v>1325998</v>
      </c>
      <c r="J27">
        <v>1332770</v>
      </c>
      <c r="K27">
        <v>1338726</v>
      </c>
      <c r="L27">
        <v>1343864</v>
      </c>
      <c r="M27">
        <v>1348185</v>
      </c>
      <c r="N27">
        <v>1351689</v>
      </c>
      <c r="O27">
        <v>1354383</v>
      </c>
      <c r="P27">
        <v>1356272</v>
      </c>
      <c r="Q27">
        <v>1357367</v>
      </c>
      <c r="R27">
        <v>1357679</v>
      </c>
      <c r="S27">
        <v>1357223</v>
      </c>
      <c r="T27">
        <v>1356013</v>
      </c>
      <c r="U27">
        <v>1354070</v>
      </c>
      <c r="V27">
        <v>1351415</v>
      </c>
      <c r="W27">
        <v>1348070</v>
      </c>
      <c r="X27">
        <v>1344062</v>
      </c>
      <c r="Y27">
        <v>1339419</v>
      </c>
      <c r="Z27">
        <v>1334172</v>
      </c>
      <c r="AA27">
        <v>1328353</v>
      </c>
      <c r="AB27">
        <v>1321997</v>
      </c>
      <c r="AC27">
        <v>1315142</v>
      </c>
      <c r="AD27">
        <v>1307828</v>
      </c>
      <c r="AE27">
        <v>1300097</v>
      </c>
      <c r="AF27">
        <v>1291994</v>
      </c>
      <c r="AG27">
        <v>1283566</v>
      </c>
      <c r="AH27">
        <v>1274861</v>
      </c>
      <c r="AI27">
        <v>1265933</v>
      </c>
      <c r="AJ27">
        <v>1256834</v>
      </c>
      <c r="AK27">
        <v>1247621</v>
      </c>
      <c r="AL27">
        <v>1238352</v>
      </c>
      <c r="AM27">
        <v>1229090</v>
      </c>
      <c r="AN27">
        <v>1219896</v>
      </c>
      <c r="AO27">
        <v>1210837</v>
      </c>
      <c r="AP27">
        <v>1201982</v>
      </c>
      <c r="AQ27">
        <v>1193399</v>
      </c>
      <c r="AR27">
        <v>1185163</v>
      </c>
      <c r="AS27">
        <v>1177349</v>
      </c>
      <c r="AT27">
        <v>1170032</v>
      </c>
      <c r="AU27">
        <v>1163295</v>
      </c>
      <c r="AV27">
        <v>1157218</v>
      </c>
    </row>
    <row r="28" spans="1:48">
      <c r="A28" t="s">
        <v>244</v>
      </c>
      <c r="B28" t="s">
        <v>245</v>
      </c>
      <c r="C28" t="s">
        <v>14</v>
      </c>
      <c r="D28" s="37">
        <v>3458773.61752425</v>
      </c>
      <c r="E28" s="37">
        <v>3479728.25932372</v>
      </c>
      <c r="F28" s="37">
        <v>3500025.14764649</v>
      </c>
      <c r="G28" s="37">
        <v>3153980</v>
      </c>
      <c r="H28">
        <v>3180707</v>
      </c>
      <c r="I28">
        <v>3205700</v>
      </c>
      <c r="J28">
        <v>3228901</v>
      </c>
      <c r="K28">
        <v>3250260</v>
      </c>
      <c r="L28">
        <v>3269735</v>
      </c>
      <c r="M28">
        <v>3287293</v>
      </c>
      <c r="N28">
        <v>3302908</v>
      </c>
      <c r="O28">
        <v>3316563</v>
      </c>
      <c r="P28">
        <v>3328247</v>
      </c>
      <c r="Q28">
        <v>3337958</v>
      </c>
      <c r="R28">
        <v>3345703</v>
      </c>
      <c r="S28">
        <v>3351496</v>
      </c>
      <c r="T28">
        <v>3355357</v>
      </c>
      <c r="U28">
        <v>3357319</v>
      </c>
      <c r="V28">
        <v>3357416</v>
      </c>
      <c r="W28">
        <v>3355697</v>
      </c>
      <c r="X28">
        <v>3352214</v>
      </c>
      <c r="Y28">
        <v>3347029</v>
      </c>
      <c r="Z28">
        <v>3340211</v>
      </c>
      <c r="AA28">
        <v>3331838</v>
      </c>
      <c r="AB28">
        <v>3321995</v>
      </c>
      <c r="AC28">
        <v>3310776</v>
      </c>
      <c r="AD28">
        <v>3298281</v>
      </c>
      <c r="AE28">
        <v>3284621</v>
      </c>
      <c r="AF28">
        <v>3269911</v>
      </c>
      <c r="AG28">
        <v>3254278</v>
      </c>
      <c r="AH28">
        <v>3237853</v>
      </c>
      <c r="AI28">
        <v>3220779</v>
      </c>
      <c r="AJ28">
        <v>3203204</v>
      </c>
      <c r="AK28">
        <v>3185285</v>
      </c>
      <c r="AL28">
        <v>3167186</v>
      </c>
      <c r="AM28">
        <v>3149081</v>
      </c>
      <c r="AN28">
        <v>3131149</v>
      </c>
      <c r="AO28">
        <v>3113580</v>
      </c>
      <c r="AP28">
        <v>3096569</v>
      </c>
      <c r="AQ28">
        <v>3080323</v>
      </c>
      <c r="AR28">
        <v>3065051</v>
      </c>
      <c r="AS28">
        <v>3050976</v>
      </c>
      <c r="AT28">
        <v>3038325</v>
      </c>
      <c r="AU28">
        <v>3027335</v>
      </c>
      <c r="AV28">
        <v>3018249</v>
      </c>
    </row>
    <row r="29" spans="1:48">
      <c r="A29" t="s">
        <v>246</v>
      </c>
      <c r="B29" t="s">
        <v>247</v>
      </c>
      <c r="C29" t="s">
        <v>14</v>
      </c>
      <c r="D29" s="37">
        <v>2355559.88733381</v>
      </c>
      <c r="E29" s="37">
        <v>2370498.50447213</v>
      </c>
      <c r="F29" s="37">
        <v>2385224.30009748</v>
      </c>
      <c r="G29" s="37">
        <v>2172950</v>
      </c>
      <c r="H29">
        <v>2194435</v>
      </c>
      <c r="I29">
        <v>2214058</v>
      </c>
      <c r="J29">
        <v>2231828</v>
      </c>
      <c r="K29">
        <v>2247764</v>
      </c>
      <c r="L29">
        <v>2261883</v>
      </c>
      <c r="M29">
        <v>2274211</v>
      </c>
      <c r="N29">
        <v>2284775</v>
      </c>
      <c r="O29">
        <v>2293605</v>
      </c>
      <c r="P29">
        <v>2300737</v>
      </c>
      <c r="Q29">
        <v>2306211</v>
      </c>
      <c r="R29">
        <v>2310067</v>
      </c>
      <c r="S29">
        <v>2312355</v>
      </c>
      <c r="T29">
        <v>2313123</v>
      </c>
      <c r="U29">
        <v>2312426</v>
      </c>
      <c r="V29">
        <v>2310322</v>
      </c>
      <c r="W29">
        <v>2306873</v>
      </c>
      <c r="X29">
        <v>2302146</v>
      </c>
      <c r="Y29">
        <v>2296208</v>
      </c>
      <c r="Z29">
        <v>2289135</v>
      </c>
      <c r="AA29">
        <v>2281002</v>
      </c>
      <c r="AB29">
        <v>2271892</v>
      </c>
      <c r="AC29">
        <v>2261889</v>
      </c>
      <c r="AD29">
        <v>2251081</v>
      </c>
      <c r="AE29">
        <v>2239562</v>
      </c>
      <c r="AF29">
        <v>2227428</v>
      </c>
      <c r="AG29">
        <v>2214778</v>
      </c>
      <c r="AH29">
        <v>2201718</v>
      </c>
      <c r="AI29">
        <v>2188354</v>
      </c>
      <c r="AJ29">
        <v>2174799</v>
      </c>
      <c r="AK29">
        <v>2161168</v>
      </c>
      <c r="AL29">
        <v>2147580</v>
      </c>
      <c r="AM29">
        <v>2134159</v>
      </c>
      <c r="AN29">
        <v>2121032</v>
      </c>
      <c r="AO29">
        <v>2108329</v>
      </c>
      <c r="AP29">
        <v>2096186</v>
      </c>
      <c r="AQ29">
        <v>2084740</v>
      </c>
      <c r="AR29">
        <v>2074134</v>
      </c>
      <c r="AS29">
        <v>2064514</v>
      </c>
      <c r="AT29">
        <v>2056030</v>
      </c>
      <c r="AU29">
        <v>2048837</v>
      </c>
      <c r="AV29">
        <v>2043090</v>
      </c>
    </row>
    <row r="30" spans="1:48">
      <c r="A30" t="s">
        <v>248</v>
      </c>
      <c r="B30" t="s">
        <v>249</v>
      </c>
      <c r="C30" t="s">
        <v>14</v>
      </c>
      <c r="D30" s="37">
        <v>1773476.54609824</v>
      </c>
      <c r="E30" s="37">
        <v>1786351.98092665</v>
      </c>
      <c r="F30" s="37">
        <v>1799394.79703156</v>
      </c>
      <c r="G30" s="37">
        <v>1573920</v>
      </c>
      <c r="H30">
        <v>1593316</v>
      </c>
      <c r="I30">
        <v>1611527</v>
      </c>
      <c r="J30">
        <v>1628537</v>
      </c>
      <c r="K30">
        <v>1644339</v>
      </c>
      <c r="L30">
        <v>1658925</v>
      </c>
      <c r="M30">
        <v>1672294</v>
      </c>
      <c r="N30">
        <v>1684446</v>
      </c>
      <c r="O30">
        <v>1695389</v>
      </c>
      <c r="P30">
        <v>1705130</v>
      </c>
      <c r="Q30">
        <v>1713684</v>
      </c>
      <c r="R30">
        <v>1721067</v>
      </c>
      <c r="S30">
        <v>1727299</v>
      </c>
      <c r="T30">
        <v>1732407</v>
      </c>
      <c r="U30">
        <v>1736417</v>
      </c>
      <c r="V30">
        <v>1739363</v>
      </c>
      <c r="W30">
        <v>1741280</v>
      </c>
      <c r="X30">
        <v>1742210</v>
      </c>
      <c r="Y30">
        <v>1742194</v>
      </c>
      <c r="Z30">
        <v>1741282</v>
      </c>
      <c r="AA30">
        <v>1739525</v>
      </c>
      <c r="AB30">
        <v>1736977</v>
      </c>
      <c r="AC30">
        <v>1733699</v>
      </c>
      <c r="AD30">
        <v>1729753</v>
      </c>
      <c r="AE30">
        <v>1725206</v>
      </c>
      <c r="AF30">
        <v>1720129</v>
      </c>
      <c r="AG30">
        <v>1714597</v>
      </c>
      <c r="AH30">
        <v>1708687</v>
      </c>
      <c r="AI30">
        <v>1702482</v>
      </c>
      <c r="AJ30">
        <v>1696068</v>
      </c>
      <c r="AK30">
        <v>1689534</v>
      </c>
      <c r="AL30">
        <v>1682976</v>
      </c>
      <c r="AM30">
        <v>1676489</v>
      </c>
      <c r="AN30">
        <v>1670176</v>
      </c>
      <c r="AO30">
        <v>1664142</v>
      </c>
      <c r="AP30">
        <v>1658495</v>
      </c>
      <c r="AQ30">
        <v>1653349</v>
      </c>
      <c r="AR30">
        <v>1648820</v>
      </c>
      <c r="AS30">
        <v>1645030</v>
      </c>
      <c r="AT30">
        <v>1642101</v>
      </c>
      <c r="AU30">
        <v>1640163</v>
      </c>
      <c r="AV30">
        <v>1639348</v>
      </c>
    </row>
    <row r="31" spans="1:48">
      <c r="A31" t="s">
        <v>250</v>
      </c>
      <c r="B31" t="s">
        <v>251</v>
      </c>
      <c r="C31" t="s">
        <v>14</v>
      </c>
      <c r="D31" s="37">
        <v>3365355.4486727</v>
      </c>
      <c r="E31" s="37">
        <v>3381905.66133314</v>
      </c>
      <c r="F31" s="37">
        <v>3397431.16035916</v>
      </c>
      <c r="G31" s="37">
        <v>3358771</v>
      </c>
      <c r="H31">
        <v>3379226</v>
      </c>
      <c r="I31">
        <v>3398592</v>
      </c>
      <c r="J31">
        <v>3416759</v>
      </c>
      <c r="K31">
        <v>3433625</v>
      </c>
      <c r="L31">
        <v>3449099</v>
      </c>
      <c r="M31">
        <v>3463101</v>
      </c>
      <c r="N31">
        <v>3475558</v>
      </c>
      <c r="O31">
        <v>3486411</v>
      </c>
      <c r="P31">
        <v>3495606</v>
      </c>
      <c r="Q31">
        <v>3503103</v>
      </c>
      <c r="R31">
        <v>3508871</v>
      </c>
      <c r="S31">
        <v>3512886</v>
      </c>
      <c r="T31">
        <v>3515137</v>
      </c>
      <c r="U31">
        <v>3515622</v>
      </c>
      <c r="V31">
        <v>3514349</v>
      </c>
      <c r="W31">
        <v>3511336</v>
      </c>
      <c r="X31">
        <v>3506609</v>
      </c>
      <c r="Y31">
        <v>3500207</v>
      </c>
      <c r="Z31">
        <v>3492176</v>
      </c>
      <c r="AA31">
        <v>3482575</v>
      </c>
      <c r="AB31">
        <v>3471468</v>
      </c>
      <c r="AC31">
        <v>3458935</v>
      </c>
      <c r="AD31">
        <v>3445061</v>
      </c>
      <c r="AE31">
        <v>3429943</v>
      </c>
      <c r="AF31">
        <v>3413688</v>
      </c>
      <c r="AG31">
        <v>3396412</v>
      </c>
      <c r="AH31">
        <v>3378242</v>
      </c>
      <c r="AI31">
        <v>3359312</v>
      </c>
      <c r="AJ31">
        <v>3339770</v>
      </c>
      <c r="AK31">
        <v>3319772</v>
      </c>
      <c r="AL31">
        <v>3299483</v>
      </c>
      <c r="AM31">
        <v>3279079</v>
      </c>
      <c r="AN31">
        <v>3258745</v>
      </c>
      <c r="AO31">
        <v>3238676</v>
      </c>
      <c r="AP31">
        <v>3219079</v>
      </c>
      <c r="AQ31">
        <v>3200168</v>
      </c>
      <c r="AR31">
        <v>3182168</v>
      </c>
      <c r="AS31">
        <v>3165315</v>
      </c>
      <c r="AT31">
        <v>3149852</v>
      </c>
      <c r="AU31">
        <v>3136034</v>
      </c>
      <c r="AV31">
        <v>3124127</v>
      </c>
    </row>
    <row r="32" spans="1:48">
      <c r="A32" t="s">
        <v>252</v>
      </c>
      <c r="B32" t="s">
        <v>253</v>
      </c>
      <c r="C32" t="s">
        <v>14</v>
      </c>
      <c r="D32" s="37">
        <v>5306711.47548371</v>
      </c>
      <c r="E32" s="37">
        <v>5341748.52241506</v>
      </c>
      <c r="F32" s="37">
        <v>5376604.07282342</v>
      </c>
      <c r="G32" s="37">
        <v>4722471</v>
      </c>
      <c r="H32">
        <v>4774173</v>
      </c>
      <c r="I32">
        <v>4821656</v>
      </c>
      <c r="J32">
        <v>4864980</v>
      </c>
      <c r="K32">
        <v>4904216</v>
      </c>
      <c r="L32">
        <v>4939438</v>
      </c>
      <c r="M32">
        <v>4970726</v>
      </c>
      <c r="N32">
        <v>4998168</v>
      </c>
      <c r="O32">
        <v>5021857</v>
      </c>
      <c r="P32">
        <v>5041894</v>
      </c>
      <c r="Q32">
        <v>5058382</v>
      </c>
      <c r="R32">
        <v>5071436</v>
      </c>
      <c r="S32">
        <v>5081172</v>
      </c>
      <c r="T32">
        <v>5087715</v>
      </c>
      <c r="U32">
        <v>5091195</v>
      </c>
      <c r="V32">
        <v>5091750</v>
      </c>
      <c r="W32">
        <v>5089522</v>
      </c>
      <c r="X32">
        <v>5084661</v>
      </c>
      <c r="Y32">
        <v>5077321</v>
      </c>
      <c r="Z32">
        <v>5067664</v>
      </c>
      <c r="AA32">
        <v>5055859</v>
      </c>
      <c r="AB32">
        <v>5042078</v>
      </c>
      <c r="AC32">
        <v>5026502</v>
      </c>
      <c r="AD32">
        <v>5009317</v>
      </c>
      <c r="AE32">
        <v>4990717</v>
      </c>
      <c r="AF32">
        <v>4970898</v>
      </c>
      <c r="AG32">
        <v>4950068</v>
      </c>
      <c r="AH32">
        <v>4928435</v>
      </c>
      <c r="AI32">
        <v>4906219</v>
      </c>
      <c r="AJ32">
        <v>4883642</v>
      </c>
      <c r="AK32">
        <v>4860933</v>
      </c>
      <c r="AL32">
        <v>4838330</v>
      </c>
      <c r="AM32">
        <v>4816074</v>
      </c>
      <c r="AN32">
        <v>4794412</v>
      </c>
      <c r="AO32">
        <v>4773601</v>
      </c>
      <c r="AP32">
        <v>4753900</v>
      </c>
      <c r="AQ32">
        <v>4735576</v>
      </c>
      <c r="AR32">
        <v>4718903</v>
      </c>
      <c r="AS32">
        <v>4704159</v>
      </c>
      <c r="AT32">
        <v>4691630</v>
      </c>
      <c r="AU32">
        <v>4681608</v>
      </c>
      <c r="AV32">
        <v>4674391</v>
      </c>
    </row>
    <row r="33" spans="1:48">
      <c r="A33" t="s">
        <v>254</v>
      </c>
      <c r="B33" t="s">
        <v>255</v>
      </c>
      <c r="C33" t="s">
        <v>14</v>
      </c>
      <c r="D33" s="37">
        <v>3154034.8770379</v>
      </c>
      <c r="E33" s="37">
        <v>3169581.35774701</v>
      </c>
      <c r="F33" s="37">
        <v>3184766.63973147</v>
      </c>
      <c r="G33" s="37">
        <v>2669690</v>
      </c>
      <c r="H33">
        <v>2689385</v>
      </c>
      <c r="I33">
        <v>2707930</v>
      </c>
      <c r="J33">
        <v>2725250</v>
      </c>
      <c r="K33">
        <v>2741280</v>
      </c>
      <c r="L33">
        <v>2755960</v>
      </c>
      <c r="M33">
        <v>2769242</v>
      </c>
      <c r="N33">
        <v>2781082</v>
      </c>
      <c r="O33">
        <v>2791447</v>
      </c>
      <c r="P33">
        <v>2800311</v>
      </c>
      <c r="Q33">
        <v>2807655</v>
      </c>
      <c r="R33">
        <v>2813470</v>
      </c>
      <c r="S33">
        <v>2817753</v>
      </c>
      <c r="T33">
        <v>2820512</v>
      </c>
      <c r="U33">
        <v>2821760</v>
      </c>
      <c r="V33">
        <v>2821519</v>
      </c>
      <c r="W33">
        <v>2819820</v>
      </c>
      <c r="X33">
        <v>2816702</v>
      </c>
      <c r="Y33">
        <v>2812210</v>
      </c>
      <c r="Z33">
        <v>2806400</v>
      </c>
      <c r="AA33">
        <v>2799333</v>
      </c>
      <c r="AB33">
        <v>2791081</v>
      </c>
      <c r="AC33">
        <v>2781723</v>
      </c>
      <c r="AD33">
        <v>2771344</v>
      </c>
      <c r="AE33">
        <v>2760041</v>
      </c>
      <c r="AF33">
        <v>2747915</v>
      </c>
      <c r="AG33">
        <v>2735078</v>
      </c>
      <c r="AH33">
        <v>2721649</v>
      </c>
      <c r="AI33">
        <v>2707755</v>
      </c>
      <c r="AJ33">
        <v>2693531</v>
      </c>
      <c r="AK33">
        <v>2679119</v>
      </c>
      <c r="AL33">
        <v>2664673</v>
      </c>
      <c r="AM33">
        <v>2650349</v>
      </c>
      <c r="AN33">
        <v>2636317</v>
      </c>
      <c r="AO33">
        <v>2622752</v>
      </c>
      <c r="AP33">
        <v>2609836</v>
      </c>
      <c r="AQ33">
        <v>2597761</v>
      </c>
      <c r="AR33">
        <v>2586728</v>
      </c>
      <c r="AS33">
        <v>2576943</v>
      </c>
      <c r="AT33">
        <v>2568623</v>
      </c>
      <c r="AU33">
        <v>2561991</v>
      </c>
      <c r="AV33">
        <v>2557279</v>
      </c>
    </row>
    <row r="34" spans="1:48">
      <c r="A34" t="s">
        <v>256</v>
      </c>
      <c r="B34" t="s">
        <v>257</v>
      </c>
      <c r="C34" t="s">
        <v>14</v>
      </c>
      <c r="D34" s="37">
        <v>4495076.45853731</v>
      </c>
      <c r="E34" s="37">
        <v>4527430.26329563</v>
      </c>
      <c r="F34" s="37">
        <v>4559237.87551433</v>
      </c>
      <c r="G34" s="37">
        <v>3933325</v>
      </c>
      <c r="H34">
        <v>3976257</v>
      </c>
      <c r="I34">
        <v>4016222</v>
      </c>
      <c r="J34">
        <v>4053226</v>
      </c>
      <c r="K34">
        <v>4087284</v>
      </c>
      <c r="L34">
        <v>4118412</v>
      </c>
      <c r="M34">
        <v>4146636</v>
      </c>
      <c r="N34">
        <v>4171987</v>
      </c>
      <c r="O34">
        <v>4194503</v>
      </c>
      <c r="P34">
        <v>4214228</v>
      </c>
      <c r="Q34">
        <v>4231212</v>
      </c>
      <c r="R34">
        <v>4245512</v>
      </c>
      <c r="S34">
        <v>4257189</v>
      </c>
      <c r="T34">
        <v>4266315</v>
      </c>
      <c r="U34">
        <v>4272962</v>
      </c>
      <c r="V34">
        <v>4277214</v>
      </c>
      <c r="W34">
        <v>4279159</v>
      </c>
      <c r="X34">
        <v>4278890</v>
      </c>
      <c r="Y34">
        <v>4276509</v>
      </c>
      <c r="Z34">
        <v>4272121</v>
      </c>
      <c r="AA34">
        <v>4265841</v>
      </c>
      <c r="AB34">
        <v>4257787</v>
      </c>
      <c r="AC34">
        <v>4248086</v>
      </c>
      <c r="AD34">
        <v>4236870</v>
      </c>
      <c r="AE34">
        <v>4224276</v>
      </c>
      <c r="AF34">
        <v>4210451</v>
      </c>
      <c r="AG34">
        <v>4195543</v>
      </c>
      <c r="AH34">
        <v>4179712</v>
      </c>
      <c r="AI34">
        <v>4163119</v>
      </c>
      <c r="AJ34">
        <v>4145936</v>
      </c>
      <c r="AK34">
        <v>4128339</v>
      </c>
      <c r="AL34">
        <v>4110509</v>
      </c>
      <c r="AM34">
        <v>4092635</v>
      </c>
      <c r="AN34">
        <v>4074913</v>
      </c>
      <c r="AO34">
        <v>4057545</v>
      </c>
      <c r="AP34">
        <v>4040736</v>
      </c>
      <c r="AQ34">
        <v>4024702</v>
      </c>
      <c r="AR34">
        <v>4009663</v>
      </c>
      <c r="AS34">
        <v>3995845</v>
      </c>
      <c r="AT34">
        <v>3983481</v>
      </c>
      <c r="AU34">
        <v>3972811</v>
      </c>
      <c r="AV34">
        <v>3964078</v>
      </c>
    </row>
    <row r="35" spans="1:48">
      <c r="A35" t="s">
        <v>258</v>
      </c>
      <c r="B35" t="s">
        <v>259</v>
      </c>
      <c r="C35" t="s">
        <v>14</v>
      </c>
      <c r="D35" s="37">
        <v>3883083.88062981</v>
      </c>
      <c r="E35" s="37">
        <v>3912916.27070324</v>
      </c>
      <c r="F35" s="37">
        <v>3942717.05791833</v>
      </c>
      <c r="G35" s="37">
        <v>3358840</v>
      </c>
      <c r="H35">
        <v>3398227</v>
      </c>
      <c r="I35">
        <v>3435901</v>
      </c>
      <c r="J35">
        <v>3471770</v>
      </c>
      <c r="K35">
        <v>3505753</v>
      </c>
      <c r="L35">
        <v>3537778</v>
      </c>
      <c r="M35">
        <v>3567783</v>
      </c>
      <c r="N35">
        <v>3595717</v>
      </c>
      <c r="O35">
        <v>3621538</v>
      </c>
      <c r="P35">
        <v>3645215</v>
      </c>
      <c r="Q35">
        <v>3666726</v>
      </c>
      <c r="R35">
        <v>3686060</v>
      </c>
      <c r="S35">
        <v>3703216</v>
      </c>
      <c r="T35">
        <v>3718202</v>
      </c>
      <c r="U35">
        <v>3731036</v>
      </c>
      <c r="V35">
        <v>3741748</v>
      </c>
      <c r="W35">
        <v>3750375</v>
      </c>
      <c r="X35">
        <v>3756968</v>
      </c>
      <c r="Y35">
        <v>3761583</v>
      </c>
      <c r="Z35">
        <v>3764291</v>
      </c>
      <c r="AA35">
        <v>3765170</v>
      </c>
      <c r="AB35">
        <v>3764308</v>
      </c>
      <c r="AC35">
        <v>3761804</v>
      </c>
      <c r="AD35">
        <v>3757768</v>
      </c>
      <c r="AE35">
        <v>3752317</v>
      </c>
      <c r="AF35">
        <v>3745582</v>
      </c>
      <c r="AG35">
        <v>3737700</v>
      </c>
      <c r="AH35">
        <v>3728821</v>
      </c>
      <c r="AI35">
        <v>3719104</v>
      </c>
      <c r="AJ35">
        <v>3708717</v>
      </c>
      <c r="AK35">
        <v>3697840</v>
      </c>
      <c r="AL35">
        <v>3686661</v>
      </c>
      <c r="AM35">
        <v>3675380</v>
      </c>
      <c r="AN35">
        <v>3664205</v>
      </c>
      <c r="AO35">
        <v>3653356</v>
      </c>
      <c r="AP35">
        <v>3643062</v>
      </c>
      <c r="AQ35">
        <v>3633561</v>
      </c>
      <c r="AR35">
        <v>3625104</v>
      </c>
      <c r="AS35">
        <v>3617948</v>
      </c>
      <c r="AT35">
        <v>3612364</v>
      </c>
      <c r="AU35">
        <v>3608630</v>
      </c>
      <c r="AV35">
        <v>3607036</v>
      </c>
    </row>
    <row r="36" spans="1:48">
      <c r="A36" t="s">
        <v>260</v>
      </c>
      <c r="B36" t="s">
        <v>261</v>
      </c>
      <c r="C36" t="s">
        <v>14</v>
      </c>
      <c r="D36" s="37">
        <v>3010844.36348131</v>
      </c>
      <c r="E36" s="37">
        <v>3032112.06586676</v>
      </c>
      <c r="F36" s="37">
        <v>3051996.22543801</v>
      </c>
      <c r="G36" s="37">
        <v>3411869</v>
      </c>
      <c r="H36">
        <v>3445930</v>
      </c>
      <c r="I36">
        <v>3475682</v>
      </c>
      <c r="J36">
        <v>3501393</v>
      </c>
      <c r="K36">
        <v>3523317</v>
      </c>
      <c r="L36">
        <v>3541703</v>
      </c>
      <c r="M36">
        <v>3556788</v>
      </c>
      <c r="N36">
        <v>3568802</v>
      </c>
      <c r="O36">
        <v>3577965</v>
      </c>
      <c r="P36">
        <v>3584487</v>
      </c>
      <c r="Q36">
        <v>3588570</v>
      </c>
      <c r="R36">
        <v>3590407</v>
      </c>
      <c r="S36">
        <v>3590181</v>
      </c>
      <c r="T36">
        <v>3588068</v>
      </c>
      <c r="U36">
        <v>3584231</v>
      </c>
      <c r="V36">
        <v>3578828</v>
      </c>
      <c r="W36">
        <v>3572006</v>
      </c>
      <c r="X36">
        <v>3563901</v>
      </c>
      <c r="Y36">
        <v>3554645</v>
      </c>
      <c r="Z36">
        <v>3544355</v>
      </c>
      <c r="AA36">
        <v>3533143</v>
      </c>
      <c r="AB36">
        <v>3521110</v>
      </c>
      <c r="AC36">
        <v>3508349</v>
      </c>
      <c r="AD36">
        <v>3494942</v>
      </c>
      <c r="AE36">
        <v>3480965</v>
      </c>
      <c r="AF36">
        <v>3466483</v>
      </c>
      <c r="AG36">
        <v>3451550</v>
      </c>
      <c r="AH36">
        <v>3436214</v>
      </c>
      <c r="AI36">
        <v>3420513</v>
      </c>
      <c r="AJ36">
        <v>3404476</v>
      </c>
      <c r="AK36">
        <v>3388122</v>
      </c>
      <c r="AL36">
        <v>3371461</v>
      </c>
      <c r="AM36">
        <v>3354494</v>
      </c>
      <c r="AN36">
        <v>3337215</v>
      </c>
      <c r="AO36">
        <v>3319605</v>
      </c>
      <c r="AP36">
        <v>3301639</v>
      </c>
      <c r="AQ36">
        <v>3283282</v>
      </c>
      <c r="AR36">
        <v>3264490</v>
      </c>
      <c r="AS36">
        <v>3245208</v>
      </c>
      <c r="AT36">
        <v>3225375</v>
      </c>
      <c r="AU36">
        <v>3204919</v>
      </c>
      <c r="AV36">
        <v>3183760</v>
      </c>
    </row>
    <row r="37" spans="1:48">
      <c r="A37" t="s">
        <v>262</v>
      </c>
      <c r="B37" t="s">
        <v>263</v>
      </c>
      <c r="C37" t="s">
        <v>14</v>
      </c>
      <c r="D37" s="37">
        <v>2760751.0719402</v>
      </c>
      <c r="E37" s="37">
        <v>2775699.70398347</v>
      </c>
      <c r="F37" s="37">
        <v>2789285.64963407</v>
      </c>
      <c r="G37" s="37">
        <v>2689200</v>
      </c>
      <c r="H37">
        <v>2709238</v>
      </c>
      <c r="I37">
        <v>2726280</v>
      </c>
      <c r="J37">
        <v>2740487</v>
      </c>
      <c r="K37">
        <v>2752017</v>
      </c>
      <c r="L37">
        <v>2761021</v>
      </c>
      <c r="M37">
        <v>2767649</v>
      </c>
      <c r="N37">
        <v>2772042</v>
      </c>
      <c r="O37">
        <v>2774339</v>
      </c>
      <c r="P37">
        <v>2774675</v>
      </c>
      <c r="Q37">
        <v>2773177</v>
      </c>
      <c r="R37">
        <v>2769971</v>
      </c>
      <c r="S37">
        <v>2765177</v>
      </c>
      <c r="T37">
        <v>2758909</v>
      </c>
      <c r="U37">
        <v>2751278</v>
      </c>
      <c r="V37">
        <v>2742391</v>
      </c>
      <c r="W37">
        <v>2732348</v>
      </c>
      <c r="X37">
        <v>2721246</v>
      </c>
      <c r="Y37">
        <v>2709177</v>
      </c>
      <c r="Z37">
        <v>2696228</v>
      </c>
      <c r="AA37">
        <v>2682482</v>
      </c>
      <c r="AB37">
        <v>2668017</v>
      </c>
      <c r="AC37">
        <v>2652907</v>
      </c>
      <c r="AD37">
        <v>2637219</v>
      </c>
      <c r="AE37">
        <v>2621019</v>
      </c>
      <c r="AF37">
        <v>2604365</v>
      </c>
      <c r="AG37">
        <v>2587313</v>
      </c>
      <c r="AH37">
        <v>2569912</v>
      </c>
      <c r="AI37">
        <v>2552209</v>
      </c>
      <c r="AJ37">
        <v>2534243</v>
      </c>
      <c r="AK37">
        <v>2516051</v>
      </c>
      <c r="AL37">
        <v>2497665</v>
      </c>
      <c r="AM37">
        <v>2479112</v>
      </c>
      <c r="AN37">
        <v>2460413</v>
      </c>
      <c r="AO37">
        <v>2441587</v>
      </c>
      <c r="AP37">
        <v>2422646</v>
      </c>
      <c r="AQ37">
        <v>2403598</v>
      </c>
      <c r="AR37">
        <v>2384449</v>
      </c>
      <c r="AS37">
        <v>2365195</v>
      </c>
      <c r="AT37">
        <v>2345833</v>
      </c>
      <c r="AU37">
        <v>2326351</v>
      </c>
      <c r="AV37">
        <v>2306734</v>
      </c>
    </row>
    <row r="38" spans="1:48">
      <c r="A38" t="s">
        <v>264</v>
      </c>
      <c r="B38" t="s">
        <v>265</v>
      </c>
      <c r="C38" t="s">
        <v>14</v>
      </c>
      <c r="D38" s="37">
        <v>559656.249232979</v>
      </c>
      <c r="E38" s="37">
        <v>563313.364482128</v>
      </c>
      <c r="F38" s="37">
        <v>566675.057445297</v>
      </c>
      <c r="G38" s="37">
        <v>551867</v>
      </c>
      <c r="H38">
        <v>556601</v>
      </c>
      <c r="I38">
        <v>560731</v>
      </c>
      <c r="J38">
        <v>564287</v>
      </c>
      <c r="K38">
        <v>567298</v>
      </c>
      <c r="L38">
        <v>569794</v>
      </c>
      <c r="M38">
        <v>571802</v>
      </c>
      <c r="N38">
        <v>573350</v>
      </c>
      <c r="O38">
        <v>574463</v>
      </c>
      <c r="P38">
        <v>575166</v>
      </c>
      <c r="Q38">
        <v>575484</v>
      </c>
      <c r="R38">
        <v>575440</v>
      </c>
      <c r="S38">
        <v>575057</v>
      </c>
      <c r="T38">
        <v>574354</v>
      </c>
      <c r="U38">
        <v>573354</v>
      </c>
      <c r="V38">
        <v>572076</v>
      </c>
      <c r="W38">
        <v>570538</v>
      </c>
      <c r="X38">
        <v>568758</v>
      </c>
      <c r="Y38">
        <v>566753</v>
      </c>
      <c r="Z38">
        <v>564538</v>
      </c>
      <c r="AA38">
        <v>562130</v>
      </c>
      <c r="AB38">
        <v>559541</v>
      </c>
      <c r="AC38">
        <v>556785</v>
      </c>
      <c r="AD38">
        <v>553874</v>
      </c>
      <c r="AE38">
        <v>550820</v>
      </c>
      <c r="AF38">
        <v>547632</v>
      </c>
      <c r="AG38">
        <v>544320</v>
      </c>
      <c r="AH38">
        <v>540893</v>
      </c>
      <c r="AI38">
        <v>537359</v>
      </c>
      <c r="AJ38">
        <v>533723</v>
      </c>
      <c r="AK38">
        <v>529992</v>
      </c>
      <c r="AL38">
        <v>526170</v>
      </c>
      <c r="AM38">
        <v>522262</v>
      </c>
      <c r="AN38">
        <v>518270</v>
      </c>
      <c r="AO38">
        <v>514197</v>
      </c>
      <c r="AP38">
        <v>510043</v>
      </c>
      <c r="AQ38">
        <v>505809</v>
      </c>
      <c r="AR38">
        <v>501494</v>
      </c>
      <c r="AS38">
        <v>497096</v>
      </c>
      <c r="AT38">
        <v>492614</v>
      </c>
      <c r="AU38">
        <v>488043</v>
      </c>
      <c r="AV38">
        <v>483379</v>
      </c>
    </row>
    <row r="39" spans="1:48">
      <c r="A39" t="s">
        <v>266</v>
      </c>
      <c r="B39" t="s">
        <v>267</v>
      </c>
      <c r="C39" t="s">
        <v>14</v>
      </c>
      <c r="D39" s="37">
        <v>4518221.32884981</v>
      </c>
      <c r="E39" s="37">
        <v>4541587.64530023</v>
      </c>
      <c r="F39" s="37">
        <v>4562946.75244327</v>
      </c>
      <c r="G39" s="37">
        <v>4010589</v>
      </c>
      <c r="H39">
        <v>4035776</v>
      </c>
      <c r="I39">
        <v>4058221</v>
      </c>
      <c r="J39">
        <v>4077956</v>
      </c>
      <c r="K39">
        <v>4095017</v>
      </c>
      <c r="L39">
        <v>4109441</v>
      </c>
      <c r="M39">
        <v>4121273</v>
      </c>
      <c r="N39">
        <v>4130558</v>
      </c>
      <c r="O39">
        <v>4137348</v>
      </c>
      <c r="P39">
        <v>4141695</v>
      </c>
      <c r="Q39">
        <v>4143658</v>
      </c>
      <c r="R39">
        <v>4143298</v>
      </c>
      <c r="S39">
        <v>4140681</v>
      </c>
      <c r="T39">
        <v>4135876</v>
      </c>
      <c r="U39">
        <v>4128956</v>
      </c>
      <c r="V39">
        <v>4119998</v>
      </c>
      <c r="W39">
        <v>4109082</v>
      </c>
      <c r="X39">
        <v>4096292</v>
      </c>
      <c r="Y39">
        <v>4081716</v>
      </c>
      <c r="Z39">
        <v>4065447</v>
      </c>
      <c r="AA39">
        <v>4047580</v>
      </c>
      <c r="AB39">
        <v>4028213</v>
      </c>
      <c r="AC39">
        <v>4007451</v>
      </c>
      <c r="AD39">
        <v>3985400</v>
      </c>
      <c r="AE39">
        <v>3962171</v>
      </c>
      <c r="AF39">
        <v>3937878</v>
      </c>
      <c r="AG39">
        <v>3912639</v>
      </c>
      <c r="AH39">
        <v>3886577</v>
      </c>
      <c r="AI39">
        <v>3859817</v>
      </c>
      <c r="AJ39">
        <v>3832489</v>
      </c>
      <c r="AK39">
        <v>3804726</v>
      </c>
      <c r="AL39">
        <v>3776665</v>
      </c>
      <c r="AM39">
        <v>3748446</v>
      </c>
      <c r="AN39">
        <v>3720216</v>
      </c>
      <c r="AO39">
        <v>3692121</v>
      </c>
      <c r="AP39">
        <v>3664314</v>
      </c>
      <c r="AQ39">
        <v>3636952</v>
      </c>
      <c r="AR39">
        <v>3610193</v>
      </c>
      <c r="AS39">
        <v>3584201</v>
      </c>
      <c r="AT39">
        <v>3559144</v>
      </c>
      <c r="AU39">
        <v>3535193</v>
      </c>
      <c r="AV39">
        <v>3512522</v>
      </c>
    </row>
    <row r="40" spans="1:48">
      <c r="A40" t="s">
        <v>268</v>
      </c>
      <c r="B40" t="s">
        <v>269</v>
      </c>
      <c r="C40" t="s">
        <v>14</v>
      </c>
      <c r="D40" s="37">
        <v>3280475.7552</v>
      </c>
      <c r="E40" s="37">
        <v>3301417.96323923</v>
      </c>
      <c r="F40" s="37">
        <v>3321147.09202513</v>
      </c>
      <c r="G40" s="37">
        <v>2849106</v>
      </c>
      <c r="H40">
        <v>2873049</v>
      </c>
      <c r="I40">
        <v>2894700</v>
      </c>
      <c r="J40">
        <v>2914105</v>
      </c>
      <c r="K40">
        <v>2931314</v>
      </c>
      <c r="L40">
        <v>2946375</v>
      </c>
      <c r="M40">
        <v>2959340</v>
      </c>
      <c r="N40">
        <v>2970262</v>
      </c>
      <c r="O40">
        <v>2979195</v>
      </c>
      <c r="P40">
        <v>2986196</v>
      </c>
      <c r="Q40">
        <v>2991323</v>
      </c>
      <c r="R40">
        <v>2994634</v>
      </c>
      <c r="S40">
        <v>2996192</v>
      </c>
      <c r="T40">
        <v>2996060</v>
      </c>
      <c r="U40">
        <v>2994300</v>
      </c>
      <c r="V40">
        <v>2990981</v>
      </c>
      <c r="W40">
        <v>2986168</v>
      </c>
      <c r="X40">
        <v>2979932</v>
      </c>
      <c r="Y40">
        <v>2972344</v>
      </c>
      <c r="Z40">
        <v>2963476</v>
      </c>
      <c r="AA40">
        <v>2953402</v>
      </c>
      <c r="AB40">
        <v>2942198</v>
      </c>
      <c r="AC40">
        <v>2929942</v>
      </c>
      <c r="AD40">
        <v>2916713</v>
      </c>
      <c r="AE40">
        <v>2902591</v>
      </c>
      <c r="AF40">
        <v>2887660</v>
      </c>
      <c r="AG40">
        <v>2872002</v>
      </c>
      <c r="AH40">
        <v>2855705</v>
      </c>
      <c r="AI40">
        <v>2838854</v>
      </c>
      <c r="AJ40">
        <v>2821539</v>
      </c>
      <c r="AK40">
        <v>2803850</v>
      </c>
      <c r="AL40">
        <v>2785881</v>
      </c>
      <c r="AM40">
        <v>2767724</v>
      </c>
      <c r="AN40">
        <v>2749474</v>
      </c>
      <c r="AO40">
        <v>2731230</v>
      </c>
      <c r="AP40">
        <v>2713090</v>
      </c>
      <c r="AQ40">
        <v>2695154</v>
      </c>
      <c r="AR40">
        <v>2677525</v>
      </c>
      <c r="AS40">
        <v>2660305</v>
      </c>
      <c r="AT40">
        <v>2643600</v>
      </c>
      <c r="AU40">
        <v>2627518</v>
      </c>
      <c r="AV40">
        <v>2612166</v>
      </c>
    </row>
    <row r="41" spans="1:48">
      <c r="A41" t="s">
        <v>270</v>
      </c>
      <c r="B41" t="s">
        <v>271</v>
      </c>
      <c r="C41" t="s">
        <v>14</v>
      </c>
      <c r="D41" s="37">
        <v>2062508.97223036</v>
      </c>
      <c r="E41" s="37">
        <v>2078369.75135932</v>
      </c>
      <c r="F41" s="37">
        <v>2092896.91403665</v>
      </c>
      <c r="G41" s="37">
        <v>2133438</v>
      </c>
      <c r="H41">
        <v>2153553</v>
      </c>
      <c r="I41">
        <v>2171355</v>
      </c>
      <c r="J41">
        <v>2186982</v>
      </c>
      <c r="K41">
        <v>2200567</v>
      </c>
      <c r="L41">
        <v>2212235</v>
      </c>
      <c r="M41">
        <v>2222109</v>
      </c>
      <c r="N41">
        <v>2230304</v>
      </c>
      <c r="O41">
        <v>2236932</v>
      </c>
      <c r="P41">
        <v>2242098</v>
      </c>
      <c r="Q41">
        <v>2245901</v>
      </c>
      <c r="R41">
        <v>2248436</v>
      </c>
      <c r="S41">
        <v>2249793</v>
      </c>
      <c r="T41">
        <v>2250053</v>
      </c>
      <c r="U41">
        <v>2249297</v>
      </c>
      <c r="V41">
        <v>2247596</v>
      </c>
      <c r="W41">
        <v>2245018</v>
      </c>
      <c r="X41">
        <v>2241626</v>
      </c>
      <c r="Y41">
        <v>2237474</v>
      </c>
      <c r="Z41">
        <v>2232615</v>
      </c>
      <c r="AA41">
        <v>2227095</v>
      </c>
      <c r="AB41">
        <v>2220953</v>
      </c>
      <c r="AC41">
        <v>2214224</v>
      </c>
      <c r="AD41">
        <v>2206939</v>
      </c>
      <c r="AE41">
        <v>2199120</v>
      </c>
      <c r="AF41">
        <v>2190787</v>
      </c>
      <c r="AG41">
        <v>2181953</v>
      </c>
      <c r="AH41">
        <v>2172625</v>
      </c>
      <c r="AI41">
        <v>2162806</v>
      </c>
      <c r="AJ41">
        <v>2152494</v>
      </c>
      <c r="AK41">
        <v>2141678</v>
      </c>
      <c r="AL41">
        <v>2130347</v>
      </c>
      <c r="AM41">
        <v>2118480</v>
      </c>
      <c r="AN41">
        <v>2106052</v>
      </c>
      <c r="AO41">
        <v>2093034</v>
      </c>
      <c r="AP41">
        <v>2079390</v>
      </c>
      <c r="AQ41">
        <v>2065080</v>
      </c>
      <c r="AR41">
        <v>2050056</v>
      </c>
      <c r="AS41">
        <v>2034266</v>
      </c>
      <c r="AT41">
        <v>2017655</v>
      </c>
      <c r="AU41">
        <v>2000159</v>
      </c>
      <c r="AV41">
        <v>1981710</v>
      </c>
    </row>
    <row r="42" spans="1:48">
      <c r="A42" t="s">
        <v>272</v>
      </c>
      <c r="B42" t="s">
        <v>273</v>
      </c>
      <c r="C42" t="s">
        <v>14</v>
      </c>
      <c r="D42" s="37">
        <v>2643398.38822377</v>
      </c>
      <c r="E42" s="37">
        <v>2656496.22065655</v>
      </c>
      <c r="F42" s="37">
        <v>2668410.15155151</v>
      </c>
      <c r="G42" s="37">
        <v>2227031</v>
      </c>
      <c r="H42">
        <v>2242752</v>
      </c>
      <c r="I42">
        <v>2255936</v>
      </c>
      <c r="J42">
        <v>2266700</v>
      </c>
      <c r="K42">
        <v>2275162</v>
      </c>
      <c r="L42">
        <v>2281434</v>
      </c>
      <c r="M42">
        <v>2285629</v>
      </c>
      <c r="N42">
        <v>2287854</v>
      </c>
      <c r="O42">
        <v>2288217</v>
      </c>
      <c r="P42">
        <v>2286821</v>
      </c>
      <c r="Q42">
        <v>2283768</v>
      </c>
      <c r="R42">
        <v>2279156</v>
      </c>
      <c r="S42">
        <v>2273083</v>
      </c>
      <c r="T42">
        <v>2265643</v>
      </c>
      <c r="U42">
        <v>2256926</v>
      </c>
      <c r="V42">
        <v>2247023</v>
      </c>
      <c r="W42">
        <v>2236021</v>
      </c>
      <c r="X42">
        <v>2224003</v>
      </c>
      <c r="Y42">
        <v>2211051</v>
      </c>
      <c r="Z42">
        <v>2197246</v>
      </c>
      <c r="AA42">
        <v>2182663</v>
      </c>
      <c r="AB42">
        <v>2167378</v>
      </c>
      <c r="AC42">
        <v>2151463</v>
      </c>
      <c r="AD42">
        <v>2134987</v>
      </c>
      <c r="AE42">
        <v>2118017</v>
      </c>
      <c r="AF42">
        <v>2100619</v>
      </c>
      <c r="AG42">
        <v>2082854</v>
      </c>
      <c r="AH42">
        <v>2064783</v>
      </c>
      <c r="AI42">
        <v>2046463</v>
      </c>
      <c r="AJ42">
        <v>2027949</v>
      </c>
      <c r="AK42">
        <v>2009293</v>
      </c>
      <c r="AL42">
        <v>1990545</v>
      </c>
      <c r="AM42">
        <v>1971754</v>
      </c>
      <c r="AN42">
        <v>1952963</v>
      </c>
      <c r="AO42">
        <v>1934217</v>
      </c>
      <c r="AP42">
        <v>1915556</v>
      </c>
      <c r="AQ42">
        <v>1897016</v>
      </c>
      <c r="AR42">
        <v>1878634</v>
      </c>
      <c r="AS42">
        <v>1860442</v>
      </c>
      <c r="AT42">
        <v>1842471</v>
      </c>
      <c r="AU42">
        <v>1824750</v>
      </c>
      <c r="AV42">
        <v>1807303</v>
      </c>
    </row>
    <row r="43" spans="1:48">
      <c r="A43" t="s">
        <v>274</v>
      </c>
      <c r="B43" t="s">
        <v>275</v>
      </c>
      <c r="C43" t="s">
        <v>14</v>
      </c>
      <c r="D43" s="37">
        <v>1736374.75691709</v>
      </c>
      <c r="E43" s="37">
        <v>1745605.24567139</v>
      </c>
      <c r="F43" s="37">
        <v>1754026.11018246</v>
      </c>
      <c r="G43" s="37">
        <v>1527505</v>
      </c>
      <c r="H43">
        <v>1538649</v>
      </c>
      <c r="I43">
        <v>1548094</v>
      </c>
      <c r="J43">
        <v>1555917</v>
      </c>
      <c r="K43">
        <v>1562197</v>
      </c>
      <c r="L43">
        <v>1567009</v>
      </c>
      <c r="M43">
        <v>1570426</v>
      </c>
      <c r="N43">
        <v>1572521</v>
      </c>
      <c r="O43">
        <v>1573365</v>
      </c>
      <c r="P43">
        <v>1573025</v>
      </c>
      <c r="Q43">
        <v>1571569</v>
      </c>
      <c r="R43">
        <v>1569062</v>
      </c>
      <c r="S43">
        <v>1565568</v>
      </c>
      <c r="T43">
        <v>1561148</v>
      </c>
      <c r="U43">
        <v>1555862</v>
      </c>
      <c r="V43">
        <v>1549770</v>
      </c>
      <c r="W43">
        <v>1542927</v>
      </c>
      <c r="X43">
        <v>1535389</v>
      </c>
      <c r="Y43">
        <v>1527209</v>
      </c>
      <c r="Z43">
        <v>1518438</v>
      </c>
      <c r="AA43">
        <v>1509127</v>
      </c>
      <c r="AB43">
        <v>1499323</v>
      </c>
      <c r="AC43">
        <v>1489073</v>
      </c>
      <c r="AD43">
        <v>1478422</v>
      </c>
      <c r="AE43">
        <v>1467413</v>
      </c>
      <c r="AF43">
        <v>1456087</v>
      </c>
      <c r="AG43">
        <v>1444483</v>
      </c>
      <c r="AH43">
        <v>1432640</v>
      </c>
      <c r="AI43">
        <v>1420593</v>
      </c>
      <c r="AJ43">
        <v>1408378</v>
      </c>
      <c r="AK43">
        <v>1396027</v>
      </c>
      <c r="AL43">
        <v>1383570</v>
      </c>
      <c r="AM43">
        <v>1371038</v>
      </c>
      <c r="AN43">
        <v>1358458</v>
      </c>
      <c r="AO43">
        <v>1345856</v>
      </c>
      <c r="AP43">
        <v>1333256</v>
      </c>
      <c r="AQ43">
        <v>1320680</v>
      </c>
      <c r="AR43">
        <v>1308150</v>
      </c>
      <c r="AS43">
        <v>1295684</v>
      </c>
      <c r="AT43">
        <v>1283300</v>
      </c>
      <c r="AU43">
        <v>1271013</v>
      </c>
      <c r="AV43">
        <v>1258838</v>
      </c>
    </row>
    <row r="44" spans="1:48">
      <c r="A44" t="s">
        <v>276</v>
      </c>
      <c r="B44" t="s">
        <v>277</v>
      </c>
      <c r="C44" t="s">
        <v>14</v>
      </c>
      <c r="D44" s="37">
        <v>2193907.69142828</v>
      </c>
      <c r="E44" s="37">
        <v>2200457.71063616</v>
      </c>
      <c r="F44" s="37">
        <v>2206161.35141664</v>
      </c>
      <c r="G44" s="37">
        <v>1699347</v>
      </c>
      <c r="H44">
        <v>1706214</v>
      </c>
      <c r="I44">
        <v>1711700</v>
      </c>
      <c r="J44">
        <v>1715846</v>
      </c>
      <c r="K44">
        <v>1718693</v>
      </c>
      <c r="L44">
        <v>1720285</v>
      </c>
      <c r="M44">
        <v>1720663</v>
      </c>
      <c r="N44">
        <v>1719872</v>
      </c>
      <c r="O44">
        <v>1717956</v>
      </c>
      <c r="P44">
        <v>1714961</v>
      </c>
      <c r="Q44">
        <v>1710934</v>
      </c>
      <c r="R44">
        <v>1705920</v>
      </c>
      <c r="S44">
        <v>1699968</v>
      </c>
      <c r="T44">
        <v>1693127</v>
      </c>
      <c r="U44">
        <v>1685445</v>
      </c>
      <c r="V44">
        <v>1676973</v>
      </c>
      <c r="W44">
        <v>1667761</v>
      </c>
      <c r="X44">
        <v>1657862</v>
      </c>
      <c r="Y44">
        <v>1647328</v>
      </c>
      <c r="Z44">
        <v>1636211</v>
      </c>
      <c r="AA44">
        <v>1624567</v>
      </c>
      <c r="AB44">
        <v>1612449</v>
      </c>
      <c r="AC44">
        <v>1599913</v>
      </c>
      <c r="AD44">
        <v>1587015</v>
      </c>
      <c r="AE44">
        <v>1573814</v>
      </c>
      <c r="AF44">
        <v>1560365</v>
      </c>
      <c r="AG44">
        <v>1546729</v>
      </c>
      <c r="AH44">
        <v>1532964</v>
      </c>
      <c r="AI44">
        <v>1519131</v>
      </c>
      <c r="AJ44">
        <v>1505291</v>
      </c>
      <c r="AK44">
        <v>1491505</v>
      </c>
      <c r="AL44">
        <v>1477836</v>
      </c>
      <c r="AM44">
        <v>1464348</v>
      </c>
      <c r="AN44">
        <v>1451103</v>
      </c>
      <c r="AO44">
        <v>1438168</v>
      </c>
      <c r="AP44">
        <v>1425608</v>
      </c>
      <c r="AQ44">
        <v>1413489</v>
      </c>
      <c r="AR44">
        <v>1401878</v>
      </c>
      <c r="AS44">
        <v>1390844</v>
      </c>
      <c r="AT44">
        <v>1380455</v>
      </c>
      <c r="AU44">
        <v>1370781</v>
      </c>
      <c r="AV44">
        <v>1361892</v>
      </c>
    </row>
    <row r="45" spans="1:48">
      <c r="A45" t="s">
        <v>278</v>
      </c>
      <c r="B45" t="s">
        <v>279</v>
      </c>
      <c r="C45" t="s">
        <v>14</v>
      </c>
      <c r="D45" s="37">
        <v>1689965.17846897</v>
      </c>
      <c r="E45" s="37">
        <v>1700785.59532575</v>
      </c>
      <c r="F45" s="37">
        <v>1710830.46162123</v>
      </c>
      <c r="G45" s="37">
        <v>1405203</v>
      </c>
      <c r="H45">
        <v>1416872</v>
      </c>
      <c r="I45">
        <v>1427190</v>
      </c>
      <c r="J45">
        <v>1436208</v>
      </c>
      <c r="K45">
        <v>1443976</v>
      </c>
      <c r="L45">
        <v>1450543</v>
      </c>
      <c r="M45">
        <v>1455960</v>
      </c>
      <c r="N45">
        <v>1460273</v>
      </c>
      <c r="O45">
        <v>1463530</v>
      </c>
      <c r="P45">
        <v>1465778</v>
      </c>
      <c r="Q45">
        <v>1467062</v>
      </c>
      <c r="R45">
        <v>1467428</v>
      </c>
      <c r="S45">
        <v>1466921</v>
      </c>
      <c r="T45">
        <v>1465585</v>
      </c>
      <c r="U45">
        <v>1463461</v>
      </c>
      <c r="V45">
        <v>1460594</v>
      </c>
      <c r="W45">
        <v>1457023</v>
      </c>
      <c r="X45">
        <v>1452791</v>
      </c>
      <c r="Y45">
        <v>1447938</v>
      </c>
      <c r="Z45">
        <v>1442503</v>
      </c>
      <c r="AA45">
        <v>1436525</v>
      </c>
      <c r="AB45">
        <v>1430042</v>
      </c>
      <c r="AC45">
        <v>1423091</v>
      </c>
      <c r="AD45">
        <v>1415709</v>
      </c>
      <c r="AE45">
        <v>1407933</v>
      </c>
      <c r="AF45">
        <v>1399796</v>
      </c>
      <c r="AG45">
        <v>1391334</v>
      </c>
      <c r="AH45">
        <v>1382581</v>
      </c>
      <c r="AI45">
        <v>1373569</v>
      </c>
      <c r="AJ45">
        <v>1364331</v>
      </c>
      <c r="AK45">
        <v>1354898</v>
      </c>
      <c r="AL45">
        <v>1345302</v>
      </c>
      <c r="AM45">
        <v>1335573</v>
      </c>
      <c r="AN45">
        <v>1325740</v>
      </c>
      <c r="AO45">
        <v>1315831</v>
      </c>
      <c r="AP45">
        <v>1305876</v>
      </c>
      <c r="AQ45">
        <v>1295901</v>
      </c>
      <c r="AR45">
        <v>1285933</v>
      </c>
      <c r="AS45">
        <v>1275997</v>
      </c>
      <c r="AT45">
        <v>1266120</v>
      </c>
      <c r="AU45">
        <v>1256326</v>
      </c>
      <c r="AV45">
        <v>1246637</v>
      </c>
    </row>
    <row r="46" spans="1:48">
      <c r="A46" t="s">
        <v>280</v>
      </c>
      <c r="B46" t="s">
        <v>281</v>
      </c>
      <c r="C46" t="s">
        <v>14</v>
      </c>
      <c r="D46" s="37">
        <v>1076544.05653409</v>
      </c>
      <c r="E46" s="37">
        <v>1083082.96056059</v>
      </c>
      <c r="F46" s="37">
        <v>1089065.41582434</v>
      </c>
      <c r="G46" s="37">
        <v>1098467</v>
      </c>
      <c r="H46">
        <v>1107031</v>
      </c>
      <c r="I46">
        <v>1114465</v>
      </c>
      <c r="J46">
        <v>1120819</v>
      </c>
      <c r="K46">
        <v>1126144</v>
      </c>
      <c r="L46">
        <v>1130486</v>
      </c>
      <c r="M46">
        <v>1133894</v>
      </c>
      <c r="N46">
        <v>1136413</v>
      </c>
      <c r="O46">
        <v>1138088</v>
      </c>
      <c r="P46">
        <v>1138962</v>
      </c>
      <c r="Q46">
        <v>1139077</v>
      </c>
      <c r="R46">
        <v>1138475</v>
      </c>
      <c r="S46">
        <v>1137196</v>
      </c>
      <c r="T46">
        <v>1135279</v>
      </c>
      <c r="U46">
        <v>1132761</v>
      </c>
      <c r="V46">
        <v>1129679</v>
      </c>
      <c r="W46">
        <v>1126067</v>
      </c>
      <c r="X46">
        <v>1121961</v>
      </c>
      <c r="Y46">
        <v>1117393</v>
      </c>
      <c r="Z46">
        <v>1112395</v>
      </c>
      <c r="AA46">
        <v>1106998</v>
      </c>
      <c r="AB46">
        <v>1101231</v>
      </c>
      <c r="AC46">
        <v>1095123</v>
      </c>
      <c r="AD46">
        <v>1088700</v>
      </c>
      <c r="AE46">
        <v>1081989</v>
      </c>
      <c r="AF46">
        <v>1075015</v>
      </c>
      <c r="AG46">
        <v>1067800</v>
      </c>
      <c r="AH46">
        <v>1060368</v>
      </c>
      <c r="AI46">
        <v>1052740</v>
      </c>
      <c r="AJ46">
        <v>1044936</v>
      </c>
      <c r="AK46">
        <v>1036975</v>
      </c>
      <c r="AL46">
        <v>1028875</v>
      </c>
      <c r="AM46">
        <v>1020652</v>
      </c>
      <c r="AN46">
        <v>1012322</v>
      </c>
      <c r="AO46">
        <v>1003899</v>
      </c>
      <c r="AP46">
        <v>995397</v>
      </c>
      <c r="AQ46">
        <v>986827</v>
      </c>
      <c r="AR46">
        <v>978200</v>
      </c>
      <c r="AS46">
        <v>969525</v>
      </c>
      <c r="AT46">
        <v>960812</v>
      </c>
      <c r="AU46">
        <v>952068</v>
      </c>
      <c r="AV46">
        <v>943298</v>
      </c>
    </row>
    <row r="47" spans="1:48">
      <c r="A47" t="s">
        <v>282</v>
      </c>
      <c r="B47" t="s">
        <v>283</v>
      </c>
      <c r="C47" t="s">
        <v>14</v>
      </c>
      <c r="D47" s="37">
        <v>243635.470454563</v>
      </c>
      <c r="E47" s="37">
        <v>245241.392237901</v>
      </c>
      <c r="F47" s="37">
        <v>246702.856029731</v>
      </c>
      <c r="G47" s="37">
        <v>260157</v>
      </c>
      <c r="H47">
        <v>262351</v>
      </c>
      <c r="I47">
        <v>264256</v>
      </c>
      <c r="J47">
        <v>265888</v>
      </c>
      <c r="K47">
        <v>267260</v>
      </c>
      <c r="L47">
        <v>268388</v>
      </c>
      <c r="M47">
        <v>269285</v>
      </c>
      <c r="N47">
        <v>269964</v>
      </c>
      <c r="O47">
        <v>270438</v>
      </c>
      <c r="P47">
        <v>270720</v>
      </c>
      <c r="Q47">
        <v>270820</v>
      </c>
      <c r="R47">
        <v>270751</v>
      </c>
      <c r="S47">
        <v>270522</v>
      </c>
      <c r="T47">
        <v>270144</v>
      </c>
      <c r="U47">
        <v>269627</v>
      </c>
      <c r="V47">
        <v>268980</v>
      </c>
      <c r="W47">
        <v>268211</v>
      </c>
      <c r="X47">
        <v>267328</v>
      </c>
      <c r="Y47">
        <v>266339</v>
      </c>
      <c r="Z47">
        <v>265252</v>
      </c>
      <c r="AA47">
        <v>264072</v>
      </c>
      <c r="AB47">
        <v>262805</v>
      </c>
      <c r="AC47">
        <v>261458</v>
      </c>
      <c r="AD47">
        <v>260036</v>
      </c>
      <c r="AE47">
        <v>258541</v>
      </c>
      <c r="AF47">
        <v>256980</v>
      </c>
      <c r="AG47">
        <v>255355</v>
      </c>
      <c r="AH47">
        <v>253669</v>
      </c>
      <c r="AI47">
        <v>251924</v>
      </c>
      <c r="AJ47">
        <v>250123</v>
      </c>
      <c r="AK47">
        <v>248267</v>
      </c>
      <c r="AL47">
        <v>246357</v>
      </c>
      <c r="AM47">
        <v>244393</v>
      </c>
      <c r="AN47">
        <v>242375</v>
      </c>
      <c r="AO47">
        <v>240303</v>
      </c>
      <c r="AP47">
        <v>238175</v>
      </c>
      <c r="AQ47">
        <v>235989</v>
      </c>
      <c r="AR47">
        <v>233744</v>
      </c>
      <c r="AS47">
        <v>231437</v>
      </c>
      <c r="AT47">
        <v>229065</v>
      </c>
      <c r="AU47">
        <v>226623</v>
      </c>
      <c r="AV47">
        <v>224108</v>
      </c>
    </row>
    <row r="48" spans="1:48">
      <c r="A48" t="s">
        <v>284</v>
      </c>
      <c r="B48" t="s">
        <v>285</v>
      </c>
      <c r="C48" t="s">
        <v>14</v>
      </c>
      <c r="D48" s="37">
        <v>8412162.56750598</v>
      </c>
      <c r="E48" s="37">
        <v>8449934.90124389</v>
      </c>
      <c r="F48" s="37">
        <v>8482422.18744009</v>
      </c>
      <c r="G48" s="37">
        <v>8966542</v>
      </c>
      <c r="H48">
        <v>9026893</v>
      </c>
      <c r="I48">
        <v>9072566</v>
      </c>
      <c r="J48">
        <v>9104673</v>
      </c>
      <c r="K48">
        <v>9124287</v>
      </c>
      <c r="L48">
        <v>9132438</v>
      </c>
      <c r="M48">
        <v>9130114</v>
      </c>
      <c r="N48">
        <v>9118260</v>
      </c>
      <c r="O48">
        <v>9097782</v>
      </c>
      <c r="P48">
        <v>9069541</v>
      </c>
      <c r="Q48">
        <v>9034359</v>
      </c>
      <c r="R48">
        <v>8993013</v>
      </c>
      <c r="S48">
        <v>8946240</v>
      </c>
      <c r="T48">
        <v>8894735</v>
      </c>
      <c r="U48">
        <v>8839152</v>
      </c>
      <c r="V48">
        <v>8780100</v>
      </c>
      <c r="W48">
        <v>8718149</v>
      </c>
      <c r="X48">
        <v>8653827</v>
      </c>
      <c r="Y48">
        <v>8587617</v>
      </c>
      <c r="Z48">
        <v>8519965</v>
      </c>
      <c r="AA48">
        <v>8451271</v>
      </c>
      <c r="AB48">
        <v>8381895</v>
      </c>
      <c r="AC48">
        <v>8312154</v>
      </c>
      <c r="AD48">
        <v>8242325</v>
      </c>
      <c r="AE48">
        <v>8172641</v>
      </c>
      <c r="AF48">
        <v>8103294</v>
      </c>
      <c r="AG48">
        <v>8034434</v>
      </c>
      <c r="AH48">
        <v>7966169</v>
      </c>
      <c r="AI48">
        <v>7898567</v>
      </c>
      <c r="AJ48">
        <v>7831650</v>
      </c>
      <c r="AK48">
        <v>7765402</v>
      </c>
      <c r="AL48">
        <v>7699763</v>
      </c>
      <c r="AM48">
        <v>7634632</v>
      </c>
      <c r="AN48">
        <v>7569865</v>
      </c>
      <c r="AO48">
        <v>7505278</v>
      </c>
      <c r="AP48">
        <v>7440644</v>
      </c>
      <c r="AQ48">
        <v>7375692</v>
      </c>
      <c r="AR48">
        <v>7310114</v>
      </c>
      <c r="AS48">
        <v>7243555</v>
      </c>
      <c r="AT48">
        <v>7175622</v>
      </c>
      <c r="AU48">
        <v>7105877</v>
      </c>
      <c r="AV48">
        <v>7033843</v>
      </c>
    </row>
    <row r="49" spans="1:48">
      <c r="A49" t="s">
        <v>286</v>
      </c>
      <c r="B49" t="s">
        <v>287</v>
      </c>
      <c r="C49" t="s">
        <v>14</v>
      </c>
      <c r="D49" s="37">
        <v>6952716.2188611</v>
      </c>
      <c r="E49" s="37">
        <v>6986874.59860299</v>
      </c>
      <c r="F49" s="37">
        <v>7016742.19293658</v>
      </c>
      <c r="G49" s="37">
        <v>7393906</v>
      </c>
      <c r="H49">
        <v>7450013</v>
      </c>
      <c r="I49">
        <v>7493174</v>
      </c>
      <c r="J49">
        <v>7524421</v>
      </c>
      <c r="K49">
        <v>7544742</v>
      </c>
      <c r="L49">
        <v>7555087</v>
      </c>
      <c r="M49">
        <v>7556363</v>
      </c>
      <c r="N49">
        <v>7549440</v>
      </c>
      <c r="O49">
        <v>7535142</v>
      </c>
      <c r="P49">
        <v>7514257</v>
      </c>
      <c r="Q49">
        <v>7487531</v>
      </c>
      <c r="R49">
        <v>7455669</v>
      </c>
      <c r="S49">
        <v>7419335</v>
      </c>
      <c r="T49">
        <v>7379153</v>
      </c>
      <c r="U49">
        <v>7335707</v>
      </c>
      <c r="V49">
        <v>7289538</v>
      </c>
      <c r="W49">
        <v>7241150</v>
      </c>
      <c r="X49">
        <v>7191004</v>
      </c>
      <c r="Y49">
        <v>7139521</v>
      </c>
      <c r="Z49">
        <v>7087080</v>
      </c>
      <c r="AA49">
        <v>7034022</v>
      </c>
      <c r="AB49">
        <v>6980646</v>
      </c>
      <c r="AC49">
        <v>6927209</v>
      </c>
      <c r="AD49">
        <v>6873930</v>
      </c>
      <c r="AE49">
        <v>6820986</v>
      </c>
      <c r="AF49">
        <v>6768513</v>
      </c>
      <c r="AG49">
        <v>6716608</v>
      </c>
      <c r="AH49">
        <v>6665325</v>
      </c>
      <c r="AI49">
        <v>6614680</v>
      </c>
      <c r="AJ49">
        <v>6564646</v>
      </c>
      <c r="AK49">
        <v>6515157</v>
      </c>
      <c r="AL49">
        <v>6466106</v>
      </c>
      <c r="AM49">
        <v>6417346</v>
      </c>
      <c r="AN49">
        <v>6368687</v>
      </c>
      <c r="AO49">
        <v>6319900</v>
      </c>
      <c r="AP49">
        <v>6270717</v>
      </c>
      <c r="AQ49">
        <v>6220827</v>
      </c>
      <c r="AR49">
        <v>6169879</v>
      </c>
      <c r="AS49">
        <v>6117482</v>
      </c>
      <c r="AT49">
        <v>6063203</v>
      </c>
      <c r="AU49">
        <v>6006570</v>
      </c>
      <c r="AV49">
        <v>5947071</v>
      </c>
    </row>
    <row r="50" spans="1:48">
      <c r="A50" t="s">
        <v>288</v>
      </c>
      <c r="B50" t="s">
        <v>289</v>
      </c>
      <c r="C50" t="s">
        <v>14</v>
      </c>
      <c r="D50" s="37">
        <v>3751376.09167091</v>
      </c>
      <c r="E50" s="37">
        <v>3763440.14392302</v>
      </c>
      <c r="F50" s="37">
        <v>3773489.90098289</v>
      </c>
      <c r="G50" s="37">
        <v>3310253</v>
      </c>
      <c r="H50">
        <v>3325054</v>
      </c>
      <c r="I50">
        <v>3336089</v>
      </c>
      <c r="J50">
        <v>3343570</v>
      </c>
      <c r="K50">
        <v>3347705</v>
      </c>
      <c r="L50">
        <v>3348694</v>
      </c>
      <c r="M50">
        <v>3346735</v>
      </c>
      <c r="N50">
        <v>3342019</v>
      </c>
      <c r="O50">
        <v>3334732</v>
      </c>
      <c r="P50">
        <v>3325055</v>
      </c>
      <c r="Q50">
        <v>3313163</v>
      </c>
      <c r="R50">
        <v>3299228</v>
      </c>
      <c r="S50">
        <v>3283413</v>
      </c>
      <c r="T50">
        <v>3265879</v>
      </c>
      <c r="U50">
        <v>3246780</v>
      </c>
      <c r="V50">
        <v>3226266</v>
      </c>
      <c r="W50">
        <v>3204480</v>
      </c>
      <c r="X50">
        <v>3181562</v>
      </c>
      <c r="Y50">
        <v>3157645</v>
      </c>
      <c r="Z50">
        <v>3132857</v>
      </c>
      <c r="AA50">
        <v>3107322</v>
      </c>
      <c r="AB50">
        <v>3081157</v>
      </c>
      <c r="AC50">
        <v>3054474</v>
      </c>
      <c r="AD50">
        <v>3027382</v>
      </c>
      <c r="AE50">
        <v>2999981</v>
      </c>
      <c r="AF50">
        <v>2972369</v>
      </c>
      <c r="AG50">
        <v>2944638</v>
      </c>
      <c r="AH50">
        <v>2916873</v>
      </c>
      <c r="AI50">
        <v>2889155</v>
      </c>
      <c r="AJ50">
        <v>2861561</v>
      </c>
      <c r="AK50">
        <v>2834160</v>
      </c>
      <c r="AL50">
        <v>2807019</v>
      </c>
      <c r="AM50">
        <v>2780197</v>
      </c>
      <c r="AN50">
        <v>2753748</v>
      </c>
      <c r="AO50">
        <v>2727722</v>
      </c>
      <c r="AP50">
        <v>2702164</v>
      </c>
      <c r="AQ50">
        <v>2677113</v>
      </c>
      <c r="AR50">
        <v>2652602</v>
      </c>
      <c r="AS50">
        <v>2628659</v>
      </c>
      <c r="AT50">
        <v>2605308</v>
      </c>
      <c r="AU50">
        <v>2582566</v>
      </c>
      <c r="AV50">
        <v>2560448</v>
      </c>
    </row>
    <row r="51" spans="1:48">
      <c r="A51" t="s">
        <v>290</v>
      </c>
      <c r="B51" t="s">
        <v>291</v>
      </c>
      <c r="C51" t="s">
        <v>14</v>
      </c>
      <c r="D51" s="37">
        <v>2190766.88731113</v>
      </c>
      <c r="E51" s="37">
        <v>2196076.15049706</v>
      </c>
      <c r="F51" s="37">
        <v>2200096.85946597</v>
      </c>
      <c r="G51" s="37">
        <v>1725298</v>
      </c>
      <c r="H51">
        <v>1731688</v>
      </c>
      <c r="I51">
        <v>1735669</v>
      </c>
      <c r="J51">
        <v>1737399</v>
      </c>
      <c r="K51">
        <v>1737028</v>
      </c>
      <c r="L51">
        <v>1734704</v>
      </c>
      <c r="M51">
        <v>1730570</v>
      </c>
      <c r="N51">
        <v>1724765</v>
      </c>
      <c r="O51">
        <v>1717420</v>
      </c>
      <c r="P51">
        <v>1708665</v>
      </c>
      <c r="Q51">
        <v>1698625</v>
      </c>
      <c r="R51">
        <v>1687419</v>
      </c>
      <c r="S51">
        <v>1675162</v>
      </c>
      <c r="T51">
        <v>1661964</v>
      </c>
      <c r="U51">
        <v>1647931</v>
      </c>
      <c r="V51">
        <v>1633165</v>
      </c>
      <c r="W51">
        <v>1617762</v>
      </c>
      <c r="X51">
        <v>1601813</v>
      </c>
      <c r="Y51">
        <v>1585407</v>
      </c>
      <c r="Z51">
        <v>1568626</v>
      </c>
      <c r="AA51">
        <v>1551548</v>
      </c>
      <c r="AB51">
        <v>1534247</v>
      </c>
      <c r="AC51">
        <v>1516792</v>
      </c>
      <c r="AD51">
        <v>1499247</v>
      </c>
      <c r="AE51">
        <v>1481671</v>
      </c>
      <c r="AF51">
        <v>1464120</v>
      </c>
      <c r="AG51">
        <v>1446645</v>
      </c>
      <c r="AH51">
        <v>1429291</v>
      </c>
      <c r="AI51">
        <v>1412099</v>
      </c>
      <c r="AJ51">
        <v>1395106</v>
      </c>
      <c r="AK51">
        <v>1378345</v>
      </c>
      <c r="AL51">
        <v>1361843</v>
      </c>
      <c r="AM51">
        <v>1345622</v>
      </c>
      <c r="AN51">
        <v>1329701</v>
      </c>
      <c r="AO51">
        <v>1314093</v>
      </c>
      <c r="AP51">
        <v>1298808</v>
      </c>
      <c r="AQ51">
        <v>1283850</v>
      </c>
      <c r="AR51">
        <v>1269219</v>
      </c>
      <c r="AS51">
        <v>1254910</v>
      </c>
      <c r="AT51">
        <v>1240913</v>
      </c>
      <c r="AU51">
        <v>1227215</v>
      </c>
      <c r="AV51">
        <v>1213797</v>
      </c>
    </row>
    <row r="52" spans="1:48">
      <c r="A52" t="s">
        <v>292</v>
      </c>
      <c r="B52" t="s">
        <v>293</v>
      </c>
      <c r="C52" t="s">
        <v>14</v>
      </c>
      <c r="D52" s="37">
        <v>1760975.47794166</v>
      </c>
      <c r="E52" s="37">
        <v>1767452.34888462</v>
      </c>
      <c r="F52" s="37">
        <v>1772982.61070186</v>
      </c>
      <c r="G52" s="37">
        <v>1318051</v>
      </c>
      <c r="H52">
        <v>1325891</v>
      </c>
      <c r="I52">
        <v>1331719</v>
      </c>
      <c r="J52">
        <v>1335669</v>
      </c>
      <c r="K52">
        <v>1337869</v>
      </c>
      <c r="L52">
        <v>1338445</v>
      </c>
      <c r="M52">
        <v>1337516</v>
      </c>
      <c r="N52">
        <v>1335199</v>
      </c>
      <c r="O52">
        <v>1331607</v>
      </c>
      <c r="P52">
        <v>1326846</v>
      </c>
      <c r="Q52">
        <v>1321022</v>
      </c>
      <c r="R52">
        <v>1314233</v>
      </c>
      <c r="S52">
        <v>1306575</v>
      </c>
      <c r="T52">
        <v>1298139</v>
      </c>
      <c r="U52">
        <v>1289013</v>
      </c>
      <c r="V52">
        <v>1279278</v>
      </c>
      <c r="W52">
        <v>1269013</v>
      </c>
      <c r="X52">
        <v>1258293</v>
      </c>
      <c r="Y52">
        <v>1247188</v>
      </c>
      <c r="Z52">
        <v>1235765</v>
      </c>
      <c r="AA52">
        <v>1224084</v>
      </c>
      <c r="AB52">
        <v>1212203</v>
      </c>
      <c r="AC52">
        <v>1200176</v>
      </c>
      <c r="AD52">
        <v>1188053</v>
      </c>
      <c r="AE52">
        <v>1175877</v>
      </c>
      <c r="AF52">
        <v>1163690</v>
      </c>
      <c r="AG52">
        <v>1151529</v>
      </c>
      <c r="AH52">
        <v>1139426</v>
      </c>
      <c r="AI52">
        <v>1127409</v>
      </c>
      <c r="AJ52">
        <v>1115502</v>
      </c>
      <c r="AK52">
        <v>1103725</v>
      </c>
      <c r="AL52">
        <v>1092094</v>
      </c>
      <c r="AM52">
        <v>1080620</v>
      </c>
      <c r="AN52">
        <v>1069311</v>
      </c>
      <c r="AO52">
        <v>1058169</v>
      </c>
      <c r="AP52">
        <v>1047193</v>
      </c>
      <c r="AQ52">
        <v>1036379</v>
      </c>
      <c r="AR52">
        <v>1025716</v>
      </c>
      <c r="AS52">
        <v>1015191</v>
      </c>
      <c r="AT52">
        <v>1004785</v>
      </c>
      <c r="AU52">
        <v>994478</v>
      </c>
      <c r="AV52">
        <v>984242</v>
      </c>
    </row>
    <row r="53" spans="1:48">
      <c r="A53" t="s">
        <v>294</v>
      </c>
      <c r="B53" t="s">
        <v>295</v>
      </c>
      <c r="C53" t="s">
        <v>14</v>
      </c>
      <c r="D53" s="37">
        <v>2500222.14454527</v>
      </c>
      <c r="E53" s="37">
        <v>2507015.94613971</v>
      </c>
      <c r="F53" s="37">
        <v>2512657.50473552</v>
      </c>
      <c r="G53" s="37">
        <v>2179105</v>
      </c>
      <c r="H53">
        <v>2188204</v>
      </c>
      <c r="I53">
        <v>2194766</v>
      </c>
      <c r="J53">
        <v>2198921</v>
      </c>
      <c r="K53">
        <v>2200799</v>
      </c>
      <c r="L53">
        <v>2200529</v>
      </c>
      <c r="M53">
        <v>2198233</v>
      </c>
      <c r="N53">
        <v>2194033</v>
      </c>
      <c r="O53">
        <v>2188050</v>
      </c>
      <c r="P53">
        <v>2180400</v>
      </c>
      <c r="Q53">
        <v>2171198</v>
      </c>
      <c r="R53">
        <v>2160554</v>
      </c>
      <c r="S53">
        <v>2148578</v>
      </c>
      <c r="T53">
        <v>2135377</v>
      </c>
      <c r="U53">
        <v>2121055</v>
      </c>
      <c r="V53">
        <v>2105714</v>
      </c>
      <c r="W53">
        <v>2089451</v>
      </c>
      <c r="X53">
        <v>2072364</v>
      </c>
      <c r="Y53">
        <v>2054547</v>
      </c>
      <c r="Z53">
        <v>2036091</v>
      </c>
      <c r="AA53">
        <v>2017084</v>
      </c>
      <c r="AB53">
        <v>1997613</v>
      </c>
      <c r="AC53">
        <v>1977762</v>
      </c>
      <c r="AD53">
        <v>1957611</v>
      </c>
      <c r="AE53">
        <v>1937239</v>
      </c>
      <c r="AF53">
        <v>1916723</v>
      </c>
      <c r="AG53">
        <v>1896135</v>
      </c>
      <c r="AH53">
        <v>1875546</v>
      </c>
      <c r="AI53">
        <v>1855026</v>
      </c>
      <c r="AJ53">
        <v>1834639</v>
      </c>
      <c r="AK53">
        <v>1814449</v>
      </c>
      <c r="AL53">
        <v>1794517</v>
      </c>
      <c r="AM53">
        <v>1774900</v>
      </c>
      <c r="AN53">
        <v>1755655</v>
      </c>
      <c r="AO53">
        <v>1736835</v>
      </c>
      <c r="AP53">
        <v>1718489</v>
      </c>
      <c r="AQ53">
        <v>1700666</v>
      </c>
      <c r="AR53">
        <v>1683412</v>
      </c>
      <c r="AS53">
        <v>1666769</v>
      </c>
      <c r="AT53">
        <v>1650777</v>
      </c>
      <c r="AU53">
        <v>1635474</v>
      </c>
      <c r="AV53">
        <v>1620896</v>
      </c>
    </row>
    <row r="54" spans="1:48">
      <c r="A54" t="s">
        <v>296</v>
      </c>
      <c r="B54" t="s">
        <v>297</v>
      </c>
      <c r="C54" t="s">
        <v>14</v>
      </c>
      <c r="D54" s="37">
        <v>3211793.0630626</v>
      </c>
      <c r="E54" s="37">
        <v>3222373.95172199</v>
      </c>
      <c r="F54" s="37">
        <v>3231359.8559301</v>
      </c>
      <c r="G54" s="37">
        <v>2690454</v>
      </c>
      <c r="H54">
        <v>2703572</v>
      </c>
      <c r="I54">
        <v>2713397</v>
      </c>
      <c r="J54">
        <v>2720123</v>
      </c>
      <c r="K54">
        <v>2723939</v>
      </c>
      <c r="L54">
        <v>2725029</v>
      </c>
      <c r="M54">
        <v>2723573</v>
      </c>
      <c r="N54">
        <v>2719744</v>
      </c>
      <c r="O54">
        <v>2713712</v>
      </c>
      <c r="P54">
        <v>2705641</v>
      </c>
      <c r="Q54">
        <v>2695690</v>
      </c>
      <c r="R54">
        <v>2684012</v>
      </c>
      <c r="S54">
        <v>2670756</v>
      </c>
      <c r="T54">
        <v>2656065</v>
      </c>
      <c r="U54">
        <v>2640079</v>
      </c>
      <c r="V54">
        <v>2622930</v>
      </c>
      <c r="W54">
        <v>2604747</v>
      </c>
      <c r="X54">
        <v>2585653</v>
      </c>
      <c r="Y54">
        <v>2565767</v>
      </c>
      <c r="Z54">
        <v>2545201</v>
      </c>
      <c r="AA54">
        <v>2524064</v>
      </c>
      <c r="AB54">
        <v>2502458</v>
      </c>
      <c r="AC54">
        <v>2480482</v>
      </c>
      <c r="AD54">
        <v>2458228</v>
      </c>
      <c r="AE54">
        <v>2435784</v>
      </c>
      <c r="AF54">
        <v>2413232</v>
      </c>
      <c r="AG54">
        <v>2390651</v>
      </c>
      <c r="AH54">
        <v>2368112</v>
      </c>
      <c r="AI54">
        <v>2345683</v>
      </c>
      <c r="AJ54">
        <v>2323426</v>
      </c>
      <c r="AK54">
        <v>2301399</v>
      </c>
      <c r="AL54">
        <v>2279653</v>
      </c>
      <c r="AM54">
        <v>2258237</v>
      </c>
      <c r="AN54">
        <v>2237190</v>
      </c>
      <c r="AO54">
        <v>2216552</v>
      </c>
      <c r="AP54">
        <v>2196353</v>
      </c>
      <c r="AQ54">
        <v>2176620</v>
      </c>
      <c r="AR54">
        <v>2157374</v>
      </c>
      <c r="AS54">
        <v>2138634</v>
      </c>
      <c r="AT54">
        <v>2120408</v>
      </c>
      <c r="AU54">
        <v>2102706</v>
      </c>
      <c r="AV54">
        <v>2085527</v>
      </c>
    </row>
    <row r="55" spans="1:48">
      <c r="A55" t="s">
        <v>298</v>
      </c>
      <c r="B55" t="s">
        <v>299</v>
      </c>
      <c r="C55" t="s">
        <v>14</v>
      </c>
      <c r="D55" s="37">
        <v>2520721.98618317</v>
      </c>
      <c r="E55" s="37">
        <v>2532082.86974462</v>
      </c>
      <c r="F55" s="37">
        <v>2541935.19992773</v>
      </c>
      <c r="G55" s="37">
        <v>2313836</v>
      </c>
      <c r="H55">
        <v>2328378</v>
      </c>
      <c r="I55">
        <v>2339740</v>
      </c>
      <c r="J55">
        <v>2348140</v>
      </c>
      <c r="K55">
        <v>2353787</v>
      </c>
      <c r="L55">
        <v>2356884</v>
      </c>
      <c r="M55">
        <v>2357624</v>
      </c>
      <c r="N55">
        <v>2356197</v>
      </c>
      <c r="O55">
        <v>2352780</v>
      </c>
      <c r="P55">
        <v>2347547</v>
      </c>
      <c r="Q55">
        <v>2340661</v>
      </c>
      <c r="R55">
        <v>2332280</v>
      </c>
      <c r="S55">
        <v>2322553</v>
      </c>
      <c r="T55">
        <v>2311624</v>
      </c>
      <c r="U55">
        <v>2299625</v>
      </c>
      <c r="V55">
        <v>2286684</v>
      </c>
      <c r="W55">
        <v>2272921</v>
      </c>
      <c r="X55">
        <v>2258448</v>
      </c>
      <c r="Y55">
        <v>2243369</v>
      </c>
      <c r="Z55">
        <v>2227782</v>
      </c>
      <c r="AA55">
        <v>2211775</v>
      </c>
      <c r="AB55">
        <v>2195430</v>
      </c>
      <c r="AC55">
        <v>2178823</v>
      </c>
      <c r="AD55">
        <v>2162020</v>
      </c>
      <c r="AE55">
        <v>2145080</v>
      </c>
      <c r="AF55">
        <v>2128056</v>
      </c>
      <c r="AG55">
        <v>2110992</v>
      </c>
      <c r="AH55">
        <v>2093924</v>
      </c>
      <c r="AI55">
        <v>2076882</v>
      </c>
      <c r="AJ55">
        <v>2059889</v>
      </c>
      <c r="AK55">
        <v>2042957</v>
      </c>
      <c r="AL55">
        <v>2026095</v>
      </c>
      <c r="AM55">
        <v>2009301</v>
      </c>
      <c r="AN55">
        <v>1992567</v>
      </c>
      <c r="AO55">
        <v>1975878</v>
      </c>
      <c r="AP55">
        <v>1959210</v>
      </c>
      <c r="AQ55">
        <v>1942533</v>
      </c>
      <c r="AR55">
        <v>1925808</v>
      </c>
      <c r="AS55">
        <v>1908990</v>
      </c>
      <c r="AT55">
        <v>1892024</v>
      </c>
      <c r="AU55">
        <v>1874852</v>
      </c>
      <c r="AV55">
        <v>1857403</v>
      </c>
    </row>
    <row r="56" spans="1:48">
      <c r="A56" t="s">
        <v>300</v>
      </c>
      <c r="B56" t="s">
        <v>301</v>
      </c>
      <c r="C56" t="s">
        <v>14</v>
      </c>
      <c r="D56" s="37">
        <v>1865281.35492666</v>
      </c>
      <c r="E56" s="37">
        <v>1871004.23895459</v>
      </c>
      <c r="F56" s="37">
        <v>1875912.55727895</v>
      </c>
      <c r="G56" s="37">
        <v>1639583</v>
      </c>
      <c r="H56">
        <v>1647149</v>
      </c>
      <c r="I56">
        <v>1653063</v>
      </c>
      <c r="J56">
        <v>1657388</v>
      </c>
      <c r="K56">
        <v>1660189</v>
      </c>
      <c r="L56">
        <v>1661531</v>
      </c>
      <c r="M56">
        <v>1661478</v>
      </c>
      <c r="N56">
        <v>1660093</v>
      </c>
      <c r="O56">
        <v>1657442</v>
      </c>
      <c r="P56">
        <v>1653586</v>
      </c>
      <c r="Q56">
        <v>1648590</v>
      </c>
      <c r="R56">
        <v>1642517</v>
      </c>
      <c r="S56">
        <v>1635429</v>
      </c>
      <c r="T56">
        <v>1627390</v>
      </c>
      <c r="U56">
        <v>1618461</v>
      </c>
      <c r="V56">
        <v>1608706</v>
      </c>
      <c r="W56">
        <v>1598187</v>
      </c>
      <c r="X56">
        <v>1586965</v>
      </c>
      <c r="Y56">
        <v>1575103</v>
      </c>
      <c r="Z56">
        <v>1562661</v>
      </c>
      <c r="AA56">
        <v>1549701</v>
      </c>
      <c r="AB56">
        <v>1536284</v>
      </c>
      <c r="AC56">
        <v>1522472</v>
      </c>
      <c r="AD56">
        <v>1508325</v>
      </c>
      <c r="AE56">
        <v>1493903</v>
      </c>
      <c r="AF56">
        <v>1479268</v>
      </c>
      <c r="AG56">
        <v>1464478</v>
      </c>
      <c r="AH56">
        <v>1449594</v>
      </c>
      <c r="AI56">
        <v>1434676</v>
      </c>
      <c r="AJ56">
        <v>1419783</v>
      </c>
      <c r="AK56">
        <v>1404974</v>
      </c>
      <c r="AL56">
        <v>1390310</v>
      </c>
      <c r="AM56">
        <v>1375848</v>
      </c>
      <c r="AN56">
        <v>1361647</v>
      </c>
      <c r="AO56">
        <v>1347766</v>
      </c>
      <c r="AP56">
        <v>1334263</v>
      </c>
      <c r="AQ56">
        <v>1321197</v>
      </c>
      <c r="AR56">
        <v>1308625</v>
      </c>
      <c r="AS56">
        <v>1296605</v>
      </c>
      <c r="AT56">
        <v>1285194</v>
      </c>
      <c r="AU56">
        <v>1274450</v>
      </c>
      <c r="AV56">
        <v>1264430</v>
      </c>
    </row>
    <row r="57" spans="1:48">
      <c r="A57" t="s">
        <v>302</v>
      </c>
      <c r="B57" t="s">
        <v>303</v>
      </c>
      <c r="C57" t="s">
        <v>14</v>
      </c>
      <c r="D57" s="37">
        <v>1915064.23903047</v>
      </c>
      <c r="E57" s="37">
        <v>1922070.85836726</v>
      </c>
      <c r="F57" s="37">
        <v>1928072.14851835</v>
      </c>
      <c r="G57" s="37">
        <v>1596297</v>
      </c>
      <c r="H57">
        <v>1604443</v>
      </c>
      <c r="I57">
        <v>1610629</v>
      </c>
      <c r="J57">
        <v>1614970</v>
      </c>
      <c r="K57">
        <v>1617576</v>
      </c>
      <c r="L57">
        <v>1618558</v>
      </c>
      <c r="M57">
        <v>1618019</v>
      </c>
      <c r="N57">
        <v>1616063</v>
      </c>
      <c r="O57">
        <v>1612788</v>
      </c>
      <c r="P57">
        <v>1608292</v>
      </c>
      <c r="Q57">
        <v>1602667</v>
      </c>
      <c r="R57">
        <v>1596003</v>
      </c>
      <c r="S57">
        <v>1588387</v>
      </c>
      <c r="T57">
        <v>1579904</v>
      </c>
      <c r="U57">
        <v>1570634</v>
      </c>
      <c r="V57">
        <v>1560655</v>
      </c>
      <c r="W57">
        <v>1550041</v>
      </c>
      <c r="X57">
        <v>1538865</v>
      </c>
      <c r="Y57">
        <v>1527194</v>
      </c>
      <c r="Z57">
        <v>1515094</v>
      </c>
      <c r="AA57">
        <v>1502628</v>
      </c>
      <c r="AB57">
        <v>1489855</v>
      </c>
      <c r="AC57">
        <v>1476831</v>
      </c>
      <c r="AD57">
        <v>1463609</v>
      </c>
      <c r="AE57">
        <v>1450240</v>
      </c>
      <c r="AF57">
        <v>1436769</v>
      </c>
      <c r="AG57">
        <v>1423243</v>
      </c>
      <c r="AH57">
        <v>1409700</v>
      </c>
      <c r="AI57">
        <v>1396179</v>
      </c>
      <c r="AJ57">
        <v>1382715</v>
      </c>
      <c r="AK57">
        <v>1369338</v>
      </c>
      <c r="AL57">
        <v>1356079</v>
      </c>
      <c r="AM57">
        <v>1342961</v>
      </c>
      <c r="AN57">
        <v>1330008</v>
      </c>
      <c r="AO57">
        <v>1317239</v>
      </c>
      <c r="AP57">
        <v>1304670</v>
      </c>
      <c r="AQ57">
        <v>1292314</v>
      </c>
      <c r="AR57">
        <v>1280181</v>
      </c>
      <c r="AS57">
        <v>1268279</v>
      </c>
      <c r="AT57">
        <v>1256610</v>
      </c>
      <c r="AU57">
        <v>1245177</v>
      </c>
      <c r="AV57">
        <v>1233976</v>
      </c>
    </row>
    <row r="58" spans="1:48">
      <c r="A58" t="s">
        <v>304</v>
      </c>
      <c r="B58" t="s">
        <v>305</v>
      </c>
      <c r="C58" t="s">
        <v>14</v>
      </c>
      <c r="D58" s="37">
        <v>1445970.59762303</v>
      </c>
      <c r="E58" s="37">
        <v>1453023.29179648</v>
      </c>
      <c r="F58" s="37">
        <v>1459327.13066136</v>
      </c>
      <c r="G58" s="37">
        <v>1380450</v>
      </c>
      <c r="H58">
        <v>1389604</v>
      </c>
      <c r="I58">
        <v>1397154</v>
      </c>
      <c r="J58">
        <v>1403182</v>
      </c>
      <c r="K58">
        <v>1407768</v>
      </c>
      <c r="L58">
        <v>1410992</v>
      </c>
      <c r="M58">
        <v>1412930</v>
      </c>
      <c r="N58">
        <v>1413657</v>
      </c>
      <c r="O58">
        <v>1413244</v>
      </c>
      <c r="P58">
        <v>1411764</v>
      </c>
      <c r="Q58">
        <v>1409284</v>
      </c>
      <c r="R58">
        <v>1405871</v>
      </c>
      <c r="S58">
        <v>1401591</v>
      </c>
      <c r="T58">
        <v>1396506</v>
      </c>
      <c r="U58">
        <v>1390676</v>
      </c>
      <c r="V58">
        <v>1384162</v>
      </c>
      <c r="W58">
        <v>1377020</v>
      </c>
      <c r="X58">
        <v>1369305</v>
      </c>
      <c r="Y58">
        <v>1361070</v>
      </c>
      <c r="Z58">
        <v>1352367</v>
      </c>
      <c r="AA58">
        <v>1343244</v>
      </c>
      <c r="AB58">
        <v>1333749</v>
      </c>
      <c r="AC58">
        <v>1323926</v>
      </c>
      <c r="AD58">
        <v>1313821</v>
      </c>
      <c r="AE58">
        <v>1303473</v>
      </c>
      <c r="AF58">
        <v>1292922</v>
      </c>
      <c r="AG58">
        <v>1282205</v>
      </c>
      <c r="AH58">
        <v>1271359</v>
      </c>
      <c r="AI58">
        <v>1260417</v>
      </c>
      <c r="AJ58">
        <v>1249410</v>
      </c>
      <c r="AK58">
        <v>1238367</v>
      </c>
      <c r="AL58">
        <v>1227318</v>
      </c>
      <c r="AM58">
        <v>1216286</v>
      </c>
      <c r="AN58">
        <v>1205297</v>
      </c>
      <c r="AO58">
        <v>1194372</v>
      </c>
      <c r="AP58">
        <v>1183530</v>
      </c>
      <c r="AQ58">
        <v>1172790</v>
      </c>
      <c r="AR58">
        <v>1162168</v>
      </c>
      <c r="AS58">
        <v>1151677</v>
      </c>
      <c r="AT58">
        <v>1141330</v>
      </c>
      <c r="AU58">
        <v>1131137</v>
      </c>
      <c r="AV58">
        <v>1121106</v>
      </c>
    </row>
    <row r="59" spans="1:48">
      <c r="A59" t="s">
        <v>306</v>
      </c>
      <c r="B59" t="s">
        <v>307</v>
      </c>
      <c r="C59" t="s">
        <v>14</v>
      </c>
      <c r="D59" s="37">
        <v>2788918.17523722</v>
      </c>
      <c r="E59" s="37">
        <v>2797996.37663135</v>
      </c>
      <c r="F59" s="37">
        <v>2805873.80441191</v>
      </c>
      <c r="G59" s="37">
        <v>2377360</v>
      </c>
      <c r="H59">
        <v>2388101</v>
      </c>
      <c r="I59">
        <v>2396611</v>
      </c>
      <c r="J59">
        <v>2402966</v>
      </c>
      <c r="K59">
        <v>2407241</v>
      </c>
      <c r="L59">
        <v>2409510</v>
      </c>
      <c r="M59">
        <v>2409852</v>
      </c>
      <c r="N59">
        <v>2408341</v>
      </c>
      <c r="O59">
        <v>2405056</v>
      </c>
      <c r="P59">
        <v>2400075</v>
      </c>
      <c r="Q59">
        <v>2393477</v>
      </c>
      <c r="R59">
        <v>2385340</v>
      </c>
      <c r="S59">
        <v>2375745</v>
      </c>
      <c r="T59">
        <v>2364773</v>
      </c>
      <c r="U59">
        <v>2352503</v>
      </c>
      <c r="V59">
        <v>2339019</v>
      </c>
      <c r="W59">
        <v>2324402</v>
      </c>
      <c r="X59">
        <v>2308736</v>
      </c>
      <c r="Y59">
        <v>2292103</v>
      </c>
      <c r="Z59">
        <v>2274588</v>
      </c>
      <c r="AA59">
        <v>2256276</v>
      </c>
      <c r="AB59">
        <v>2237252</v>
      </c>
      <c r="AC59">
        <v>2217602</v>
      </c>
      <c r="AD59">
        <v>2197413</v>
      </c>
      <c r="AE59">
        <v>2176772</v>
      </c>
      <c r="AF59">
        <v>2155767</v>
      </c>
      <c r="AG59">
        <v>2134485</v>
      </c>
      <c r="AH59">
        <v>2113017</v>
      </c>
      <c r="AI59">
        <v>2091451</v>
      </c>
      <c r="AJ59">
        <v>2069878</v>
      </c>
      <c r="AK59">
        <v>2048389</v>
      </c>
      <c r="AL59">
        <v>2027075</v>
      </c>
      <c r="AM59">
        <v>2006028</v>
      </c>
      <c r="AN59">
        <v>1985341</v>
      </c>
      <c r="AO59">
        <v>1965107</v>
      </c>
      <c r="AP59">
        <v>1945420</v>
      </c>
      <c r="AQ59">
        <v>1926375</v>
      </c>
      <c r="AR59">
        <v>1908066</v>
      </c>
      <c r="AS59">
        <v>1890590</v>
      </c>
      <c r="AT59">
        <v>1874042</v>
      </c>
      <c r="AU59">
        <v>1858519</v>
      </c>
      <c r="AV59">
        <v>1844120</v>
      </c>
    </row>
    <row r="60" spans="1:48">
      <c r="A60" t="s">
        <v>308</v>
      </c>
      <c r="B60" t="s">
        <v>309</v>
      </c>
      <c r="C60" t="s">
        <v>14</v>
      </c>
      <c r="D60" s="37">
        <v>3118909.61339501</v>
      </c>
      <c r="E60" s="37">
        <v>3127618.06598505</v>
      </c>
      <c r="F60" s="37">
        <v>3135203.70447212</v>
      </c>
      <c r="G60" s="37">
        <v>2863591</v>
      </c>
      <c r="H60">
        <v>2872635</v>
      </c>
      <c r="I60">
        <v>2880777</v>
      </c>
      <c r="J60">
        <v>2887915</v>
      </c>
      <c r="K60">
        <v>2893954</v>
      </c>
      <c r="L60">
        <v>2898811</v>
      </c>
      <c r="M60">
        <v>2902412</v>
      </c>
      <c r="N60">
        <v>2904692</v>
      </c>
      <c r="O60">
        <v>2905596</v>
      </c>
      <c r="P60">
        <v>2905080</v>
      </c>
      <c r="Q60">
        <v>2903109</v>
      </c>
      <c r="R60">
        <v>2899657</v>
      </c>
      <c r="S60">
        <v>2894708</v>
      </c>
      <c r="T60">
        <v>2888257</v>
      </c>
      <c r="U60">
        <v>2880306</v>
      </c>
      <c r="V60">
        <v>2870871</v>
      </c>
      <c r="W60">
        <v>2859973</v>
      </c>
      <c r="X60">
        <v>2847647</v>
      </c>
      <c r="Y60">
        <v>2833934</v>
      </c>
      <c r="Z60">
        <v>2818887</v>
      </c>
      <c r="AA60">
        <v>2802568</v>
      </c>
      <c r="AB60">
        <v>2785050</v>
      </c>
      <c r="AC60">
        <v>2766414</v>
      </c>
      <c r="AD60">
        <v>2746751</v>
      </c>
      <c r="AE60">
        <v>2726163</v>
      </c>
      <c r="AF60">
        <v>2704761</v>
      </c>
      <c r="AG60">
        <v>2682664</v>
      </c>
      <c r="AH60">
        <v>2660004</v>
      </c>
      <c r="AI60">
        <v>2636921</v>
      </c>
      <c r="AJ60">
        <v>2613564</v>
      </c>
      <c r="AK60">
        <v>2590094</v>
      </c>
      <c r="AL60">
        <v>2566679</v>
      </c>
      <c r="AM60">
        <v>2543498</v>
      </c>
      <c r="AN60">
        <v>2520741</v>
      </c>
      <c r="AO60">
        <v>2498606</v>
      </c>
      <c r="AP60">
        <v>2477300</v>
      </c>
      <c r="AQ60">
        <v>2457044</v>
      </c>
      <c r="AR60">
        <v>2438063</v>
      </c>
      <c r="AS60">
        <v>2420596</v>
      </c>
      <c r="AT60">
        <v>2404889</v>
      </c>
      <c r="AU60">
        <v>2391200</v>
      </c>
      <c r="AV60">
        <v>2379796</v>
      </c>
    </row>
    <row r="61" spans="1:48">
      <c r="A61" t="s">
        <v>310</v>
      </c>
      <c r="B61" t="s">
        <v>311</v>
      </c>
      <c r="C61" t="s">
        <v>14</v>
      </c>
      <c r="D61" s="37">
        <v>2695154.79534103</v>
      </c>
      <c r="E61" s="37">
        <v>2703835.79348074</v>
      </c>
      <c r="F61" s="37">
        <v>2711423.46727805</v>
      </c>
      <c r="G61" s="37">
        <v>2424266</v>
      </c>
      <c r="H61">
        <v>2433970</v>
      </c>
      <c r="I61">
        <v>2442286</v>
      </c>
      <c r="J61">
        <v>2449209</v>
      </c>
      <c r="K61">
        <v>2454738</v>
      </c>
      <c r="L61">
        <v>2458875</v>
      </c>
      <c r="M61">
        <v>2461626</v>
      </c>
      <c r="N61">
        <v>2463002</v>
      </c>
      <c r="O61">
        <v>2463018</v>
      </c>
      <c r="P61">
        <v>2461692</v>
      </c>
      <c r="Q61">
        <v>2459046</v>
      </c>
      <c r="R61">
        <v>2455106</v>
      </c>
      <c r="S61">
        <v>2449904</v>
      </c>
      <c r="T61">
        <v>2443474</v>
      </c>
      <c r="U61">
        <v>2435853</v>
      </c>
      <c r="V61">
        <v>2427084</v>
      </c>
      <c r="W61">
        <v>2417214</v>
      </c>
      <c r="X61">
        <v>2406293</v>
      </c>
      <c r="Y61">
        <v>2394374</v>
      </c>
      <c r="Z61">
        <v>2381517</v>
      </c>
      <c r="AA61">
        <v>2367784</v>
      </c>
      <c r="AB61">
        <v>2353240</v>
      </c>
      <c r="AC61">
        <v>2337957</v>
      </c>
      <c r="AD61">
        <v>2322007</v>
      </c>
      <c r="AE61">
        <v>2305470</v>
      </c>
      <c r="AF61">
        <v>2288427</v>
      </c>
      <c r="AG61">
        <v>2270965</v>
      </c>
      <c r="AH61">
        <v>2253173</v>
      </c>
      <c r="AI61">
        <v>2235147</v>
      </c>
      <c r="AJ61">
        <v>2216983</v>
      </c>
      <c r="AK61">
        <v>2198784</v>
      </c>
      <c r="AL61">
        <v>2180656</v>
      </c>
      <c r="AM61">
        <v>2162708</v>
      </c>
      <c r="AN61">
        <v>2145056</v>
      </c>
      <c r="AO61">
        <v>2127817</v>
      </c>
      <c r="AP61">
        <v>2111112</v>
      </c>
      <c r="AQ61">
        <v>2095068</v>
      </c>
      <c r="AR61">
        <v>2079815</v>
      </c>
      <c r="AS61">
        <v>2065487</v>
      </c>
      <c r="AT61">
        <v>2052220</v>
      </c>
      <c r="AU61">
        <v>2040159</v>
      </c>
      <c r="AV61">
        <v>2029447</v>
      </c>
    </row>
    <row r="62" spans="1:48">
      <c r="A62" t="s">
        <v>312</v>
      </c>
      <c r="B62" t="s">
        <v>313</v>
      </c>
      <c r="C62" t="s">
        <v>14</v>
      </c>
      <c r="D62" s="37">
        <v>8054197.82835864</v>
      </c>
      <c r="E62" s="37">
        <v>8107122.59941474</v>
      </c>
      <c r="F62" s="37">
        <v>8155463.87773381</v>
      </c>
      <c r="G62" s="37">
        <v>8984871</v>
      </c>
      <c r="H62">
        <v>9066391</v>
      </c>
      <c r="I62">
        <v>9134712</v>
      </c>
      <c r="J62">
        <v>9190745</v>
      </c>
      <c r="K62">
        <v>9235370</v>
      </c>
      <c r="L62">
        <v>9269432</v>
      </c>
      <c r="M62">
        <v>9293744</v>
      </c>
      <c r="N62">
        <v>9309084</v>
      </c>
      <c r="O62">
        <v>9316198</v>
      </c>
      <c r="P62">
        <v>9315799</v>
      </c>
      <c r="Q62">
        <v>9308566</v>
      </c>
      <c r="R62">
        <v>9295145</v>
      </c>
      <c r="S62">
        <v>9276148</v>
      </c>
      <c r="T62">
        <v>9252154</v>
      </c>
      <c r="U62">
        <v>9223711</v>
      </c>
      <c r="V62">
        <v>9191330</v>
      </c>
      <c r="W62">
        <v>9155491</v>
      </c>
      <c r="X62">
        <v>9116640</v>
      </c>
      <c r="Y62">
        <v>9075191</v>
      </c>
      <c r="Z62">
        <v>9031522</v>
      </c>
      <c r="AA62">
        <v>8985981</v>
      </c>
      <c r="AB62">
        <v>8938880</v>
      </c>
      <c r="AC62">
        <v>8890500</v>
      </c>
      <c r="AD62">
        <v>8841087</v>
      </c>
      <c r="AE62">
        <v>8790853</v>
      </c>
      <c r="AF62">
        <v>8739980</v>
      </c>
      <c r="AG62">
        <v>8688614</v>
      </c>
      <c r="AH62">
        <v>8636868</v>
      </c>
      <c r="AI62">
        <v>8584823</v>
      </c>
      <c r="AJ62">
        <v>8532526</v>
      </c>
      <c r="AK62">
        <v>8479989</v>
      </c>
      <c r="AL62">
        <v>8427194</v>
      </c>
      <c r="AM62">
        <v>8374088</v>
      </c>
      <c r="AN62">
        <v>8320584</v>
      </c>
      <c r="AO62">
        <v>8266562</v>
      </c>
      <c r="AP62">
        <v>8211871</v>
      </c>
      <c r="AQ62">
        <v>8156324</v>
      </c>
      <c r="AR62">
        <v>8099702</v>
      </c>
      <c r="AS62">
        <v>8041752</v>
      </c>
      <c r="AT62">
        <v>7982189</v>
      </c>
      <c r="AU62">
        <v>7920692</v>
      </c>
      <c r="AV62">
        <v>7856910</v>
      </c>
    </row>
    <row r="63" spans="1:48">
      <c r="A63" t="s">
        <v>314</v>
      </c>
      <c r="B63" t="s">
        <v>315</v>
      </c>
      <c r="C63" t="s">
        <v>14</v>
      </c>
      <c r="D63" s="37">
        <v>4567490.25837927</v>
      </c>
      <c r="E63" s="37">
        <v>4586674.41107728</v>
      </c>
      <c r="F63" s="37">
        <v>4603323.47254977</v>
      </c>
      <c r="G63" s="37">
        <v>3602581</v>
      </c>
      <c r="H63">
        <v>3623476</v>
      </c>
      <c r="I63">
        <v>3639845</v>
      </c>
      <c r="J63">
        <v>3651951</v>
      </c>
      <c r="K63">
        <v>3660054</v>
      </c>
      <c r="L63">
        <v>3664401</v>
      </c>
      <c r="M63">
        <v>3665237</v>
      </c>
      <c r="N63">
        <v>3662797</v>
      </c>
      <c r="O63">
        <v>3657307</v>
      </c>
      <c r="P63">
        <v>3648989</v>
      </c>
      <c r="Q63">
        <v>3638055</v>
      </c>
      <c r="R63">
        <v>3624711</v>
      </c>
      <c r="S63">
        <v>3609154</v>
      </c>
      <c r="T63">
        <v>3591575</v>
      </c>
      <c r="U63">
        <v>3572157</v>
      </c>
      <c r="V63">
        <v>3551075</v>
      </c>
      <c r="W63">
        <v>3528497</v>
      </c>
      <c r="X63">
        <v>3504585</v>
      </c>
      <c r="Y63">
        <v>3479491</v>
      </c>
      <c r="Z63">
        <v>3453360</v>
      </c>
      <c r="AA63">
        <v>3426332</v>
      </c>
      <c r="AB63">
        <v>3398537</v>
      </c>
      <c r="AC63">
        <v>3370097</v>
      </c>
      <c r="AD63">
        <v>3341130</v>
      </c>
      <c r="AE63">
        <v>3311744</v>
      </c>
      <c r="AF63">
        <v>3282039</v>
      </c>
      <c r="AG63">
        <v>3252109</v>
      </c>
      <c r="AH63">
        <v>3222040</v>
      </c>
      <c r="AI63">
        <v>3191910</v>
      </c>
      <c r="AJ63">
        <v>3161792</v>
      </c>
      <c r="AK63">
        <v>3131748</v>
      </c>
      <c r="AL63">
        <v>3101834</v>
      </c>
      <c r="AM63">
        <v>3072101</v>
      </c>
      <c r="AN63">
        <v>3042587</v>
      </c>
      <c r="AO63">
        <v>3013329</v>
      </c>
      <c r="AP63">
        <v>2984352</v>
      </c>
      <c r="AQ63">
        <v>2955674</v>
      </c>
      <c r="AR63">
        <v>2927309</v>
      </c>
      <c r="AS63">
        <v>2899258</v>
      </c>
      <c r="AT63">
        <v>2871520</v>
      </c>
      <c r="AU63">
        <v>2844083</v>
      </c>
      <c r="AV63">
        <v>2816929</v>
      </c>
    </row>
    <row r="64" spans="1:48">
      <c r="A64" t="s">
        <v>316</v>
      </c>
      <c r="B64" t="s">
        <v>317</v>
      </c>
      <c r="C64" t="s">
        <v>14</v>
      </c>
      <c r="D64" s="37">
        <v>3523641.62566432</v>
      </c>
      <c r="E64" s="37">
        <v>3541346.99606908</v>
      </c>
      <c r="F64" s="37">
        <v>3557136.23945007</v>
      </c>
      <c r="G64" s="37">
        <v>1803515</v>
      </c>
      <c r="H64">
        <v>1814633</v>
      </c>
      <c r="I64">
        <v>1823941</v>
      </c>
      <c r="J64">
        <v>1831517</v>
      </c>
      <c r="K64">
        <v>1837437</v>
      </c>
      <c r="L64">
        <v>1841775</v>
      </c>
      <c r="M64">
        <v>1844606</v>
      </c>
      <c r="N64">
        <v>1846002</v>
      </c>
      <c r="O64">
        <v>1846035</v>
      </c>
      <c r="P64">
        <v>1844775</v>
      </c>
      <c r="Q64">
        <v>1842292</v>
      </c>
      <c r="R64">
        <v>1838654</v>
      </c>
      <c r="S64">
        <v>1833928</v>
      </c>
      <c r="T64">
        <v>1828181</v>
      </c>
      <c r="U64">
        <v>1821477</v>
      </c>
      <c r="V64">
        <v>1813881</v>
      </c>
      <c r="W64">
        <v>1805456</v>
      </c>
      <c r="X64">
        <v>1796262</v>
      </c>
      <c r="Y64">
        <v>1786362</v>
      </c>
      <c r="Z64">
        <v>1775814</v>
      </c>
      <c r="AA64">
        <v>1764678</v>
      </c>
      <c r="AB64">
        <v>1753010</v>
      </c>
      <c r="AC64">
        <v>1740867</v>
      </c>
      <c r="AD64">
        <v>1728305</v>
      </c>
      <c r="AE64">
        <v>1715377</v>
      </c>
      <c r="AF64">
        <v>1702136</v>
      </c>
      <c r="AG64">
        <v>1688636</v>
      </c>
      <c r="AH64">
        <v>1674926</v>
      </c>
      <c r="AI64">
        <v>1661056</v>
      </c>
      <c r="AJ64">
        <v>1647075</v>
      </c>
      <c r="AK64">
        <v>1633032</v>
      </c>
      <c r="AL64">
        <v>1618972</v>
      </c>
      <c r="AM64">
        <v>1604941</v>
      </c>
      <c r="AN64">
        <v>1590983</v>
      </c>
      <c r="AO64">
        <v>1577142</v>
      </c>
      <c r="AP64">
        <v>1563459</v>
      </c>
      <c r="AQ64">
        <v>1549977</v>
      </c>
      <c r="AR64">
        <v>1536735</v>
      </c>
      <c r="AS64">
        <v>1523772</v>
      </c>
      <c r="AT64">
        <v>1511126</v>
      </c>
      <c r="AU64">
        <v>1498833</v>
      </c>
      <c r="AV64">
        <v>1486931</v>
      </c>
    </row>
    <row r="65" spans="1:48">
      <c r="A65" t="s">
        <v>318</v>
      </c>
      <c r="B65" t="s">
        <v>319</v>
      </c>
      <c r="C65" t="s">
        <v>14</v>
      </c>
      <c r="D65" s="37">
        <v>1213696.84211191</v>
      </c>
      <c r="E65" s="37">
        <v>1218438.57169813</v>
      </c>
      <c r="F65" s="37">
        <v>1222592.2313708</v>
      </c>
      <c r="G65" s="37">
        <v>991587</v>
      </c>
      <c r="H65">
        <v>996843</v>
      </c>
      <c r="I65">
        <v>1001070</v>
      </c>
      <c r="J65">
        <v>1004311</v>
      </c>
      <c r="K65">
        <v>1006606</v>
      </c>
      <c r="L65">
        <v>1007997</v>
      </c>
      <c r="M65">
        <v>1008522</v>
      </c>
      <c r="N65">
        <v>1008222</v>
      </c>
      <c r="O65">
        <v>1007136</v>
      </c>
      <c r="P65">
        <v>1005305</v>
      </c>
      <c r="Q65">
        <v>1002766</v>
      </c>
      <c r="R65">
        <v>999559</v>
      </c>
      <c r="S65">
        <v>995721</v>
      </c>
      <c r="T65">
        <v>991291</v>
      </c>
      <c r="U65">
        <v>986306</v>
      </c>
      <c r="V65">
        <v>980804</v>
      </c>
      <c r="W65">
        <v>974821</v>
      </c>
      <c r="X65">
        <v>968394</v>
      </c>
      <c r="Y65">
        <v>961560</v>
      </c>
      <c r="Z65">
        <v>954354</v>
      </c>
      <c r="AA65">
        <v>946812</v>
      </c>
      <c r="AB65">
        <v>938969</v>
      </c>
      <c r="AC65">
        <v>930861</v>
      </c>
      <c r="AD65">
        <v>922522</v>
      </c>
      <c r="AE65">
        <v>913987</v>
      </c>
      <c r="AF65">
        <v>905289</v>
      </c>
      <c r="AG65">
        <v>896462</v>
      </c>
      <c r="AH65">
        <v>887540</v>
      </c>
      <c r="AI65">
        <v>878555</v>
      </c>
      <c r="AJ65">
        <v>869541</v>
      </c>
      <c r="AK65">
        <v>860530</v>
      </c>
      <c r="AL65">
        <v>851553</v>
      </c>
      <c r="AM65">
        <v>842643</v>
      </c>
      <c r="AN65">
        <v>833831</v>
      </c>
      <c r="AO65">
        <v>825148</v>
      </c>
      <c r="AP65">
        <v>816625</v>
      </c>
      <c r="AQ65">
        <v>808292</v>
      </c>
      <c r="AR65">
        <v>800179</v>
      </c>
      <c r="AS65">
        <v>792317</v>
      </c>
      <c r="AT65">
        <v>784734</v>
      </c>
      <c r="AU65">
        <v>777460</v>
      </c>
      <c r="AV65">
        <v>770524</v>
      </c>
    </row>
    <row r="66" spans="1:48">
      <c r="A66" t="s">
        <v>320</v>
      </c>
      <c r="B66" t="s">
        <v>321</v>
      </c>
      <c r="C66" t="s">
        <v>14</v>
      </c>
      <c r="D66" s="37">
        <v>2409346.12254361</v>
      </c>
      <c r="E66" s="37">
        <v>2420166.64845074</v>
      </c>
      <c r="F66" s="37">
        <v>2429688.19153273</v>
      </c>
      <c r="G66" s="37">
        <v>1801292</v>
      </c>
      <c r="H66">
        <v>1812003</v>
      </c>
      <c r="I66">
        <v>1820591</v>
      </c>
      <c r="J66">
        <v>1827164</v>
      </c>
      <c r="K66">
        <v>1831833</v>
      </c>
      <c r="L66">
        <v>1834701</v>
      </c>
      <c r="M66">
        <v>1835874</v>
      </c>
      <c r="N66">
        <v>1835450</v>
      </c>
      <c r="O66">
        <v>1833528</v>
      </c>
      <c r="P66">
        <v>1830202</v>
      </c>
      <c r="Q66">
        <v>1825566</v>
      </c>
      <c r="R66">
        <v>1819710</v>
      </c>
      <c r="S66">
        <v>1812720</v>
      </c>
      <c r="T66">
        <v>1804682</v>
      </c>
      <c r="U66">
        <v>1795678</v>
      </c>
      <c r="V66">
        <v>1785786</v>
      </c>
      <c r="W66">
        <v>1775086</v>
      </c>
      <c r="X66">
        <v>1763649</v>
      </c>
      <c r="Y66">
        <v>1751549</v>
      </c>
      <c r="Z66">
        <v>1738854</v>
      </c>
      <c r="AA66">
        <v>1725631</v>
      </c>
      <c r="AB66">
        <v>1711943</v>
      </c>
      <c r="AC66">
        <v>1697853</v>
      </c>
      <c r="AD66">
        <v>1683418</v>
      </c>
      <c r="AE66">
        <v>1668695</v>
      </c>
      <c r="AF66">
        <v>1653736</v>
      </c>
      <c r="AG66">
        <v>1638594</v>
      </c>
      <c r="AH66">
        <v>1623316</v>
      </c>
      <c r="AI66">
        <v>1607948</v>
      </c>
      <c r="AJ66">
        <v>1592533</v>
      </c>
      <c r="AK66">
        <v>1577110</v>
      </c>
      <c r="AL66">
        <v>1561719</v>
      </c>
      <c r="AM66">
        <v>1546394</v>
      </c>
      <c r="AN66">
        <v>1531168</v>
      </c>
      <c r="AO66">
        <v>1516070</v>
      </c>
      <c r="AP66">
        <v>1501128</v>
      </c>
      <c r="AQ66">
        <v>1486368</v>
      </c>
      <c r="AR66">
        <v>1471810</v>
      </c>
      <c r="AS66">
        <v>1457474</v>
      </c>
      <c r="AT66">
        <v>1443378</v>
      </c>
      <c r="AU66">
        <v>1429535</v>
      </c>
      <c r="AV66">
        <v>1415958</v>
      </c>
    </row>
    <row r="67" spans="1:48">
      <c r="A67" t="s">
        <v>322</v>
      </c>
      <c r="B67" t="s">
        <v>323</v>
      </c>
      <c r="C67" t="s">
        <v>14</v>
      </c>
      <c r="D67" s="37">
        <v>1332360.99874217</v>
      </c>
      <c r="E67" s="37">
        <v>1336343.22046544</v>
      </c>
      <c r="F67" s="37">
        <v>1339620.94966686</v>
      </c>
      <c r="G67" s="37">
        <v>947979</v>
      </c>
      <c r="H67">
        <v>951797</v>
      </c>
      <c r="I67">
        <v>954665</v>
      </c>
      <c r="J67">
        <v>956623</v>
      </c>
      <c r="K67">
        <v>957711</v>
      </c>
      <c r="L67">
        <v>957969</v>
      </c>
      <c r="M67">
        <v>957438</v>
      </c>
      <c r="N67">
        <v>956155</v>
      </c>
      <c r="O67">
        <v>954158</v>
      </c>
      <c r="P67">
        <v>951486</v>
      </c>
      <c r="Q67">
        <v>948176</v>
      </c>
      <c r="R67">
        <v>944264</v>
      </c>
      <c r="S67">
        <v>939786</v>
      </c>
      <c r="T67">
        <v>934779</v>
      </c>
      <c r="U67">
        <v>929276</v>
      </c>
      <c r="V67">
        <v>923313</v>
      </c>
      <c r="W67">
        <v>916924</v>
      </c>
      <c r="X67">
        <v>910142</v>
      </c>
      <c r="Y67">
        <v>903000</v>
      </c>
      <c r="Z67">
        <v>895531</v>
      </c>
      <c r="AA67">
        <v>887765</v>
      </c>
      <c r="AB67">
        <v>879736</v>
      </c>
      <c r="AC67">
        <v>871472</v>
      </c>
      <c r="AD67">
        <v>863006</v>
      </c>
      <c r="AE67">
        <v>854366</v>
      </c>
      <c r="AF67">
        <v>845581</v>
      </c>
      <c r="AG67">
        <v>836681</v>
      </c>
      <c r="AH67">
        <v>827693</v>
      </c>
      <c r="AI67">
        <v>818645</v>
      </c>
      <c r="AJ67">
        <v>809565</v>
      </c>
      <c r="AK67">
        <v>800477</v>
      </c>
      <c r="AL67">
        <v>791410</v>
      </c>
      <c r="AM67">
        <v>782388</v>
      </c>
      <c r="AN67">
        <v>773436</v>
      </c>
      <c r="AO67">
        <v>764578</v>
      </c>
      <c r="AP67">
        <v>755838</v>
      </c>
      <c r="AQ67">
        <v>747241</v>
      </c>
      <c r="AR67">
        <v>738807</v>
      </c>
      <c r="AS67">
        <v>730561</v>
      </c>
      <c r="AT67">
        <v>722523</v>
      </c>
      <c r="AU67">
        <v>714715</v>
      </c>
      <c r="AV67">
        <v>707157</v>
      </c>
    </row>
    <row r="68" spans="1:48">
      <c r="A68" t="s">
        <v>324</v>
      </c>
      <c r="B68" t="s">
        <v>325</v>
      </c>
      <c r="C68" t="s">
        <v>14</v>
      </c>
      <c r="D68" s="37">
        <v>3023060.30669395</v>
      </c>
      <c r="E68" s="37">
        <v>3041719.38076462</v>
      </c>
      <c r="F68" s="37">
        <v>3058718.47299603</v>
      </c>
      <c r="G68" s="37">
        <v>2235875</v>
      </c>
      <c r="H68">
        <v>2252899</v>
      </c>
      <c r="I68">
        <v>2267902</v>
      </c>
      <c r="J68">
        <v>2280961</v>
      </c>
      <c r="K68">
        <v>2292152</v>
      </c>
      <c r="L68">
        <v>2301549</v>
      </c>
      <c r="M68">
        <v>2309225</v>
      </c>
      <c r="N68">
        <v>2315253</v>
      </c>
      <c r="O68">
        <v>2319704</v>
      </c>
      <c r="P68">
        <v>2322648</v>
      </c>
      <c r="Q68">
        <v>2324154</v>
      </c>
      <c r="R68">
        <v>2324290</v>
      </c>
      <c r="S68">
        <v>2323122</v>
      </c>
      <c r="T68">
        <v>2320717</v>
      </c>
      <c r="U68">
        <v>2317139</v>
      </c>
      <c r="V68">
        <v>2312451</v>
      </c>
      <c r="W68">
        <v>2306716</v>
      </c>
      <c r="X68">
        <v>2299996</v>
      </c>
      <c r="Y68">
        <v>2292349</v>
      </c>
      <c r="Z68">
        <v>2283837</v>
      </c>
      <c r="AA68">
        <v>2274515</v>
      </c>
      <c r="AB68">
        <v>2264442</v>
      </c>
      <c r="AC68">
        <v>2253674</v>
      </c>
      <c r="AD68">
        <v>2242264</v>
      </c>
      <c r="AE68">
        <v>2230266</v>
      </c>
      <c r="AF68">
        <v>2217734</v>
      </c>
      <c r="AG68">
        <v>2204718</v>
      </c>
      <c r="AH68">
        <v>2191269</v>
      </c>
      <c r="AI68">
        <v>2177435</v>
      </c>
      <c r="AJ68">
        <v>2163266</v>
      </c>
      <c r="AK68">
        <v>2148808</v>
      </c>
      <c r="AL68">
        <v>2134107</v>
      </c>
      <c r="AM68">
        <v>2119207</v>
      </c>
      <c r="AN68">
        <v>2104153</v>
      </c>
      <c r="AO68">
        <v>2088987</v>
      </c>
      <c r="AP68">
        <v>2073751</v>
      </c>
      <c r="AQ68">
        <v>2058485</v>
      </c>
      <c r="AR68">
        <v>2043229</v>
      </c>
      <c r="AS68">
        <v>2028020</v>
      </c>
      <c r="AT68">
        <v>2012895</v>
      </c>
      <c r="AU68">
        <v>1997892</v>
      </c>
      <c r="AV68">
        <v>1983044</v>
      </c>
    </row>
    <row r="69" spans="1:48">
      <c r="A69" t="s">
        <v>326</v>
      </c>
      <c r="B69" t="s">
        <v>327</v>
      </c>
      <c r="C69" t="s">
        <v>14</v>
      </c>
      <c r="D69" s="37">
        <v>2111000.36984711</v>
      </c>
      <c r="E69" s="37">
        <v>2120752.58628249</v>
      </c>
      <c r="F69" s="37">
        <v>2129326.94856476</v>
      </c>
      <c r="G69" s="37">
        <v>1542159</v>
      </c>
      <c r="H69">
        <v>1551295</v>
      </c>
      <c r="I69">
        <v>1558751</v>
      </c>
      <c r="J69">
        <v>1564608</v>
      </c>
      <c r="K69">
        <v>1568944</v>
      </c>
      <c r="L69">
        <v>1571835</v>
      </c>
      <c r="M69">
        <v>1573356</v>
      </c>
      <c r="N69">
        <v>1573581</v>
      </c>
      <c r="O69">
        <v>1572581</v>
      </c>
      <c r="P69">
        <v>1570427</v>
      </c>
      <c r="Q69">
        <v>1567186</v>
      </c>
      <c r="R69">
        <v>1562925</v>
      </c>
      <c r="S69">
        <v>1557709</v>
      </c>
      <c r="T69">
        <v>1551602</v>
      </c>
      <c r="U69">
        <v>1544665</v>
      </c>
      <c r="V69">
        <v>1536959</v>
      </c>
      <c r="W69">
        <v>1528540</v>
      </c>
      <c r="X69">
        <v>1519468</v>
      </c>
      <c r="Y69">
        <v>1509795</v>
      </c>
      <c r="Z69">
        <v>1499576</v>
      </c>
      <c r="AA69">
        <v>1488862</v>
      </c>
      <c r="AB69">
        <v>1477704</v>
      </c>
      <c r="AC69">
        <v>1466149</v>
      </c>
      <c r="AD69">
        <v>1454245</v>
      </c>
      <c r="AE69">
        <v>1442036</v>
      </c>
      <c r="AF69">
        <v>1429566</v>
      </c>
      <c r="AG69">
        <v>1416877</v>
      </c>
      <c r="AH69">
        <v>1404008</v>
      </c>
      <c r="AI69">
        <v>1390999</v>
      </c>
      <c r="AJ69">
        <v>1377885</v>
      </c>
      <c r="AK69">
        <v>1364703</v>
      </c>
      <c r="AL69">
        <v>1351484</v>
      </c>
      <c r="AM69">
        <v>1338262</v>
      </c>
      <c r="AN69">
        <v>1325066</v>
      </c>
      <c r="AO69">
        <v>1311925</v>
      </c>
      <c r="AP69">
        <v>1298866</v>
      </c>
      <c r="AQ69">
        <v>1285913</v>
      </c>
      <c r="AR69">
        <v>1273090</v>
      </c>
      <c r="AS69">
        <v>1260418</v>
      </c>
      <c r="AT69">
        <v>1247919</v>
      </c>
      <c r="AU69">
        <v>1235611</v>
      </c>
      <c r="AV69">
        <v>1223509</v>
      </c>
    </row>
    <row r="70" spans="1:48">
      <c r="A70" t="s">
        <v>328</v>
      </c>
      <c r="B70" t="s">
        <v>329</v>
      </c>
      <c r="C70" t="s">
        <v>14</v>
      </c>
      <c r="D70" s="37">
        <v>2352109.23043563</v>
      </c>
      <c r="E70" s="37">
        <v>2361912.74026986</v>
      </c>
      <c r="F70" s="37">
        <v>2370270.10710298</v>
      </c>
      <c r="G70" s="37">
        <v>1929973</v>
      </c>
      <c r="H70">
        <v>1941575</v>
      </c>
      <c r="I70">
        <v>1950292</v>
      </c>
      <c r="J70">
        <v>1956318</v>
      </c>
      <c r="K70">
        <v>1959845</v>
      </c>
      <c r="L70">
        <v>1961053</v>
      </c>
      <c r="M70">
        <v>1960119</v>
      </c>
      <c r="N70">
        <v>1957212</v>
      </c>
      <c r="O70">
        <v>1952495</v>
      </c>
      <c r="P70">
        <v>1946123</v>
      </c>
      <c r="Q70">
        <v>1938247</v>
      </c>
      <c r="R70">
        <v>1929010</v>
      </c>
      <c r="S70">
        <v>1918546</v>
      </c>
      <c r="T70">
        <v>1906987</v>
      </c>
      <c r="U70">
        <v>1894454</v>
      </c>
      <c r="V70">
        <v>1881065</v>
      </c>
      <c r="W70">
        <v>1866929</v>
      </c>
      <c r="X70">
        <v>1852149</v>
      </c>
      <c r="Y70">
        <v>1836822</v>
      </c>
      <c r="Z70">
        <v>1821038</v>
      </c>
      <c r="AA70">
        <v>1804880</v>
      </c>
      <c r="AB70">
        <v>1788424</v>
      </c>
      <c r="AC70">
        <v>1771741</v>
      </c>
      <c r="AD70">
        <v>1754895</v>
      </c>
      <c r="AE70">
        <v>1737941</v>
      </c>
      <c r="AF70">
        <v>1720931</v>
      </c>
      <c r="AG70">
        <v>1703908</v>
      </c>
      <c r="AH70">
        <v>1686908</v>
      </c>
      <c r="AI70">
        <v>1669963</v>
      </c>
      <c r="AJ70">
        <v>1653096</v>
      </c>
      <c r="AK70">
        <v>1636324</v>
      </c>
      <c r="AL70">
        <v>1619657</v>
      </c>
      <c r="AM70">
        <v>1603101</v>
      </c>
      <c r="AN70">
        <v>1586651</v>
      </c>
      <c r="AO70">
        <v>1570299</v>
      </c>
      <c r="AP70">
        <v>1554029</v>
      </c>
      <c r="AQ70">
        <v>1537818</v>
      </c>
      <c r="AR70">
        <v>1521637</v>
      </c>
      <c r="AS70">
        <v>1505450</v>
      </c>
      <c r="AT70">
        <v>1489216</v>
      </c>
      <c r="AU70">
        <v>1472884</v>
      </c>
      <c r="AV70">
        <v>1456399</v>
      </c>
    </row>
    <row r="71" spans="1:48">
      <c r="A71" t="s">
        <v>330</v>
      </c>
      <c r="B71" t="s">
        <v>331</v>
      </c>
      <c r="C71" t="s">
        <v>14</v>
      </c>
      <c r="D71" s="37">
        <v>11159329.9036219</v>
      </c>
      <c r="E71" s="37">
        <v>11231578.5488933</v>
      </c>
      <c r="F71" s="37">
        <v>11297060.3238201</v>
      </c>
      <c r="G71" s="37">
        <v>9917409</v>
      </c>
      <c r="H71">
        <v>10009299</v>
      </c>
      <c r="I71">
        <v>10084516</v>
      </c>
      <c r="J71">
        <v>10144303</v>
      </c>
      <c r="K71">
        <v>10189852</v>
      </c>
      <c r="L71">
        <v>10222307</v>
      </c>
      <c r="M71">
        <v>10242767</v>
      </c>
      <c r="N71">
        <v>10252281</v>
      </c>
      <c r="O71">
        <v>10251849</v>
      </c>
      <c r="P71">
        <v>10242426</v>
      </c>
      <c r="Q71">
        <v>10224918</v>
      </c>
      <c r="R71">
        <v>10200183</v>
      </c>
      <c r="S71">
        <v>10169030</v>
      </c>
      <c r="T71">
        <v>10132223</v>
      </c>
      <c r="U71">
        <v>10090475</v>
      </c>
      <c r="V71">
        <v>10044453</v>
      </c>
      <c r="W71">
        <v>9994777</v>
      </c>
      <c r="X71">
        <v>9942016</v>
      </c>
      <c r="Y71">
        <v>9886694</v>
      </c>
      <c r="Z71">
        <v>9829286</v>
      </c>
      <c r="AA71">
        <v>9770220</v>
      </c>
      <c r="AB71">
        <v>9709875</v>
      </c>
      <c r="AC71">
        <v>9648583</v>
      </c>
      <c r="AD71">
        <v>9586628</v>
      </c>
      <c r="AE71">
        <v>9524245</v>
      </c>
      <c r="AF71">
        <v>9461623</v>
      </c>
      <c r="AG71">
        <v>9398902</v>
      </c>
      <c r="AH71">
        <v>9336175</v>
      </c>
      <c r="AI71">
        <v>9273487</v>
      </c>
      <c r="AJ71">
        <v>9210833</v>
      </c>
      <c r="AK71">
        <v>9148163</v>
      </c>
      <c r="AL71">
        <v>9085379</v>
      </c>
      <c r="AM71">
        <v>9022332</v>
      </c>
      <c r="AN71">
        <v>8958830</v>
      </c>
      <c r="AO71">
        <v>8894628</v>
      </c>
      <c r="AP71">
        <v>8829438</v>
      </c>
      <c r="AQ71">
        <v>8762921</v>
      </c>
      <c r="AR71">
        <v>8694690</v>
      </c>
      <c r="AS71">
        <v>8624313</v>
      </c>
      <c r="AT71">
        <v>8551306</v>
      </c>
      <c r="AU71">
        <v>8475142</v>
      </c>
      <c r="AV71">
        <v>8395242</v>
      </c>
    </row>
    <row r="72" spans="1:48">
      <c r="A72" t="s">
        <v>332</v>
      </c>
      <c r="B72" t="s">
        <v>333</v>
      </c>
      <c r="C72" t="s">
        <v>14</v>
      </c>
      <c r="D72" s="37">
        <v>5585608.16645344</v>
      </c>
      <c r="E72" s="37">
        <v>5613563.01504061</v>
      </c>
      <c r="F72" s="37">
        <v>5638473.5292275</v>
      </c>
      <c r="G72" s="37">
        <v>4041329</v>
      </c>
      <c r="H72">
        <v>4067265</v>
      </c>
      <c r="I72">
        <v>4088844</v>
      </c>
      <c r="J72">
        <v>4106287</v>
      </c>
      <c r="K72">
        <v>4119812</v>
      </c>
      <c r="L72">
        <v>4129630</v>
      </c>
      <c r="M72">
        <v>4135948</v>
      </c>
      <c r="N72">
        <v>4138965</v>
      </c>
      <c r="O72">
        <v>4138877</v>
      </c>
      <c r="P72">
        <v>4135874</v>
      </c>
      <c r="Q72">
        <v>4130141</v>
      </c>
      <c r="R72">
        <v>4121855</v>
      </c>
      <c r="S72">
        <v>4111191</v>
      </c>
      <c r="T72">
        <v>4098317</v>
      </c>
      <c r="U72">
        <v>4083395</v>
      </c>
      <c r="V72">
        <v>4066582</v>
      </c>
      <c r="W72">
        <v>4048030</v>
      </c>
      <c r="X72">
        <v>4027885</v>
      </c>
      <c r="Y72">
        <v>4006288</v>
      </c>
      <c r="Z72">
        <v>3983375</v>
      </c>
      <c r="AA72">
        <v>3959275</v>
      </c>
      <c r="AB72">
        <v>3934113</v>
      </c>
      <c r="AC72">
        <v>3908007</v>
      </c>
      <c r="AD72">
        <v>3881073</v>
      </c>
      <c r="AE72">
        <v>3853417</v>
      </c>
      <c r="AF72">
        <v>3825142</v>
      </c>
      <c r="AG72">
        <v>3796347</v>
      </c>
      <c r="AH72">
        <v>3767122</v>
      </c>
      <c r="AI72">
        <v>3737554</v>
      </c>
      <c r="AJ72">
        <v>3707724</v>
      </c>
      <c r="AK72">
        <v>3677708</v>
      </c>
      <c r="AL72">
        <v>3647576</v>
      </c>
      <c r="AM72">
        <v>3617392</v>
      </c>
      <c r="AN72">
        <v>3587216</v>
      </c>
      <c r="AO72">
        <v>3557101</v>
      </c>
      <c r="AP72">
        <v>3527097</v>
      </c>
      <c r="AQ72">
        <v>3497245</v>
      </c>
      <c r="AR72">
        <v>3467583</v>
      </c>
      <c r="AS72">
        <v>3438143</v>
      </c>
      <c r="AT72">
        <v>3408953</v>
      </c>
      <c r="AU72">
        <v>3380032</v>
      </c>
      <c r="AV72">
        <v>3351398</v>
      </c>
    </row>
    <row r="73" spans="1:48">
      <c r="A73" t="s">
        <v>334</v>
      </c>
      <c r="B73" t="s">
        <v>335</v>
      </c>
      <c r="C73" t="s">
        <v>14</v>
      </c>
      <c r="D73" s="37">
        <v>1916259.97624697</v>
      </c>
      <c r="E73" s="37">
        <v>1922579.26452409</v>
      </c>
      <c r="F73" s="37">
        <v>1927886.18506411</v>
      </c>
      <c r="G73" s="37">
        <v>1494917</v>
      </c>
      <c r="H73">
        <v>1501955</v>
      </c>
      <c r="I73">
        <v>1507250</v>
      </c>
      <c r="J73">
        <v>1510893</v>
      </c>
      <c r="K73">
        <v>1512974</v>
      </c>
      <c r="L73">
        <v>1513577</v>
      </c>
      <c r="M73">
        <v>1512789</v>
      </c>
      <c r="N73">
        <v>1510690</v>
      </c>
      <c r="O73">
        <v>1507361</v>
      </c>
      <c r="P73">
        <v>1502880</v>
      </c>
      <c r="Q73">
        <v>1497324</v>
      </c>
      <c r="R73">
        <v>1490766</v>
      </c>
      <c r="S73">
        <v>1483278</v>
      </c>
      <c r="T73">
        <v>1474931</v>
      </c>
      <c r="U73">
        <v>1465792</v>
      </c>
      <c r="V73">
        <v>1455927</v>
      </c>
      <c r="W73">
        <v>1445400</v>
      </c>
      <c r="X73">
        <v>1434273</v>
      </c>
      <c r="Y73">
        <v>1422604</v>
      </c>
      <c r="Z73">
        <v>1410453</v>
      </c>
      <c r="AA73">
        <v>1397874</v>
      </c>
      <c r="AB73">
        <v>1384921</v>
      </c>
      <c r="AC73">
        <v>1371646</v>
      </c>
      <c r="AD73">
        <v>1358097</v>
      </c>
      <c r="AE73">
        <v>1344322</v>
      </c>
      <c r="AF73">
        <v>1330367</v>
      </c>
      <c r="AG73">
        <v>1316274</v>
      </c>
      <c r="AH73">
        <v>1302085</v>
      </c>
      <c r="AI73">
        <v>1287840</v>
      </c>
      <c r="AJ73">
        <v>1273574</v>
      </c>
      <c r="AK73">
        <v>1259323</v>
      </c>
      <c r="AL73">
        <v>1245120</v>
      </c>
      <c r="AM73">
        <v>1230996</v>
      </c>
      <c r="AN73">
        <v>1216980</v>
      </c>
      <c r="AO73">
        <v>1203098</v>
      </c>
      <c r="AP73">
        <v>1189375</v>
      </c>
      <c r="AQ73">
        <v>1175835</v>
      </c>
      <c r="AR73">
        <v>1162497</v>
      </c>
      <c r="AS73">
        <v>1149379</v>
      </c>
      <c r="AT73">
        <v>1136500</v>
      </c>
      <c r="AU73">
        <v>1123873</v>
      </c>
      <c r="AV73">
        <v>1111510</v>
      </c>
    </row>
    <row r="74" spans="1:48">
      <c r="A74" t="s">
        <v>336</v>
      </c>
      <c r="B74" t="s">
        <v>337</v>
      </c>
      <c r="C74" t="s">
        <v>14</v>
      </c>
      <c r="D74" s="37">
        <v>1089078.1337558</v>
      </c>
      <c r="E74" s="37">
        <v>1092727.27460314</v>
      </c>
      <c r="F74" s="37">
        <v>1095821.14349603</v>
      </c>
      <c r="G74" s="37">
        <v>886703</v>
      </c>
      <c r="H74">
        <v>891220</v>
      </c>
      <c r="I74">
        <v>894663</v>
      </c>
      <c r="J74">
        <v>897088</v>
      </c>
      <c r="K74">
        <v>898549</v>
      </c>
      <c r="L74">
        <v>899097</v>
      </c>
      <c r="M74">
        <v>898783</v>
      </c>
      <c r="N74">
        <v>897658</v>
      </c>
      <c r="O74">
        <v>895769</v>
      </c>
      <c r="P74">
        <v>893165</v>
      </c>
      <c r="Q74">
        <v>889892</v>
      </c>
      <c r="R74">
        <v>885994</v>
      </c>
      <c r="S74">
        <v>881517</v>
      </c>
      <c r="T74">
        <v>876503</v>
      </c>
      <c r="U74">
        <v>870994</v>
      </c>
      <c r="V74">
        <v>865030</v>
      </c>
      <c r="W74">
        <v>858650</v>
      </c>
      <c r="X74">
        <v>851894</v>
      </c>
      <c r="Y74">
        <v>844798</v>
      </c>
      <c r="Z74">
        <v>837398</v>
      </c>
      <c r="AA74">
        <v>829729</v>
      </c>
      <c r="AB74">
        <v>821824</v>
      </c>
      <c r="AC74">
        <v>813716</v>
      </c>
      <c r="AD74">
        <v>805437</v>
      </c>
      <c r="AE74">
        <v>797016</v>
      </c>
      <c r="AF74">
        <v>788482</v>
      </c>
      <c r="AG74">
        <v>779864</v>
      </c>
      <c r="AH74">
        <v>771188</v>
      </c>
      <c r="AI74">
        <v>762479</v>
      </c>
      <c r="AJ74">
        <v>753762</v>
      </c>
      <c r="AK74">
        <v>745060</v>
      </c>
      <c r="AL74">
        <v>736395</v>
      </c>
      <c r="AM74">
        <v>727788</v>
      </c>
      <c r="AN74">
        <v>719259</v>
      </c>
      <c r="AO74">
        <v>710826</v>
      </c>
      <c r="AP74">
        <v>702507</v>
      </c>
      <c r="AQ74">
        <v>694318</v>
      </c>
      <c r="AR74">
        <v>686274</v>
      </c>
      <c r="AS74">
        <v>678389</v>
      </c>
      <c r="AT74">
        <v>670675</v>
      </c>
      <c r="AU74">
        <v>663145</v>
      </c>
      <c r="AV74">
        <v>655809</v>
      </c>
    </row>
    <row r="75" spans="1:48">
      <c r="A75" t="s">
        <v>338</v>
      </c>
      <c r="B75" t="s">
        <v>339</v>
      </c>
      <c r="C75" t="s">
        <v>14</v>
      </c>
      <c r="D75" s="37">
        <v>1509548.22842603</v>
      </c>
      <c r="E75" s="37">
        <v>1515482.23150291</v>
      </c>
      <c r="F75" s="37">
        <v>1520674.5930942</v>
      </c>
      <c r="G75" s="37">
        <v>1202100</v>
      </c>
      <c r="H75">
        <v>1208727</v>
      </c>
      <c r="I75">
        <v>1214047</v>
      </c>
      <c r="J75">
        <v>1218120</v>
      </c>
      <c r="K75">
        <v>1221004</v>
      </c>
      <c r="L75">
        <v>1222757</v>
      </c>
      <c r="M75">
        <v>1223433</v>
      </c>
      <c r="N75">
        <v>1223087</v>
      </c>
      <c r="O75">
        <v>1221775</v>
      </c>
      <c r="P75">
        <v>1219549</v>
      </c>
      <c r="Q75">
        <v>1216460</v>
      </c>
      <c r="R75">
        <v>1212560</v>
      </c>
      <c r="S75">
        <v>1207898</v>
      </c>
      <c r="T75">
        <v>1202525</v>
      </c>
      <c r="U75">
        <v>1196487</v>
      </c>
      <c r="V75">
        <v>1189831</v>
      </c>
      <c r="W75">
        <v>1182604</v>
      </c>
      <c r="X75">
        <v>1174851</v>
      </c>
      <c r="Y75">
        <v>1166615</v>
      </c>
      <c r="Z75">
        <v>1157940</v>
      </c>
      <c r="AA75">
        <v>1148867</v>
      </c>
      <c r="AB75">
        <v>1139438</v>
      </c>
      <c r="AC75">
        <v>1129692</v>
      </c>
      <c r="AD75">
        <v>1119669</v>
      </c>
      <c r="AE75">
        <v>1109406</v>
      </c>
      <c r="AF75">
        <v>1098940</v>
      </c>
      <c r="AG75">
        <v>1088308</v>
      </c>
      <c r="AH75">
        <v>1077544</v>
      </c>
      <c r="AI75">
        <v>1066682</v>
      </c>
      <c r="AJ75">
        <v>1055756</v>
      </c>
      <c r="AK75">
        <v>1044797</v>
      </c>
      <c r="AL75">
        <v>1033836</v>
      </c>
      <c r="AM75">
        <v>1022903</v>
      </c>
      <c r="AN75">
        <v>1012027</v>
      </c>
      <c r="AO75">
        <v>1001237</v>
      </c>
      <c r="AP75">
        <v>990559</v>
      </c>
      <c r="AQ75">
        <v>980019</v>
      </c>
      <c r="AR75">
        <v>969642</v>
      </c>
      <c r="AS75">
        <v>959452</v>
      </c>
      <c r="AT75">
        <v>949472</v>
      </c>
      <c r="AU75">
        <v>939725</v>
      </c>
      <c r="AV75">
        <v>930230</v>
      </c>
    </row>
    <row r="76" spans="1:48">
      <c r="A76" t="s">
        <v>340</v>
      </c>
      <c r="B76" t="s">
        <v>341</v>
      </c>
      <c r="C76" t="s">
        <v>14</v>
      </c>
      <c r="D76" s="37">
        <v>3041350.2205354</v>
      </c>
      <c r="E76" s="37">
        <v>3060468.77161966</v>
      </c>
      <c r="F76" s="37">
        <v>3078013.27729354</v>
      </c>
      <c r="G76" s="37">
        <v>2757907</v>
      </c>
      <c r="H76">
        <v>2781453</v>
      </c>
      <c r="I76">
        <v>2801609</v>
      </c>
      <c r="J76">
        <v>2818559</v>
      </c>
      <c r="K76">
        <v>2832484</v>
      </c>
      <c r="L76">
        <v>2843560</v>
      </c>
      <c r="M76">
        <v>2851954</v>
      </c>
      <c r="N76">
        <v>2857833</v>
      </c>
      <c r="O76">
        <v>2861353</v>
      </c>
      <c r="P76">
        <v>2862668</v>
      </c>
      <c r="Q76">
        <v>2861927</v>
      </c>
      <c r="R76">
        <v>2859271</v>
      </c>
      <c r="S76">
        <v>2854837</v>
      </c>
      <c r="T76">
        <v>2848757</v>
      </c>
      <c r="U76">
        <v>2841158</v>
      </c>
      <c r="V76">
        <v>2832159</v>
      </c>
      <c r="W76">
        <v>2821877</v>
      </c>
      <c r="X76">
        <v>2810420</v>
      </c>
      <c r="Y76">
        <v>2797895</v>
      </c>
      <c r="Z76">
        <v>2784399</v>
      </c>
      <c r="AA76">
        <v>2770027</v>
      </c>
      <c r="AB76">
        <v>2754866</v>
      </c>
      <c r="AC76">
        <v>2739001</v>
      </c>
      <c r="AD76">
        <v>2722507</v>
      </c>
      <c r="AE76">
        <v>2705458</v>
      </c>
      <c r="AF76">
        <v>2687919</v>
      </c>
      <c r="AG76">
        <v>2669953</v>
      </c>
      <c r="AH76">
        <v>2651614</v>
      </c>
      <c r="AI76">
        <v>2632954</v>
      </c>
      <c r="AJ76">
        <v>2614018</v>
      </c>
      <c r="AK76">
        <v>2594844</v>
      </c>
      <c r="AL76">
        <v>2575467</v>
      </c>
      <c r="AM76">
        <v>2555917</v>
      </c>
      <c r="AN76">
        <v>2536216</v>
      </c>
      <c r="AO76">
        <v>2516382</v>
      </c>
      <c r="AP76">
        <v>2496428</v>
      </c>
      <c r="AQ76">
        <v>2476361</v>
      </c>
      <c r="AR76">
        <v>2456183</v>
      </c>
      <c r="AS76">
        <v>2435890</v>
      </c>
      <c r="AT76">
        <v>2415473</v>
      </c>
      <c r="AU76">
        <v>2394917</v>
      </c>
      <c r="AV76">
        <v>2374203</v>
      </c>
    </row>
    <row r="77" spans="1:48">
      <c r="A77" t="s">
        <v>342</v>
      </c>
      <c r="B77" t="s">
        <v>343</v>
      </c>
      <c r="C77" t="s">
        <v>14</v>
      </c>
      <c r="D77" s="37">
        <v>1170732.16590863</v>
      </c>
      <c r="E77" s="37">
        <v>1173374.46144332</v>
      </c>
      <c r="F77" s="37">
        <v>1175478.15676004</v>
      </c>
      <c r="G77" s="37">
        <v>875130</v>
      </c>
      <c r="H77">
        <v>878812</v>
      </c>
      <c r="I77">
        <v>881356</v>
      </c>
      <c r="J77">
        <v>882822</v>
      </c>
      <c r="K77">
        <v>883271</v>
      </c>
      <c r="L77">
        <v>882761</v>
      </c>
      <c r="M77">
        <v>881349</v>
      </c>
      <c r="N77">
        <v>879091</v>
      </c>
      <c r="O77">
        <v>876042</v>
      </c>
      <c r="P77">
        <v>872256</v>
      </c>
      <c r="Q77">
        <v>867783</v>
      </c>
      <c r="R77">
        <v>862676</v>
      </c>
      <c r="S77">
        <v>856983</v>
      </c>
      <c r="T77">
        <v>850752</v>
      </c>
      <c r="U77">
        <v>844031</v>
      </c>
      <c r="V77">
        <v>836864</v>
      </c>
      <c r="W77">
        <v>829295</v>
      </c>
      <c r="X77">
        <v>821368</v>
      </c>
      <c r="Y77">
        <v>813123</v>
      </c>
      <c r="Z77">
        <v>804602</v>
      </c>
      <c r="AA77">
        <v>795842</v>
      </c>
      <c r="AB77">
        <v>786881</v>
      </c>
      <c r="AC77">
        <v>777756</v>
      </c>
      <c r="AD77">
        <v>768500</v>
      </c>
      <c r="AE77">
        <v>759148</v>
      </c>
      <c r="AF77">
        <v>749733</v>
      </c>
      <c r="AG77">
        <v>740283</v>
      </c>
      <c r="AH77">
        <v>730831</v>
      </c>
      <c r="AI77">
        <v>721402</v>
      </c>
      <c r="AJ77">
        <v>712025</v>
      </c>
      <c r="AK77">
        <v>702725</v>
      </c>
      <c r="AL77">
        <v>693526</v>
      </c>
      <c r="AM77">
        <v>684452</v>
      </c>
      <c r="AN77">
        <v>675523</v>
      </c>
      <c r="AO77">
        <v>666760</v>
      </c>
      <c r="AP77">
        <v>658183</v>
      </c>
      <c r="AQ77">
        <v>649808</v>
      </c>
      <c r="AR77">
        <v>641652</v>
      </c>
      <c r="AS77">
        <v>633731</v>
      </c>
      <c r="AT77">
        <v>626057</v>
      </c>
      <c r="AU77">
        <v>618643</v>
      </c>
      <c r="AV77">
        <v>611501</v>
      </c>
    </row>
    <row r="78" spans="1:48">
      <c r="A78" t="s">
        <v>344</v>
      </c>
      <c r="B78" t="s">
        <v>345</v>
      </c>
      <c r="C78" t="s">
        <v>14</v>
      </c>
      <c r="D78" s="37">
        <v>2658570.35891612</v>
      </c>
      <c r="E78" s="37">
        <v>2672802.30230093</v>
      </c>
      <c r="F78" s="37">
        <v>2685602.98200639</v>
      </c>
      <c r="G78" s="37">
        <v>2141233</v>
      </c>
      <c r="H78">
        <v>2156394</v>
      </c>
      <c r="I78">
        <v>2168943</v>
      </c>
      <c r="J78">
        <v>2179023</v>
      </c>
      <c r="K78">
        <v>2186773</v>
      </c>
      <c r="L78">
        <v>2192328</v>
      </c>
      <c r="M78">
        <v>2195819</v>
      </c>
      <c r="N78">
        <v>2197374</v>
      </c>
      <c r="O78">
        <v>2197117</v>
      </c>
      <c r="P78">
        <v>2195165</v>
      </c>
      <c r="Q78">
        <v>2191635</v>
      </c>
      <c r="R78">
        <v>2186639</v>
      </c>
      <c r="S78">
        <v>2180284</v>
      </c>
      <c r="T78">
        <v>2172672</v>
      </c>
      <c r="U78">
        <v>2163905</v>
      </c>
      <c r="V78">
        <v>2154078</v>
      </c>
      <c r="W78">
        <v>2143282</v>
      </c>
      <c r="X78">
        <v>2131606</v>
      </c>
      <c r="Y78">
        <v>2119133</v>
      </c>
      <c r="Z78">
        <v>2105942</v>
      </c>
      <c r="AA78">
        <v>2092111</v>
      </c>
      <c r="AB78">
        <v>2077711</v>
      </c>
      <c r="AC78">
        <v>2062809</v>
      </c>
      <c r="AD78">
        <v>2047471</v>
      </c>
      <c r="AE78">
        <v>2031756</v>
      </c>
      <c r="AF78">
        <v>2015720</v>
      </c>
      <c r="AG78">
        <v>1999417</v>
      </c>
      <c r="AH78">
        <v>1982893</v>
      </c>
      <c r="AI78">
        <v>1966193</v>
      </c>
      <c r="AJ78">
        <v>1949359</v>
      </c>
      <c r="AK78">
        <v>1932425</v>
      </c>
      <c r="AL78">
        <v>1915426</v>
      </c>
      <c r="AM78">
        <v>1898388</v>
      </c>
      <c r="AN78">
        <v>1881338</v>
      </c>
      <c r="AO78">
        <v>1864295</v>
      </c>
      <c r="AP78">
        <v>1847276</v>
      </c>
      <c r="AQ78">
        <v>1830295</v>
      </c>
      <c r="AR78">
        <v>1813359</v>
      </c>
      <c r="AS78">
        <v>1796474</v>
      </c>
      <c r="AT78">
        <v>1779641</v>
      </c>
      <c r="AU78">
        <v>1762856</v>
      </c>
      <c r="AV78">
        <v>1746113</v>
      </c>
    </row>
    <row r="79" spans="1:48">
      <c r="A79" t="s">
        <v>346</v>
      </c>
      <c r="B79" t="s">
        <v>347</v>
      </c>
      <c r="C79" t="s">
        <v>14</v>
      </c>
      <c r="D79" s="37">
        <v>961285.7545995</v>
      </c>
      <c r="E79" s="37">
        <v>966596.457358948</v>
      </c>
      <c r="F79" s="37">
        <v>971379.260816912</v>
      </c>
      <c r="G79" s="37">
        <v>684795</v>
      </c>
      <c r="H79">
        <v>689574</v>
      </c>
      <c r="I79">
        <v>693621</v>
      </c>
      <c r="J79">
        <v>696968</v>
      </c>
      <c r="K79">
        <v>699651</v>
      </c>
      <c r="L79">
        <v>701701</v>
      </c>
      <c r="M79">
        <v>703150</v>
      </c>
      <c r="N79">
        <v>704030</v>
      </c>
      <c r="O79">
        <v>704371</v>
      </c>
      <c r="P79">
        <v>704203</v>
      </c>
      <c r="Q79">
        <v>703553</v>
      </c>
      <c r="R79">
        <v>702451</v>
      </c>
      <c r="S79">
        <v>700924</v>
      </c>
      <c r="T79">
        <v>698998</v>
      </c>
      <c r="U79">
        <v>696699</v>
      </c>
      <c r="V79">
        <v>694053</v>
      </c>
      <c r="W79">
        <v>691082</v>
      </c>
      <c r="X79">
        <v>687811</v>
      </c>
      <c r="Y79">
        <v>684262</v>
      </c>
      <c r="Z79">
        <v>680458</v>
      </c>
      <c r="AA79">
        <v>676419</v>
      </c>
      <c r="AB79">
        <v>672166</v>
      </c>
      <c r="AC79">
        <v>667719</v>
      </c>
      <c r="AD79">
        <v>663096</v>
      </c>
      <c r="AE79">
        <v>658315</v>
      </c>
      <c r="AF79">
        <v>653394</v>
      </c>
      <c r="AG79">
        <v>648350</v>
      </c>
      <c r="AH79">
        <v>643198</v>
      </c>
      <c r="AI79">
        <v>637953</v>
      </c>
      <c r="AJ79">
        <v>632629</v>
      </c>
      <c r="AK79">
        <v>627240</v>
      </c>
      <c r="AL79">
        <v>621799</v>
      </c>
      <c r="AM79">
        <v>616317</v>
      </c>
      <c r="AN79">
        <v>610807</v>
      </c>
      <c r="AO79">
        <v>605277</v>
      </c>
      <c r="AP79">
        <v>599739</v>
      </c>
      <c r="AQ79">
        <v>594200</v>
      </c>
      <c r="AR79">
        <v>588669</v>
      </c>
      <c r="AS79">
        <v>583153</v>
      </c>
      <c r="AT79">
        <v>577659</v>
      </c>
      <c r="AU79">
        <v>572192</v>
      </c>
      <c r="AV79">
        <v>566759</v>
      </c>
    </row>
    <row r="80" spans="1:48">
      <c r="A80" t="s">
        <v>348</v>
      </c>
      <c r="B80" t="s">
        <v>349</v>
      </c>
      <c r="C80" t="s">
        <v>14</v>
      </c>
      <c r="D80" s="37">
        <v>2902920.91260262</v>
      </c>
      <c r="E80" s="37">
        <v>2915532.23069158</v>
      </c>
      <c r="F80" s="37">
        <v>2926419.85464792</v>
      </c>
      <c r="G80" s="37">
        <v>2276881</v>
      </c>
      <c r="H80">
        <v>2290039</v>
      </c>
      <c r="I80">
        <v>2300308</v>
      </c>
      <c r="J80">
        <v>2307871</v>
      </c>
      <c r="K80">
        <v>2312906</v>
      </c>
      <c r="L80">
        <v>2315584</v>
      </c>
      <c r="M80">
        <v>2316070</v>
      </c>
      <c r="N80">
        <v>2314523</v>
      </c>
      <c r="O80">
        <v>2311096</v>
      </c>
      <c r="P80">
        <v>2305937</v>
      </c>
      <c r="Q80">
        <v>2299187</v>
      </c>
      <c r="R80">
        <v>2290981</v>
      </c>
      <c r="S80">
        <v>2281449</v>
      </c>
      <c r="T80">
        <v>2270713</v>
      </c>
      <c r="U80">
        <v>2258892</v>
      </c>
      <c r="V80">
        <v>2246096</v>
      </c>
      <c r="W80">
        <v>2232431</v>
      </c>
      <c r="X80">
        <v>2217998</v>
      </c>
      <c r="Y80">
        <v>2202888</v>
      </c>
      <c r="Z80">
        <v>2187190</v>
      </c>
      <c r="AA80">
        <v>2170985</v>
      </c>
      <c r="AB80">
        <v>2154349</v>
      </c>
      <c r="AC80">
        <v>2137351</v>
      </c>
      <c r="AD80">
        <v>2120056</v>
      </c>
      <c r="AE80">
        <v>2102520</v>
      </c>
      <c r="AF80">
        <v>2084796</v>
      </c>
      <c r="AG80">
        <v>2066929</v>
      </c>
      <c r="AH80">
        <v>2048959</v>
      </c>
      <c r="AI80">
        <v>2030920</v>
      </c>
      <c r="AJ80">
        <v>2012840</v>
      </c>
      <c r="AK80">
        <v>1994740</v>
      </c>
      <c r="AL80">
        <v>1976636</v>
      </c>
      <c r="AM80">
        <v>1958539</v>
      </c>
      <c r="AN80">
        <v>1940452</v>
      </c>
      <c r="AO80">
        <v>1922373</v>
      </c>
      <c r="AP80">
        <v>1904295</v>
      </c>
      <c r="AQ80">
        <v>1886203</v>
      </c>
      <c r="AR80">
        <v>1868077</v>
      </c>
      <c r="AS80">
        <v>1849892</v>
      </c>
      <c r="AT80">
        <v>1831615</v>
      </c>
      <c r="AU80">
        <v>1813209</v>
      </c>
      <c r="AV80">
        <v>1794630</v>
      </c>
    </row>
    <row r="81" spans="1:48">
      <c r="A81" t="s">
        <v>350</v>
      </c>
      <c r="B81" t="s">
        <v>351</v>
      </c>
      <c r="C81" t="s">
        <v>14</v>
      </c>
      <c r="D81" s="37">
        <v>1735909.41927294</v>
      </c>
      <c r="E81" s="37">
        <v>1743742.59509969</v>
      </c>
      <c r="F81" s="37">
        <v>1750670.79749899</v>
      </c>
      <c r="G81" s="37">
        <v>1279072</v>
      </c>
      <c r="H81">
        <v>1286328</v>
      </c>
      <c r="I81">
        <v>1292319</v>
      </c>
      <c r="J81">
        <v>1297101</v>
      </c>
      <c r="K81">
        <v>1300723</v>
      </c>
      <c r="L81">
        <v>1303238</v>
      </c>
      <c r="M81">
        <v>1304695</v>
      </c>
      <c r="N81">
        <v>1305145</v>
      </c>
      <c r="O81">
        <v>1304635</v>
      </c>
      <c r="P81">
        <v>1303215</v>
      </c>
      <c r="Q81">
        <v>1300931</v>
      </c>
      <c r="R81">
        <v>1297830</v>
      </c>
      <c r="S81">
        <v>1293958</v>
      </c>
      <c r="T81">
        <v>1289359</v>
      </c>
      <c r="U81">
        <v>1284079</v>
      </c>
      <c r="V81">
        <v>1278159</v>
      </c>
      <c r="W81">
        <v>1271644</v>
      </c>
      <c r="X81">
        <v>1264574</v>
      </c>
      <c r="Y81">
        <v>1256992</v>
      </c>
      <c r="Z81">
        <v>1248937</v>
      </c>
      <c r="AA81">
        <v>1240449</v>
      </c>
      <c r="AB81">
        <v>1231567</v>
      </c>
      <c r="AC81">
        <v>1222330</v>
      </c>
      <c r="AD81">
        <v>1212773</v>
      </c>
      <c r="AE81">
        <v>1202935</v>
      </c>
      <c r="AF81">
        <v>1192850</v>
      </c>
      <c r="AG81">
        <v>1182554</v>
      </c>
      <c r="AH81">
        <v>1172081</v>
      </c>
      <c r="AI81">
        <v>1161464</v>
      </c>
      <c r="AJ81">
        <v>1150737</v>
      </c>
      <c r="AK81">
        <v>1139931</v>
      </c>
      <c r="AL81">
        <v>1129077</v>
      </c>
      <c r="AM81">
        <v>1118206</v>
      </c>
      <c r="AN81">
        <v>1107348</v>
      </c>
      <c r="AO81">
        <v>1096531</v>
      </c>
      <c r="AP81">
        <v>1085784</v>
      </c>
      <c r="AQ81">
        <v>1075133</v>
      </c>
      <c r="AR81">
        <v>1064606</v>
      </c>
      <c r="AS81">
        <v>1054229</v>
      </c>
      <c r="AT81">
        <v>1044025</v>
      </c>
      <c r="AU81">
        <v>1034021</v>
      </c>
      <c r="AV81">
        <v>1024239</v>
      </c>
    </row>
    <row r="82" spans="1:48">
      <c r="A82" t="s">
        <v>352</v>
      </c>
      <c r="B82" t="s">
        <v>353</v>
      </c>
      <c r="C82" t="s">
        <v>14</v>
      </c>
      <c r="D82" s="37">
        <v>5655756.71143229</v>
      </c>
      <c r="E82" s="37">
        <v>5689029.46785943</v>
      </c>
      <c r="F82" s="37">
        <v>5719457.11152359</v>
      </c>
      <c r="G82" s="37">
        <v>3726207</v>
      </c>
      <c r="H82">
        <v>3755996</v>
      </c>
      <c r="I82">
        <v>3781222</v>
      </c>
      <c r="J82">
        <v>3802133</v>
      </c>
      <c r="K82">
        <v>3818970</v>
      </c>
      <c r="L82">
        <v>3831969</v>
      </c>
      <c r="M82">
        <v>3841358</v>
      </c>
      <c r="N82">
        <v>3847359</v>
      </c>
      <c r="O82">
        <v>3850186</v>
      </c>
      <c r="P82">
        <v>3850047</v>
      </c>
      <c r="Q82">
        <v>3847142</v>
      </c>
      <c r="R82">
        <v>3841667</v>
      </c>
      <c r="S82">
        <v>3833809</v>
      </c>
      <c r="T82">
        <v>3823747</v>
      </c>
      <c r="U82">
        <v>3811655</v>
      </c>
      <c r="V82">
        <v>3797701</v>
      </c>
      <c r="W82">
        <v>3782044</v>
      </c>
      <c r="X82">
        <v>3764837</v>
      </c>
      <c r="Y82">
        <v>3746227</v>
      </c>
      <c r="Z82">
        <v>3726353</v>
      </c>
      <c r="AA82">
        <v>3705347</v>
      </c>
      <c r="AB82">
        <v>3683336</v>
      </c>
      <c r="AC82">
        <v>3660438</v>
      </c>
      <c r="AD82">
        <v>3636766</v>
      </c>
      <c r="AE82">
        <v>3612424</v>
      </c>
      <c r="AF82">
        <v>3587512</v>
      </c>
      <c r="AG82">
        <v>3562120</v>
      </c>
      <c r="AH82">
        <v>3536333</v>
      </c>
      <c r="AI82">
        <v>3510231</v>
      </c>
      <c r="AJ82">
        <v>3483882</v>
      </c>
      <c r="AK82">
        <v>3457352</v>
      </c>
      <c r="AL82">
        <v>3430699</v>
      </c>
      <c r="AM82">
        <v>3403972</v>
      </c>
      <c r="AN82">
        <v>3377216</v>
      </c>
      <c r="AO82">
        <v>3350468</v>
      </c>
      <c r="AP82">
        <v>3323756</v>
      </c>
      <c r="AQ82">
        <v>3297106</v>
      </c>
      <c r="AR82">
        <v>3270533</v>
      </c>
      <c r="AS82">
        <v>3244047</v>
      </c>
      <c r="AT82">
        <v>3217650</v>
      </c>
      <c r="AU82">
        <v>3191338</v>
      </c>
      <c r="AV82">
        <v>3165101</v>
      </c>
    </row>
    <row r="83" spans="1:48">
      <c r="A83" t="s">
        <v>354</v>
      </c>
      <c r="B83" t="s">
        <v>355</v>
      </c>
      <c r="C83" t="s">
        <v>14</v>
      </c>
      <c r="D83" s="37">
        <v>526704.461093576</v>
      </c>
      <c r="E83" s="37">
        <v>528922.046685365</v>
      </c>
      <c r="F83" s="37">
        <v>530903.443464063</v>
      </c>
      <c r="G83" s="37">
        <v>329064</v>
      </c>
      <c r="H83">
        <v>331258</v>
      </c>
      <c r="I83">
        <v>332975</v>
      </c>
      <c r="J83">
        <v>334245</v>
      </c>
      <c r="K83">
        <v>335094</v>
      </c>
      <c r="L83">
        <v>335548</v>
      </c>
      <c r="M83">
        <v>335632</v>
      </c>
      <c r="N83">
        <v>335371</v>
      </c>
      <c r="O83">
        <v>334789</v>
      </c>
      <c r="P83">
        <v>333909</v>
      </c>
      <c r="Q83">
        <v>332753</v>
      </c>
      <c r="R83">
        <v>331343</v>
      </c>
      <c r="S83">
        <v>329698</v>
      </c>
      <c r="T83">
        <v>327841</v>
      </c>
      <c r="U83">
        <v>325788</v>
      </c>
      <c r="V83">
        <v>323560</v>
      </c>
      <c r="W83">
        <v>321173</v>
      </c>
      <c r="X83">
        <v>318644</v>
      </c>
      <c r="Y83">
        <v>315990</v>
      </c>
      <c r="Z83">
        <v>313226</v>
      </c>
      <c r="AA83">
        <v>310367</v>
      </c>
      <c r="AB83">
        <v>307426</v>
      </c>
      <c r="AC83">
        <v>304416</v>
      </c>
      <c r="AD83">
        <v>301350</v>
      </c>
      <c r="AE83">
        <v>298239</v>
      </c>
      <c r="AF83">
        <v>295094</v>
      </c>
      <c r="AG83">
        <v>291926</v>
      </c>
      <c r="AH83">
        <v>288742</v>
      </c>
      <c r="AI83">
        <v>285552</v>
      </c>
      <c r="AJ83">
        <v>282364</v>
      </c>
      <c r="AK83">
        <v>279183</v>
      </c>
      <c r="AL83">
        <v>276017</v>
      </c>
      <c r="AM83">
        <v>272871</v>
      </c>
      <c r="AN83">
        <v>269750</v>
      </c>
      <c r="AO83">
        <v>266656</v>
      </c>
      <c r="AP83">
        <v>263594</v>
      </c>
      <c r="AQ83">
        <v>260566</v>
      </c>
      <c r="AR83">
        <v>257573</v>
      </c>
      <c r="AS83">
        <v>254616</v>
      </c>
      <c r="AT83">
        <v>251695</v>
      </c>
      <c r="AU83">
        <v>248809</v>
      </c>
      <c r="AV83">
        <v>245956</v>
      </c>
    </row>
    <row r="84" spans="1:48">
      <c r="A84" t="s">
        <v>356</v>
      </c>
      <c r="B84" t="s">
        <v>357</v>
      </c>
      <c r="C84" t="s">
        <v>358</v>
      </c>
      <c r="D84" s="37">
        <v>24176507.4413448</v>
      </c>
      <c r="E84" s="37">
        <v>24319761.2730715</v>
      </c>
      <c r="F84" s="37">
        <v>24444335.5849093</v>
      </c>
      <c r="G84" s="37">
        <v>24665393</v>
      </c>
      <c r="H84">
        <v>24866932</v>
      </c>
      <c r="I84">
        <v>25020844</v>
      </c>
      <c r="J84">
        <v>25131396</v>
      </c>
      <c r="K84">
        <v>25202668</v>
      </c>
      <c r="L84">
        <v>25238549</v>
      </c>
      <c r="M84">
        <v>25242740</v>
      </c>
      <c r="N84">
        <v>25218753</v>
      </c>
      <c r="O84">
        <v>25169909</v>
      </c>
      <c r="P84">
        <v>25099342</v>
      </c>
      <c r="Q84">
        <v>25009995</v>
      </c>
      <c r="R84">
        <v>24904622</v>
      </c>
      <c r="S84">
        <v>24785789</v>
      </c>
      <c r="T84">
        <v>24655873</v>
      </c>
      <c r="U84">
        <v>24517059</v>
      </c>
      <c r="V84">
        <v>24371345</v>
      </c>
      <c r="W84">
        <v>24220540</v>
      </c>
      <c r="X84">
        <v>24066263</v>
      </c>
      <c r="Y84">
        <v>23909945</v>
      </c>
      <c r="Z84">
        <v>23752824</v>
      </c>
      <c r="AA84">
        <v>23595954</v>
      </c>
      <c r="AB84">
        <v>23440196</v>
      </c>
      <c r="AC84">
        <v>23286223</v>
      </c>
      <c r="AD84">
        <v>23134520</v>
      </c>
      <c r="AE84">
        <v>22985381</v>
      </c>
      <c r="AF84">
        <v>22838910</v>
      </c>
      <c r="AG84">
        <v>22695025</v>
      </c>
      <c r="AH84">
        <v>22553453</v>
      </c>
      <c r="AI84">
        <v>22413731</v>
      </c>
      <c r="AJ84">
        <v>22275207</v>
      </c>
      <c r="AK84">
        <v>22137041</v>
      </c>
      <c r="AL84">
        <v>21998203</v>
      </c>
      <c r="AM84">
        <v>21857473</v>
      </c>
      <c r="AN84">
        <v>21713444</v>
      </c>
      <c r="AO84">
        <v>21564518</v>
      </c>
      <c r="AP84">
        <v>21408908</v>
      </c>
      <c r="AQ84">
        <v>21244638</v>
      </c>
      <c r="AR84">
        <v>21069542</v>
      </c>
      <c r="AS84">
        <v>20881266</v>
      </c>
      <c r="AT84">
        <v>20677267</v>
      </c>
      <c r="AU84">
        <v>20454811</v>
      </c>
      <c r="AV84">
        <v>20210977</v>
      </c>
    </row>
    <row r="85" spans="1:48">
      <c r="A85" t="s">
        <v>359</v>
      </c>
      <c r="B85" t="s">
        <v>360</v>
      </c>
      <c r="C85" t="s">
        <v>358</v>
      </c>
      <c r="D85" s="37">
        <v>8460194.43265762</v>
      </c>
      <c r="E85" s="37">
        <v>8525581.66797729</v>
      </c>
      <c r="F85" s="37">
        <v>8585370.11457174</v>
      </c>
      <c r="G85" s="37">
        <v>9201164</v>
      </c>
      <c r="H85">
        <v>9313670</v>
      </c>
      <c r="I85">
        <v>9406605</v>
      </c>
      <c r="J85">
        <v>9481607</v>
      </c>
      <c r="K85">
        <v>9540246</v>
      </c>
      <c r="L85">
        <v>9584023</v>
      </c>
      <c r="M85">
        <v>9614369</v>
      </c>
      <c r="N85">
        <v>9632646</v>
      </c>
      <c r="O85">
        <v>9640148</v>
      </c>
      <c r="P85">
        <v>9638100</v>
      </c>
      <c r="Q85">
        <v>9627655</v>
      </c>
      <c r="R85">
        <v>9609902</v>
      </c>
      <c r="S85">
        <v>9585855</v>
      </c>
      <c r="T85">
        <v>9556465</v>
      </c>
      <c r="U85">
        <v>9522609</v>
      </c>
      <c r="V85">
        <v>9485098</v>
      </c>
      <c r="W85">
        <v>9444671</v>
      </c>
      <c r="X85">
        <v>9402002</v>
      </c>
      <c r="Y85">
        <v>9357692</v>
      </c>
      <c r="Z85">
        <v>9312275</v>
      </c>
      <c r="AA85">
        <v>9266216</v>
      </c>
      <c r="AB85">
        <v>9219910</v>
      </c>
      <c r="AC85">
        <v>9173684</v>
      </c>
      <c r="AD85">
        <v>9127794</v>
      </c>
      <c r="AE85">
        <v>9082429</v>
      </c>
      <c r="AF85">
        <v>9037709</v>
      </c>
      <c r="AG85">
        <v>8993683</v>
      </c>
      <c r="AH85">
        <v>8950331</v>
      </c>
      <c r="AI85">
        <v>8907567</v>
      </c>
      <c r="AJ85">
        <v>8865234</v>
      </c>
      <c r="AK85">
        <v>8823103</v>
      </c>
      <c r="AL85">
        <v>8780882</v>
      </c>
      <c r="AM85">
        <v>8738205</v>
      </c>
      <c r="AN85">
        <v>8694638</v>
      </c>
      <c r="AO85">
        <v>8649680</v>
      </c>
      <c r="AP85">
        <v>8602759</v>
      </c>
      <c r="AQ85">
        <v>8553233</v>
      </c>
      <c r="AR85">
        <v>8500394</v>
      </c>
      <c r="AS85">
        <v>8443463</v>
      </c>
      <c r="AT85">
        <v>8381592</v>
      </c>
      <c r="AU85">
        <v>8313863</v>
      </c>
      <c r="AV85">
        <v>8239292</v>
      </c>
    </row>
    <row r="86" spans="1:48">
      <c r="A86" t="s">
        <v>361</v>
      </c>
      <c r="B86" t="s">
        <v>362</v>
      </c>
      <c r="C86" t="s">
        <v>358</v>
      </c>
      <c r="D86" s="37">
        <v>6673521.97006437</v>
      </c>
      <c r="E86" s="37">
        <v>6714246.95716305</v>
      </c>
      <c r="F86" s="37">
        <v>6750787.40614545</v>
      </c>
      <c r="G86" s="37">
        <v>7392350</v>
      </c>
      <c r="H86">
        <v>7461190</v>
      </c>
      <c r="I86">
        <v>7517286</v>
      </c>
      <c r="J86">
        <v>7561616</v>
      </c>
      <c r="K86">
        <v>7595114</v>
      </c>
      <c r="L86">
        <v>7618680</v>
      </c>
      <c r="M86">
        <v>7633173</v>
      </c>
      <c r="N86">
        <v>7639413</v>
      </c>
      <c r="O86">
        <v>7638182</v>
      </c>
      <c r="P86">
        <v>7630225</v>
      </c>
      <c r="Q86">
        <v>7616247</v>
      </c>
      <c r="R86">
        <v>7596913</v>
      </c>
      <c r="S86">
        <v>7572853</v>
      </c>
      <c r="T86">
        <v>7544655</v>
      </c>
      <c r="U86">
        <v>7512869</v>
      </c>
      <c r="V86">
        <v>7478009</v>
      </c>
      <c r="W86">
        <v>7440547</v>
      </c>
      <c r="X86">
        <v>7400919</v>
      </c>
      <c r="Y86">
        <v>7359520</v>
      </c>
      <c r="Z86">
        <v>7316710</v>
      </c>
      <c r="AA86">
        <v>7272806</v>
      </c>
      <c r="AB86">
        <v>7228089</v>
      </c>
      <c r="AC86">
        <v>7182802</v>
      </c>
      <c r="AD86">
        <v>7137148</v>
      </c>
      <c r="AE86">
        <v>7091292</v>
      </c>
      <c r="AF86">
        <v>7045359</v>
      </c>
      <c r="AG86">
        <v>6999438</v>
      </c>
      <c r="AH86">
        <v>6953578</v>
      </c>
      <c r="AI86">
        <v>6907788</v>
      </c>
      <c r="AJ86">
        <v>6862042</v>
      </c>
      <c r="AK86">
        <v>6816271</v>
      </c>
      <c r="AL86">
        <v>6770372</v>
      </c>
      <c r="AM86">
        <v>6724199</v>
      </c>
      <c r="AN86">
        <v>6677571</v>
      </c>
      <c r="AO86">
        <v>6630267</v>
      </c>
      <c r="AP86">
        <v>6582026</v>
      </c>
      <c r="AQ86">
        <v>6532550</v>
      </c>
      <c r="AR86">
        <v>6481504</v>
      </c>
      <c r="AS86">
        <v>6428510</v>
      </c>
      <c r="AT86">
        <v>6373155</v>
      </c>
      <c r="AU86">
        <v>6314988</v>
      </c>
      <c r="AV86">
        <v>6253515</v>
      </c>
    </row>
    <row r="87" spans="1:48">
      <c r="A87" t="s">
        <v>363</v>
      </c>
      <c r="B87" t="s">
        <v>364</v>
      </c>
      <c r="C87" t="s">
        <v>358</v>
      </c>
      <c r="D87" s="37">
        <v>8885714.33842285</v>
      </c>
      <c r="E87" s="37">
        <v>8920371.28797736</v>
      </c>
      <c r="F87" s="37">
        <v>8951104.38912736</v>
      </c>
      <c r="G87" s="37">
        <v>9046781</v>
      </c>
      <c r="H87">
        <v>9082593</v>
      </c>
      <c r="I87">
        <v>9118643</v>
      </c>
      <c r="J87">
        <v>9154403</v>
      </c>
      <c r="K87">
        <v>9189381</v>
      </c>
      <c r="L87">
        <v>9223118</v>
      </c>
      <c r="M87">
        <v>9255191</v>
      </c>
      <c r="N87">
        <v>9285212</v>
      </c>
      <c r="O87">
        <v>9312826</v>
      </c>
      <c r="P87">
        <v>9337715</v>
      </c>
      <c r="Q87">
        <v>9359596</v>
      </c>
      <c r="R87">
        <v>9378220</v>
      </c>
      <c r="S87">
        <v>9393371</v>
      </c>
      <c r="T87">
        <v>9404871</v>
      </c>
      <c r="U87">
        <v>9412576</v>
      </c>
      <c r="V87">
        <v>9416376</v>
      </c>
      <c r="W87">
        <v>9416196</v>
      </c>
      <c r="X87">
        <v>9411997</v>
      </c>
      <c r="Y87">
        <v>9403774</v>
      </c>
      <c r="Z87">
        <v>9391555</v>
      </c>
      <c r="AA87">
        <v>9375408</v>
      </c>
      <c r="AB87">
        <v>9355430</v>
      </c>
      <c r="AC87">
        <v>9331756</v>
      </c>
      <c r="AD87">
        <v>9304557</v>
      </c>
      <c r="AE87">
        <v>9274035</v>
      </c>
      <c r="AF87">
        <v>9240430</v>
      </c>
      <c r="AG87">
        <v>9204017</v>
      </c>
      <c r="AH87">
        <v>9165104</v>
      </c>
      <c r="AI87">
        <v>9124034</v>
      </c>
      <c r="AJ87">
        <v>9081186</v>
      </c>
      <c r="AK87">
        <v>9036974</v>
      </c>
      <c r="AL87">
        <v>8991845</v>
      </c>
      <c r="AM87">
        <v>8946284</v>
      </c>
      <c r="AN87">
        <v>8900807</v>
      </c>
      <c r="AO87">
        <v>8855968</v>
      </c>
      <c r="AP87">
        <v>8812355</v>
      </c>
      <c r="AQ87">
        <v>8770590</v>
      </c>
      <c r="AR87">
        <v>8731331</v>
      </c>
      <c r="AS87">
        <v>8695269</v>
      </c>
      <c r="AT87">
        <v>8663133</v>
      </c>
      <c r="AU87">
        <v>8635683</v>
      </c>
      <c r="AV87">
        <v>8613718</v>
      </c>
    </row>
    <row r="88" spans="1:48">
      <c r="A88" t="s">
        <v>365</v>
      </c>
      <c r="B88" t="s">
        <v>366</v>
      </c>
      <c r="C88" t="s">
        <v>358</v>
      </c>
      <c r="D88" s="37">
        <v>4778390.95608188</v>
      </c>
      <c r="E88" s="37">
        <v>4803645.93663288</v>
      </c>
      <c r="F88" s="37">
        <v>4826286.52836032</v>
      </c>
      <c r="G88" s="37">
        <v>5235407</v>
      </c>
      <c r="H88">
        <v>5277425</v>
      </c>
      <c r="I88">
        <v>5312118</v>
      </c>
      <c r="J88">
        <v>5339970</v>
      </c>
      <c r="K88">
        <v>5361450</v>
      </c>
      <c r="L88">
        <v>5377008</v>
      </c>
      <c r="M88">
        <v>5387080</v>
      </c>
      <c r="N88">
        <v>5392084</v>
      </c>
      <c r="O88">
        <v>5392419</v>
      </c>
      <c r="P88">
        <v>5388472</v>
      </c>
      <c r="Q88">
        <v>5380609</v>
      </c>
      <c r="R88">
        <v>5369182</v>
      </c>
      <c r="S88">
        <v>5354525</v>
      </c>
      <c r="T88">
        <v>5336955</v>
      </c>
      <c r="U88">
        <v>5316774</v>
      </c>
      <c r="V88">
        <v>5294265</v>
      </c>
      <c r="W88">
        <v>5269697</v>
      </c>
      <c r="X88">
        <v>5243320</v>
      </c>
      <c r="Y88">
        <v>5215368</v>
      </c>
      <c r="Z88">
        <v>5186058</v>
      </c>
      <c r="AA88">
        <v>5155591</v>
      </c>
      <c r="AB88">
        <v>5124151</v>
      </c>
      <c r="AC88">
        <v>5091906</v>
      </c>
      <c r="AD88">
        <v>5059005</v>
      </c>
      <c r="AE88">
        <v>5025583</v>
      </c>
      <c r="AF88">
        <v>4991756</v>
      </c>
      <c r="AG88">
        <v>4957626</v>
      </c>
      <c r="AH88">
        <v>4923275</v>
      </c>
      <c r="AI88">
        <v>4888771</v>
      </c>
      <c r="AJ88">
        <v>4854164</v>
      </c>
      <c r="AK88">
        <v>4819488</v>
      </c>
      <c r="AL88">
        <v>4784759</v>
      </c>
      <c r="AM88">
        <v>4749977</v>
      </c>
      <c r="AN88">
        <v>4715127</v>
      </c>
      <c r="AO88">
        <v>4680174</v>
      </c>
      <c r="AP88">
        <v>4645069</v>
      </c>
      <c r="AQ88">
        <v>4609745</v>
      </c>
      <c r="AR88">
        <v>4574118</v>
      </c>
      <c r="AS88">
        <v>4538089</v>
      </c>
      <c r="AT88">
        <v>4501541</v>
      </c>
      <c r="AU88">
        <v>4464339</v>
      </c>
      <c r="AV88">
        <v>4426335</v>
      </c>
    </row>
    <row r="89" spans="1:48">
      <c r="A89" t="s">
        <v>367</v>
      </c>
      <c r="B89" t="s">
        <v>368</v>
      </c>
      <c r="C89" t="s">
        <v>358</v>
      </c>
      <c r="D89" s="37">
        <v>11146741.9079238</v>
      </c>
      <c r="E89" s="37">
        <v>11247330.8040955</v>
      </c>
      <c r="F89" s="37">
        <v>11340202.195375</v>
      </c>
      <c r="G89" s="37">
        <v>12569180</v>
      </c>
      <c r="H89">
        <v>12746872</v>
      </c>
      <c r="I89">
        <v>12895384</v>
      </c>
      <c r="J89">
        <v>13017255</v>
      </c>
      <c r="K89">
        <v>13114916</v>
      </c>
      <c r="L89">
        <v>13190684</v>
      </c>
      <c r="M89">
        <v>13246766</v>
      </c>
      <c r="N89">
        <v>13285257</v>
      </c>
      <c r="O89">
        <v>13308140</v>
      </c>
      <c r="P89">
        <v>13317288</v>
      </c>
      <c r="Q89">
        <v>13314460</v>
      </c>
      <c r="R89">
        <v>13301307</v>
      </c>
      <c r="S89">
        <v>13279365</v>
      </c>
      <c r="T89">
        <v>13250062</v>
      </c>
      <c r="U89">
        <v>13214711</v>
      </c>
      <c r="V89">
        <v>13174516</v>
      </c>
      <c r="W89">
        <v>13130570</v>
      </c>
      <c r="X89">
        <v>13083851</v>
      </c>
      <c r="Y89">
        <v>13035229</v>
      </c>
      <c r="Z89">
        <v>12985462</v>
      </c>
      <c r="AA89">
        <v>12935195</v>
      </c>
      <c r="AB89">
        <v>12884963</v>
      </c>
      <c r="AC89">
        <v>12835189</v>
      </c>
      <c r="AD89">
        <v>12786184</v>
      </c>
      <c r="AE89">
        <v>12738148</v>
      </c>
      <c r="AF89">
        <v>12691170</v>
      </c>
      <c r="AG89">
        <v>12645228</v>
      </c>
      <c r="AH89">
        <v>12600186</v>
      </c>
      <c r="AI89">
        <v>12555799</v>
      </c>
      <c r="AJ89">
        <v>12511710</v>
      </c>
      <c r="AK89">
        <v>12467449</v>
      </c>
      <c r="AL89">
        <v>12422438</v>
      </c>
      <c r="AM89">
        <v>12375983</v>
      </c>
      <c r="AN89">
        <v>12327282</v>
      </c>
      <c r="AO89">
        <v>12275421</v>
      </c>
      <c r="AP89">
        <v>12219372</v>
      </c>
      <c r="AQ89">
        <v>12158000</v>
      </c>
      <c r="AR89">
        <v>12090053</v>
      </c>
      <c r="AS89">
        <v>12014173</v>
      </c>
      <c r="AT89">
        <v>11928887</v>
      </c>
      <c r="AU89">
        <v>11832612</v>
      </c>
      <c r="AV89">
        <v>11723652</v>
      </c>
    </row>
    <row r="90" spans="1:48">
      <c r="A90" t="s">
        <v>369</v>
      </c>
      <c r="B90" t="s">
        <v>370</v>
      </c>
      <c r="C90" t="s">
        <v>358</v>
      </c>
      <c r="D90" s="37">
        <v>7301391.71098928</v>
      </c>
      <c r="E90" s="37">
        <v>7297018.87661016</v>
      </c>
      <c r="F90" s="37">
        <v>7289495.99503233</v>
      </c>
      <c r="G90" s="37">
        <v>7722742</v>
      </c>
      <c r="H90">
        <v>7724740</v>
      </c>
      <c r="I90">
        <v>7719534</v>
      </c>
      <c r="J90">
        <v>7707514</v>
      </c>
      <c r="K90">
        <v>7689063</v>
      </c>
      <c r="L90">
        <v>7664557</v>
      </c>
      <c r="M90">
        <v>7634369</v>
      </c>
      <c r="N90">
        <v>7598862</v>
      </c>
      <c r="O90">
        <v>7558398</v>
      </c>
      <c r="P90">
        <v>7513328</v>
      </c>
      <c r="Q90">
        <v>7464002</v>
      </c>
      <c r="R90">
        <v>7410760</v>
      </c>
      <c r="S90">
        <v>7353939</v>
      </c>
      <c r="T90">
        <v>7293870</v>
      </c>
      <c r="U90">
        <v>7230875</v>
      </c>
      <c r="V90">
        <v>7165275</v>
      </c>
      <c r="W90">
        <v>7097381</v>
      </c>
      <c r="X90">
        <v>7027500</v>
      </c>
      <c r="Y90">
        <v>6955933</v>
      </c>
      <c r="Z90">
        <v>6882975</v>
      </c>
      <c r="AA90">
        <v>6808914</v>
      </c>
      <c r="AB90">
        <v>6734036</v>
      </c>
      <c r="AC90">
        <v>6658616</v>
      </c>
      <c r="AD90">
        <v>6582926</v>
      </c>
      <c r="AE90">
        <v>6507233</v>
      </c>
      <c r="AF90">
        <v>6431795</v>
      </c>
      <c r="AG90">
        <v>6356867</v>
      </c>
      <c r="AH90">
        <v>6282697</v>
      </c>
      <c r="AI90">
        <v>6209528</v>
      </c>
      <c r="AJ90">
        <v>6137595</v>
      </c>
      <c r="AK90">
        <v>6067129</v>
      </c>
      <c r="AL90">
        <v>5998355</v>
      </c>
      <c r="AM90">
        <v>5931491</v>
      </c>
      <c r="AN90">
        <v>5866752</v>
      </c>
      <c r="AO90">
        <v>5804342</v>
      </c>
      <c r="AP90">
        <v>5744465</v>
      </c>
      <c r="AQ90">
        <v>5687315</v>
      </c>
      <c r="AR90">
        <v>5633082</v>
      </c>
      <c r="AS90">
        <v>5581950</v>
      </c>
      <c r="AT90">
        <v>5534096</v>
      </c>
      <c r="AU90">
        <v>5489692</v>
      </c>
      <c r="AV90">
        <v>5448904</v>
      </c>
    </row>
    <row r="91" spans="1:48">
      <c r="A91" t="s">
        <v>371</v>
      </c>
      <c r="B91" t="s">
        <v>372</v>
      </c>
      <c r="C91" t="s">
        <v>358</v>
      </c>
      <c r="D91" s="37">
        <v>4550247.7935707</v>
      </c>
      <c r="E91" s="37">
        <v>4571113.94806567</v>
      </c>
      <c r="F91" s="37">
        <v>4590567.05317097</v>
      </c>
      <c r="G91" s="37">
        <v>4573982</v>
      </c>
      <c r="H91">
        <v>4598847</v>
      </c>
      <c r="I91">
        <v>4623910</v>
      </c>
      <c r="J91">
        <v>4648848</v>
      </c>
      <c r="K91">
        <v>4673355</v>
      </c>
      <c r="L91">
        <v>4697149</v>
      </c>
      <c r="M91">
        <v>4719970</v>
      </c>
      <c r="N91">
        <v>4741581</v>
      </c>
      <c r="O91">
        <v>4761765</v>
      </c>
      <c r="P91">
        <v>4780329</v>
      </c>
      <c r="Q91">
        <v>4797101</v>
      </c>
      <c r="R91">
        <v>4811932</v>
      </c>
      <c r="S91">
        <v>4824693</v>
      </c>
      <c r="T91">
        <v>4835280</v>
      </c>
      <c r="U91">
        <v>4843608</v>
      </c>
      <c r="V91">
        <v>4849617</v>
      </c>
      <c r="W91">
        <v>4853267</v>
      </c>
      <c r="X91">
        <v>4854542</v>
      </c>
      <c r="Y91">
        <v>4853445</v>
      </c>
      <c r="Z91">
        <v>4850005</v>
      </c>
      <c r="AA91">
        <v>4844269</v>
      </c>
      <c r="AB91">
        <v>4836310</v>
      </c>
      <c r="AC91">
        <v>4826220</v>
      </c>
      <c r="AD91">
        <v>4814114</v>
      </c>
      <c r="AE91">
        <v>4800131</v>
      </c>
      <c r="AF91">
        <v>4784428</v>
      </c>
      <c r="AG91">
        <v>4767189</v>
      </c>
      <c r="AH91">
        <v>4748616</v>
      </c>
      <c r="AI91">
        <v>4728935</v>
      </c>
      <c r="AJ91">
        <v>4708393</v>
      </c>
      <c r="AK91">
        <v>4687262</v>
      </c>
      <c r="AL91">
        <v>4665831</v>
      </c>
      <c r="AM91">
        <v>4644416</v>
      </c>
      <c r="AN91">
        <v>4623352</v>
      </c>
      <c r="AO91">
        <v>4602998</v>
      </c>
      <c r="AP91">
        <v>4583733</v>
      </c>
      <c r="AQ91">
        <v>4565960</v>
      </c>
      <c r="AR91">
        <v>4550103</v>
      </c>
      <c r="AS91">
        <v>4536608</v>
      </c>
      <c r="AT91">
        <v>4525945</v>
      </c>
      <c r="AU91">
        <v>4518603</v>
      </c>
      <c r="AV91">
        <v>4515095</v>
      </c>
    </row>
    <row r="92" spans="1:48">
      <c r="A92" t="s">
        <v>373</v>
      </c>
      <c r="B92" t="s">
        <v>374</v>
      </c>
      <c r="C92" t="s">
        <v>358</v>
      </c>
      <c r="D92" s="37">
        <v>4934945.70770038</v>
      </c>
      <c r="E92" s="37">
        <v>4952357.14632075</v>
      </c>
      <c r="F92" s="37">
        <v>4968199.79169172</v>
      </c>
      <c r="G92" s="37">
        <v>4534779</v>
      </c>
      <c r="H92">
        <v>4555718</v>
      </c>
      <c r="I92">
        <v>4575690</v>
      </c>
      <c r="J92">
        <v>4594483</v>
      </c>
      <c r="K92">
        <v>4611906</v>
      </c>
      <c r="L92">
        <v>4627781</v>
      </c>
      <c r="M92">
        <v>4641950</v>
      </c>
      <c r="N92">
        <v>4654271</v>
      </c>
      <c r="O92">
        <v>4664622</v>
      </c>
      <c r="P92">
        <v>4672896</v>
      </c>
      <c r="Q92">
        <v>4679003</v>
      </c>
      <c r="R92">
        <v>4682873</v>
      </c>
      <c r="S92">
        <v>4684452</v>
      </c>
      <c r="T92">
        <v>4683704</v>
      </c>
      <c r="U92">
        <v>4680608</v>
      </c>
      <c r="V92">
        <v>4675164</v>
      </c>
      <c r="W92">
        <v>4667388</v>
      </c>
      <c r="X92">
        <v>4657312</v>
      </c>
      <c r="Y92">
        <v>4644988</v>
      </c>
      <c r="Z92">
        <v>4630483</v>
      </c>
      <c r="AA92">
        <v>4613884</v>
      </c>
      <c r="AB92">
        <v>4595293</v>
      </c>
      <c r="AC92">
        <v>4574831</v>
      </c>
      <c r="AD92">
        <v>4552636</v>
      </c>
      <c r="AE92">
        <v>4528863</v>
      </c>
      <c r="AF92">
        <v>4503685</v>
      </c>
      <c r="AG92">
        <v>4477292</v>
      </c>
      <c r="AH92">
        <v>4449892</v>
      </c>
      <c r="AI92">
        <v>4421711</v>
      </c>
      <c r="AJ92">
        <v>4392990</v>
      </c>
      <c r="AK92">
        <v>4363990</v>
      </c>
      <c r="AL92">
        <v>4334988</v>
      </c>
      <c r="AM92">
        <v>4306280</v>
      </c>
      <c r="AN92">
        <v>4278177</v>
      </c>
      <c r="AO92">
        <v>4251010</v>
      </c>
      <c r="AP92">
        <v>4225125</v>
      </c>
      <c r="AQ92">
        <v>4200888</v>
      </c>
      <c r="AR92">
        <v>4178680</v>
      </c>
      <c r="AS92">
        <v>4158902</v>
      </c>
      <c r="AT92">
        <v>4141969</v>
      </c>
      <c r="AU92">
        <v>4128318</v>
      </c>
      <c r="AV92">
        <v>4118399</v>
      </c>
    </row>
    <row r="93" spans="1:48">
      <c r="A93" t="s">
        <v>375</v>
      </c>
      <c r="B93" t="s">
        <v>376</v>
      </c>
      <c r="C93" t="s">
        <v>358</v>
      </c>
      <c r="D93" s="37">
        <v>7439716.66990064</v>
      </c>
      <c r="E93" s="37">
        <v>7453540.85806183</v>
      </c>
      <c r="F93" s="37">
        <v>7463235.31922861</v>
      </c>
      <c r="G93" s="37">
        <v>6699417</v>
      </c>
      <c r="H93">
        <v>6708761</v>
      </c>
      <c r="I93">
        <v>6715325</v>
      </c>
      <c r="J93">
        <v>6719041</v>
      </c>
      <c r="K93">
        <v>6719854</v>
      </c>
      <c r="L93">
        <v>6717721</v>
      </c>
      <c r="M93">
        <v>6712611</v>
      </c>
      <c r="N93">
        <v>6704505</v>
      </c>
      <c r="O93">
        <v>6693398</v>
      </c>
      <c r="P93">
        <v>6679297</v>
      </c>
      <c r="Q93">
        <v>6662219</v>
      </c>
      <c r="R93">
        <v>6642197</v>
      </c>
      <c r="S93">
        <v>6619272</v>
      </c>
      <c r="T93">
        <v>6593503</v>
      </c>
      <c r="U93">
        <v>6564955</v>
      </c>
      <c r="V93">
        <v>6533711</v>
      </c>
      <c r="W93">
        <v>6499862</v>
      </c>
      <c r="X93">
        <v>6463515</v>
      </c>
      <c r="Y93">
        <v>6424787</v>
      </c>
      <c r="Z93">
        <v>6383807</v>
      </c>
      <c r="AA93">
        <v>6340719</v>
      </c>
      <c r="AB93">
        <v>6295676</v>
      </c>
      <c r="AC93">
        <v>6248846</v>
      </c>
      <c r="AD93">
        <v>6200408</v>
      </c>
      <c r="AE93">
        <v>6150554</v>
      </c>
      <c r="AF93">
        <v>6099488</v>
      </c>
      <c r="AG93">
        <v>6047427</v>
      </c>
      <c r="AH93">
        <v>5994600</v>
      </c>
      <c r="AI93">
        <v>5941247</v>
      </c>
      <c r="AJ93">
        <v>5887622</v>
      </c>
      <c r="AK93">
        <v>5833991</v>
      </c>
      <c r="AL93">
        <v>5780632</v>
      </c>
      <c r="AM93">
        <v>5727837</v>
      </c>
      <c r="AN93">
        <v>5675907</v>
      </c>
      <c r="AO93">
        <v>5625158</v>
      </c>
      <c r="AP93">
        <v>5575919</v>
      </c>
      <c r="AQ93">
        <v>5528528</v>
      </c>
      <c r="AR93">
        <v>5483339</v>
      </c>
      <c r="AS93">
        <v>5440716</v>
      </c>
      <c r="AT93">
        <v>5401037</v>
      </c>
      <c r="AU93">
        <v>5364690</v>
      </c>
      <c r="AV93">
        <v>5332078</v>
      </c>
    </row>
    <row r="94" spans="1:48">
      <c r="A94" t="s">
        <v>377</v>
      </c>
      <c r="B94" t="s">
        <v>378</v>
      </c>
      <c r="C94" t="s">
        <v>358</v>
      </c>
      <c r="D94" s="37">
        <v>4547874.99691051</v>
      </c>
      <c r="E94" s="37">
        <v>4558100.94808493</v>
      </c>
      <c r="F94" s="37">
        <v>4566268.42000576</v>
      </c>
      <c r="G94" s="37">
        <v>4541825</v>
      </c>
      <c r="H94">
        <v>4559153</v>
      </c>
      <c r="I94">
        <v>4571867</v>
      </c>
      <c r="J94">
        <v>4580186</v>
      </c>
      <c r="K94">
        <v>4584331</v>
      </c>
      <c r="L94">
        <v>4584516</v>
      </c>
      <c r="M94">
        <v>4580954</v>
      </c>
      <c r="N94">
        <v>4573854</v>
      </c>
      <c r="O94">
        <v>4563422</v>
      </c>
      <c r="P94">
        <v>4549860</v>
      </c>
      <c r="Q94">
        <v>4533368</v>
      </c>
      <c r="R94">
        <v>4514141</v>
      </c>
      <c r="S94">
        <v>4492373</v>
      </c>
      <c r="T94">
        <v>4468254</v>
      </c>
      <c r="U94">
        <v>4441969</v>
      </c>
      <c r="V94">
        <v>4413702</v>
      </c>
      <c r="W94">
        <v>4383634</v>
      </c>
      <c r="X94">
        <v>4351940</v>
      </c>
      <c r="Y94">
        <v>4318795</v>
      </c>
      <c r="Z94">
        <v>4284368</v>
      </c>
      <c r="AA94">
        <v>4248827</v>
      </c>
      <c r="AB94">
        <v>4212335</v>
      </c>
      <c r="AC94">
        <v>4175054</v>
      </c>
      <c r="AD94">
        <v>4137141</v>
      </c>
      <c r="AE94">
        <v>4098749</v>
      </c>
      <c r="AF94">
        <v>4060030</v>
      </c>
      <c r="AG94">
        <v>4021132</v>
      </c>
      <c r="AH94">
        <v>3982198</v>
      </c>
      <c r="AI94">
        <v>3943371</v>
      </c>
      <c r="AJ94">
        <v>3904789</v>
      </c>
      <c r="AK94">
        <v>3866585</v>
      </c>
      <c r="AL94">
        <v>3828893</v>
      </c>
      <c r="AM94">
        <v>3791839</v>
      </c>
      <c r="AN94">
        <v>3755550</v>
      </c>
      <c r="AO94">
        <v>3720147</v>
      </c>
      <c r="AP94">
        <v>3685749</v>
      </c>
      <c r="AQ94">
        <v>3652471</v>
      </c>
      <c r="AR94">
        <v>3620425</v>
      </c>
      <c r="AS94">
        <v>3589722</v>
      </c>
      <c r="AT94">
        <v>3560465</v>
      </c>
      <c r="AU94">
        <v>3532759</v>
      </c>
      <c r="AV94">
        <v>3506702</v>
      </c>
    </row>
    <row r="95" spans="1:48">
      <c r="A95" t="s">
        <v>379</v>
      </c>
      <c r="B95" t="s">
        <v>380</v>
      </c>
      <c r="C95" t="s">
        <v>358</v>
      </c>
      <c r="D95" s="37">
        <v>3214947.15744499</v>
      </c>
      <c r="E95" s="37">
        <v>3228637.50337534</v>
      </c>
      <c r="F95" s="37">
        <v>3240668.95845125</v>
      </c>
      <c r="G95" s="37">
        <v>3187683</v>
      </c>
      <c r="H95">
        <v>3209998</v>
      </c>
      <c r="I95">
        <v>3227599</v>
      </c>
      <c r="J95">
        <v>3240794</v>
      </c>
      <c r="K95">
        <v>3249881</v>
      </c>
      <c r="L95">
        <v>3255148</v>
      </c>
      <c r="M95">
        <v>3256873</v>
      </c>
      <c r="N95">
        <v>3255326</v>
      </c>
      <c r="O95">
        <v>3250765</v>
      </c>
      <c r="P95">
        <v>3243439</v>
      </c>
      <c r="Q95">
        <v>3233587</v>
      </c>
      <c r="R95">
        <v>3221439</v>
      </c>
      <c r="S95">
        <v>3207215</v>
      </c>
      <c r="T95">
        <v>3191124</v>
      </c>
      <c r="U95">
        <v>3173366</v>
      </c>
      <c r="V95">
        <v>3154132</v>
      </c>
      <c r="W95">
        <v>3133602</v>
      </c>
      <c r="X95">
        <v>3111948</v>
      </c>
      <c r="Y95">
        <v>3089329</v>
      </c>
      <c r="Z95">
        <v>3065897</v>
      </c>
      <c r="AA95">
        <v>3041793</v>
      </c>
      <c r="AB95">
        <v>3017149</v>
      </c>
      <c r="AC95">
        <v>2992087</v>
      </c>
      <c r="AD95">
        <v>2966718</v>
      </c>
      <c r="AE95">
        <v>2941145</v>
      </c>
      <c r="AF95">
        <v>2915460</v>
      </c>
      <c r="AG95">
        <v>2889746</v>
      </c>
      <c r="AH95">
        <v>2864075</v>
      </c>
      <c r="AI95">
        <v>2838510</v>
      </c>
      <c r="AJ95">
        <v>2813105</v>
      </c>
      <c r="AK95">
        <v>2787903</v>
      </c>
      <c r="AL95">
        <v>2762937</v>
      </c>
      <c r="AM95">
        <v>2738232</v>
      </c>
      <c r="AN95">
        <v>2713801</v>
      </c>
      <c r="AO95">
        <v>2689649</v>
      </c>
      <c r="AP95">
        <v>2665770</v>
      </c>
      <c r="AQ95">
        <v>2642149</v>
      </c>
      <c r="AR95">
        <v>2618760</v>
      </c>
      <c r="AS95">
        <v>2595569</v>
      </c>
      <c r="AT95">
        <v>2572531</v>
      </c>
      <c r="AU95">
        <v>2549591</v>
      </c>
      <c r="AV95">
        <v>2526685</v>
      </c>
    </row>
    <row r="96" spans="1:48">
      <c r="A96" t="s">
        <v>381</v>
      </c>
      <c r="B96" t="s">
        <v>382</v>
      </c>
      <c r="C96" t="s">
        <v>358</v>
      </c>
      <c r="D96" s="37">
        <v>4673561.28170169</v>
      </c>
      <c r="E96" s="37">
        <v>4676629.49454358</v>
      </c>
      <c r="F96" s="37">
        <v>4677550.24904077</v>
      </c>
      <c r="G96" s="37">
        <v>4506995</v>
      </c>
      <c r="H96">
        <v>4511936</v>
      </c>
      <c r="I96">
        <v>4513695</v>
      </c>
      <c r="J96">
        <v>4512369</v>
      </c>
      <c r="K96">
        <v>4508055</v>
      </c>
      <c r="L96">
        <v>4500853</v>
      </c>
      <c r="M96">
        <v>4490868</v>
      </c>
      <c r="N96">
        <v>4478205</v>
      </c>
      <c r="O96">
        <v>4462970</v>
      </c>
      <c r="P96">
        <v>4445274</v>
      </c>
      <c r="Q96">
        <v>4425229</v>
      </c>
      <c r="R96">
        <v>4402949</v>
      </c>
      <c r="S96">
        <v>4378552</v>
      </c>
      <c r="T96">
        <v>4352157</v>
      </c>
      <c r="U96">
        <v>4323885</v>
      </c>
      <c r="V96">
        <v>4293859</v>
      </c>
      <c r="W96">
        <v>4262207</v>
      </c>
      <c r="X96">
        <v>4229056</v>
      </c>
      <c r="Y96">
        <v>4194538</v>
      </c>
      <c r="Z96">
        <v>4158785</v>
      </c>
      <c r="AA96">
        <v>4121932</v>
      </c>
      <c r="AB96">
        <v>4084118</v>
      </c>
      <c r="AC96">
        <v>4045483</v>
      </c>
      <c r="AD96">
        <v>4006168</v>
      </c>
      <c r="AE96">
        <v>3966319</v>
      </c>
      <c r="AF96">
        <v>3926083</v>
      </c>
      <c r="AG96">
        <v>3885608</v>
      </c>
      <c r="AH96">
        <v>3845047</v>
      </c>
      <c r="AI96">
        <v>3804553</v>
      </c>
      <c r="AJ96">
        <v>3764283</v>
      </c>
      <c r="AK96">
        <v>3724394</v>
      </c>
      <c r="AL96">
        <v>3685049</v>
      </c>
      <c r="AM96">
        <v>3646410</v>
      </c>
      <c r="AN96">
        <v>3608643</v>
      </c>
      <c r="AO96">
        <v>3571916</v>
      </c>
      <c r="AP96">
        <v>3536399</v>
      </c>
      <c r="AQ96">
        <v>3502263</v>
      </c>
      <c r="AR96">
        <v>3469685</v>
      </c>
      <c r="AS96">
        <v>3438841</v>
      </c>
      <c r="AT96">
        <v>3409911</v>
      </c>
      <c r="AU96">
        <v>3383075</v>
      </c>
      <c r="AV96">
        <v>3358520</v>
      </c>
    </row>
    <row r="97" spans="1:48">
      <c r="A97" t="s">
        <v>383</v>
      </c>
      <c r="B97" t="s">
        <v>384</v>
      </c>
      <c r="C97" t="s">
        <v>358</v>
      </c>
      <c r="D97" s="37">
        <v>4871612.4331064</v>
      </c>
      <c r="E97" s="37">
        <v>4892733.88336186</v>
      </c>
      <c r="F97" s="37">
        <v>4912586.4042924</v>
      </c>
      <c r="G97" s="37">
        <v>4957674</v>
      </c>
      <c r="H97">
        <v>4985596</v>
      </c>
      <c r="I97">
        <v>5013669</v>
      </c>
      <c r="J97">
        <v>5041538</v>
      </c>
      <c r="K97">
        <v>5068870</v>
      </c>
      <c r="L97">
        <v>5095360</v>
      </c>
      <c r="M97">
        <v>5120725</v>
      </c>
      <c r="N97">
        <v>5144705</v>
      </c>
      <c r="O97">
        <v>5167068</v>
      </c>
      <c r="P97">
        <v>5187601</v>
      </c>
      <c r="Q97">
        <v>5206119</v>
      </c>
      <c r="R97">
        <v>5222459</v>
      </c>
      <c r="S97">
        <v>5236484</v>
      </c>
      <c r="T97">
        <v>5248080</v>
      </c>
      <c r="U97">
        <v>5257156</v>
      </c>
      <c r="V97">
        <v>5263646</v>
      </c>
      <c r="W97">
        <v>5267510</v>
      </c>
      <c r="X97">
        <v>5268729</v>
      </c>
      <c r="Y97">
        <v>5267311</v>
      </c>
      <c r="Z97">
        <v>5263285</v>
      </c>
      <c r="AA97">
        <v>5256706</v>
      </c>
      <c r="AB97">
        <v>5247654</v>
      </c>
      <c r="AC97">
        <v>5236230</v>
      </c>
      <c r="AD97">
        <v>5222563</v>
      </c>
      <c r="AE97">
        <v>5206804</v>
      </c>
      <c r="AF97">
        <v>5189127</v>
      </c>
      <c r="AG97">
        <v>5169733</v>
      </c>
      <c r="AH97">
        <v>5148844</v>
      </c>
      <c r="AI97">
        <v>5126708</v>
      </c>
      <c r="AJ97">
        <v>5103597</v>
      </c>
      <c r="AK97">
        <v>5079807</v>
      </c>
      <c r="AL97">
        <v>5055658</v>
      </c>
      <c r="AM97">
        <v>5031493</v>
      </c>
      <c r="AN97">
        <v>5007681</v>
      </c>
      <c r="AO97">
        <v>4984614</v>
      </c>
      <c r="AP97">
        <v>4962709</v>
      </c>
      <c r="AQ97">
        <v>4942405</v>
      </c>
      <c r="AR97">
        <v>4924168</v>
      </c>
      <c r="AS97">
        <v>4908485</v>
      </c>
      <c r="AT97">
        <v>4895871</v>
      </c>
      <c r="AU97">
        <v>4886862</v>
      </c>
      <c r="AV97">
        <v>4882018</v>
      </c>
    </row>
    <row r="98" spans="1:48">
      <c r="A98" t="s">
        <v>385</v>
      </c>
      <c r="B98" t="s">
        <v>386</v>
      </c>
      <c r="C98" t="s">
        <v>358</v>
      </c>
      <c r="D98" s="37">
        <v>9124989.24437677</v>
      </c>
      <c r="E98" s="37">
        <v>9182197.87124325</v>
      </c>
      <c r="F98" s="37">
        <v>9233911.31540649</v>
      </c>
      <c r="G98" s="37">
        <v>11825607</v>
      </c>
      <c r="H98">
        <v>11934679</v>
      </c>
      <c r="I98">
        <v>12025292</v>
      </c>
      <c r="J98">
        <v>12098835</v>
      </c>
      <c r="K98">
        <v>12156643</v>
      </c>
      <c r="L98">
        <v>12199996</v>
      </c>
      <c r="M98">
        <v>12230117</v>
      </c>
      <c r="N98">
        <v>12248173</v>
      </c>
      <c r="O98">
        <v>12255277</v>
      </c>
      <c r="P98">
        <v>12252485</v>
      </c>
      <c r="Q98">
        <v>12240799</v>
      </c>
      <c r="R98">
        <v>12221164</v>
      </c>
      <c r="S98">
        <v>12194470</v>
      </c>
      <c r="T98">
        <v>12161550</v>
      </c>
      <c r="U98">
        <v>12123184</v>
      </c>
      <c r="V98">
        <v>12080095</v>
      </c>
      <c r="W98">
        <v>12032949</v>
      </c>
      <c r="X98">
        <v>11982360</v>
      </c>
      <c r="Y98">
        <v>11928882</v>
      </c>
      <c r="Z98">
        <v>11873017</v>
      </c>
      <c r="AA98">
        <v>11815210</v>
      </c>
      <c r="AB98">
        <v>11755850</v>
      </c>
      <c r="AC98">
        <v>11695271</v>
      </c>
      <c r="AD98">
        <v>11633751</v>
      </c>
      <c r="AE98">
        <v>11571512</v>
      </c>
      <c r="AF98">
        <v>11508723</v>
      </c>
      <c r="AG98">
        <v>11445493</v>
      </c>
      <c r="AH98">
        <v>11381880</v>
      </c>
      <c r="AI98">
        <v>11317882</v>
      </c>
      <c r="AJ98">
        <v>11253446</v>
      </c>
      <c r="AK98">
        <v>11188459</v>
      </c>
      <c r="AL98">
        <v>11122756</v>
      </c>
      <c r="AM98">
        <v>11056113</v>
      </c>
      <c r="AN98">
        <v>10988254</v>
      </c>
      <c r="AO98">
        <v>10918844</v>
      </c>
      <c r="AP98">
        <v>10847495</v>
      </c>
      <c r="AQ98">
        <v>10773763</v>
      </c>
      <c r="AR98">
        <v>10697147</v>
      </c>
      <c r="AS98">
        <v>10617090</v>
      </c>
      <c r="AT98">
        <v>10532983</v>
      </c>
      <c r="AU98">
        <v>10444157</v>
      </c>
      <c r="AV98">
        <v>10349891</v>
      </c>
    </row>
    <row r="99" spans="1:48">
      <c r="A99" t="s">
        <v>387</v>
      </c>
      <c r="B99" t="s">
        <v>388</v>
      </c>
      <c r="C99" t="s">
        <v>358</v>
      </c>
      <c r="D99" s="37">
        <v>7950751.89208764</v>
      </c>
      <c r="E99" s="37">
        <v>7995908.69423835</v>
      </c>
      <c r="F99" s="37">
        <v>8036363.67969941</v>
      </c>
      <c r="G99" s="37">
        <v>9328517</v>
      </c>
      <c r="H99">
        <v>9403258</v>
      </c>
      <c r="I99">
        <v>9465130</v>
      </c>
      <c r="J99">
        <v>9515010</v>
      </c>
      <c r="K99">
        <v>9553746</v>
      </c>
      <c r="L99">
        <v>9582149</v>
      </c>
      <c r="M99">
        <v>9601001</v>
      </c>
      <c r="N99">
        <v>9611048</v>
      </c>
      <c r="O99">
        <v>9613007</v>
      </c>
      <c r="P99">
        <v>9607559</v>
      </c>
      <c r="Q99">
        <v>9595355</v>
      </c>
      <c r="R99">
        <v>9577011</v>
      </c>
      <c r="S99">
        <v>9553114</v>
      </c>
      <c r="T99">
        <v>9524215</v>
      </c>
      <c r="U99">
        <v>9490833</v>
      </c>
      <c r="V99">
        <v>9453456</v>
      </c>
      <c r="W99">
        <v>9412538</v>
      </c>
      <c r="X99">
        <v>9368501</v>
      </c>
      <c r="Y99">
        <v>9321733</v>
      </c>
      <c r="Z99">
        <v>9272592</v>
      </c>
      <c r="AA99">
        <v>9221400</v>
      </c>
      <c r="AB99">
        <v>9168451</v>
      </c>
      <c r="AC99">
        <v>9114002</v>
      </c>
      <c r="AD99">
        <v>9058279</v>
      </c>
      <c r="AE99">
        <v>9001476</v>
      </c>
      <c r="AF99">
        <v>8943754</v>
      </c>
      <c r="AG99">
        <v>8885242</v>
      </c>
      <c r="AH99">
        <v>8826034</v>
      </c>
      <c r="AI99">
        <v>8766194</v>
      </c>
      <c r="AJ99">
        <v>8705752</v>
      </c>
      <c r="AK99">
        <v>8644707</v>
      </c>
      <c r="AL99">
        <v>8583024</v>
      </c>
      <c r="AM99">
        <v>8520635</v>
      </c>
      <c r="AN99">
        <v>8457440</v>
      </c>
      <c r="AO99">
        <v>8393307</v>
      </c>
      <c r="AP99">
        <v>8328071</v>
      </c>
      <c r="AQ99">
        <v>8261534</v>
      </c>
      <c r="AR99">
        <v>8193466</v>
      </c>
      <c r="AS99">
        <v>8123603</v>
      </c>
      <c r="AT99">
        <v>8051650</v>
      </c>
      <c r="AU99">
        <v>7977279</v>
      </c>
      <c r="AV99">
        <v>7900129</v>
      </c>
    </row>
    <row r="100" spans="1:48">
      <c r="A100" t="s">
        <v>389</v>
      </c>
      <c r="B100" t="s">
        <v>390</v>
      </c>
      <c r="C100" t="s">
        <v>358</v>
      </c>
      <c r="D100" s="37">
        <v>9619619.55604198</v>
      </c>
      <c r="E100" s="37">
        <v>9687480.71146592</v>
      </c>
      <c r="F100" s="37">
        <v>9750259.18480178</v>
      </c>
      <c r="G100" s="37">
        <v>9483536</v>
      </c>
      <c r="H100">
        <v>9571975</v>
      </c>
      <c r="I100">
        <v>9651426</v>
      </c>
      <c r="J100">
        <v>9722351</v>
      </c>
      <c r="K100">
        <v>9785201</v>
      </c>
      <c r="L100">
        <v>9840407</v>
      </c>
      <c r="M100">
        <v>9888386</v>
      </c>
      <c r="N100">
        <v>9929540</v>
      </c>
      <c r="O100">
        <v>9964254</v>
      </c>
      <c r="P100">
        <v>9992897</v>
      </c>
      <c r="Q100">
        <v>10015825</v>
      </c>
      <c r="R100">
        <v>10033375</v>
      </c>
      <c r="S100">
        <v>10045869</v>
      </c>
      <c r="T100">
        <v>10053615</v>
      </c>
      <c r="U100">
        <v>10056904</v>
      </c>
      <c r="V100">
        <v>10056011</v>
      </c>
      <c r="W100">
        <v>10051195</v>
      </c>
      <c r="X100">
        <v>10042700</v>
      </c>
      <c r="Y100">
        <v>10030756</v>
      </c>
      <c r="Z100">
        <v>10015573</v>
      </c>
      <c r="AA100">
        <v>9997349</v>
      </c>
      <c r="AB100">
        <v>9976264</v>
      </c>
      <c r="AC100">
        <v>9952485</v>
      </c>
      <c r="AD100">
        <v>9926160</v>
      </c>
      <c r="AE100">
        <v>9897423</v>
      </c>
      <c r="AF100">
        <v>9866392</v>
      </c>
      <c r="AG100">
        <v>9833169</v>
      </c>
      <c r="AH100">
        <v>9797842</v>
      </c>
      <c r="AI100">
        <v>9760480</v>
      </c>
      <c r="AJ100">
        <v>9721139</v>
      </c>
      <c r="AK100">
        <v>9679859</v>
      </c>
      <c r="AL100">
        <v>9636662</v>
      </c>
      <c r="AM100">
        <v>9591557</v>
      </c>
      <c r="AN100">
        <v>9544536</v>
      </c>
      <c r="AO100">
        <v>9495575</v>
      </c>
      <c r="AP100">
        <v>9444635</v>
      </c>
      <c r="AQ100">
        <v>9391661</v>
      </c>
      <c r="AR100">
        <v>9336582</v>
      </c>
      <c r="AS100">
        <v>9279312</v>
      </c>
      <c r="AT100">
        <v>9219748</v>
      </c>
      <c r="AU100">
        <v>9157773</v>
      </c>
      <c r="AV100">
        <v>9093252</v>
      </c>
    </row>
    <row r="101" spans="1:48">
      <c r="A101" t="s">
        <v>391</v>
      </c>
      <c r="B101" t="s">
        <v>392</v>
      </c>
      <c r="C101" t="s">
        <v>358</v>
      </c>
      <c r="D101" s="37">
        <v>4661224.1425734</v>
      </c>
      <c r="E101" s="37">
        <v>4683817.11495862</v>
      </c>
      <c r="F101" s="37">
        <v>4704273.59328424</v>
      </c>
      <c r="G101" s="37">
        <v>5359073</v>
      </c>
      <c r="H101">
        <v>5400227</v>
      </c>
      <c r="I101">
        <v>5434255</v>
      </c>
      <c r="J101">
        <v>5461602</v>
      </c>
      <c r="K101">
        <v>5482703</v>
      </c>
      <c r="L101">
        <v>5497977</v>
      </c>
      <c r="M101">
        <v>5507827</v>
      </c>
      <c r="N101">
        <v>5512644</v>
      </c>
      <c r="O101">
        <v>5512803</v>
      </c>
      <c r="P101">
        <v>5508666</v>
      </c>
      <c r="Q101">
        <v>5500580</v>
      </c>
      <c r="R101">
        <v>5488878</v>
      </c>
      <c r="S101">
        <v>5473879</v>
      </c>
      <c r="T101">
        <v>5455886</v>
      </c>
      <c r="U101">
        <v>5435189</v>
      </c>
      <c r="V101">
        <v>5412064</v>
      </c>
      <c r="W101">
        <v>5386773</v>
      </c>
      <c r="X101">
        <v>5359562</v>
      </c>
      <c r="Y101">
        <v>5330663</v>
      </c>
      <c r="Z101">
        <v>5300296</v>
      </c>
      <c r="AA101">
        <v>5268664</v>
      </c>
      <c r="AB101">
        <v>5235956</v>
      </c>
      <c r="AC101">
        <v>5202349</v>
      </c>
      <c r="AD101">
        <v>5168003</v>
      </c>
      <c r="AE101">
        <v>5133065</v>
      </c>
      <c r="AF101">
        <v>5097667</v>
      </c>
      <c r="AG101">
        <v>5061928</v>
      </c>
      <c r="AH101">
        <v>5025950</v>
      </c>
      <c r="AI101">
        <v>4989825</v>
      </c>
      <c r="AJ101">
        <v>4953627</v>
      </c>
      <c r="AK101">
        <v>4917416</v>
      </c>
      <c r="AL101">
        <v>4881240</v>
      </c>
      <c r="AM101">
        <v>4845131</v>
      </c>
      <c r="AN101">
        <v>4809105</v>
      </c>
      <c r="AO101">
        <v>4773168</v>
      </c>
      <c r="AP101">
        <v>4737309</v>
      </c>
      <c r="AQ101">
        <v>4701502</v>
      </c>
      <c r="AR101">
        <v>4665707</v>
      </c>
      <c r="AS101">
        <v>4629872</v>
      </c>
      <c r="AT101">
        <v>4593929</v>
      </c>
      <c r="AU101">
        <v>4557795</v>
      </c>
      <c r="AV101">
        <v>4521373</v>
      </c>
    </row>
    <row r="102" spans="1:48">
      <c r="A102" t="s">
        <v>393</v>
      </c>
      <c r="B102" t="s">
        <v>394</v>
      </c>
      <c r="C102" t="s">
        <v>358</v>
      </c>
      <c r="D102" s="37">
        <v>2973378.39537171</v>
      </c>
      <c r="E102" s="37">
        <v>2983908.85409166</v>
      </c>
      <c r="F102" s="37">
        <v>2993118.33887215</v>
      </c>
      <c r="G102" s="37">
        <v>3347680</v>
      </c>
      <c r="H102">
        <v>3367126</v>
      </c>
      <c r="I102">
        <v>3382623</v>
      </c>
      <c r="J102">
        <v>3394394</v>
      </c>
      <c r="K102">
        <v>3402656</v>
      </c>
      <c r="L102">
        <v>3407621</v>
      </c>
      <c r="M102">
        <v>3409495</v>
      </c>
      <c r="N102">
        <v>3408478</v>
      </c>
      <c r="O102">
        <v>3404763</v>
      </c>
      <c r="P102">
        <v>3398540</v>
      </c>
      <c r="Q102">
        <v>3389991</v>
      </c>
      <c r="R102">
        <v>3379291</v>
      </c>
      <c r="S102">
        <v>3366611</v>
      </c>
      <c r="T102">
        <v>3352116</v>
      </c>
      <c r="U102">
        <v>3335965</v>
      </c>
      <c r="V102">
        <v>3318309</v>
      </c>
      <c r="W102">
        <v>3299297</v>
      </c>
      <c r="X102">
        <v>3279069</v>
      </c>
      <c r="Y102">
        <v>3257760</v>
      </c>
      <c r="Z102">
        <v>3235500</v>
      </c>
      <c r="AA102">
        <v>3212411</v>
      </c>
      <c r="AB102">
        <v>3188611</v>
      </c>
      <c r="AC102">
        <v>3164212</v>
      </c>
      <c r="AD102">
        <v>3139320</v>
      </c>
      <c r="AE102">
        <v>3114033</v>
      </c>
      <c r="AF102">
        <v>3088446</v>
      </c>
      <c r="AG102">
        <v>3062647</v>
      </c>
      <c r="AH102">
        <v>3036718</v>
      </c>
      <c r="AI102">
        <v>3010735</v>
      </c>
      <c r="AJ102">
        <v>2984768</v>
      </c>
      <c r="AK102">
        <v>2958881</v>
      </c>
      <c r="AL102">
        <v>2933134</v>
      </c>
      <c r="AM102">
        <v>2907578</v>
      </c>
      <c r="AN102">
        <v>2882261</v>
      </c>
      <c r="AO102">
        <v>2857223</v>
      </c>
      <c r="AP102">
        <v>2832498</v>
      </c>
      <c r="AQ102">
        <v>2808117</v>
      </c>
      <c r="AR102">
        <v>2784101</v>
      </c>
      <c r="AS102">
        <v>2760469</v>
      </c>
      <c r="AT102">
        <v>2737232</v>
      </c>
      <c r="AU102">
        <v>2714394</v>
      </c>
      <c r="AV102">
        <v>2691956</v>
      </c>
    </row>
    <row r="103" spans="1:48">
      <c r="A103" t="s">
        <v>395</v>
      </c>
      <c r="B103" t="s">
        <v>396</v>
      </c>
      <c r="C103" t="s">
        <v>358</v>
      </c>
      <c r="D103" s="37">
        <v>5046980.51304421</v>
      </c>
      <c r="E103" s="37">
        <v>5066133.37853176</v>
      </c>
      <c r="F103" s="37">
        <v>5083396.67841231</v>
      </c>
      <c r="G103" s="37">
        <v>5239214</v>
      </c>
      <c r="H103">
        <v>5270296</v>
      </c>
      <c r="I103">
        <v>5296216</v>
      </c>
      <c r="J103">
        <v>5317189</v>
      </c>
      <c r="K103">
        <v>5333427</v>
      </c>
      <c r="L103">
        <v>5345143</v>
      </c>
      <c r="M103">
        <v>5352545</v>
      </c>
      <c r="N103">
        <v>5355838</v>
      </c>
      <c r="O103">
        <v>5355228</v>
      </c>
      <c r="P103">
        <v>5350915</v>
      </c>
      <c r="Q103">
        <v>5343099</v>
      </c>
      <c r="R103">
        <v>5331975</v>
      </c>
      <c r="S103">
        <v>5317739</v>
      </c>
      <c r="T103">
        <v>5300582</v>
      </c>
      <c r="U103">
        <v>5280694</v>
      </c>
      <c r="V103">
        <v>5258262</v>
      </c>
      <c r="W103">
        <v>5233471</v>
      </c>
      <c r="X103">
        <v>5206502</v>
      </c>
      <c r="Y103">
        <v>5177536</v>
      </c>
      <c r="Z103">
        <v>5146751</v>
      </c>
      <c r="AA103">
        <v>5114321</v>
      </c>
      <c r="AB103">
        <v>5080419</v>
      </c>
      <c r="AC103">
        <v>5045215</v>
      </c>
      <c r="AD103">
        <v>5008879</v>
      </c>
      <c r="AE103">
        <v>4971574</v>
      </c>
      <c r="AF103">
        <v>4933465</v>
      </c>
      <c r="AG103">
        <v>4894711</v>
      </c>
      <c r="AH103">
        <v>4855472</v>
      </c>
      <c r="AI103">
        <v>4815904</v>
      </c>
      <c r="AJ103">
        <v>4776159</v>
      </c>
      <c r="AK103">
        <v>4736390</v>
      </c>
      <c r="AL103">
        <v>4696745</v>
      </c>
      <c r="AM103">
        <v>4657370</v>
      </c>
      <c r="AN103">
        <v>4618410</v>
      </c>
      <c r="AO103">
        <v>4580006</v>
      </c>
      <c r="AP103">
        <v>4542298</v>
      </c>
      <c r="AQ103">
        <v>4505422</v>
      </c>
      <c r="AR103">
        <v>4469512</v>
      </c>
      <c r="AS103">
        <v>4434701</v>
      </c>
      <c r="AT103">
        <v>4401119</v>
      </c>
      <c r="AU103">
        <v>4368893</v>
      </c>
      <c r="AV103">
        <v>4338147</v>
      </c>
    </row>
    <row r="104" spans="1:48">
      <c r="A104" t="s">
        <v>397</v>
      </c>
      <c r="B104" t="s">
        <v>398</v>
      </c>
      <c r="C104" t="s">
        <v>358</v>
      </c>
      <c r="D104" s="37">
        <v>5583190.2926724</v>
      </c>
      <c r="E104" s="37">
        <v>5611723.67145132</v>
      </c>
      <c r="F104" s="37">
        <v>5637489.04112966</v>
      </c>
      <c r="G104" s="37">
        <v>7002840</v>
      </c>
      <c r="H104">
        <v>7049902</v>
      </c>
      <c r="I104">
        <v>7091311</v>
      </c>
      <c r="J104">
        <v>7127290</v>
      </c>
      <c r="K104">
        <v>7158059</v>
      </c>
      <c r="L104">
        <v>7183834</v>
      </c>
      <c r="M104">
        <v>7204826</v>
      </c>
      <c r="N104">
        <v>7221243</v>
      </c>
      <c r="O104">
        <v>7233288</v>
      </c>
      <c r="P104">
        <v>7241160</v>
      </c>
      <c r="Q104">
        <v>7245054</v>
      </c>
      <c r="R104">
        <v>7245162</v>
      </c>
      <c r="S104">
        <v>7241669</v>
      </c>
      <c r="T104">
        <v>7234760</v>
      </c>
      <c r="U104">
        <v>7224611</v>
      </c>
      <c r="V104">
        <v>7211398</v>
      </c>
      <c r="W104">
        <v>7195290</v>
      </c>
      <c r="X104">
        <v>7176455</v>
      </c>
      <c r="Y104">
        <v>7155053</v>
      </c>
      <c r="Z104">
        <v>7131243</v>
      </c>
      <c r="AA104">
        <v>7105179</v>
      </c>
      <c r="AB104">
        <v>7077010</v>
      </c>
      <c r="AC104">
        <v>7046882</v>
      </c>
      <c r="AD104">
        <v>7014936</v>
      </c>
      <c r="AE104">
        <v>6981309</v>
      </c>
      <c r="AF104">
        <v>6946134</v>
      </c>
      <c r="AG104">
        <v>6909541</v>
      </c>
      <c r="AH104">
        <v>6871654</v>
      </c>
      <c r="AI104">
        <v>6832595</v>
      </c>
      <c r="AJ104">
        <v>6792478</v>
      </c>
      <c r="AK104">
        <v>6751418</v>
      </c>
      <c r="AL104">
        <v>6709522</v>
      </c>
      <c r="AM104">
        <v>6666895</v>
      </c>
      <c r="AN104">
        <v>6623637</v>
      </c>
      <c r="AO104">
        <v>6579843</v>
      </c>
      <c r="AP104">
        <v>6535605</v>
      </c>
      <c r="AQ104">
        <v>6491012</v>
      </c>
      <c r="AR104">
        <v>6446147</v>
      </c>
      <c r="AS104">
        <v>6401089</v>
      </c>
      <c r="AT104">
        <v>6355913</v>
      </c>
      <c r="AU104">
        <v>6310691</v>
      </c>
      <c r="AV104">
        <v>6265489</v>
      </c>
    </row>
    <row r="105" spans="1:48">
      <c r="A105" t="s">
        <v>399</v>
      </c>
      <c r="B105" t="s">
        <v>400</v>
      </c>
      <c r="C105" t="s">
        <v>358</v>
      </c>
      <c r="D105" s="37">
        <v>2146255.94153227</v>
      </c>
      <c r="E105" s="37">
        <v>2146518.06710381</v>
      </c>
      <c r="F105" s="37">
        <v>2145949.62064295</v>
      </c>
      <c r="G105" s="37">
        <v>2278969</v>
      </c>
      <c r="H105">
        <v>2275824</v>
      </c>
      <c r="I105">
        <v>2273049</v>
      </c>
      <c r="J105">
        <v>2270469</v>
      </c>
      <c r="K105">
        <v>2267923</v>
      </c>
      <c r="L105">
        <v>2265260</v>
      </c>
      <c r="M105">
        <v>2262340</v>
      </c>
      <c r="N105">
        <v>2259036</v>
      </c>
      <c r="O105">
        <v>2255233</v>
      </c>
      <c r="P105">
        <v>2250827</v>
      </c>
      <c r="Q105">
        <v>2245723</v>
      </c>
      <c r="R105">
        <v>2239842</v>
      </c>
      <c r="S105">
        <v>2233115</v>
      </c>
      <c r="T105">
        <v>2225482</v>
      </c>
      <c r="U105">
        <v>2216899</v>
      </c>
      <c r="V105">
        <v>2207330</v>
      </c>
      <c r="W105">
        <v>2196753</v>
      </c>
      <c r="X105">
        <v>2185155</v>
      </c>
      <c r="Y105">
        <v>2172539</v>
      </c>
      <c r="Z105">
        <v>2158914</v>
      </c>
      <c r="AA105">
        <v>2144306</v>
      </c>
      <c r="AB105">
        <v>2128748</v>
      </c>
      <c r="AC105">
        <v>2112287</v>
      </c>
      <c r="AD105">
        <v>2094983</v>
      </c>
      <c r="AE105">
        <v>2076904</v>
      </c>
      <c r="AF105">
        <v>2058133</v>
      </c>
      <c r="AG105">
        <v>2038762</v>
      </c>
      <c r="AH105">
        <v>2018895</v>
      </c>
      <c r="AI105">
        <v>1998651</v>
      </c>
      <c r="AJ105">
        <v>1978156</v>
      </c>
      <c r="AK105">
        <v>1957550</v>
      </c>
      <c r="AL105">
        <v>1936984</v>
      </c>
      <c r="AM105">
        <v>1916621</v>
      </c>
      <c r="AN105">
        <v>1896635</v>
      </c>
      <c r="AO105">
        <v>1877213</v>
      </c>
      <c r="AP105">
        <v>1858551</v>
      </c>
      <c r="AQ105">
        <v>1840860</v>
      </c>
      <c r="AR105">
        <v>1824360</v>
      </c>
      <c r="AS105">
        <v>1809284</v>
      </c>
      <c r="AT105">
        <v>1795875</v>
      </c>
      <c r="AU105">
        <v>1784390</v>
      </c>
      <c r="AV105">
        <v>1775095</v>
      </c>
    </row>
    <row r="106" spans="1:48">
      <c r="A106" t="s">
        <v>401</v>
      </c>
      <c r="B106" t="s">
        <v>402</v>
      </c>
      <c r="C106" t="s">
        <v>358</v>
      </c>
      <c r="D106" s="37">
        <v>1157291.45119848</v>
      </c>
      <c r="E106" s="37">
        <v>1160989.99505944</v>
      </c>
      <c r="F106" s="37">
        <v>1163937.93407933</v>
      </c>
      <c r="G106" s="37">
        <v>1152761</v>
      </c>
      <c r="H106">
        <v>1157664</v>
      </c>
      <c r="I106">
        <v>1161088</v>
      </c>
      <c r="J106">
        <v>1163132</v>
      </c>
      <c r="K106">
        <v>1163891</v>
      </c>
      <c r="L106">
        <v>1163456</v>
      </c>
      <c r="M106">
        <v>1161916</v>
      </c>
      <c r="N106">
        <v>1159354</v>
      </c>
      <c r="O106">
        <v>1155854</v>
      </c>
      <c r="P106">
        <v>1151492</v>
      </c>
      <c r="Q106">
        <v>1146345</v>
      </c>
      <c r="R106">
        <v>1140483</v>
      </c>
      <c r="S106">
        <v>1133975</v>
      </c>
      <c r="T106">
        <v>1126887</v>
      </c>
      <c r="U106">
        <v>1119279</v>
      </c>
      <c r="V106">
        <v>1111210</v>
      </c>
      <c r="W106">
        <v>1102736</v>
      </c>
      <c r="X106">
        <v>1093908</v>
      </c>
      <c r="Y106">
        <v>1084775</v>
      </c>
      <c r="Z106">
        <v>1075382</v>
      </c>
      <c r="AA106">
        <v>1065770</v>
      </c>
      <c r="AB106">
        <v>1055979</v>
      </c>
      <c r="AC106">
        <v>1046044</v>
      </c>
      <c r="AD106">
        <v>1035997</v>
      </c>
      <c r="AE106">
        <v>1025867</v>
      </c>
      <c r="AF106">
        <v>1015678</v>
      </c>
      <c r="AG106">
        <v>1005453</v>
      </c>
      <c r="AH106">
        <v>995211</v>
      </c>
      <c r="AI106">
        <v>984968</v>
      </c>
      <c r="AJ106">
        <v>974735</v>
      </c>
      <c r="AK106">
        <v>964521</v>
      </c>
      <c r="AL106">
        <v>954332</v>
      </c>
      <c r="AM106">
        <v>944171</v>
      </c>
      <c r="AN106">
        <v>934035</v>
      </c>
      <c r="AO106">
        <v>923922</v>
      </c>
      <c r="AP106">
        <v>913822</v>
      </c>
      <c r="AQ106">
        <v>903726</v>
      </c>
      <c r="AR106">
        <v>893619</v>
      </c>
      <c r="AS106">
        <v>883483</v>
      </c>
      <c r="AT106">
        <v>873298</v>
      </c>
      <c r="AU106">
        <v>863039</v>
      </c>
      <c r="AV106">
        <v>852679</v>
      </c>
    </row>
    <row r="107" spans="1:48">
      <c r="A107" t="s">
        <v>403</v>
      </c>
      <c r="B107" t="s">
        <v>404</v>
      </c>
      <c r="C107" t="s">
        <v>358</v>
      </c>
      <c r="D107" s="37">
        <v>6195562.41553802</v>
      </c>
      <c r="E107" s="37">
        <v>6219593.51427584</v>
      </c>
      <c r="F107" s="37">
        <v>6240161.1631399</v>
      </c>
      <c r="G107" s="37">
        <v>6596023</v>
      </c>
      <c r="H107">
        <v>6622096</v>
      </c>
      <c r="I107">
        <v>6645461</v>
      </c>
      <c r="J107">
        <v>6666078</v>
      </c>
      <c r="K107">
        <v>6683916</v>
      </c>
      <c r="L107">
        <v>6698947</v>
      </c>
      <c r="M107">
        <v>6711155</v>
      </c>
      <c r="N107">
        <v>6720528</v>
      </c>
      <c r="O107">
        <v>6727061</v>
      </c>
      <c r="P107">
        <v>6730759</v>
      </c>
      <c r="Q107">
        <v>6731631</v>
      </c>
      <c r="R107">
        <v>6729695</v>
      </c>
      <c r="S107">
        <v>6724975</v>
      </c>
      <c r="T107">
        <v>6717504</v>
      </c>
      <c r="U107">
        <v>6707319</v>
      </c>
      <c r="V107">
        <v>6694468</v>
      </c>
      <c r="W107">
        <v>6679003</v>
      </c>
      <c r="X107">
        <v>6660985</v>
      </c>
      <c r="Y107">
        <v>6640481</v>
      </c>
      <c r="Z107">
        <v>6617566</v>
      </c>
      <c r="AA107">
        <v>6592322</v>
      </c>
      <c r="AB107">
        <v>6564837</v>
      </c>
      <c r="AC107">
        <v>6535208</v>
      </c>
      <c r="AD107">
        <v>6503537</v>
      </c>
      <c r="AE107">
        <v>6469936</v>
      </c>
      <c r="AF107">
        <v>6434522</v>
      </c>
      <c r="AG107">
        <v>6397419</v>
      </c>
      <c r="AH107">
        <v>6358760</v>
      </c>
      <c r="AI107">
        <v>6318683</v>
      </c>
      <c r="AJ107">
        <v>6277335</v>
      </c>
      <c r="AK107">
        <v>6234868</v>
      </c>
      <c r="AL107">
        <v>6191443</v>
      </c>
      <c r="AM107">
        <v>6147229</v>
      </c>
      <c r="AN107">
        <v>6102398</v>
      </c>
      <c r="AO107">
        <v>6057134</v>
      </c>
      <c r="AP107">
        <v>6011626</v>
      </c>
      <c r="AQ107">
        <v>5966069</v>
      </c>
      <c r="AR107">
        <v>5920666</v>
      </c>
      <c r="AS107">
        <v>5875630</v>
      </c>
      <c r="AT107">
        <v>5831176</v>
      </c>
      <c r="AU107">
        <v>5787530</v>
      </c>
      <c r="AV107">
        <v>5744923</v>
      </c>
    </row>
    <row r="108" spans="1:48">
      <c r="A108" t="s">
        <v>405</v>
      </c>
      <c r="B108" t="s">
        <v>406</v>
      </c>
      <c r="C108" t="s">
        <v>358</v>
      </c>
      <c r="D108" s="37">
        <v>2158988.85569551</v>
      </c>
      <c r="E108" s="37">
        <v>2161584.95936809</v>
      </c>
      <c r="F108" s="37">
        <v>2163246.41485325</v>
      </c>
      <c r="G108" s="37">
        <v>2507198</v>
      </c>
      <c r="H108">
        <v>2507008</v>
      </c>
      <c r="I108">
        <v>2507313</v>
      </c>
      <c r="J108">
        <v>2507928</v>
      </c>
      <c r="K108">
        <v>2508675</v>
      </c>
      <c r="L108">
        <v>2509390</v>
      </c>
      <c r="M108">
        <v>2509922</v>
      </c>
      <c r="N108">
        <v>2510129</v>
      </c>
      <c r="O108">
        <v>2509881</v>
      </c>
      <c r="P108">
        <v>2509062</v>
      </c>
      <c r="Q108">
        <v>2507565</v>
      </c>
      <c r="R108">
        <v>2505297</v>
      </c>
      <c r="S108">
        <v>2502175</v>
      </c>
      <c r="T108">
        <v>2498128</v>
      </c>
      <c r="U108">
        <v>2493097</v>
      </c>
      <c r="V108">
        <v>2487034</v>
      </c>
      <c r="W108">
        <v>2479905</v>
      </c>
      <c r="X108">
        <v>2471684</v>
      </c>
      <c r="Y108">
        <v>2462360</v>
      </c>
      <c r="Z108">
        <v>2451931</v>
      </c>
      <c r="AA108">
        <v>2440409</v>
      </c>
      <c r="AB108">
        <v>2427817</v>
      </c>
      <c r="AC108">
        <v>2414188</v>
      </c>
      <c r="AD108">
        <v>2399570</v>
      </c>
      <c r="AE108">
        <v>2384018</v>
      </c>
      <c r="AF108">
        <v>2367604</v>
      </c>
      <c r="AG108">
        <v>2350407</v>
      </c>
      <c r="AH108">
        <v>2332522</v>
      </c>
      <c r="AI108">
        <v>2314051</v>
      </c>
      <c r="AJ108">
        <v>2295112</v>
      </c>
      <c r="AK108">
        <v>2275832</v>
      </c>
      <c r="AL108">
        <v>2256350</v>
      </c>
      <c r="AM108">
        <v>2236818</v>
      </c>
      <c r="AN108">
        <v>2217399</v>
      </c>
      <c r="AO108">
        <v>2198267</v>
      </c>
      <c r="AP108">
        <v>2179608</v>
      </c>
      <c r="AQ108">
        <v>2161621</v>
      </c>
      <c r="AR108">
        <v>2144514</v>
      </c>
      <c r="AS108">
        <v>2128509</v>
      </c>
      <c r="AT108">
        <v>2113839</v>
      </c>
      <c r="AU108">
        <v>2100749</v>
      </c>
      <c r="AV108">
        <v>2089495</v>
      </c>
    </row>
    <row r="109" spans="1:48">
      <c r="A109" t="s">
        <v>407</v>
      </c>
      <c r="B109" t="s">
        <v>408</v>
      </c>
      <c r="C109" t="s">
        <v>358</v>
      </c>
      <c r="D109" s="37">
        <v>7816911.64434611</v>
      </c>
      <c r="E109" s="37">
        <v>7870990.75888235</v>
      </c>
      <c r="F109" s="37">
        <v>7921542.44841128</v>
      </c>
      <c r="G109" s="37">
        <v>9271653</v>
      </c>
      <c r="H109">
        <v>9368926</v>
      </c>
      <c r="I109">
        <v>9455032</v>
      </c>
      <c r="J109">
        <v>9530578</v>
      </c>
      <c r="K109">
        <v>9596154</v>
      </c>
      <c r="L109">
        <v>9652335</v>
      </c>
      <c r="M109">
        <v>9699677</v>
      </c>
      <c r="N109">
        <v>9738719</v>
      </c>
      <c r="O109">
        <v>9769983</v>
      </c>
      <c r="P109">
        <v>9793975</v>
      </c>
      <c r="Q109">
        <v>9811183</v>
      </c>
      <c r="R109">
        <v>9822076</v>
      </c>
      <c r="S109">
        <v>9827110</v>
      </c>
      <c r="T109">
        <v>9826720</v>
      </c>
      <c r="U109">
        <v>9821327</v>
      </c>
      <c r="V109">
        <v>9811331</v>
      </c>
      <c r="W109">
        <v>9797119</v>
      </c>
      <c r="X109">
        <v>9779059</v>
      </c>
      <c r="Y109">
        <v>9757501</v>
      </c>
      <c r="Z109">
        <v>9732780</v>
      </c>
      <c r="AA109">
        <v>9705211</v>
      </c>
      <c r="AB109">
        <v>9675095</v>
      </c>
      <c r="AC109">
        <v>9642714</v>
      </c>
      <c r="AD109">
        <v>9608333</v>
      </c>
      <c r="AE109">
        <v>9572201</v>
      </c>
      <c r="AF109">
        <v>9534547</v>
      </c>
      <c r="AG109">
        <v>9495587</v>
      </c>
      <c r="AH109">
        <v>9455517</v>
      </c>
      <c r="AI109">
        <v>9414517</v>
      </c>
      <c r="AJ109">
        <v>9372749</v>
      </c>
      <c r="AK109">
        <v>9330358</v>
      </c>
      <c r="AL109">
        <v>9287473</v>
      </c>
      <c r="AM109">
        <v>9244205</v>
      </c>
      <c r="AN109">
        <v>9200648</v>
      </c>
      <c r="AO109">
        <v>9156878</v>
      </c>
      <c r="AP109">
        <v>9112956</v>
      </c>
      <c r="AQ109">
        <v>9068924</v>
      </c>
      <c r="AR109">
        <v>9024808</v>
      </c>
      <c r="AS109">
        <v>8980615</v>
      </c>
      <c r="AT109">
        <v>8936338</v>
      </c>
      <c r="AU109">
        <v>8891950</v>
      </c>
      <c r="AV109">
        <v>8847408</v>
      </c>
    </row>
    <row r="110" spans="1:48">
      <c r="A110" t="s">
        <v>409</v>
      </c>
      <c r="B110" t="s">
        <v>410</v>
      </c>
      <c r="C110" t="s">
        <v>358</v>
      </c>
      <c r="D110" s="37">
        <v>3553810.7812522</v>
      </c>
      <c r="E110" s="37">
        <v>3569697.06047263</v>
      </c>
      <c r="F110" s="37">
        <v>3584130.49392772</v>
      </c>
      <c r="G110" s="37">
        <v>3618272</v>
      </c>
      <c r="H110">
        <v>3644010</v>
      </c>
      <c r="I110">
        <v>3666232</v>
      </c>
      <c r="J110">
        <v>3685073</v>
      </c>
      <c r="K110">
        <v>3700668</v>
      </c>
      <c r="L110">
        <v>3713150</v>
      </c>
      <c r="M110">
        <v>3722653</v>
      </c>
      <c r="N110">
        <v>3729310</v>
      </c>
      <c r="O110">
        <v>3733250</v>
      </c>
      <c r="P110">
        <v>3734606</v>
      </c>
      <c r="Q110">
        <v>3733506</v>
      </c>
      <c r="R110">
        <v>3730081</v>
      </c>
      <c r="S110">
        <v>3724458</v>
      </c>
      <c r="T110">
        <v>3716765</v>
      </c>
      <c r="U110">
        <v>3707128</v>
      </c>
      <c r="V110">
        <v>3695674</v>
      </c>
      <c r="W110">
        <v>3682528</v>
      </c>
      <c r="X110">
        <v>3667814</v>
      </c>
      <c r="Y110">
        <v>3651656</v>
      </c>
      <c r="Z110">
        <v>3634177</v>
      </c>
      <c r="AA110">
        <v>3615499</v>
      </c>
      <c r="AB110">
        <v>3595743</v>
      </c>
      <c r="AC110">
        <v>3575029</v>
      </c>
      <c r="AD110">
        <v>3553478</v>
      </c>
      <c r="AE110">
        <v>3531208</v>
      </c>
      <c r="AF110">
        <v>3508337</v>
      </c>
      <c r="AG110">
        <v>3484984</v>
      </c>
      <c r="AH110">
        <v>3461263</v>
      </c>
      <c r="AI110">
        <v>3437292</v>
      </c>
      <c r="AJ110">
        <v>3413186</v>
      </c>
      <c r="AK110">
        <v>3389057</v>
      </c>
      <c r="AL110">
        <v>3365021</v>
      </c>
      <c r="AM110">
        <v>3341190</v>
      </c>
      <c r="AN110">
        <v>3317675</v>
      </c>
      <c r="AO110">
        <v>3294587</v>
      </c>
      <c r="AP110">
        <v>3272038</v>
      </c>
      <c r="AQ110">
        <v>3250137</v>
      </c>
      <c r="AR110">
        <v>3228992</v>
      </c>
      <c r="AS110">
        <v>3208711</v>
      </c>
      <c r="AT110">
        <v>3189402</v>
      </c>
      <c r="AU110">
        <v>3171171</v>
      </c>
      <c r="AV110">
        <v>3154123</v>
      </c>
    </row>
    <row r="111" spans="1:48">
      <c r="A111" t="s">
        <v>411</v>
      </c>
      <c r="B111" t="s">
        <v>412</v>
      </c>
      <c r="C111" t="s">
        <v>358</v>
      </c>
      <c r="D111" s="37">
        <v>3270885.72966474</v>
      </c>
      <c r="E111" s="37">
        <v>3285195.89065507</v>
      </c>
      <c r="F111" s="37">
        <v>3298422.77520363</v>
      </c>
      <c r="G111" s="37">
        <v>3277334</v>
      </c>
      <c r="H111">
        <v>3295954</v>
      </c>
      <c r="I111">
        <v>3314217</v>
      </c>
      <c r="J111">
        <v>3331947</v>
      </c>
      <c r="K111">
        <v>3348979</v>
      </c>
      <c r="L111">
        <v>3365162</v>
      </c>
      <c r="M111">
        <v>3380358</v>
      </c>
      <c r="N111">
        <v>3394441</v>
      </c>
      <c r="O111">
        <v>3407298</v>
      </c>
      <c r="P111">
        <v>3418830</v>
      </c>
      <c r="Q111">
        <v>3428950</v>
      </c>
      <c r="R111">
        <v>3437583</v>
      </c>
      <c r="S111">
        <v>3444667</v>
      </c>
      <c r="T111">
        <v>3450154</v>
      </c>
      <c r="U111">
        <v>3454009</v>
      </c>
      <c r="V111">
        <v>3456207</v>
      </c>
      <c r="W111">
        <v>3456739</v>
      </c>
      <c r="X111">
        <v>3455607</v>
      </c>
      <c r="Y111">
        <v>3452827</v>
      </c>
      <c r="Z111">
        <v>3448427</v>
      </c>
      <c r="AA111">
        <v>3442447</v>
      </c>
      <c r="AB111">
        <v>3434942</v>
      </c>
      <c r="AC111">
        <v>3425978</v>
      </c>
      <c r="AD111">
        <v>3415635</v>
      </c>
      <c r="AE111">
        <v>3404004</v>
      </c>
      <c r="AF111">
        <v>3391192</v>
      </c>
      <c r="AG111">
        <v>3377314</v>
      </c>
      <c r="AH111">
        <v>3362503</v>
      </c>
      <c r="AI111">
        <v>3346902</v>
      </c>
      <c r="AJ111">
        <v>3330666</v>
      </c>
      <c r="AK111">
        <v>3313966</v>
      </c>
      <c r="AL111">
        <v>3296983</v>
      </c>
      <c r="AM111">
        <v>3279911</v>
      </c>
      <c r="AN111">
        <v>3262958</v>
      </c>
      <c r="AO111">
        <v>3246344</v>
      </c>
      <c r="AP111">
        <v>3230303</v>
      </c>
      <c r="AQ111">
        <v>3215081</v>
      </c>
      <c r="AR111">
        <v>3200936</v>
      </c>
      <c r="AS111">
        <v>3188139</v>
      </c>
      <c r="AT111">
        <v>3176976</v>
      </c>
      <c r="AU111">
        <v>3167742</v>
      </c>
      <c r="AV111">
        <v>3160749</v>
      </c>
    </row>
    <row r="112" spans="1:48">
      <c r="A112" t="s">
        <v>413</v>
      </c>
      <c r="B112" t="s">
        <v>414</v>
      </c>
      <c r="C112" t="s">
        <v>358</v>
      </c>
      <c r="D112" s="37">
        <v>2428399.83987989</v>
      </c>
      <c r="E112" s="37">
        <v>2441171.02849386</v>
      </c>
      <c r="F112" s="37">
        <v>2452856.10631783</v>
      </c>
      <c r="G112" s="37">
        <v>3018480</v>
      </c>
      <c r="H112">
        <v>3033293</v>
      </c>
      <c r="I112">
        <v>3046858</v>
      </c>
      <c r="J112">
        <v>3059116</v>
      </c>
      <c r="K112">
        <v>3070017</v>
      </c>
      <c r="L112">
        <v>3079518</v>
      </c>
      <c r="M112">
        <v>3087581</v>
      </c>
      <c r="N112">
        <v>3094177</v>
      </c>
      <c r="O112">
        <v>3099282</v>
      </c>
      <c r="P112">
        <v>3102878</v>
      </c>
      <c r="Q112">
        <v>3104955</v>
      </c>
      <c r="R112">
        <v>3105510</v>
      </c>
      <c r="S112">
        <v>3104546</v>
      </c>
      <c r="T112">
        <v>3102073</v>
      </c>
      <c r="U112">
        <v>3098106</v>
      </c>
      <c r="V112">
        <v>3092670</v>
      </c>
      <c r="W112">
        <v>3085794</v>
      </c>
      <c r="X112">
        <v>3077514</v>
      </c>
      <c r="Y112">
        <v>3067875</v>
      </c>
      <c r="Z112">
        <v>3056925</v>
      </c>
      <c r="AA112">
        <v>3044721</v>
      </c>
      <c r="AB112">
        <v>3031327</v>
      </c>
      <c r="AC112">
        <v>3016813</v>
      </c>
      <c r="AD112">
        <v>3001254</v>
      </c>
      <c r="AE112">
        <v>2984736</v>
      </c>
      <c r="AF112">
        <v>2967346</v>
      </c>
      <c r="AG112">
        <v>2949183</v>
      </c>
      <c r="AH112">
        <v>2930350</v>
      </c>
      <c r="AI112">
        <v>2910956</v>
      </c>
      <c r="AJ112">
        <v>2891119</v>
      </c>
      <c r="AK112">
        <v>2870962</v>
      </c>
      <c r="AL112">
        <v>2850614</v>
      </c>
      <c r="AM112">
        <v>2830214</v>
      </c>
      <c r="AN112">
        <v>2809904</v>
      </c>
      <c r="AO112">
        <v>2789835</v>
      </c>
      <c r="AP112">
        <v>2770163</v>
      </c>
      <c r="AQ112">
        <v>2751052</v>
      </c>
      <c r="AR112">
        <v>2732673</v>
      </c>
      <c r="AS112">
        <v>2715202</v>
      </c>
      <c r="AT112">
        <v>2698823</v>
      </c>
      <c r="AU112">
        <v>2683726</v>
      </c>
      <c r="AV112">
        <v>2670108</v>
      </c>
    </row>
    <row r="113" spans="1:48">
      <c r="A113" t="s">
        <v>415</v>
      </c>
      <c r="B113" t="s">
        <v>416</v>
      </c>
      <c r="C113" t="s">
        <v>358</v>
      </c>
      <c r="D113" s="37">
        <v>2366897.86210276</v>
      </c>
      <c r="E113" s="37">
        <v>2375807.97610369</v>
      </c>
      <c r="F113" s="37">
        <v>2383857.07175469</v>
      </c>
      <c r="G113" s="37">
        <v>2146333</v>
      </c>
      <c r="H113">
        <v>2159664</v>
      </c>
      <c r="I113">
        <v>2171235</v>
      </c>
      <c r="J113">
        <v>2181086</v>
      </c>
      <c r="K113">
        <v>2189257</v>
      </c>
      <c r="L113">
        <v>2195792</v>
      </c>
      <c r="M113">
        <v>2200736</v>
      </c>
      <c r="N113">
        <v>2204134</v>
      </c>
      <c r="O113">
        <v>2206034</v>
      </c>
      <c r="P113">
        <v>2206487</v>
      </c>
      <c r="Q113">
        <v>2205543</v>
      </c>
      <c r="R113">
        <v>2203255</v>
      </c>
      <c r="S113">
        <v>2199679</v>
      </c>
      <c r="T113">
        <v>2194870</v>
      </c>
      <c r="U113">
        <v>2188887</v>
      </c>
      <c r="V113">
        <v>2181789</v>
      </c>
      <c r="W113">
        <v>2173637</v>
      </c>
      <c r="X113">
        <v>2164495</v>
      </c>
      <c r="Y113">
        <v>2154428</v>
      </c>
      <c r="Z113">
        <v>2143501</v>
      </c>
      <c r="AA113">
        <v>2131783</v>
      </c>
      <c r="AB113">
        <v>2119343</v>
      </c>
      <c r="AC113">
        <v>2106254</v>
      </c>
      <c r="AD113">
        <v>2092587</v>
      </c>
      <c r="AE113">
        <v>2078419</v>
      </c>
      <c r="AF113">
        <v>2063824</v>
      </c>
      <c r="AG113">
        <v>2048882</v>
      </c>
      <c r="AH113">
        <v>2033673</v>
      </c>
      <c r="AI113">
        <v>2018277</v>
      </c>
      <c r="AJ113">
        <v>2002778</v>
      </c>
      <c r="AK113">
        <v>1987261</v>
      </c>
      <c r="AL113">
        <v>1971813</v>
      </c>
      <c r="AM113">
        <v>1956520</v>
      </c>
      <c r="AN113">
        <v>1941475</v>
      </c>
      <c r="AO113">
        <v>1926767</v>
      </c>
      <c r="AP113">
        <v>1912490</v>
      </c>
      <c r="AQ113">
        <v>1898739</v>
      </c>
      <c r="AR113">
        <v>1885611</v>
      </c>
      <c r="AS113">
        <v>1873204</v>
      </c>
      <c r="AT113">
        <v>1861617</v>
      </c>
      <c r="AU113">
        <v>1850953</v>
      </c>
      <c r="AV113">
        <v>1841315</v>
      </c>
    </row>
    <row r="114" spans="1:48">
      <c r="A114" t="s">
        <v>417</v>
      </c>
      <c r="B114" t="s">
        <v>418</v>
      </c>
      <c r="C114" t="s">
        <v>358</v>
      </c>
      <c r="D114" s="37">
        <v>2198997.01684447</v>
      </c>
      <c r="E114" s="37">
        <v>2212422.76162541</v>
      </c>
      <c r="F114" s="37">
        <v>2225223.32624615</v>
      </c>
      <c r="G114" s="37">
        <v>1951655</v>
      </c>
      <c r="H114">
        <v>1970033</v>
      </c>
      <c r="I114">
        <v>1987148</v>
      </c>
      <c r="J114">
        <v>2002990</v>
      </c>
      <c r="K114">
        <v>2017557</v>
      </c>
      <c r="L114">
        <v>2030848</v>
      </c>
      <c r="M114">
        <v>2042864</v>
      </c>
      <c r="N114">
        <v>2053611</v>
      </c>
      <c r="O114">
        <v>2063097</v>
      </c>
      <c r="P114">
        <v>2071335</v>
      </c>
      <c r="Q114">
        <v>2078339</v>
      </c>
      <c r="R114">
        <v>2084128</v>
      </c>
      <c r="S114">
        <v>2088722</v>
      </c>
      <c r="T114">
        <v>2092146</v>
      </c>
      <c r="U114">
        <v>2094429</v>
      </c>
      <c r="V114">
        <v>2095599</v>
      </c>
      <c r="W114">
        <v>2095692</v>
      </c>
      <c r="X114">
        <v>2094745</v>
      </c>
      <c r="Y114">
        <v>2092798</v>
      </c>
      <c r="Z114">
        <v>2089894</v>
      </c>
      <c r="AA114">
        <v>2086080</v>
      </c>
      <c r="AB114">
        <v>2081406</v>
      </c>
      <c r="AC114">
        <v>2075925</v>
      </c>
      <c r="AD114">
        <v>2069694</v>
      </c>
      <c r="AE114">
        <v>2062771</v>
      </c>
      <c r="AF114">
        <v>2055219</v>
      </c>
      <c r="AG114">
        <v>2047103</v>
      </c>
      <c r="AH114">
        <v>2038494</v>
      </c>
      <c r="AI114">
        <v>2029462</v>
      </c>
      <c r="AJ114">
        <v>2020083</v>
      </c>
      <c r="AK114">
        <v>2010435</v>
      </c>
      <c r="AL114">
        <v>2000600</v>
      </c>
      <c r="AM114">
        <v>1990663</v>
      </c>
      <c r="AN114">
        <v>1980712</v>
      </c>
      <c r="AO114">
        <v>1970837</v>
      </c>
      <c r="AP114">
        <v>1961133</v>
      </c>
      <c r="AQ114">
        <v>1951698</v>
      </c>
      <c r="AR114">
        <v>1942632</v>
      </c>
      <c r="AS114">
        <v>1934038</v>
      </c>
      <c r="AT114">
        <v>1926025</v>
      </c>
      <c r="AU114">
        <v>1918701</v>
      </c>
      <c r="AV114">
        <v>1912181</v>
      </c>
    </row>
    <row r="115" spans="1:48">
      <c r="A115" t="s">
        <v>419</v>
      </c>
      <c r="B115" t="s">
        <v>420</v>
      </c>
      <c r="C115" t="s">
        <v>358</v>
      </c>
      <c r="D115" s="37">
        <v>746100.976128002</v>
      </c>
      <c r="E115" s="37">
        <v>748860.153236345</v>
      </c>
      <c r="F115" s="37">
        <v>751270.790858531</v>
      </c>
      <c r="G115" s="37">
        <v>1303825</v>
      </c>
      <c r="H115">
        <v>1311669</v>
      </c>
      <c r="I115">
        <v>1318830</v>
      </c>
      <c r="J115">
        <v>1325286</v>
      </c>
      <c r="K115">
        <v>1331016</v>
      </c>
      <c r="L115">
        <v>1336002</v>
      </c>
      <c r="M115">
        <v>1340232</v>
      </c>
      <c r="N115">
        <v>1343694</v>
      </c>
      <c r="O115">
        <v>1346382</v>
      </c>
      <c r="P115">
        <v>1348291</v>
      </c>
      <c r="Q115">
        <v>1349420</v>
      </c>
      <c r="R115">
        <v>1349773</v>
      </c>
      <c r="S115">
        <v>1349355</v>
      </c>
      <c r="T115">
        <v>1348176</v>
      </c>
      <c r="U115">
        <v>1346247</v>
      </c>
      <c r="V115">
        <v>1343586</v>
      </c>
      <c r="W115">
        <v>1340209</v>
      </c>
      <c r="X115">
        <v>1336141</v>
      </c>
      <c r="Y115">
        <v>1331405</v>
      </c>
      <c r="Z115">
        <v>1326033</v>
      </c>
      <c r="AA115">
        <v>1320054</v>
      </c>
      <c r="AB115">
        <v>1313505</v>
      </c>
      <c r="AC115">
        <v>1306425</v>
      </c>
      <c r="AD115">
        <v>1298854</v>
      </c>
      <c r="AE115">
        <v>1290840</v>
      </c>
      <c r="AF115">
        <v>1282429</v>
      </c>
      <c r="AG115">
        <v>1273674</v>
      </c>
      <c r="AH115">
        <v>1264630</v>
      </c>
      <c r="AI115">
        <v>1255355</v>
      </c>
      <c r="AJ115">
        <v>1245911</v>
      </c>
      <c r="AK115">
        <v>1236363</v>
      </c>
      <c r="AL115">
        <v>1226778</v>
      </c>
      <c r="AM115">
        <v>1217229</v>
      </c>
      <c r="AN115">
        <v>1207790</v>
      </c>
      <c r="AO115">
        <v>1198538</v>
      </c>
      <c r="AP115">
        <v>1189556</v>
      </c>
      <c r="AQ115">
        <v>1180927</v>
      </c>
      <c r="AR115">
        <v>1172740</v>
      </c>
      <c r="AS115">
        <v>1165086</v>
      </c>
      <c r="AT115">
        <v>1158058</v>
      </c>
      <c r="AU115">
        <v>1151755</v>
      </c>
      <c r="AV115">
        <v>1146278</v>
      </c>
    </row>
    <row r="116" spans="1:48">
      <c r="A116" t="s">
        <v>421</v>
      </c>
      <c r="B116" t="s">
        <v>422</v>
      </c>
      <c r="C116" t="s">
        <v>358</v>
      </c>
      <c r="D116" s="37">
        <v>5452400.8958553</v>
      </c>
      <c r="E116" s="37">
        <v>5474495.67921142</v>
      </c>
      <c r="F116" s="37">
        <v>5495236.4784048</v>
      </c>
      <c r="G116" s="37">
        <v>4138619</v>
      </c>
      <c r="H116">
        <v>4164770</v>
      </c>
      <c r="I116">
        <v>4189023</v>
      </c>
      <c r="J116">
        <v>4211261</v>
      </c>
      <c r="K116">
        <v>4231377</v>
      </c>
      <c r="L116">
        <v>4249279</v>
      </c>
      <c r="M116">
        <v>4264889</v>
      </c>
      <c r="N116">
        <v>4278142</v>
      </c>
      <c r="O116">
        <v>4288985</v>
      </c>
      <c r="P116">
        <v>4297380</v>
      </c>
      <c r="Q116">
        <v>4303301</v>
      </c>
      <c r="R116">
        <v>4306736</v>
      </c>
      <c r="S116">
        <v>4307686</v>
      </c>
      <c r="T116">
        <v>4306165</v>
      </c>
      <c r="U116">
        <v>4302201</v>
      </c>
      <c r="V116">
        <v>4295834</v>
      </c>
      <c r="W116">
        <v>4287120</v>
      </c>
      <c r="X116">
        <v>4276126</v>
      </c>
      <c r="Y116">
        <v>4262932</v>
      </c>
      <c r="Z116">
        <v>4247633</v>
      </c>
      <c r="AA116">
        <v>4230337</v>
      </c>
      <c r="AB116">
        <v>4211162</v>
      </c>
      <c r="AC116">
        <v>4190245</v>
      </c>
      <c r="AD116">
        <v>4167732</v>
      </c>
      <c r="AE116">
        <v>4143784</v>
      </c>
      <c r="AF116">
        <v>4118574</v>
      </c>
      <c r="AG116">
        <v>4092290</v>
      </c>
      <c r="AH116">
        <v>4065132</v>
      </c>
      <c r="AI116">
        <v>4037315</v>
      </c>
      <c r="AJ116">
        <v>4009064</v>
      </c>
      <c r="AK116">
        <v>3980621</v>
      </c>
      <c r="AL116">
        <v>3952239</v>
      </c>
      <c r="AM116">
        <v>3924186</v>
      </c>
      <c r="AN116">
        <v>3896740</v>
      </c>
      <c r="AO116">
        <v>3870197</v>
      </c>
      <c r="AP116">
        <v>3844862</v>
      </c>
      <c r="AQ116">
        <v>3821056</v>
      </c>
      <c r="AR116">
        <v>3799112</v>
      </c>
      <c r="AS116">
        <v>3779377</v>
      </c>
      <c r="AT116">
        <v>3762211</v>
      </c>
      <c r="AU116">
        <v>3747988</v>
      </c>
      <c r="AV116">
        <v>3737093</v>
      </c>
    </row>
    <row r="117" spans="1:48">
      <c r="A117" t="s">
        <v>423</v>
      </c>
      <c r="B117" t="s">
        <v>424</v>
      </c>
      <c r="C117" t="s">
        <v>358</v>
      </c>
      <c r="D117" s="37">
        <v>1391548.81228337</v>
      </c>
      <c r="E117" s="37">
        <v>1395270.80847175</v>
      </c>
      <c r="F117" s="37">
        <v>1398383.85974323</v>
      </c>
      <c r="G117" s="37">
        <v>1325198</v>
      </c>
      <c r="H117">
        <v>1330388</v>
      </c>
      <c r="I117">
        <v>1334701</v>
      </c>
      <c r="J117">
        <v>1338141</v>
      </c>
      <c r="K117">
        <v>1340713</v>
      </c>
      <c r="L117">
        <v>1342425</v>
      </c>
      <c r="M117">
        <v>1343287</v>
      </c>
      <c r="N117">
        <v>1343310</v>
      </c>
      <c r="O117">
        <v>1342509</v>
      </c>
      <c r="P117">
        <v>1340899</v>
      </c>
      <c r="Q117">
        <v>1338500</v>
      </c>
      <c r="R117">
        <v>1335330</v>
      </c>
      <c r="S117">
        <v>1331412</v>
      </c>
      <c r="T117">
        <v>1326770</v>
      </c>
      <c r="U117">
        <v>1321432</v>
      </c>
      <c r="V117">
        <v>1315425</v>
      </c>
      <c r="W117">
        <v>1308781</v>
      </c>
      <c r="X117">
        <v>1301531</v>
      </c>
      <c r="Y117">
        <v>1293712</v>
      </c>
      <c r="Z117">
        <v>1285359</v>
      </c>
      <c r="AA117">
        <v>1276512</v>
      </c>
      <c r="AB117">
        <v>1267212</v>
      </c>
      <c r="AC117">
        <v>1257501</v>
      </c>
      <c r="AD117">
        <v>1247427</v>
      </c>
      <c r="AE117">
        <v>1237035</v>
      </c>
      <c r="AF117">
        <v>1226375</v>
      </c>
      <c r="AG117">
        <v>1215499</v>
      </c>
      <c r="AH117">
        <v>1204460</v>
      </c>
      <c r="AI117">
        <v>1193315</v>
      </c>
      <c r="AJ117">
        <v>1182121</v>
      </c>
      <c r="AK117">
        <v>1170938</v>
      </c>
      <c r="AL117">
        <v>1159827</v>
      </c>
      <c r="AM117">
        <v>1148854</v>
      </c>
      <c r="AN117">
        <v>1138084</v>
      </c>
      <c r="AO117">
        <v>1127586</v>
      </c>
      <c r="AP117">
        <v>1117430</v>
      </c>
      <c r="AQ117">
        <v>1107688</v>
      </c>
      <c r="AR117">
        <v>1098435</v>
      </c>
      <c r="AS117">
        <v>1089748</v>
      </c>
      <c r="AT117">
        <v>1081705</v>
      </c>
      <c r="AU117">
        <v>1074388</v>
      </c>
      <c r="AV117">
        <v>1067878</v>
      </c>
    </row>
    <row r="118" spans="1:48">
      <c r="A118" t="s">
        <v>425</v>
      </c>
      <c r="B118" t="s">
        <v>426</v>
      </c>
      <c r="C118" t="s">
        <v>358</v>
      </c>
      <c r="D118" s="37">
        <v>4030265.15215873</v>
      </c>
      <c r="E118" s="37">
        <v>4044433.71049873</v>
      </c>
      <c r="F118" s="37">
        <v>4057711.47201027</v>
      </c>
      <c r="G118" s="37">
        <v>3964129</v>
      </c>
      <c r="H118">
        <v>3986497</v>
      </c>
      <c r="I118">
        <v>4007742</v>
      </c>
      <c r="J118">
        <v>4027674</v>
      </c>
      <c r="K118">
        <v>4046119</v>
      </c>
      <c r="L118">
        <v>4062920</v>
      </c>
      <c r="M118">
        <v>4077937</v>
      </c>
      <c r="N118">
        <v>4091044</v>
      </c>
      <c r="O118">
        <v>4102133</v>
      </c>
      <c r="P118">
        <v>4111112</v>
      </c>
      <c r="Q118">
        <v>4117905</v>
      </c>
      <c r="R118">
        <v>4122452</v>
      </c>
      <c r="S118">
        <v>4124710</v>
      </c>
      <c r="T118">
        <v>4124650</v>
      </c>
      <c r="U118">
        <v>4122263</v>
      </c>
      <c r="V118">
        <v>4117554</v>
      </c>
      <c r="W118">
        <v>4110543</v>
      </c>
      <c r="X118">
        <v>4101269</v>
      </c>
      <c r="Y118">
        <v>4089785</v>
      </c>
      <c r="Z118">
        <v>4076163</v>
      </c>
      <c r="AA118">
        <v>4060487</v>
      </c>
      <c r="AB118">
        <v>4042861</v>
      </c>
      <c r="AC118">
        <v>4023405</v>
      </c>
      <c r="AD118">
        <v>4002252</v>
      </c>
      <c r="AE118">
        <v>3979554</v>
      </c>
      <c r="AF118">
        <v>3955480</v>
      </c>
      <c r="AG118">
        <v>3930212</v>
      </c>
      <c r="AH118">
        <v>3903952</v>
      </c>
      <c r="AI118">
        <v>3876915</v>
      </c>
      <c r="AJ118">
        <v>3849334</v>
      </c>
      <c r="AK118">
        <v>3821459</v>
      </c>
      <c r="AL118">
        <v>3793553</v>
      </c>
      <c r="AM118">
        <v>3765899</v>
      </c>
      <c r="AN118">
        <v>3738795</v>
      </c>
      <c r="AO118">
        <v>3712553</v>
      </c>
      <c r="AP118">
        <v>3687504</v>
      </c>
      <c r="AQ118">
        <v>3663995</v>
      </c>
      <c r="AR118">
        <v>3642388</v>
      </c>
      <c r="AS118">
        <v>3623062</v>
      </c>
      <c r="AT118">
        <v>3606411</v>
      </c>
      <c r="AU118">
        <v>3592849</v>
      </c>
      <c r="AV118">
        <v>3582801</v>
      </c>
    </row>
    <row r="119" spans="1:48">
      <c r="A119" t="s">
        <v>427</v>
      </c>
      <c r="B119" t="s">
        <v>428</v>
      </c>
      <c r="C119" t="s">
        <v>358</v>
      </c>
      <c r="D119" s="37">
        <v>7834326.64310552</v>
      </c>
      <c r="E119" s="37">
        <v>7859466.58705117</v>
      </c>
      <c r="F119" s="37">
        <v>7882100.49692002</v>
      </c>
      <c r="G119" s="37">
        <v>8182583</v>
      </c>
      <c r="H119">
        <v>8199197</v>
      </c>
      <c r="I119">
        <v>8223024</v>
      </c>
      <c r="J119">
        <v>8252783</v>
      </c>
      <c r="K119">
        <v>8287260</v>
      </c>
      <c r="L119">
        <v>8325312</v>
      </c>
      <c r="M119">
        <v>8365867</v>
      </c>
      <c r="N119">
        <v>8407924</v>
      </c>
      <c r="O119">
        <v>8450550</v>
      </c>
      <c r="P119">
        <v>8492884</v>
      </c>
      <c r="Q119">
        <v>8534135</v>
      </c>
      <c r="R119">
        <v>8573582</v>
      </c>
      <c r="S119">
        <v>8610575</v>
      </c>
      <c r="T119">
        <v>8644532</v>
      </c>
      <c r="U119">
        <v>8674945</v>
      </c>
      <c r="V119">
        <v>8701374</v>
      </c>
      <c r="W119">
        <v>8723449</v>
      </c>
      <c r="X119">
        <v>8740870</v>
      </c>
      <c r="Y119">
        <v>8753411</v>
      </c>
      <c r="Z119">
        <v>8760911</v>
      </c>
      <c r="AA119">
        <v>8763282</v>
      </c>
      <c r="AB119">
        <v>8760507</v>
      </c>
      <c r="AC119">
        <v>8752639</v>
      </c>
      <c r="AD119">
        <v>8739799</v>
      </c>
      <c r="AE119">
        <v>8722180</v>
      </c>
      <c r="AF119">
        <v>8700047</v>
      </c>
      <c r="AG119">
        <v>8673732</v>
      </c>
      <c r="AH119">
        <v>8643639</v>
      </c>
      <c r="AI119">
        <v>8610243</v>
      </c>
      <c r="AJ119">
        <v>8574088</v>
      </c>
      <c r="AK119">
        <v>8535788</v>
      </c>
      <c r="AL119">
        <v>8496028</v>
      </c>
      <c r="AM119">
        <v>8455565</v>
      </c>
      <c r="AN119">
        <v>8415223</v>
      </c>
      <c r="AO119">
        <v>8375898</v>
      </c>
      <c r="AP119">
        <v>8338556</v>
      </c>
      <c r="AQ119">
        <v>8304235</v>
      </c>
      <c r="AR119">
        <v>8274040</v>
      </c>
      <c r="AS119">
        <v>8249149</v>
      </c>
      <c r="AT119">
        <v>8230809</v>
      </c>
      <c r="AU119">
        <v>8220338</v>
      </c>
      <c r="AV119">
        <v>8219123</v>
      </c>
    </row>
    <row r="120" spans="1:48">
      <c r="A120" t="s">
        <v>429</v>
      </c>
      <c r="B120" t="s">
        <v>430</v>
      </c>
      <c r="C120" t="s">
        <v>358</v>
      </c>
      <c r="D120" s="37">
        <v>5510900.25767605</v>
      </c>
      <c r="E120" s="37">
        <v>5534809.97896693</v>
      </c>
      <c r="F120" s="37">
        <v>5557654.4821844</v>
      </c>
      <c r="G120" s="37">
        <v>5291616</v>
      </c>
      <c r="H120">
        <v>5323684</v>
      </c>
      <c r="I120">
        <v>5356314</v>
      </c>
      <c r="J120">
        <v>5389072</v>
      </c>
      <c r="K120">
        <v>5421547</v>
      </c>
      <c r="L120">
        <v>5453362</v>
      </c>
      <c r="M120">
        <v>5484166</v>
      </c>
      <c r="N120">
        <v>5513636</v>
      </c>
      <c r="O120">
        <v>5541481</v>
      </c>
      <c r="P120">
        <v>5567435</v>
      </c>
      <c r="Q120">
        <v>5591262</v>
      </c>
      <c r="R120">
        <v>5612756</v>
      </c>
      <c r="S120">
        <v>5631738</v>
      </c>
      <c r="T120">
        <v>5648059</v>
      </c>
      <c r="U120">
        <v>5661596</v>
      </c>
      <c r="V120">
        <v>5672259</v>
      </c>
      <c r="W120">
        <v>5679983</v>
      </c>
      <c r="X120">
        <v>5684733</v>
      </c>
      <c r="Y120">
        <v>5686503</v>
      </c>
      <c r="Z120">
        <v>5685315</v>
      </c>
      <c r="AA120">
        <v>5681221</v>
      </c>
      <c r="AB120">
        <v>5674300</v>
      </c>
      <c r="AC120">
        <v>5664660</v>
      </c>
      <c r="AD120">
        <v>5652439</v>
      </c>
      <c r="AE120">
        <v>5637802</v>
      </c>
      <c r="AF120">
        <v>5620944</v>
      </c>
      <c r="AG120">
        <v>5602088</v>
      </c>
      <c r="AH120">
        <v>5581485</v>
      </c>
      <c r="AI120">
        <v>5559417</v>
      </c>
      <c r="AJ120">
        <v>5536192</v>
      </c>
      <c r="AK120">
        <v>5512149</v>
      </c>
      <c r="AL120">
        <v>5487653</v>
      </c>
      <c r="AM120">
        <v>5463101</v>
      </c>
      <c r="AN120">
        <v>5438915</v>
      </c>
      <c r="AO120">
        <v>5415549</v>
      </c>
      <c r="AP120">
        <v>5393483</v>
      </c>
      <c r="AQ120">
        <v>5373229</v>
      </c>
      <c r="AR120">
        <v>5355324</v>
      </c>
      <c r="AS120">
        <v>5340335</v>
      </c>
      <c r="AT120">
        <v>5328860</v>
      </c>
      <c r="AU120">
        <v>5321521</v>
      </c>
      <c r="AV120">
        <v>5318974</v>
      </c>
    </row>
    <row r="121" spans="1:48">
      <c r="A121" t="s">
        <v>431</v>
      </c>
      <c r="B121" t="s">
        <v>432</v>
      </c>
      <c r="C121" t="s">
        <v>358</v>
      </c>
      <c r="D121" s="37">
        <v>5775351.35204632</v>
      </c>
      <c r="E121" s="37">
        <v>5794840.27822789</v>
      </c>
      <c r="F121" s="37">
        <v>5812062.96058018</v>
      </c>
      <c r="G121" s="37">
        <v>4372321</v>
      </c>
      <c r="H121">
        <v>4393083</v>
      </c>
      <c r="I121">
        <v>4413087</v>
      </c>
      <c r="J121">
        <v>4432118</v>
      </c>
      <c r="K121">
        <v>4449977</v>
      </c>
      <c r="L121">
        <v>4466481</v>
      </c>
      <c r="M121">
        <v>4481464</v>
      </c>
      <c r="N121">
        <v>4494778</v>
      </c>
      <c r="O121">
        <v>4506290</v>
      </c>
      <c r="P121">
        <v>4515887</v>
      </c>
      <c r="Q121">
        <v>4523470</v>
      </c>
      <c r="R121">
        <v>4528957</v>
      </c>
      <c r="S121">
        <v>4532286</v>
      </c>
      <c r="T121">
        <v>4533408</v>
      </c>
      <c r="U121">
        <v>4532294</v>
      </c>
      <c r="V121">
        <v>4528930</v>
      </c>
      <c r="W121">
        <v>4523319</v>
      </c>
      <c r="X121">
        <v>4515482</v>
      </c>
      <c r="Y121">
        <v>4505455</v>
      </c>
      <c r="Z121">
        <v>4493295</v>
      </c>
      <c r="AA121">
        <v>4479070</v>
      </c>
      <c r="AB121">
        <v>4462870</v>
      </c>
      <c r="AC121">
        <v>4444799</v>
      </c>
      <c r="AD121">
        <v>4424980</v>
      </c>
      <c r="AE121">
        <v>4403550</v>
      </c>
      <c r="AF121">
        <v>4380666</v>
      </c>
      <c r="AG121">
        <v>4356500</v>
      </c>
      <c r="AH121">
        <v>4331242</v>
      </c>
      <c r="AI121">
        <v>4305097</v>
      </c>
      <c r="AJ121">
        <v>4278290</v>
      </c>
      <c r="AK121">
        <v>4251060</v>
      </c>
      <c r="AL121">
        <v>4223664</v>
      </c>
      <c r="AM121">
        <v>4196377</v>
      </c>
      <c r="AN121">
        <v>4169489</v>
      </c>
      <c r="AO121">
        <v>4143309</v>
      </c>
      <c r="AP121">
        <v>4118160</v>
      </c>
      <c r="AQ121">
        <v>4094384</v>
      </c>
      <c r="AR121">
        <v>4072341</v>
      </c>
      <c r="AS121">
        <v>4052405</v>
      </c>
      <c r="AT121">
        <v>4034969</v>
      </c>
      <c r="AU121">
        <v>4020441</v>
      </c>
      <c r="AV121">
        <v>4009249</v>
      </c>
    </row>
    <row r="122" spans="1:48">
      <c r="A122" t="s">
        <v>433</v>
      </c>
      <c r="B122" t="s">
        <v>434</v>
      </c>
      <c r="C122" t="s">
        <v>358</v>
      </c>
      <c r="D122" s="37">
        <v>5035926.23236968</v>
      </c>
      <c r="E122" s="37">
        <v>5056315.85064005</v>
      </c>
      <c r="F122" s="37">
        <v>5074828.11644799</v>
      </c>
      <c r="G122" s="37">
        <v>4981946</v>
      </c>
      <c r="H122">
        <v>4996204</v>
      </c>
      <c r="I122">
        <v>5014820</v>
      </c>
      <c r="J122">
        <v>5037041</v>
      </c>
      <c r="K122">
        <v>5062154</v>
      </c>
      <c r="L122">
        <v>5089486</v>
      </c>
      <c r="M122">
        <v>5118403</v>
      </c>
      <c r="N122">
        <v>5148315</v>
      </c>
      <c r="O122">
        <v>5178668</v>
      </c>
      <c r="P122">
        <v>5208951</v>
      </c>
      <c r="Q122">
        <v>5238692</v>
      </c>
      <c r="R122">
        <v>5267460</v>
      </c>
      <c r="S122">
        <v>5294862</v>
      </c>
      <c r="T122">
        <v>5320549</v>
      </c>
      <c r="U122">
        <v>5344209</v>
      </c>
      <c r="V122">
        <v>5365572</v>
      </c>
      <c r="W122">
        <v>5384407</v>
      </c>
      <c r="X122">
        <v>5400524</v>
      </c>
      <c r="Y122">
        <v>5413774</v>
      </c>
      <c r="Z122">
        <v>5424047</v>
      </c>
      <c r="AA122">
        <v>5431273</v>
      </c>
      <c r="AB122">
        <v>5435423</v>
      </c>
      <c r="AC122">
        <v>5436509</v>
      </c>
      <c r="AD122">
        <v>5434581</v>
      </c>
      <c r="AE122">
        <v>5429731</v>
      </c>
      <c r="AF122">
        <v>5422091</v>
      </c>
      <c r="AG122">
        <v>5411833</v>
      </c>
      <c r="AH122">
        <v>5399168</v>
      </c>
      <c r="AI122">
        <v>5384350</v>
      </c>
      <c r="AJ122">
        <v>5367671</v>
      </c>
      <c r="AK122">
        <v>5349464</v>
      </c>
      <c r="AL122">
        <v>5330101</v>
      </c>
      <c r="AM122">
        <v>5309998</v>
      </c>
      <c r="AN122">
        <v>5289606</v>
      </c>
      <c r="AO122">
        <v>5269420</v>
      </c>
      <c r="AP122">
        <v>5249974</v>
      </c>
      <c r="AQ122">
        <v>5231841</v>
      </c>
      <c r="AR122">
        <v>5215638</v>
      </c>
      <c r="AS122">
        <v>5202018</v>
      </c>
      <c r="AT122">
        <v>5191676</v>
      </c>
      <c r="AU122">
        <v>5185348</v>
      </c>
      <c r="AV122">
        <v>5183809</v>
      </c>
    </row>
    <row r="123" spans="1:48">
      <c r="A123" t="s">
        <v>435</v>
      </c>
      <c r="B123" t="s">
        <v>436</v>
      </c>
      <c r="C123" t="s">
        <v>358</v>
      </c>
      <c r="D123" s="37">
        <v>1442834.62620939</v>
      </c>
      <c r="E123" s="37">
        <v>1448107.27843485</v>
      </c>
      <c r="F123" s="37">
        <v>1452854.75124947</v>
      </c>
      <c r="G123" s="37">
        <v>1336052</v>
      </c>
      <c r="H123">
        <v>1342618</v>
      </c>
      <c r="I123">
        <v>1348708</v>
      </c>
      <c r="J123">
        <v>1354278</v>
      </c>
      <c r="K123">
        <v>1359287</v>
      </c>
      <c r="L123">
        <v>1363698</v>
      </c>
      <c r="M123">
        <v>1367481</v>
      </c>
      <c r="N123">
        <v>1370606</v>
      </c>
      <c r="O123">
        <v>1373052</v>
      </c>
      <c r="P123">
        <v>1374798</v>
      </c>
      <c r="Q123">
        <v>1375830</v>
      </c>
      <c r="R123">
        <v>1376138</v>
      </c>
      <c r="S123">
        <v>1375715</v>
      </c>
      <c r="T123">
        <v>1374560</v>
      </c>
      <c r="U123">
        <v>1372676</v>
      </c>
      <c r="V123">
        <v>1370070</v>
      </c>
      <c r="W123">
        <v>1366752</v>
      </c>
      <c r="X123">
        <v>1362739</v>
      </c>
      <c r="Y123">
        <v>1358050</v>
      </c>
      <c r="Z123">
        <v>1352709</v>
      </c>
      <c r="AA123">
        <v>1346746</v>
      </c>
      <c r="AB123">
        <v>1340193</v>
      </c>
      <c r="AC123">
        <v>1333087</v>
      </c>
      <c r="AD123">
        <v>1325470</v>
      </c>
      <c r="AE123">
        <v>1317387</v>
      </c>
      <c r="AF123">
        <v>1308890</v>
      </c>
      <c r="AG123">
        <v>1300032</v>
      </c>
      <c r="AH123">
        <v>1290873</v>
      </c>
      <c r="AI123">
        <v>1281474</v>
      </c>
      <c r="AJ123">
        <v>1271905</v>
      </c>
      <c r="AK123">
        <v>1262237</v>
      </c>
      <c r="AL123">
        <v>1252546</v>
      </c>
      <c r="AM123">
        <v>1242913</v>
      </c>
      <c r="AN123">
        <v>1233422</v>
      </c>
      <c r="AO123">
        <v>1224162</v>
      </c>
      <c r="AP123">
        <v>1215228</v>
      </c>
      <c r="AQ123">
        <v>1206716</v>
      </c>
      <c r="AR123">
        <v>1198729</v>
      </c>
      <c r="AS123">
        <v>1191374</v>
      </c>
      <c r="AT123">
        <v>1184761</v>
      </c>
      <c r="AU123">
        <v>1179005</v>
      </c>
      <c r="AV123">
        <v>1174225</v>
      </c>
    </row>
    <row r="124" spans="1:48">
      <c r="A124" t="s">
        <v>437</v>
      </c>
      <c r="B124" t="s">
        <v>438</v>
      </c>
      <c r="C124" t="s">
        <v>358</v>
      </c>
      <c r="D124" s="37">
        <v>2593456.19293889</v>
      </c>
      <c r="E124" s="37">
        <v>2600098.91445846</v>
      </c>
      <c r="F124" s="37">
        <v>2605584.21172517</v>
      </c>
      <c r="G124" s="37">
        <v>2491131</v>
      </c>
      <c r="H124">
        <v>2499744</v>
      </c>
      <c r="I124">
        <v>2507039</v>
      </c>
      <c r="J124">
        <v>2512994</v>
      </c>
      <c r="K124">
        <v>2517593</v>
      </c>
      <c r="L124">
        <v>2520822</v>
      </c>
      <c r="M124">
        <v>2522675</v>
      </c>
      <c r="N124">
        <v>2523150</v>
      </c>
      <c r="O124">
        <v>2522250</v>
      </c>
      <c r="P124">
        <v>2519982</v>
      </c>
      <c r="Q124">
        <v>2516358</v>
      </c>
      <c r="R124">
        <v>2511396</v>
      </c>
      <c r="S124">
        <v>2505117</v>
      </c>
      <c r="T124">
        <v>2497549</v>
      </c>
      <c r="U124">
        <v>2488723</v>
      </c>
      <c r="V124">
        <v>2478677</v>
      </c>
      <c r="W124">
        <v>2467451</v>
      </c>
      <c r="X124">
        <v>2455092</v>
      </c>
      <c r="Y124">
        <v>2441651</v>
      </c>
      <c r="Z124">
        <v>2427185</v>
      </c>
      <c r="AA124">
        <v>2411754</v>
      </c>
      <c r="AB124">
        <v>2395424</v>
      </c>
      <c r="AC124">
        <v>2378267</v>
      </c>
      <c r="AD124">
        <v>2360356</v>
      </c>
      <c r="AE124">
        <v>2341773</v>
      </c>
      <c r="AF124">
        <v>2322604</v>
      </c>
      <c r="AG124">
        <v>2302937</v>
      </c>
      <c r="AH124">
        <v>2282869</v>
      </c>
      <c r="AI124">
        <v>2262499</v>
      </c>
      <c r="AJ124">
        <v>2241932</v>
      </c>
      <c r="AK124">
        <v>2221277</v>
      </c>
      <c r="AL124">
        <v>2200649</v>
      </c>
      <c r="AM124">
        <v>2180167</v>
      </c>
      <c r="AN124">
        <v>2159956</v>
      </c>
      <c r="AO124">
        <v>2140143</v>
      </c>
      <c r="AP124">
        <v>2120864</v>
      </c>
      <c r="AQ124">
        <v>2102257</v>
      </c>
      <c r="AR124">
        <v>2084466</v>
      </c>
      <c r="AS124">
        <v>2067638</v>
      </c>
      <c r="AT124">
        <v>2051928</v>
      </c>
      <c r="AU124">
        <v>2037493</v>
      </c>
      <c r="AV124">
        <v>2024497</v>
      </c>
    </row>
    <row r="125" spans="1:48">
      <c r="A125" t="s">
        <v>439</v>
      </c>
      <c r="B125" t="s">
        <v>440</v>
      </c>
      <c r="C125" t="s">
        <v>358</v>
      </c>
      <c r="D125" s="37">
        <v>7496004.63888471</v>
      </c>
      <c r="E125" s="37">
        <v>7548921.25278412</v>
      </c>
      <c r="F125" s="37">
        <v>7597788.57943389</v>
      </c>
      <c r="G125" s="37">
        <v>8210632</v>
      </c>
      <c r="H125">
        <v>8290312</v>
      </c>
      <c r="I125">
        <v>8360713</v>
      </c>
      <c r="J125">
        <v>8422387</v>
      </c>
      <c r="K125">
        <v>8475867</v>
      </c>
      <c r="L125">
        <v>8521666</v>
      </c>
      <c r="M125">
        <v>8560278</v>
      </c>
      <c r="N125">
        <v>8592180</v>
      </c>
      <c r="O125">
        <v>8617827</v>
      </c>
      <c r="P125">
        <v>8637657</v>
      </c>
      <c r="Q125">
        <v>8652091</v>
      </c>
      <c r="R125">
        <v>8661527</v>
      </c>
      <c r="S125">
        <v>8666346</v>
      </c>
      <c r="T125">
        <v>8666911</v>
      </c>
      <c r="U125">
        <v>8663565</v>
      </c>
      <c r="V125">
        <v>8656633</v>
      </c>
      <c r="W125">
        <v>8646419</v>
      </c>
      <c r="X125">
        <v>8633211</v>
      </c>
      <c r="Y125">
        <v>8617276</v>
      </c>
      <c r="Z125">
        <v>8598862</v>
      </c>
      <c r="AA125">
        <v>8578200</v>
      </c>
      <c r="AB125">
        <v>8555500</v>
      </c>
      <c r="AC125">
        <v>8530955</v>
      </c>
      <c r="AD125">
        <v>8504737</v>
      </c>
      <c r="AE125">
        <v>8477000</v>
      </c>
      <c r="AF125">
        <v>8447880</v>
      </c>
      <c r="AG125">
        <v>8417493</v>
      </c>
      <c r="AH125">
        <v>8385937</v>
      </c>
      <c r="AI125">
        <v>8353290</v>
      </c>
      <c r="AJ125">
        <v>8319612</v>
      </c>
      <c r="AK125">
        <v>8284942</v>
      </c>
      <c r="AL125">
        <v>8249304</v>
      </c>
      <c r="AM125">
        <v>8212700</v>
      </c>
      <c r="AN125">
        <v>8175114</v>
      </c>
      <c r="AO125">
        <v>8136511</v>
      </c>
      <c r="AP125">
        <v>8096836</v>
      </c>
      <c r="AQ125">
        <v>8056018</v>
      </c>
      <c r="AR125">
        <v>8013965</v>
      </c>
      <c r="AS125">
        <v>7970566</v>
      </c>
      <c r="AT125">
        <v>7925691</v>
      </c>
      <c r="AU125">
        <v>7879193</v>
      </c>
      <c r="AV125">
        <v>7830903</v>
      </c>
    </row>
    <row r="126" spans="1:48">
      <c r="A126" t="s">
        <v>441</v>
      </c>
      <c r="B126" t="s">
        <v>442</v>
      </c>
      <c r="C126" t="s">
        <v>358</v>
      </c>
      <c r="D126" s="37">
        <v>3856858.2010325</v>
      </c>
      <c r="E126" s="37">
        <v>3903052.57688356</v>
      </c>
      <c r="F126" s="37">
        <v>3946172.29657724</v>
      </c>
      <c r="G126" s="37">
        <v>5080899</v>
      </c>
      <c r="H126">
        <v>5163708</v>
      </c>
      <c r="I126">
        <v>5236450</v>
      </c>
      <c r="J126">
        <v>5299988</v>
      </c>
      <c r="K126">
        <v>5355140</v>
      </c>
      <c r="L126">
        <v>5402689</v>
      </c>
      <c r="M126">
        <v>5443373</v>
      </c>
      <c r="N126">
        <v>5477892</v>
      </c>
      <c r="O126">
        <v>5506905</v>
      </c>
      <c r="P126">
        <v>5531033</v>
      </c>
      <c r="Q126">
        <v>5550854</v>
      </c>
      <c r="R126">
        <v>5566906</v>
      </c>
      <c r="S126">
        <v>5579689</v>
      </c>
      <c r="T126">
        <v>5589660</v>
      </c>
      <c r="U126">
        <v>5597238</v>
      </c>
      <c r="V126">
        <v>5602800</v>
      </c>
      <c r="W126">
        <v>5606685</v>
      </c>
      <c r="X126">
        <v>5609188</v>
      </c>
      <c r="Y126">
        <v>5610568</v>
      </c>
      <c r="Z126">
        <v>5611041</v>
      </c>
      <c r="AA126">
        <v>5610784</v>
      </c>
      <c r="AB126">
        <v>5609933</v>
      </c>
      <c r="AC126">
        <v>5608585</v>
      </c>
      <c r="AD126">
        <v>5606794</v>
      </c>
      <c r="AE126">
        <v>5604578</v>
      </c>
      <c r="AF126">
        <v>5601910</v>
      </c>
      <c r="AG126">
        <v>5598727</v>
      </c>
      <c r="AH126">
        <v>5594924</v>
      </c>
      <c r="AI126">
        <v>5590354</v>
      </c>
      <c r="AJ126">
        <v>5584832</v>
      </c>
      <c r="AK126">
        <v>5578133</v>
      </c>
      <c r="AL126">
        <v>5569990</v>
      </c>
      <c r="AM126">
        <v>5560098</v>
      </c>
      <c r="AN126">
        <v>5548109</v>
      </c>
      <c r="AO126">
        <v>5533637</v>
      </c>
      <c r="AP126">
        <v>5516255</v>
      </c>
      <c r="AQ126">
        <v>5495496</v>
      </c>
      <c r="AR126">
        <v>5470851</v>
      </c>
      <c r="AS126">
        <v>5441774</v>
      </c>
      <c r="AT126">
        <v>5407677</v>
      </c>
      <c r="AU126">
        <v>5367930</v>
      </c>
      <c r="AV126">
        <v>5321866</v>
      </c>
    </row>
    <row r="127" spans="1:48">
      <c r="A127" t="s">
        <v>443</v>
      </c>
      <c r="B127" t="s">
        <v>444</v>
      </c>
      <c r="C127" t="s">
        <v>358</v>
      </c>
      <c r="D127" s="37">
        <v>2885778.22938075</v>
      </c>
      <c r="E127" s="37">
        <v>2901735.12715967</v>
      </c>
      <c r="F127" s="37">
        <v>2916843.16325534</v>
      </c>
      <c r="G127" s="37">
        <v>3186190</v>
      </c>
      <c r="H127">
        <v>3210316</v>
      </c>
      <c r="I127">
        <v>3233201</v>
      </c>
      <c r="J127">
        <v>3254766</v>
      </c>
      <c r="K127">
        <v>3274938</v>
      </c>
      <c r="L127">
        <v>3293651</v>
      </c>
      <c r="M127">
        <v>3310849</v>
      </c>
      <c r="N127">
        <v>3326485</v>
      </c>
      <c r="O127">
        <v>3340518</v>
      </c>
      <c r="P127">
        <v>3352916</v>
      </c>
      <c r="Q127">
        <v>3363657</v>
      </c>
      <c r="R127">
        <v>3372725</v>
      </c>
      <c r="S127">
        <v>3380114</v>
      </c>
      <c r="T127">
        <v>3385824</v>
      </c>
      <c r="U127">
        <v>3389866</v>
      </c>
      <c r="V127">
        <v>3392257</v>
      </c>
      <c r="W127">
        <v>3393025</v>
      </c>
      <c r="X127">
        <v>3392203</v>
      </c>
      <c r="Y127">
        <v>3389834</v>
      </c>
      <c r="Z127">
        <v>3385969</v>
      </c>
      <c r="AA127">
        <v>3380668</v>
      </c>
      <c r="AB127">
        <v>3373997</v>
      </c>
      <c r="AC127">
        <v>3366034</v>
      </c>
      <c r="AD127">
        <v>3356862</v>
      </c>
      <c r="AE127">
        <v>3346573</v>
      </c>
      <c r="AF127">
        <v>3335269</v>
      </c>
      <c r="AG127">
        <v>3323057</v>
      </c>
      <c r="AH127">
        <v>3310056</v>
      </c>
      <c r="AI127">
        <v>3296390</v>
      </c>
      <c r="AJ127">
        <v>3282194</v>
      </c>
      <c r="AK127">
        <v>3267609</v>
      </c>
      <c r="AL127">
        <v>3252786</v>
      </c>
      <c r="AM127">
        <v>3237883</v>
      </c>
      <c r="AN127">
        <v>3223066</v>
      </c>
      <c r="AO127">
        <v>3208512</v>
      </c>
      <c r="AP127">
        <v>3194402</v>
      </c>
      <c r="AQ127">
        <v>3180930</v>
      </c>
      <c r="AR127">
        <v>3168294</v>
      </c>
      <c r="AS127">
        <v>3156703</v>
      </c>
      <c r="AT127">
        <v>3146374</v>
      </c>
      <c r="AU127">
        <v>3137529</v>
      </c>
      <c r="AV127">
        <v>3130404</v>
      </c>
    </row>
    <row r="128" spans="1:48">
      <c r="A128" t="s">
        <v>445</v>
      </c>
      <c r="B128" t="s">
        <v>446</v>
      </c>
      <c r="C128" t="s">
        <v>358</v>
      </c>
      <c r="D128" s="37">
        <v>2594947.06325079</v>
      </c>
      <c r="E128" s="37">
        <v>2605227.85479607</v>
      </c>
      <c r="F128" s="37">
        <v>2614228.02956384</v>
      </c>
      <c r="G128" s="37">
        <v>2475368</v>
      </c>
      <c r="H128">
        <v>2486182</v>
      </c>
      <c r="I128">
        <v>2496289</v>
      </c>
      <c r="J128">
        <v>2505615</v>
      </c>
      <c r="K128">
        <v>2514092</v>
      </c>
      <c r="L128">
        <v>2521659</v>
      </c>
      <c r="M128">
        <v>2528260</v>
      </c>
      <c r="N128">
        <v>2533847</v>
      </c>
      <c r="O128">
        <v>2538377</v>
      </c>
      <c r="P128">
        <v>2541814</v>
      </c>
      <c r="Q128">
        <v>2544126</v>
      </c>
      <c r="R128">
        <v>2545292</v>
      </c>
      <c r="S128">
        <v>2545292</v>
      </c>
      <c r="T128">
        <v>2544115</v>
      </c>
      <c r="U128">
        <v>2541758</v>
      </c>
      <c r="V128">
        <v>2538220</v>
      </c>
      <c r="W128">
        <v>2533509</v>
      </c>
      <c r="X128">
        <v>2527639</v>
      </c>
      <c r="Y128">
        <v>2520630</v>
      </c>
      <c r="Z128">
        <v>2512508</v>
      </c>
      <c r="AA128">
        <v>2503306</v>
      </c>
      <c r="AB128">
        <v>2493063</v>
      </c>
      <c r="AC128">
        <v>2481823</v>
      </c>
      <c r="AD128">
        <v>2469638</v>
      </c>
      <c r="AE128">
        <v>2456567</v>
      </c>
      <c r="AF128">
        <v>2442671</v>
      </c>
      <c r="AG128">
        <v>2428023</v>
      </c>
      <c r="AH128">
        <v>2412698</v>
      </c>
      <c r="AI128">
        <v>2396778</v>
      </c>
      <c r="AJ128">
        <v>2380354</v>
      </c>
      <c r="AK128">
        <v>2363519</v>
      </c>
      <c r="AL128">
        <v>2346377</v>
      </c>
      <c r="AM128">
        <v>2329034</v>
      </c>
      <c r="AN128">
        <v>2311604</v>
      </c>
      <c r="AO128">
        <v>2294208</v>
      </c>
      <c r="AP128">
        <v>2276972</v>
      </c>
      <c r="AQ128">
        <v>2260030</v>
      </c>
      <c r="AR128">
        <v>2243520</v>
      </c>
      <c r="AS128">
        <v>2227588</v>
      </c>
      <c r="AT128">
        <v>2212386</v>
      </c>
      <c r="AU128">
        <v>2198070</v>
      </c>
      <c r="AV128">
        <v>2184807</v>
      </c>
    </row>
    <row r="129" spans="1:48">
      <c r="A129" t="s">
        <v>447</v>
      </c>
      <c r="B129" t="s">
        <v>448</v>
      </c>
      <c r="C129" t="s">
        <v>358</v>
      </c>
      <c r="D129" s="37">
        <v>8662491.22523127</v>
      </c>
      <c r="E129" s="37">
        <v>8740091.00449153</v>
      </c>
      <c r="F129" s="37">
        <v>8813143.00118337</v>
      </c>
      <c r="G129" s="37">
        <v>8674444</v>
      </c>
      <c r="H129">
        <v>8781622</v>
      </c>
      <c r="I129">
        <v>8878754</v>
      </c>
      <c r="J129">
        <v>8966399</v>
      </c>
      <c r="K129">
        <v>9045093</v>
      </c>
      <c r="L129">
        <v>9115355</v>
      </c>
      <c r="M129">
        <v>9177684</v>
      </c>
      <c r="N129">
        <v>9232557</v>
      </c>
      <c r="O129">
        <v>9280435</v>
      </c>
      <c r="P129">
        <v>9321756</v>
      </c>
      <c r="Q129">
        <v>9356941</v>
      </c>
      <c r="R129">
        <v>9386391</v>
      </c>
      <c r="S129">
        <v>9410487</v>
      </c>
      <c r="T129">
        <v>9429590</v>
      </c>
      <c r="U129">
        <v>9444042</v>
      </c>
      <c r="V129">
        <v>9454165</v>
      </c>
      <c r="W129">
        <v>9460262</v>
      </c>
      <c r="X129">
        <v>9462616</v>
      </c>
      <c r="Y129">
        <v>9461491</v>
      </c>
      <c r="Z129">
        <v>9457132</v>
      </c>
      <c r="AA129">
        <v>9449762</v>
      </c>
      <c r="AB129">
        <v>9439586</v>
      </c>
      <c r="AC129">
        <v>9426791</v>
      </c>
      <c r="AD129">
        <v>9411541</v>
      </c>
      <c r="AE129">
        <v>9393983</v>
      </c>
      <c r="AF129">
        <v>9374244</v>
      </c>
      <c r="AG129">
        <v>9352432</v>
      </c>
      <c r="AH129">
        <v>9328632</v>
      </c>
      <c r="AI129">
        <v>9302915</v>
      </c>
      <c r="AJ129">
        <v>9275328</v>
      </c>
      <c r="AK129">
        <v>9245899</v>
      </c>
      <c r="AL129">
        <v>9214640</v>
      </c>
      <c r="AM129">
        <v>9181538</v>
      </c>
      <c r="AN129">
        <v>9146565</v>
      </c>
      <c r="AO129">
        <v>9109672</v>
      </c>
      <c r="AP129">
        <v>9070788</v>
      </c>
      <c r="AQ129">
        <v>9029827</v>
      </c>
      <c r="AR129">
        <v>8986680</v>
      </c>
      <c r="AS129">
        <v>8941219</v>
      </c>
      <c r="AT129">
        <v>8893297</v>
      </c>
      <c r="AU129">
        <v>8842748</v>
      </c>
      <c r="AV129">
        <v>8789385</v>
      </c>
    </row>
    <row r="130" spans="1:48">
      <c r="A130" t="s">
        <v>449</v>
      </c>
      <c r="B130" t="s">
        <v>450</v>
      </c>
      <c r="C130" t="s">
        <v>358</v>
      </c>
      <c r="D130" s="37">
        <v>5023460.76570817</v>
      </c>
      <c r="E130" s="37">
        <v>5051675.78347466</v>
      </c>
      <c r="F130" s="37">
        <v>5077619.35420495</v>
      </c>
      <c r="G130" s="37">
        <v>5017973</v>
      </c>
      <c r="H130">
        <v>5053796</v>
      </c>
      <c r="I130">
        <v>5086994</v>
      </c>
      <c r="J130">
        <v>5117536</v>
      </c>
      <c r="K130">
        <v>5145402</v>
      </c>
      <c r="L130">
        <v>5170576</v>
      </c>
      <c r="M130">
        <v>5193050</v>
      </c>
      <c r="N130">
        <v>5212823</v>
      </c>
      <c r="O130">
        <v>5229902</v>
      </c>
      <c r="P130">
        <v>5244299</v>
      </c>
      <c r="Q130">
        <v>5256035</v>
      </c>
      <c r="R130">
        <v>5265136</v>
      </c>
      <c r="S130">
        <v>5271636</v>
      </c>
      <c r="T130">
        <v>5275576</v>
      </c>
      <c r="U130">
        <v>5277005</v>
      </c>
      <c r="V130">
        <v>5275976</v>
      </c>
      <c r="W130">
        <v>5272553</v>
      </c>
      <c r="X130">
        <v>5266803</v>
      </c>
      <c r="Y130">
        <v>5258802</v>
      </c>
      <c r="Z130">
        <v>5248633</v>
      </c>
      <c r="AA130">
        <v>5236387</v>
      </c>
      <c r="AB130">
        <v>5222159</v>
      </c>
      <c r="AC130">
        <v>5206053</v>
      </c>
      <c r="AD130">
        <v>5188180</v>
      </c>
      <c r="AE130">
        <v>5168658</v>
      </c>
      <c r="AF130">
        <v>5147611</v>
      </c>
      <c r="AG130">
        <v>5125171</v>
      </c>
      <c r="AH130">
        <v>5101477</v>
      </c>
      <c r="AI130">
        <v>5076673</v>
      </c>
      <c r="AJ130">
        <v>5050913</v>
      </c>
      <c r="AK130">
        <v>5024355</v>
      </c>
      <c r="AL130">
        <v>4997167</v>
      </c>
      <c r="AM130">
        <v>4969522</v>
      </c>
      <c r="AN130">
        <v>4941600</v>
      </c>
      <c r="AO130">
        <v>4913589</v>
      </c>
      <c r="AP130">
        <v>4885683</v>
      </c>
      <c r="AQ130">
        <v>4858084</v>
      </c>
      <c r="AR130">
        <v>4830999</v>
      </c>
      <c r="AS130">
        <v>4804644</v>
      </c>
      <c r="AT130">
        <v>4779241</v>
      </c>
      <c r="AU130">
        <v>4755020</v>
      </c>
      <c r="AV130">
        <v>4732217</v>
      </c>
    </row>
    <row r="131" spans="1:48">
      <c r="A131" t="s">
        <v>451</v>
      </c>
      <c r="B131" t="s">
        <v>452</v>
      </c>
      <c r="C131" t="s">
        <v>358</v>
      </c>
      <c r="D131" s="37">
        <v>2715843.37382594</v>
      </c>
      <c r="E131" s="37">
        <v>2720860.17314367</v>
      </c>
      <c r="F131" s="37">
        <v>2724511.80264906</v>
      </c>
      <c r="G131" s="37">
        <v>2679773</v>
      </c>
      <c r="H131">
        <v>2680320</v>
      </c>
      <c r="I131">
        <v>2681662</v>
      </c>
      <c r="J131">
        <v>2683552</v>
      </c>
      <c r="K131">
        <v>2685756</v>
      </c>
      <c r="L131">
        <v>2688055</v>
      </c>
      <c r="M131">
        <v>2690245</v>
      </c>
      <c r="N131">
        <v>2692140</v>
      </c>
      <c r="O131">
        <v>2693564</v>
      </c>
      <c r="P131">
        <v>2694361</v>
      </c>
      <c r="Q131">
        <v>2694385</v>
      </c>
      <c r="R131">
        <v>2693510</v>
      </c>
      <c r="S131">
        <v>2691621</v>
      </c>
      <c r="T131">
        <v>2688621</v>
      </c>
      <c r="U131">
        <v>2684426</v>
      </c>
      <c r="V131">
        <v>2678968</v>
      </c>
      <c r="W131">
        <v>2672193</v>
      </c>
      <c r="X131">
        <v>2664063</v>
      </c>
      <c r="Y131">
        <v>2654556</v>
      </c>
      <c r="Z131">
        <v>2643662</v>
      </c>
      <c r="AA131">
        <v>2631389</v>
      </c>
      <c r="AB131">
        <v>2617758</v>
      </c>
      <c r="AC131">
        <v>2602806</v>
      </c>
      <c r="AD131">
        <v>2586586</v>
      </c>
      <c r="AE131">
        <v>2569163</v>
      </c>
      <c r="AF131">
        <v>2550620</v>
      </c>
      <c r="AG131">
        <v>2531054</v>
      </c>
      <c r="AH131">
        <v>2510577</v>
      </c>
      <c r="AI131">
        <v>2489314</v>
      </c>
      <c r="AJ131">
        <v>2467409</v>
      </c>
      <c r="AK131">
        <v>2445019</v>
      </c>
      <c r="AL131">
        <v>2422314</v>
      </c>
      <c r="AM131">
        <v>2399483</v>
      </c>
      <c r="AN131">
        <v>2376727</v>
      </c>
      <c r="AO131">
        <v>2354263</v>
      </c>
      <c r="AP131">
        <v>2332324</v>
      </c>
      <c r="AQ131">
        <v>2311156</v>
      </c>
      <c r="AR131">
        <v>2291021</v>
      </c>
      <c r="AS131">
        <v>2272196</v>
      </c>
      <c r="AT131">
        <v>2254974</v>
      </c>
      <c r="AU131">
        <v>2239661</v>
      </c>
      <c r="AV131">
        <v>2226580</v>
      </c>
    </row>
    <row r="132" spans="1:48">
      <c r="A132" t="s">
        <v>453</v>
      </c>
      <c r="B132" t="s">
        <v>454</v>
      </c>
      <c r="C132" t="s">
        <v>358</v>
      </c>
      <c r="D132" s="37">
        <v>2649844.4496005</v>
      </c>
      <c r="E132" s="37">
        <v>2659213.09555742</v>
      </c>
      <c r="F132" s="37">
        <v>2667224.44514847</v>
      </c>
      <c r="G132" s="37">
        <v>2714006</v>
      </c>
      <c r="H132">
        <v>2723286</v>
      </c>
      <c r="I132">
        <v>2732179</v>
      </c>
      <c r="J132">
        <v>2740574</v>
      </c>
      <c r="K132">
        <v>2748368</v>
      </c>
      <c r="L132">
        <v>2755468</v>
      </c>
      <c r="M132">
        <v>2761787</v>
      </c>
      <c r="N132">
        <v>2767246</v>
      </c>
      <c r="O132">
        <v>2771773</v>
      </c>
      <c r="P132">
        <v>2775307</v>
      </c>
      <c r="Q132">
        <v>2777791</v>
      </c>
      <c r="R132">
        <v>2779179</v>
      </c>
      <c r="S132">
        <v>2779431</v>
      </c>
      <c r="T132">
        <v>2778516</v>
      </c>
      <c r="U132">
        <v>2776410</v>
      </c>
      <c r="V132">
        <v>2773098</v>
      </c>
      <c r="W132">
        <v>2768571</v>
      </c>
      <c r="X132">
        <v>2762830</v>
      </c>
      <c r="Y132">
        <v>2755882</v>
      </c>
      <c r="Z132">
        <v>2747744</v>
      </c>
      <c r="AA132">
        <v>2738439</v>
      </c>
      <c r="AB132">
        <v>2727998</v>
      </c>
      <c r="AC132">
        <v>2716462</v>
      </c>
      <c r="AD132">
        <v>2703877</v>
      </c>
      <c r="AE132">
        <v>2690298</v>
      </c>
      <c r="AF132">
        <v>2675790</v>
      </c>
      <c r="AG132">
        <v>2660422</v>
      </c>
      <c r="AH132">
        <v>2644274</v>
      </c>
      <c r="AI132">
        <v>2627433</v>
      </c>
      <c r="AJ132">
        <v>2609992</v>
      </c>
      <c r="AK132">
        <v>2592055</v>
      </c>
      <c r="AL132">
        <v>2573732</v>
      </c>
      <c r="AM132">
        <v>2555142</v>
      </c>
      <c r="AN132">
        <v>2536410</v>
      </c>
      <c r="AO132">
        <v>2517670</v>
      </c>
      <c r="AP132">
        <v>2499065</v>
      </c>
      <c r="AQ132">
        <v>2480744</v>
      </c>
      <c r="AR132">
        <v>2462866</v>
      </c>
      <c r="AS132">
        <v>2445594</v>
      </c>
      <c r="AT132">
        <v>2429104</v>
      </c>
      <c r="AU132">
        <v>2413577</v>
      </c>
      <c r="AV132">
        <v>2399201</v>
      </c>
    </row>
    <row r="133" spans="1:48">
      <c r="A133" t="s">
        <v>455</v>
      </c>
      <c r="B133" t="s">
        <v>456</v>
      </c>
      <c r="C133" t="s">
        <v>358</v>
      </c>
      <c r="D133" s="37">
        <v>2922906.66813889</v>
      </c>
      <c r="E133" s="37">
        <v>2936002.31996734</v>
      </c>
      <c r="F133" s="37">
        <v>2947940.18228076</v>
      </c>
      <c r="G133" s="37">
        <v>3128796</v>
      </c>
      <c r="H133">
        <v>3146348</v>
      </c>
      <c r="I133">
        <v>3162739</v>
      </c>
      <c r="J133">
        <v>3177897</v>
      </c>
      <c r="K133">
        <v>3191756</v>
      </c>
      <c r="L133">
        <v>3204260</v>
      </c>
      <c r="M133">
        <v>3215357</v>
      </c>
      <c r="N133">
        <v>3225005</v>
      </c>
      <c r="O133">
        <v>3233168</v>
      </c>
      <c r="P133">
        <v>3239817</v>
      </c>
      <c r="Q133">
        <v>3244933</v>
      </c>
      <c r="R133">
        <v>3248500</v>
      </c>
      <c r="S133">
        <v>3250514</v>
      </c>
      <c r="T133">
        <v>3250975</v>
      </c>
      <c r="U133">
        <v>3249891</v>
      </c>
      <c r="V133">
        <v>3247279</v>
      </c>
      <c r="W133">
        <v>3243162</v>
      </c>
      <c r="X133">
        <v>3237570</v>
      </c>
      <c r="Y133">
        <v>3230541</v>
      </c>
      <c r="Z133">
        <v>3222121</v>
      </c>
      <c r="AA133">
        <v>3212362</v>
      </c>
      <c r="AB133">
        <v>3201325</v>
      </c>
      <c r="AC133">
        <v>3189076</v>
      </c>
      <c r="AD133">
        <v>3175690</v>
      </c>
      <c r="AE133">
        <v>3161249</v>
      </c>
      <c r="AF133">
        <v>3145844</v>
      </c>
      <c r="AG133">
        <v>3129570</v>
      </c>
      <c r="AH133">
        <v>3112532</v>
      </c>
      <c r="AI133">
        <v>3094841</v>
      </c>
      <c r="AJ133">
        <v>3076616</v>
      </c>
      <c r="AK133">
        <v>3057984</v>
      </c>
      <c r="AL133">
        <v>3039078</v>
      </c>
      <c r="AM133">
        <v>3020038</v>
      </c>
      <c r="AN133">
        <v>3001014</v>
      </c>
      <c r="AO133">
        <v>2982161</v>
      </c>
      <c r="AP133">
        <v>2963641</v>
      </c>
      <c r="AQ133">
        <v>2945626</v>
      </c>
      <c r="AR133">
        <v>2928293</v>
      </c>
      <c r="AS133">
        <v>2911827</v>
      </c>
      <c r="AT133">
        <v>2896420</v>
      </c>
      <c r="AU133">
        <v>2882273</v>
      </c>
      <c r="AV133">
        <v>2869592</v>
      </c>
    </row>
    <row r="134" spans="1:48">
      <c r="A134" t="s">
        <v>457</v>
      </c>
      <c r="B134" t="s">
        <v>458</v>
      </c>
      <c r="C134" t="s">
        <v>358</v>
      </c>
      <c r="D134" s="37">
        <v>5289173.48464805</v>
      </c>
      <c r="E134" s="37">
        <v>5328431.02546016</v>
      </c>
      <c r="F134" s="37">
        <v>5366064.50981815</v>
      </c>
      <c r="G134" s="37">
        <v>6186020</v>
      </c>
      <c r="H134">
        <v>6254505</v>
      </c>
      <c r="I134">
        <v>6318497</v>
      </c>
      <c r="J134">
        <v>6378027</v>
      </c>
      <c r="K134">
        <v>6433132</v>
      </c>
      <c r="L134">
        <v>6483858</v>
      </c>
      <c r="M134">
        <v>6530259</v>
      </c>
      <c r="N134">
        <v>6572395</v>
      </c>
      <c r="O134">
        <v>6610336</v>
      </c>
      <c r="P134">
        <v>6644160</v>
      </c>
      <c r="Q134">
        <v>6673950</v>
      </c>
      <c r="R134">
        <v>6699801</v>
      </c>
      <c r="S134">
        <v>6721811</v>
      </c>
      <c r="T134">
        <v>6740092</v>
      </c>
      <c r="U134">
        <v>6754757</v>
      </c>
      <c r="V134">
        <v>6765933</v>
      </c>
      <c r="W134">
        <v>6773751</v>
      </c>
      <c r="X134">
        <v>6778351</v>
      </c>
      <c r="Y134">
        <v>6779882</v>
      </c>
      <c r="Z134">
        <v>6778499</v>
      </c>
      <c r="AA134">
        <v>6774365</v>
      </c>
      <c r="AB134">
        <v>6767653</v>
      </c>
      <c r="AC134">
        <v>6758543</v>
      </c>
      <c r="AD134">
        <v>6747220</v>
      </c>
      <c r="AE134">
        <v>6733881</v>
      </c>
      <c r="AF134">
        <v>6718729</v>
      </c>
      <c r="AG134">
        <v>6701974</v>
      </c>
      <c r="AH134">
        <v>6683835</v>
      </c>
      <c r="AI134">
        <v>6664540</v>
      </c>
      <c r="AJ134">
        <v>6644323</v>
      </c>
      <c r="AK134">
        <v>6623426</v>
      </c>
      <c r="AL134">
        <v>6602100</v>
      </c>
      <c r="AM134">
        <v>6580603</v>
      </c>
      <c r="AN134">
        <v>6559200</v>
      </c>
      <c r="AO134">
        <v>6538167</v>
      </c>
      <c r="AP134">
        <v>6517785</v>
      </c>
      <c r="AQ134">
        <v>6498343</v>
      </c>
      <c r="AR134">
        <v>6480140</v>
      </c>
      <c r="AS134">
        <v>6463480</v>
      </c>
      <c r="AT134">
        <v>6448677</v>
      </c>
      <c r="AU134">
        <v>6436053</v>
      </c>
      <c r="AV134">
        <v>6425936</v>
      </c>
    </row>
    <row r="135" spans="1:48">
      <c r="A135" t="s">
        <v>459</v>
      </c>
      <c r="B135" t="s">
        <v>460</v>
      </c>
      <c r="C135" t="s">
        <v>358</v>
      </c>
      <c r="D135" s="37">
        <v>1664861.27319659</v>
      </c>
      <c r="E135" s="37">
        <v>1674772.62453608</v>
      </c>
      <c r="F135" s="37">
        <v>1683920.10957187</v>
      </c>
      <c r="G135" s="37">
        <v>1608271</v>
      </c>
      <c r="H135">
        <v>1618889</v>
      </c>
      <c r="I135">
        <v>1629463</v>
      </c>
      <c r="J135">
        <v>1639888</v>
      </c>
      <c r="K135">
        <v>1650064</v>
      </c>
      <c r="L135">
        <v>1659901</v>
      </c>
      <c r="M135">
        <v>1669313</v>
      </c>
      <c r="N135">
        <v>1678222</v>
      </c>
      <c r="O135">
        <v>1686559</v>
      </c>
      <c r="P135">
        <v>1694258</v>
      </c>
      <c r="Q135">
        <v>1701264</v>
      </c>
      <c r="R135">
        <v>1707526</v>
      </c>
      <c r="S135">
        <v>1713001</v>
      </c>
      <c r="T135">
        <v>1717655</v>
      </c>
      <c r="U135">
        <v>1721457</v>
      </c>
      <c r="V135">
        <v>1724387</v>
      </c>
      <c r="W135">
        <v>1726428</v>
      </c>
      <c r="X135">
        <v>1727575</v>
      </c>
      <c r="Y135">
        <v>1727825</v>
      </c>
      <c r="Z135">
        <v>1727184</v>
      </c>
      <c r="AA135">
        <v>1725667</v>
      </c>
      <c r="AB135">
        <v>1723292</v>
      </c>
      <c r="AC135">
        <v>1720088</v>
      </c>
      <c r="AD135">
        <v>1716087</v>
      </c>
      <c r="AE135">
        <v>1711332</v>
      </c>
      <c r="AF135">
        <v>1705870</v>
      </c>
      <c r="AG135">
        <v>1699757</v>
      </c>
      <c r="AH135">
        <v>1693054</v>
      </c>
      <c r="AI135">
        <v>1685830</v>
      </c>
      <c r="AJ135">
        <v>1678162</v>
      </c>
      <c r="AK135">
        <v>1670133</v>
      </c>
      <c r="AL135">
        <v>1661832</v>
      </c>
      <c r="AM135">
        <v>1653356</v>
      </c>
      <c r="AN135">
        <v>1644810</v>
      </c>
      <c r="AO135">
        <v>1636305</v>
      </c>
      <c r="AP135">
        <v>1627958</v>
      </c>
      <c r="AQ135">
        <v>1619894</v>
      </c>
      <c r="AR135">
        <v>1612246</v>
      </c>
      <c r="AS135">
        <v>1605153</v>
      </c>
      <c r="AT135">
        <v>1598759</v>
      </c>
      <c r="AU135">
        <v>1593219</v>
      </c>
      <c r="AV135">
        <v>1588693</v>
      </c>
    </row>
    <row r="136" spans="1:48">
      <c r="A136" t="s">
        <v>461</v>
      </c>
      <c r="B136" t="s">
        <v>462</v>
      </c>
      <c r="C136" t="s">
        <v>358</v>
      </c>
      <c r="D136" s="37">
        <v>1927615.11976681</v>
      </c>
      <c r="E136" s="37">
        <v>1935840.45373413</v>
      </c>
      <c r="F136" s="37">
        <v>1943160.7328113</v>
      </c>
      <c r="G136" s="37">
        <v>1797889</v>
      </c>
      <c r="H136">
        <v>1804643</v>
      </c>
      <c r="I136">
        <v>1811786</v>
      </c>
      <c r="J136">
        <v>1819160</v>
      </c>
      <c r="K136">
        <v>1826616</v>
      </c>
      <c r="L136">
        <v>1834015</v>
      </c>
      <c r="M136">
        <v>1841229</v>
      </c>
      <c r="N136">
        <v>1848139</v>
      </c>
      <c r="O136">
        <v>1854635</v>
      </c>
      <c r="P136">
        <v>1860618</v>
      </c>
      <c r="Q136">
        <v>1865996</v>
      </c>
      <c r="R136">
        <v>1870691</v>
      </c>
      <c r="S136">
        <v>1874630</v>
      </c>
      <c r="T136">
        <v>1877753</v>
      </c>
      <c r="U136">
        <v>1880009</v>
      </c>
      <c r="V136">
        <v>1881356</v>
      </c>
      <c r="W136">
        <v>1881762</v>
      </c>
      <c r="X136">
        <v>1881205</v>
      </c>
      <c r="Y136">
        <v>1879671</v>
      </c>
      <c r="Z136">
        <v>1877159</v>
      </c>
      <c r="AA136">
        <v>1873674</v>
      </c>
      <c r="AB136">
        <v>1869234</v>
      </c>
      <c r="AC136">
        <v>1863864</v>
      </c>
      <c r="AD136">
        <v>1857600</v>
      </c>
      <c r="AE136">
        <v>1850488</v>
      </c>
      <c r="AF136">
        <v>1842583</v>
      </c>
      <c r="AG136">
        <v>1833950</v>
      </c>
      <c r="AH136">
        <v>1824663</v>
      </c>
      <c r="AI136">
        <v>1814807</v>
      </c>
      <c r="AJ136">
        <v>1804475</v>
      </c>
      <c r="AK136">
        <v>1793772</v>
      </c>
      <c r="AL136">
        <v>1782809</v>
      </c>
      <c r="AM136">
        <v>1771712</v>
      </c>
      <c r="AN136">
        <v>1760611</v>
      </c>
      <c r="AO136">
        <v>1749651</v>
      </c>
      <c r="AP136">
        <v>1738981</v>
      </c>
      <c r="AQ136">
        <v>1728765</v>
      </c>
      <c r="AR136">
        <v>1719174</v>
      </c>
      <c r="AS136">
        <v>1710389</v>
      </c>
      <c r="AT136">
        <v>1702600</v>
      </c>
      <c r="AU136">
        <v>1696009</v>
      </c>
      <c r="AV136">
        <v>1690825</v>
      </c>
    </row>
    <row r="137" spans="1:48">
      <c r="A137" t="s">
        <v>463</v>
      </c>
      <c r="B137" t="s">
        <v>464</v>
      </c>
      <c r="C137" t="s">
        <v>358</v>
      </c>
      <c r="D137" s="37">
        <v>4950703.81375914</v>
      </c>
      <c r="E137" s="37">
        <v>4979400.86962953</v>
      </c>
      <c r="F137" s="37">
        <v>5006004.82289154</v>
      </c>
      <c r="G137" s="37">
        <v>4571029</v>
      </c>
      <c r="H137">
        <v>4599925</v>
      </c>
      <c r="I137">
        <v>4629272</v>
      </c>
      <c r="J137">
        <v>4658718</v>
      </c>
      <c r="K137">
        <v>4687933</v>
      </c>
      <c r="L137">
        <v>4716612</v>
      </c>
      <c r="M137">
        <v>4744467</v>
      </c>
      <c r="N137">
        <v>4771237</v>
      </c>
      <c r="O137">
        <v>4796681</v>
      </c>
      <c r="P137">
        <v>4820579</v>
      </c>
      <c r="Q137">
        <v>4842735</v>
      </c>
      <c r="R137">
        <v>4862973</v>
      </c>
      <c r="S137">
        <v>4881142</v>
      </c>
      <c r="T137">
        <v>4897109</v>
      </c>
      <c r="U137">
        <v>4910767</v>
      </c>
      <c r="V137">
        <v>4922028</v>
      </c>
      <c r="W137">
        <v>4930829</v>
      </c>
      <c r="X137">
        <v>4937126</v>
      </c>
      <c r="Y137">
        <v>4940900</v>
      </c>
      <c r="Z137">
        <v>4942150</v>
      </c>
      <c r="AA137">
        <v>4940902</v>
      </c>
      <c r="AB137">
        <v>4937201</v>
      </c>
      <c r="AC137">
        <v>4931114</v>
      </c>
      <c r="AD137">
        <v>4922731</v>
      </c>
      <c r="AE137">
        <v>4912164</v>
      </c>
      <c r="AF137">
        <v>4899547</v>
      </c>
      <c r="AG137">
        <v>4885036</v>
      </c>
      <c r="AH137">
        <v>4868808</v>
      </c>
      <c r="AI137">
        <v>4851063</v>
      </c>
      <c r="AJ137">
        <v>4832024</v>
      </c>
      <c r="AK137">
        <v>4811934</v>
      </c>
      <c r="AL137">
        <v>4791060</v>
      </c>
      <c r="AM137">
        <v>4769690</v>
      </c>
      <c r="AN137">
        <v>4748134</v>
      </c>
      <c r="AO137">
        <v>4726724</v>
      </c>
      <c r="AP137">
        <v>4705814</v>
      </c>
      <c r="AQ137">
        <v>4685782</v>
      </c>
      <c r="AR137">
        <v>4667025</v>
      </c>
      <c r="AS137">
        <v>4649963</v>
      </c>
      <c r="AT137">
        <v>4635040</v>
      </c>
      <c r="AU137">
        <v>4622720</v>
      </c>
      <c r="AV137">
        <v>4613489</v>
      </c>
    </row>
    <row r="138" spans="1:48">
      <c r="A138" t="s">
        <v>465</v>
      </c>
      <c r="B138" t="s">
        <v>466</v>
      </c>
      <c r="C138" t="s">
        <v>358</v>
      </c>
      <c r="D138" s="37">
        <v>1187713.73431156</v>
      </c>
      <c r="E138" s="37">
        <v>1193303.13654145</v>
      </c>
      <c r="F138" s="37">
        <v>1198290.00398849</v>
      </c>
      <c r="G138" s="37">
        <v>1196995</v>
      </c>
      <c r="H138">
        <v>1202401</v>
      </c>
      <c r="I138">
        <v>1207875</v>
      </c>
      <c r="J138">
        <v>1213331</v>
      </c>
      <c r="K138">
        <v>1218692</v>
      </c>
      <c r="L138">
        <v>1223882</v>
      </c>
      <c r="M138">
        <v>1228834</v>
      </c>
      <c r="N138">
        <v>1233485</v>
      </c>
      <c r="O138">
        <v>1237777</v>
      </c>
      <c r="P138">
        <v>1241658</v>
      </c>
      <c r="Q138">
        <v>1245082</v>
      </c>
      <c r="R138">
        <v>1248006</v>
      </c>
      <c r="S138">
        <v>1250395</v>
      </c>
      <c r="T138">
        <v>1252218</v>
      </c>
      <c r="U138">
        <v>1253450</v>
      </c>
      <c r="V138">
        <v>1254071</v>
      </c>
      <c r="W138">
        <v>1254066</v>
      </c>
      <c r="X138">
        <v>1253427</v>
      </c>
      <c r="Y138">
        <v>1252149</v>
      </c>
      <c r="Z138">
        <v>1250234</v>
      </c>
      <c r="AA138">
        <v>1247689</v>
      </c>
      <c r="AB138">
        <v>1244526</v>
      </c>
      <c r="AC138">
        <v>1240764</v>
      </c>
      <c r="AD138">
        <v>1236425</v>
      </c>
      <c r="AE138">
        <v>1231537</v>
      </c>
      <c r="AF138">
        <v>1226136</v>
      </c>
      <c r="AG138">
        <v>1220259</v>
      </c>
      <c r="AH138">
        <v>1213952</v>
      </c>
      <c r="AI138">
        <v>1207264</v>
      </c>
      <c r="AJ138">
        <v>1200252</v>
      </c>
      <c r="AK138">
        <v>1192975</v>
      </c>
      <c r="AL138">
        <v>1185501</v>
      </c>
      <c r="AM138">
        <v>1177900</v>
      </c>
      <c r="AN138">
        <v>1170249</v>
      </c>
      <c r="AO138">
        <v>1162632</v>
      </c>
      <c r="AP138">
        <v>1155134</v>
      </c>
      <c r="AQ138">
        <v>1147851</v>
      </c>
      <c r="AR138">
        <v>1140879</v>
      </c>
      <c r="AS138">
        <v>1134323</v>
      </c>
      <c r="AT138">
        <v>1128292</v>
      </c>
      <c r="AU138">
        <v>1122901</v>
      </c>
      <c r="AV138">
        <v>1118269</v>
      </c>
    </row>
    <row r="139" spans="1:48">
      <c r="A139" t="s">
        <v>467</v>
      </c>
      <c r="B139" t="s">
        <v>468</v>
      </c>
      <c r="C139" t="s">
        <v>358</v>
      </c>
      <c r="D139" s="37">
        <v>1176001.41217589</v>
      </c>
      <c r="E139" s="37">
        <v>1181474.06073046</v>
      </c>
      <c r="F139" s="37">
        <v>1186344.24222479</v>
      </c>
      <c r="G139" s="37">
        <v>1150219</v>
      </c>
      <c r="H139">
        <v>1154140</v>
      </c>
      <c r="I139">
        <v>1158646</v>
      </c>
      <c r="J139">
        <v>1163601</v>
      </c>
      <c r="K139">
        <v>1168880</v>
      </c>
      <c r="L139">
        <v>1174364</v>
      </c>
      <c r="M139">
        <v>1179941</v>
      </c>
      <c r="N139">
        <v>1185506</v>
      </c>
      <c r="O139">
        <v>1190964</v>
      </c>
      <c r="P139">
        <v>1196225</v>
      </c>
      <c r="Q139">
        <v>1201209</v>
      </c>
      <c r="R139">
        <v>1205840</v>
      </c>
      <c r="S139">
        <v>1210054</v>
      </c>
      <c r="T139">
        <v>1213790</v>
      </c>
      <c r="U139">
        <v>1216998</v>
      </c>
      <c r="V139">
        <v>1219634</v>
      </c>
      <c r="W139">
        <v>1221661</v>
      </c>
      <c r="X139">
        <v>1223052</v>
      </c>
      <c r="Y139">
        <v>1223784</v>
      </c>
      <c r="Z139">
        <v>1223845</v>
      </c>
      <c r="AA139">
        <v>1223228</v>
      </c>
      <c r="AB139">
        <v>1221934</v>
      </c>
      <c r="AC139">
        <v>1219973</v>
      </c>
      <c r="AD139">
        <v>1217362</v>
      </c>
      <c r="AE139">
        <v>1214123</v>
      </c>
      <c r="AF139">
        <v>1210289</v>
      </c>
      <c r="AG139">
        <v>1205899</v>
      </c>
      <c r="AH139">
        <v>1200999</v>
      </c>
      <c r="AI139">
        <v>1195644</v>
      </c>
      <c r="AJ139">
        <v>1189896</v>
      </c>
      <c r="AK139">
        <v>1183823</v>
      </c>
      <c r="AL139">
        <v>1177502</v>
      </c>
      <c r="AM139">
        <v>1171019</v>
      </c>
      <c r="AN139">
        <v>1164464</v>
      </c>
      <c r="AO139">
        <v>1157937</v>
      </c>
      <c r="AP139">
        <v>1151545</v>
      </c>
      <c r="AQ139">
        <v>1145402</v>
      </c>
      <c r="AR139">
        <v>1139631</v>
      </c>
      <c r="AS139">
        <v>1134360</v>
      </c>
      <c r="AT139">
        <v>1129728</v>
      </c>
      <c r="AU139">
        <v>1125878</v>
      </c>
      <c r="AV139">
        <v>1122963</v>
      </c>
    </row>
    <row r="140" spans="1:48">
      <c r="A140" t="s">
        <v>469</v>
      </c>
      <c r="B140" t="s">
        <v>470</v>
      </c>
      <c r="C140" t="s">
        <v>358</v>
      </c>
      <c r="D140" s="37">
        <v>8696195.46636331</v>
      </c>
      <c r="E140" s="37">
        <v>8736800.70634981</v>
      </c>
      <c r="F140" s="37">
        <v>8774778.34948786</v>
      </c>
      <c r="G140" s="37">
        <v>8931722</v>
      </c>
      <c r="H140">
        <v>8969301</v>
      </c>
      <c r="I140">
        <v>9014058</v>
      </c>
      <c r="J140">
        <v>9064591</v>
      </c>
      <c r="K140">
        <v>9119580</v>
      </c>
      <c r="L140">
        <v>9177778</v>
      </c>
      <c r="M140">
        <v>9238021</v>
      </c>
      <c r="N140">
        <v>9299218</v>
      </c>
      <c r="O140">
        <v>9360360</v>
      </c>
      <c r="P140">
        <v>9420513</v>
      </c>
      <c r="Q140">
        <v>9478823</v>
      </c>
      <c r="R140">
        <v>9534511</v>
      </c>
      <c r="S140">
        <v>9586880</v>
      </c>
      <c r="T140">
        <v>9635308</v>
      </c>
      <c r="U140">
        <v>9679252</v>
      </c>
      <c r="V140">
        <v>9718245</v>
      </c>
      <c r="W140">
        <v>9751900</v>
      </c>
      <c r="X140">
        <v>9779908</v>
      </c>
      <c r="Y140">
        <v>9802037</v>
      </c>
      <c r="Z140">
        <v>9818132</v>
      </c>
      <c r="AA140">
        <v>9828118</v>
      </c>
      <c r="AB140">
        <v>9831997</v>
      </c>
      <c r="AC140">
        <v>9829847</v>
      </c>
      <c r="AD140">
        <v>9821828</v>
      </c>
      <c r="AE140">
        <v>9808174</v>
      </c>
      <c r="AF140">
        <v>9789199</v>
      </c>
      <c r="AG140">
        <v>9765294</v>
      </c>
      <c r="AH140">
        <v>9736928</v>
      </c>
      <c r="AI140">
        <v>9704649</v>
      </c>
      <c r="AJ140">
        <v>9669081</v>
      </c>
      <c r="AK140">
        <v>9630928</v>
      </c>
      <c r="AL140">
        <v>9590969</v>
      </c>
      <c r="AM140">
        <v>9550064</v>
      </c>
      <c r="AN140">
        <v>9509150</v>
      </c>
      <c r="AO140">
        <v>9469240</v>
      </c>
      <c r="AP140">
        <v>9431427</v>
      </c>
      <c r="AQ140">
        <v>9396881</v>
      </c>
      <c r="AR140">
        <v>9366851</v>
      </c>
      <c r="AS140">
        <v>9342663</v>
      </c>
      <c r="AT140">
        <v>9325719</v>
      </c>
      <c r="AU140">
        <v>9317503</v>
      </c>
      <c r="AV140">
        <v>9319574</v>
      </c>
    </row>
    <row r="141" spans="1:48">
      <c r="A141" t="s">
        <v>471</v>
      </c>
      <c r="B141" t="s">
        <v>472</v>
      </c>
      <c r="C141" t="s">
        <v>358</v>
      </c>
      <c r="D141" s="37">
        <v>5034764.8207833</v>
      </c>
      <c r="E141" s="37">
        <v>5060446.15550017</v>
      </c>
      <c r="F141" s="37">
        <v>5083650.82611351</v>
      </c>
      <c r="G141" s="37">
        <v>4449391</v>
      </c>
      <c r="H141">
        <v>4468837</v>
      </c>
      <c r="I141">
        <v>4490083</v>
      </c>
      <c r="J141">
        <v>4512661</v>
      </c>
      <c r="K141">
        <v>4536129</v>
      </c>
      <c r="L141">
        <v>4560072</v>
      </c>
      <c r="M141">
        <v>4584102</v>
      </c>
      <c r="N141">
        <v>4607856</v>
      </c>
      <c r="O141">
        <v>4631000</v>
      </c>
      <c r="P141">
        <v>4653224</v>
      </c>
      <c r="Q141">
        <v>4674246</v>
      </c>
      <c r="R141">
        <v>4693810</v>
      </c>
      <c r="S141">
        <v>4711685</v>
      </c>
      <c r="T141">
        <v>4727670</v>
      </c>
      <c r="U141">
        <v>4741588</v>
      </c>
      <c r="V141">
        <v>4753288</v>
      </c>
      <c r="W141">
        <v>4762648</v>
      </c>
      <c r="X141">
        <v>4769570</v>
      </c>
      <c r="Y141">
        <v>4773984</v>
      </c>
      <c r="Z141">
        <v>4775845</v>
      </c>
      <c r="AA141">
        <v>4775137</v>
      </c>
      <c r="AB141">
        <v>4771869</v>
      </c>
      <c r="AC141">
        <v>4766075</v>
      </c>
      <c r="AD141">
        <v>4757819</v>
      </c>
      <c r="AE141">
        <v>4747188</v>
      </c>
      <c r="AF141">
        <v>4734298</v>
      </c>
      <c r="AG141">
        <v>4719290</v>
      </c>
      <c r="AH141">
        <v>4702333</v>
      </c>
      <c r="AI141">
        <v>4683620</v>
      </c>
      <c r="AJ141">
        <v>4663373</v>
      </c>
      <c r="AK141">
        <v>4641841</v>
      </c>
      <c r="AL141">
        <v>4619295</v>
      </c>
      <c r="AM141">
        <v>4596038</v>
      </c>
      <c r="AN141">
        <v>4572397</v>
      </c>
      <c r="AO141">
        <v>4548724</v>
      </c>
      <c r="AP141">
        <v>4525401</v>
      </c>
      <c r="AQ141">
        <v>4502833</v>
      </c>
      <c r="AR141">
        <v>4481454</v>
      </c>
      <c r="AS141">
        <v>4461724</v>
      </c>
      <c r="AT141">
        <v>4444128</v>
      </c>
      <c r="AU141">
        <v>4429180</v>
      </c>
      <c r="AV141">
        <v>4417418</v>
      </c>
    </row>
    <row r="142" spans="1:48">
      <c r="A142" t="s">
        <v>473</v>
      </c>
      <c r="B142" t="s">
        <v>474</v>
      </c>
      <c r="C142" t="s">
        <v>358</v>
      </c>
      <c r="D142" s="37">
        <v>5643430.7809938</v>
      </c>
      <c r="E142" s="37">
        <v>5670682.14506801</v>
      </c>
      <c r="F142" s="37">
        <v>5695786.46495933</v>
      </c>
      <c r="G142" s="37">
        <v>4984179</v>
      </c>
      <c r="H142">
        <v>5007290</v>
      </c>
      <c r="I142">
        <v>5032674</v>
      </c>
      <c r="J142">
        <v>5059738</v>
      </c>
      <c r="K142">
        <v>5087926</v>
      </c>
      <c r="L142">
        <v>5116717</v>
      </c>
      <c r="M142">
        <v>5145621</v>
      </c>
      <c r="N142">
        <v>5174186</v>
      </c>
      <c r="O142">
        <v>5201993</v>
      </c>
      <c r="P142">
        <v>5228656</v>
      </c>
      <c r="Q142">
        <v>5253826</v>
      </c>
      <c r="R142">
        <v>5277186</v>
      </c>
      <c r="S142">
        <v>5298454</v>
      </c>
      <c r="T142">
        <v>5317383</v>
      </c>
      <c r="U142">
        <v>5333761</v>
      </c>
      <c r="V142">
        <v>5347408</v>
      </c>
      <c r="W142">
        <v>5358181</v>
      </c>
      <c r="X142">
        <v>5365968</v>
      </c>
      <c r="Y142">
        <v>5370695</v>
      </c>
      <c r="Z142">
        <v>5372321</v>
      </c>
      <c r="AA142">
        <v>5370838</v>
      </c>
      <c r="AB142">
        <v>5366275</v>
      </c>
      <c r="AC142">
        <v>5358692</v>
      </c>
      <c r="AD142">
        <v>5348186</v>
      </c>
      <c r="AE142">
        <v>5334888</v>
      </c>
      <c r="AF142">
        <v>5318962</v>
      </c>
      <c r="AG142">
        <v>5300609</v>
      </c>
      <c r="AH142">
        <v>5280060</v>
      </c>
      <c r="AI142">
        <v>5257585</v>
      </c>
      <c r="AJ142">
        <v>5233486</v>
      </c>
      <c r="AK142">
        <v>5208099</v>
      </c>
      <c r="AL142">
        <v>5181795</v>
      </c>
      <c r="AM142">
        <v>5154981</v>
      </c>
      <c r="AN142">
        <v>5128094</v>
      </c>
      <c r="AO142">
        <v>5101611</v>
      </c>
      <c r="AP142">
        <v>5076039</v>
      </c>
      <c r="AQ142">
        <v>5051920</v>
      </c>
      <c r="AR142">
        <v>5029833</v>
      </c>
      <c r="AS142">
        <v>5010388</v>
      </c>
      <c r="AT142">
        <v>4994232</v>
      </c>
      <c r="AU142">
        <v>4982044</v>
      </c>
      <c r="AV142">
        <v>4974540</v>
      </c>
    </row>
    <row r="143" spans="1:48">
      <c r="A143" t="s">
        <v>475</v>
      </c>
      <c r="B143" t="s">
        <v>476</v>
      </c>
      <c r="C143" t="s">
        <v>358</v>
      </c>
      <c r="D143" s="37">
        <v>4101189.63693022</v>
      </c>
      <c r="E143" s="37">
        <v>4124992.60543986</v>
      </c>
      <c r="F143" s="37">
        <v>4147048.5786889</v>
      </c>
      <c r="G143" s="37">
        <v>3593080</v>
      </c>
      <c r="H143">
        <v>3614645</v>
      </c>
      <c r="I143">
        <v>3637242</v>
      </c>
      <c r="J143">
        <v>3660518</v>
      </c>
      <c r="K143">
        <v>3684139</v>
      </c>
      <c r="L143">
        <v>3707793</v>
      </c>
      <c r="M143">
        <v>3731187</v>
      </c>
      <c r="N143">
        <v>3754050</v>
      </c>
      <c r="O143">
        <v>3776133</v>
      </c>
      <c r="P143">
        <v>3797205</v>
      </c>
      <c r="Q143">
        <v>3817059</v>
      </c>
      <c r="R143">
        <v>3835508</v>
      </c>
      <c r="S143">
        <v>3852383</v>
      </c>
      <c r="T143">
        <v>3867540</v>
      </c>
      <c r="U143">
        <v>3880854</v>
      </c>
      <c r="V143">
        <v>3892220</v>
      </c>
      <c r="W143">
        <v>3901555</v>
      </c>
      <c r="X143">
        <v>3908796</v>
      </c>
      <c r="Y143">
        <v>3913903</v>
      </c>
      <c r="Z143">
        <v>3916855</v>
      </c>
      <c r="AA143">
        <v>3917651</v>
      </c>
      <c r="AB143">
        <v>3916313</v>
      </c>
      <c r="AC143">
        <v>3912882</v>
      </c>
      <c r="AD143">
        <v>3907422</v>
      </c>
      <c r="AE143">
        <v>3900016</v>
      </c>
      <c r="AF143">
        <v>3890768</v>
      </c>
      <c r="AG143">
        <v>3879804</v>
      </c>
      <c r="AH143">
        <v>3867271</v>
      </c>
      <c r="AI143">
        <v>3853334</v>
      </c>
      <c r="AJ143">
        <v>3838182</v>
      </c>
      <c r="AK143">
        <v>3822024</v>
      </c>
      <c r="AL143">
        <v>3805089</v>
      </c>
      <c r="AM143">
        <v>3787628</v>
      </c>
      <c r="AN143">
        <v>3769912</v>
      </c>
      <c r="AO143">
        <v>3752234</v>
      </c>
      <c r="AP143">
        <v>3734906</v>
      </c>
      <c r="AQ143">
        <v>3718262</v>
      </c>
      <c r="AR143">
        <v>3702658</v>
      </c>
      <c r="AS143">
        <v>3688469</v>
      </c>
      <c r="AT143">
        <v>3676091</v>
      </c>
      <c r="AU143">
        <v>3665942</v>
      </c>
      <c r="AV143">
        <v>3658459</v>
      </c>
    </row>
    <row r="144" spans="1:48">
      <c r="A144" t="s">
        <v>477</v>
      </c>
      <c r="B144" t="s">
        <v>478</v>
      </c>
      <c r="C144" t="s">
        <v>358</v>
      </c>
      <c r="D144" s="37">
        <v>6867889.56760975</v>
      </c>
      <c r="E144" s="37">
        <v>6902206.13695185</v>
      </c>
      <c r="F144" s="37">
        <v>6933800.13243444</v>
      </c>
      <c r="G144" s="37">
        <v>6463028</v>
      </c>
      <c r="H144">
        <v>6490614</v>
      </c>
      <c r="I144">
        <v>6522389</v>
      </c>
      <c r="J144">
        <v>6557475</v>
      </c>
      <c r="K144">
        <v>6595045</v>
      </c>
      <c r="L144">
        <v>6634322</v>
      </c>
      <c r="M144">
        <v>6674574</v>
      </c>
      <c r="N144">
        <v>6715124</v>
      </c>
      <c r="O144">
        <v>6755337</v>
      </c>
      <c r="P144">
        <v>6794633</v>
      </c>
      <c r="Q144">
        <v>6832478</v>
      </c>
      <c r="R144">
        <v>6868388</v>
      </c>
      <c r="S144">
        <v>6901927</v>
      </c>
      <c r="T144">
        <v>6932708</v>
      </c>
      <c r="U144">
        <v>6960395</v>
      </c>
      <c r="V144">
        <v>6984699</v>
      </c>
      <c r="W144">
        <v>7005380</v>
      </c>
      <c r="X144">
        <v>7022248</v>
      </c>
      <c r="Y144">
        <v>7035163</v>
      </c>
      <c r="Z144">
        <v>7044030</v>
      </c>
      <c r="AA144">
        <v>7048808</v>
      </c>
      <c r="AB144">
        <v>7049502</v>
      </c>
      <c r="AC144">
        <v>7046165</v>
      </c>
      <c r="AD144">
        <v>7038903</v>
      </c>
      <c r="AE144">
        <v>7027867</v>
      </c>
      <c r="AF144">
        <v>7013259</v>
      </c>
      <c r="AG144">
        <v>6995330</v>
      </c>
      <c r="AH144">
        <v>6974380</v>
      </c>
      <c r="AI144">
        <v>6950756</v>
      </c>
      <c r="AJ144">
        <v>6924857</v>
      </c>
      <c r="AK144">
        <v>6897129</v>
      </c>
      <c r="AL144">
        <v>6868068</v>
      </c>
      <c r="AM144">
        <v>6838219</v>
      </c>
      <c r="AN144">
        <v>6808175</v>
      </c>
      <c r="AO144">
        <v>6778578</v>
      </c>
      <c r="AP144">
        <v>6750121</v>
      </c>
      <c r="AQ144">
        <v>6723544</v>
      </c>
      <c r="AR144">
        <v>6699637</v>
      </c>
      <c r="AS144">
        <v>6679238</v>
      </c>
      <c r="AT144">
        <v>6663235</v>
      </c>
      <c r="AU144">
        <v>6652565</v>
      </c>
      <c r="AV144">
        <v>6648212</v>
      </c>
    </row>
    <row r="145" spans="1:48">
      <c r="A145" t="s">
        <v>479</v>
      </c>
      <c r="B145" t="s">
        <v>480</v>
      </c>
      <c r="C145" t="s">
        <v>14</v>
      </c>
      <c r="D145" s="37">
        <v>7153248.2007164</v>
      </c>
      <c r="E145" s="37">
        <v>7197585.91327461</v>
      </c>
      <c r="F145" s="37">
        <v>7237508.16683701</v>
      </c>
      <c r="G145" s="37">
        <v>9124789</v>
      </c>
      <c r="H145">
        <v>9201490</v>
      </c>
      <c r="I145">
        <v>9266483</v>
      </c>
      <c r="J145">
        <v>9320566</v>
      </c>
      <c r="K145">
        <v>9364509</v>
      </c>
      <c r="L145">
        <v>9399053</v>
      </c>
      <c r="M145">
        <v>9424908</v>
      </c>
      <c r="N145">
        <v>9442756</v>
      </c>
      <c r="O145">
        <v>9453249</v>
      </c>
      <c r="P145">
        <v>9457010</v>
      </c>
      <c r="Q145">
        <v>9454632</v>
      </c>
      <c r="R145">
        <v>9446679</v>
      </c>
      <c r="S145">
        <v>9433686</v>
      </c>
      <c r="T145">
        <v>9416158</v>
      </c>
      <c r="U145">
        <v>9394571</v>
      </c>
      <c r="V145">
        <v>9369372</v>
      </c>
      <c r="W145">
        <v>9340977</v>
      </c>
      <c r="X145">
        <v>9309775</v>
      </c>
      <c r="Y145">
        <v>9276123</v>
      </c>
      <c r="Z145">
        <v>9240351</v>
      </c>
      <c r="AA145">
        <v>9202758</v>
      </c>
      <c r="AB145">
        <v>9163614</v>
      </c>
      <c r="AC145">
        <v>9123161</v>
      </c>
      <c r="AD145">
        <v>9081609</v>
      </c>
      <c r="AE145">
        <v>9039142</v>
      </c>
      <c r="AF145">
        <v>8995911</v>
      </c>
      <c r="AG145">
        <v>8952040</v>
      </c>
      <c r="AH145">
        <v>8907623</v>
      </c>
      <c r="AI145">
        <v>8862724</v>
      </c>
      <c r="AJ145">
        <v>8817379</v>
      </c>
      <c r="AK145">
        <v>8771593</v>
      </c>
      <c r="AL145">
        <v>8725344</v>
      </c>
      <c r="AM145">
        <v>8678577</v>
      </c>
      <c r="AN145">
        <v>8631211</v>
      </c>
      <c r="AO145">
        <v>8583134</v>
      </c>
      <c r="AP145">
        <v>8534204</v>
      </c>
      <c r="AQ145">
        <v>8484252</v>
      </c>
      <c r="AR145">
        <v>8433078</v>
      </c>
      <c r="AS145">
        <v>8380452</v>
      </c>
      <c r="AT145">
        <v>8326116</v>
      </c>
      <c r="AU145">
        <v>8269781</v>
      </c>
      <c r="AV145">
        <v>8211131</v>
      </c>
    </row>
    <row r="146" spans="1:48">
      <c r="A146" t="s">
        <v>481</v>
      </c>
      <c r="B146" t="s">
        <v>482</v>
      </c>
      <c r="C146" t="s">
        <v>14</v>
      </c>
      <c r="D146" s="37">
        <v>9076176.82980119</v>
      </c>
      <c r="E146" s="37">
        <v>9120417.7974926</v>
      </c>
      <c r="F146" s="37">
        <v>9159350.67581353</v>
      </c>
      <c r="G146" s="37">
        <v>10004648</v>
      </c>
      <c r="H146">
        <v>10070342</v>
      </c>
      <c r="I146">
        <v>10125262</v>
      </c>
      <c r="J146">
        <v>10170056</v>
      </c>
      <c r="K146">
        <v>10205351</v>
      </c>
      <c r="L146">
        <v>10231753</v>
      </c>
      <c r="M146">
        <v>10249849</v>
      </c>
      <c r="N146">
        <v>10260204</v>
      </c>
      <c r="O146">
        <v>10263363</v>
      </c>
      <c r="P146">
        <v>10259848</v>
      </c>
      <c r="Q146">
        <v>10250163</v>
      </c>
      <c r="R146">
        <v>10234790</v>
      </c>
      <c r="S146">
        <v>10214192</v>
      </c>
      <c r="T146">
        <v>10188808</v>
      </c>
      <c r="U146">
        <v>10159060</v>
      </c>
      <c r="V146">
        <v>10125346</v>
      </c>
      <c r="W146">
        <v>10088046</v>
      </c>
      <c r="X146">
        <v>10047517</v>
      </c>
      <c r="Y146">
        <v>10004098</v>
      </c>
      <c r="Z146">
        <v>9958105</v>
      </c>
      <c r="AA146">
        <v>9909833</v>
      </c>
      <c r="AB146">
        <v>9859559</v>
      </c>
      <c r="AC146">
        <v>9807537</v>
      </c>
      <c r="AD146">
        <v>9754000</v>
      </c>
      <c r="AE146">
        <v>9699163</v>
      </c>
      <c r="AF146">
        <v>9643217</v>
      </c>
      <c r="AG146">
        <v>9586335</v>
      </c>
      <c r="AH146">
        <v>9528667</v>
      </c>
      <c r="AI146">
        <v>9470344</v>
      </c>
      <c r="AJ146">
        <v>9411477</v>
      </c>
      <c r="AK146">
        <v>9352153</v>
      </c>
      <c r="AL146">
        <v>9292441</v>
      </c>
      <c r="AM146">
        <v>9232388</v>
      </c>
      <c r="AN146">
        <v>9172023</v>
      </c>
      <c r="AO146">
        <v>9111351</v>
      </c>
      <c r="AP146">
        <v>9050357</v>
      </c>
      <c r="AQ146">
        <v>8989006</v>
      </c>
      <c r="AR146">
        <v>8927242</v>
      </c>
      <c r="AS146">
        <v>8864990</v>
      </c>
      <c r="AT146">
        <v>8802151</v>
      </c>
      <c r="AU146">
        <v>8738608</v>
      </c>
      <c r="AV146">
        <v>8674222</v>
      </c>
    </row>
    <row r="147" spans="1:48">
      <c r="A147" t="s">
        <v>483</v>
      </c>
      <c r="B147" t="s">
        <v>484</v>
      </c>
      <c r="C147" t="s">
        <v>14</v>
      </c>
      <c r="D147" s="37">
        <v>4672924.24103872</v>
      </c>
      <c r="E147" s="37">
        <v>4690194.19560252</v>
      </c>
      <c r="F147" s="37">
        <v>4705252.08621902</v>
      </c>
      <c r="G147" s="37">
        <v>4681060</v>
      </c>
      <c r="H147">
        <v>4703603</v>
      </c>
      <c r="I147">
        <v>4722676</v>
      </c>
      <c r="J147">
        <v>4738360</v>
      </c>
      <c r="K147">
        <v>4750739</v>
      </c>
      <c r="L147">
        <v>4759897</v>
      </c>
      <c r="M147">
        <v>4765924</v>
      </c>
      <c r="N147">
        <v>4768912</v>
      </c>
      <c r="O147">
        <v>4768955</v>
      </c>
      <c r="P147">
        <v>4766151</v>
      </c>
      <c r="Q147">
        <v>4760600</v>
      </c>
      <c r="R147">
        <v>4752406</v>
      </c>
      <c r="S147">
        <v>4741674</v>
      </c>
      <c r="T147">
        <v>4728514</v>
      </c>
      <c r="U147">
        <v>4713037</v>
      </c>
      <c r="V147">
        <v>4695359</v>
      </c>
      <c r="W147">
        <v>4675596</v>
      </c>
      <c r="X147">
        <v>4653869</v>
      </c>
      <c r="Y147">
        <v>4630301</v>
      </c>
      <c r="Z147">
        <v>4605020</v>
      </c>
      <c r="AA147">
        <v>4578153</v>
      </c>
      <c r="AB147">
        <v>4549833</v>
      </c>
      <c r="AC147">
        <v>4520194</v>
      </c>
      <c r="AD147">
        <v>4489375</v>
      </c>
      <c r="AE147">
        <v>4457515</v>
      </c>
      <c r="AF147">
        <v>4424759</v>
      </c>
      <c r="AG147">
        <v>4391252</v>
      </c>
      <c r="AH147">
        <v>4357143</v>
      </c>
      <c r="AI147">
        <v>4322585</v>
      </c>
      <c r="AJ147">
        <v>4287733</v>
      </c>
      <c r="AK147">
        <v>4252744</v>
      </c>
      <c r="AL147">
        <v>4217779</v>
      </c>
      <c r="AM147">
        <v>4183001</v>
      </c>
      <c r="AN147">
        <v>4148578</v>
      </c>
      <c r="AO147">
        <v>4114677</v>
      </c>
      <c r="AP147">
        <v>4081471</v>
      </c>
      <c r="AQ147">
        <v>4049136</v>
      </c>
      <c r="AR147">
        <v>4017848</v>
      </c>
      <c r="AS147">
        <v>3987790</v>
      </c>
      <c r="AT147">
        <v>3959143</v>
      </c>
      <c r="AU147">
        <v>3932096</v>
      </c>
      <c r="AV147">
        <v>3906836</v>
      </c>
    </row>
    <row r="148" spans="1:48">
      <c r="A148" t="s">
        <v>485</v>
      </c>
      <c r="B148" t="s">
        <v>486</v>
      </c>
      <c r="C148" t="s">
        <v>14</v>
      </c>
      <c r="D148" s="37">
        <v>3887695.98302266</v>
      </c>
      <c r="E148" s="37">
        <v>3908490.77844548</v>
      </c>
      <c r="F148" s="37">
        <v>3927510.21989077</v>
      </c>
      <c r="G148" s="37">
        <v>3828414</v>
      </c>
      <c r="H148">
        <v>3855201</v>
      </c>
      <c r="I148">
        <v>3879651</v>
      </c>
      <c r="J148">
        <v>3901786</v>
      </c>
      <c r="K148">
        <v>3921634</v>
      </c>
      <c r="L148">
        <v>3939224</v>
      </c>
      <c r="M148">
        <v>3954589</v>
      </c>
      <c r="N148">
        <v>3967767</v>
      </c>
      <c r="O148">
        <v>3978797</v>
      </c>
      <c r="P148">
        <v>3987722</v>
      </c>
      <c r="Q148">
        <v>3994588</v>
      </c>
      <c r="R148">
        <v>3999445</v>
      </c>
      <c r="S148">
        <v>4002346</v>
      </c>
      <c r="T148">
        <v>4003348</v>
      </c>
      <c r="U148">
        <v>4002509</v>
      </c>
      <c r="V148">
        <v>3999893</v>
      </c>
      <c r="W148">
        <v>3995565</v>
      </c>
      <c r="X148">
        <v>3989596</v>
      </c>
      <c r="Y148">
        <v>3982057</v>
      </c>
      <c r="Z148">
        <v>3973024</v>
      </c>
      <c r="AA148">
        <v>3962578</v>
      </c>
      <c r="AB148">
        <v>3950800</v>
      </c>
      <c r="AC148">
        <v>3937776</v>
      </c>
      <c r="AD148">
        <v>3923595</v>
      </c>
      <c r="AE148">
        <v>3908350</v>
      </c>
      <c r="AF148">
        <v>3892136</v>
      </c>
      <c r="AG148">
        <v>3875053</v>
      </c>
      <c r="AH148">
        <v>3857202</v>
      </c>
      <c r="AI148">
        <v>3838689</v>
      </c>
      <c r="AJ148">
        <v>3819623</v>
      </c>
      <c r="AK148">
        <v>3800116</v>
      </c>
      <c r="AL148">
        <v>3780283</v>
      </c>
      <c r="AM148">
        <v>3760243</v>
      </c>
      <c r="AN148">
        <v>3740118</v>
      </c>
      <c r="AO148">
        <v>3720033</v>
      </c>
      <c r="AP148">
        <v>3700117</v>
      </c>
      <c r="AQ148">
        <v>3680501</v>
      </c>
      <c r="AR148">
        <v>3661320</v>
      </c>
      <c r="AS148">
        <v>3642714</v>
      </c>
      <c r="AT148">
        <v>3624823</v>
      </c>
      <c r="AU148">
        <v>3607793</v>
      </c>
      <c r="AV148">
        <v>3591771</v>
      </c>
    </row>
    <row r="149" spans="1:48">
      <c r="A149" t="s">
        <v>487</v>
      </c>
      <c r="B149" t="s">
        <v>488</v>
      </c>
      <c r="C149" t="s">
        <v>14</v>
      </c>
      <c r="D149" s="37">
        <v>2122104.14179699</v>
      </c>
      <c r="E149" s="37">
        <v>2132592.96789292</v>
      </c>
      <c r="F149" s="37">
        <v>2141833.59402834</v>
      </c>
      <c r="G149" s="37">
        <v>2181073</v>
      </c>
      <c r="H149">
        <v>2193342</v>
      </c>
      <c r="I149">
        <v>2203929</v>
      </c>
      <c r="J149">
        <v>2212897</v>
      </c>
      <c r="K149">
        <v>2220309</v>
      </c>
      <c r="L149">
        <v>2226225</v>
      </c>
      <c r="M149">
        <v>2230707</v>
      </c>
      <c r="N149">
        <v>2233814</v>
      </c>
      <c r="O149">
        <v>2235605</v>
      </c>
      <c r="P149">
        <v>2236138</v>
      </c>
      <c r="Q149">
        <v>2235472</v>
      </c>
      <c r="R149">
        <v>2233662</v>
      </c>
      <c r="S149">
        <v>2230764</v>
      </c>
      <c r="T149">
        <v>2226835</v>
      </c>
      <c r="U149">
        <v>2221927</v>
      </c>
      <c r="V149">
        <v>2216095</v>
      </c>
      <c r="W149">
        <v>2209392</v>
      </c>
      <c r="X149">
        <v>2201870</v>
      </c>
      <c r="Y149">
        <v>2193579</v>
      </c>
      <c r="Z149">
        <v>2184571</v>
      </c>
      <c r="AA149">
        <v>2174895</v>
      </c>
      <c r="AB149">
        <v>2164600</v>
      </c>
      <c r="AC149">
        <v>2153734</v>
      </c>
      <c r="AD149">
        <v>2142346</v>
      </c>
      <c r="AE149">
        <v>2130480</v>
      </c>
      <c r="AF149">
        <v>2118184</v>
      </c>
      <c r="AG149">
        <v>2105503</v>
      </c>
      <c r="AH149">
        <v>2092480</v>
      </c>
      <c r="AI149">
        <v>2079160</v>
      </c>
      <c r="AJ149">
        <v>2065584</v>
      </c>
      <c r="AK149">
        <v>2051796</v>
      </c>
      <c r="AL149">
        <v>2037836</v>
      </c>
      <c r="AM149">
        <v>2023745</v>
      </c>
      <c r="AN149">
        <v>2009563</v>
      </c>
      <c r="AO149">
        <v>1995328</v>
      </c>
      <c r="AP149">
        <v>1981078</v>
      </c>
      <c r="AQ149">
        <v>1966852</v>
      </c>
      <c r="AR149">
        <v>1952685</v>
      </c>
      <c r="AS149">
        <v>1938613</v>
      </c>
      <c r="AT149">
        <v>1924672</v>
      </c>
      <c r="AU149">
        <v>1910895</v>
      </c>
      <c r="AV149">
        <v>1897317</v>
      </c>
    </row>
    <row r="150" spans="1:48">
      <c r="A150" t="s">
        <v>489</v>
      </c>
      <c r="B150" t="s">
        <v>490</v>
      </c>
      <c r="C150" t="s">
        <v>14</v>
      </c>
      <c r="D150" s="37">
        <v>7165620.59423082</v>
      </c>
      <c r="E150" s="37">
        <v>7190724.71908587</v>
      </c>
      <c r="F150" s="37">
        <v>7212152.69183345</v>
      </c>
      <c r="G150" s="37">
        <v>7061298</v>
      </c>
      <c r="H150">
        <v>7101116</v>
      </c>
      <c r="I150">
        <v>7131386</v>
      </c>
      <c r="J150">
        <v>7152720</v>
      </c>
      <c r="K150">
        <v>7165713</v>
      </c>
      <c r="L150">
        <v>7170939</v>
      </c>
      <c r="M150">
        <v>7168958</v>
      </c>
      <c r="N150">
        <v>7160307</v>
      </c>
      <c r="O150">
        <v>7145508</v>
      </c>
      <c r="P150">
        <v>7125064</v>
      </c>
      <c r="Q150">
        <v>7099459</v>
      </c>
      <c r="R150">
        <v>7069158</v>
      </c>
      <c r="S150">
        <v>7034610</v>
      </c>
      <c r="T150">
        <v>6996243</v>
      </c>
      <c r="U150">
        <v>6954468</v>
      </c>
      <c r="V150">
        <v>6909677</v>
      </c>
      <c r="W150">
        <v>6862246</v>
      </c>
      <c r="X150">
        <v>6812529</v>
      </c>
      <c r="Y150">
        <v>6760864</v>
      </c>
      <c r="Z150">
        <v>6707570</v>
      </c>
      <c r="AA150">
        <v>6652948</v>
      </c>
      <c r="AB150">
        <v>6597281</v>
      </c>
      <c r="AC150">
        <v>6540832</v>
      </c>
      <c r="AD150">
        <v>6483847</v>
      </c>
      <c r="AE150">
        <v>6426553</v>
      </c>
      <c r="AF150">
        <v>6369161</v>
      </c>
      <c r="AG150">
        <v>6311859</v>
      </c>
      <c r="AH150">
        <v>6254821</v>
      </c>
      <c r="AI150">
        <v>6198200</v>
      </c>
      <c r="AJ150">
        <v>6142133</v>
      </c>
      <c r="AK150">
        <v>6086736</v>
      </c>
      <c r="AL150">
        <v>6032108</v>
      </c>
      <c r="AM150">
        <v>5978331</v>
      </c>
      <c r="AN150">
        <v>5925466</v>
      </c>
      <c r="AO150">
        <v>5873557</v>
      </c>
      <c r="AP150">
        <v>5822630</v>
      </c>
      <c r="AQ150">
        <v>5772692</v>
      </c>
      <c r="AR150">
        <v>5723732</v>
      </c>
      <c r="AS150">
        <v>5675720</v>
      </c>
      <c r="AT150">
        <v>5628609</v>
      </c>
      <c r="AU150">
        <v>5582333</v>
      </c>
      <c r="AV150">
        <v>5536807</v>
      </c>
    </row>
    <row r="151" spans="1:48">
      <c r="A151" t="s">
        <v>491</v>
      </c>
      <c r="B151" t="s">
        <v>492</v>
      </c>
      <c r="C151" t="s">
        <v>14</v>
      </c>
      <c r="D151" s="37">
        <v>9392237.19891441</v>
      </c>
      <c r="E151" s="37">
        <v>9429194.16048689</v>
      </c>
      <c r="F151" s="37">
        <v>9461592.21371691</v>
      </c>
      <c r="G151" s="37">
        <v>9338971</v>
      </c>
      <c r="H151">
        <v>9385514</v>
      </c>
      <c r="I151">
        <v>9425574</v>
      </c>
      <c r="J151">
        <v>9459303</v>
      </c>
      <c r="K151">
        <v>9486859</v>
      </c>
      <c r="L151">
        <v>9508405</v>
      </c>
      <c r="M151">
        <v>9524107</v>
      </c>
      <c r="N151">
        <v>9534139</v>
      </c>
      <c r="O151">
        <v>9538675</v>
      </c>
      <c r="P151">
        <v>9537899</v>
      </c>
      <c r="Q151">
        <v>9531996</v>
      </c>
      <c r="R151">
        <v>9521158</v>
      </c>
      <c r="S151">
        <v>9505580</v>
      </c>
      <c r="T151">
        <v>9485464</v>
      </c>
      <c r="U151">
        <v>9461014</v>
      </c>
      <c r="V151">
        <v>9432441</v>
      </c>
      <c r="W151">
        <v>9399961</v>
      </c>
      <c r="X151">
        <v>9363792</v>
      </c>
      <c r="Y151">
        <v>9324161</v>
      </c>
      <c r="Z151">
        <v>9281295</v>
      </c>
      <c r="AA151">
        <v>9235430</v>
      </c>
      <c r="AB151">
        <v>9186805</v>
      </c>
      <c r="AC151">
        <v>9135663</v>
      </c>
      <c r="AD151">
        <v>9082252</v>
      </c>
      <c r="AE151">
        <v>9026828</v>
      </c>
      <c r="AF151">
        <v>8969646</v>
      </c>
      <c r="AG151">
        <v>8910972</v>
      </c>
      <c r="AH151">
        <v>8851072</v>
      </c>
      <c r="AI151">
        <v>8790219</v>
      </c>
      <c r="AJ151">
        <v>8728690</v>
      </c>
      <c r="AK151">
        <v>8666767</v>
      </c>
      <c r="AL151">
        <v>8604738</v>
      </c>
      <c r="AM151">
        <v>8542894</v>
      </c>
      <c r="AN151">
        <v>8481532</v>
      </c>
      <c r="AO151">
        <v>8420953</v>
      </c>
      <c r="AP151">
        <v>8361463</v>
      </c>
      <c r="AQ151">
        <v>8303373</v>
      </c>
      <c r="AR151">
        <v>8246999</v>
      </c>
      <c r="AS151">
        <v>8192661</v>
      </c>
      <c r="AT151">
        <v>8140684</v>
      </c>
      <c r="AU151">
        <v>8091399</v>
      </c>
      <c r="AV151">
        <v>8045140</v>
      </c>
    </row>
    <row r="152" spans="1:48">
      <c r="A152" t="s">
        <v>493</v>
      </c>
      <c r="B152" t="s">
        <v>494</v>
      </c>
      <c r="C152" t="s">
        <v>14</v>
      </c>
      <c r="D152" s="37">
        <v>8443720.43269591</v>
      </c>
      <c r="E152" s="37">
        <v>8482607.07651362</v>
      </c>
      <c r="F152" s="37">
        <v>8516310.67462313</v>
      </c>
      <c r="G152" s="37">
        <v>8319940</v>
      </c>
      <c r="H152">
        <v>8356958</v>
      </c>
      <c r="I152">
        <v>8391066</v>
      </c>
      <c r="J152">
        <v>8422171</v>
      </c>
      <c r="K152">
        <v>8450190</v>
      </c>
      <c r="L152">
        <v>8475052</v>
      </c>
      <c r="M152">
        <v>8496696</v>
      </c>
      <c r="N152">
        <v>8515074</v>
      </c>
      <c r="O152">
        <v>8530148</v>
      </c>
      <c r="P152">
        <v>8541892</v>
      </c>
      <c r="Q152">
        <v>8550288</v>
      </c>
      <c r="R152">
        <v>8555335</v>
      </c>
      <c r="S152">
        <v>8557037</v>
      </c>
      <c r="T152">
        <v>8555413</v>
      </c>
      <c r="U152">
        <v>8550493</v>
      </c>
      <c r="V152">
        <v>8542315</v>
      </c>
      <c r="W152">
        <v>8530932</v>
      </c>
      <c r="X152">
        <v>8516406</v>
      </c>
      <c r="Y152">
        <v>8498811</v>
      </c>
      <c r="Z152">
        <v>8478231</v>
      </c>
      <c r="AA152">
        <v>8454762</v>
      </c>
      <c r="AB152">
        <v>8428512</v>
      </c>
      <c r="AC152">
        <v>8399598</v>
      </c>
      <c r="AD152">
        <v>8368150</v>
      </c>
      <c r="AE152">
        <v>8334309</v>
      </c>
      <c r="AF152">
        <v>8298226</v>
      </c>
      <c r="AG152">
        <v>8260064</v>
      </c>
      <c r="AH152">
        <v>8219996</v>
      </c>
      <c r="AI152">
        <v>8178209</v>
      </c>
      <c r="AJ152">
        <v>8134897</v>
      </c>
      <c r="AK152">
        <v>8090269</v>
      </c>
      <c r="AL152">
        <v>8044543</v>
      </c>
      <c r="AM152">
        <v>7997949</v>
      </c>
      <c r="AN152">
        <v>7950727</v>
      </c>
      <c r="AO152">
        <v>7903130</v>
      </c>
      <c r="AP152">
        <v>7855420</v>
      </c>
      <c r="AQ152">
        <v>7807872</v>
      </c>
      <c r="AR152">
        <v>7760772</v>
      </c>
      <c r="AS152">
        <v>7714415</v>
      </c>
      <c r="AT152">
        <v>7669109</v>
      </c>
      <c r="AU152">
        <v>7625174</v>
      </c>
      <c r="AV152">
        <v>7582939</v>
      </c>
    </row>
    <row r="153" spans="1:48">
      <c r="A153" t="s">
        <v>495</v>
      </c>
      <c r="B153" t="s">
        <v>496</v>
      </c>
      <c r="C153" t="s">
        <v>14</v>
      </c>
      <c r="D153" s="37">
        <v>5726357.45978</v>
      </c>
      <c r="E153" s="37">
        <v>5749849.77155592</v>
      </c>
      <c r="F153" s="37">
        <v>5769404.78220469</v>
      </c>
      <c r="G153" s="37">
        <v>5450865</v>
      </c>
      <c r="H153">
        <v>5471633</v>
      </c>
      <c r="I153">
        <v>5488885</v>
      </c>
      <c r="J153">
        <v>5502735</v>
      </c>
      <c r="K153">
        <v>5513301</v>
      </c>
      <c r="L153">
        <v>5520697</v>
      </c>
      <c r="M153">
        <v>5525037</v>
      </c>
      <c r="N153">
        <v>5526435</v>
      </c>
      <c r="O153">
        <v>5525005</v>
      </c>
      <c r="P153">
        <v>5520859</v>
      </c>
      <c r="Q153">
        <v>5514108</v>
      </c>
      <c r="R153">
        <v>5504865</v>
      </c>
      <c r="S153">
        <v>5493240</v>
      </c>
      <c r="T153">
        <v>5479343</v>
      </c>
      <c r="U153">
        <v>5463284</v>
      </c>
      <c r="V153">
        <v>5445172</v>
      </c>
      <c r="W153">
        <v>5425115</v>
      </c>
      <c r="X153">
        <v>5403221</v>
      </c>
      <c r="Y153">
        <v>5379598</v>
      </c>
      <c r="Z153">
        <v>5354351</v>
      </c>
      <c r="AA153">
        <v>5327587</v>
      </c>
      <c r="AB153">
        <v>5299412</v>
      </c>
      <c r="AC153">
        <v>5269929</v>
      </c>
      <c r="AD153">
        <v>5239244</v>
      </c>
      <c r="AE153">
        <v>5207459</v>
      </c>
      <c r="AF153">
        <v>5174678</v>
      </c>
      <c r="AG153">
        <v>5141003</v>
      </c>
      <c r="AH153">
        <v>5106537</v>
      </c>
      <c r="AI153">
        <v>5071379</v>
      </c>
      <c r="AJ153">
        <v>5035631</v>
      </c>
      <c r="AK153">
        <v>4999393</v>
      </c>
      <c r="AL153">
        <v>4962765</v>
      </c>
      <c r="AM153">
        <v>4925844</v>
      </c>
      <c r="AN153">
        <v>4888729</v>
      </c>
      <c r="AO153">
        <v>4851518</v>
      </c>
      <c r="AP153">
        <v>4814308</v>
      </c>
      <c r="AQ153">
        <v>4777195</v>
      </c>
      <c r="AR153">
        <v>4740275</v>
      </c>
      <c r="AS153">
        <v>4703643</v>
      </c>
      <c r="AT153">
        <v>4667394</v>
      </c>
      <c r="AU153">
        <v>4631621</v>
      </c>
      <c r="AV153">
        <v>4596419</v>
      </c>
    </row>
    <row r="154" spans="1:48">
      <c r="A154" t="s">
        <v>497</v>
      </c>
      <c r="B154" t="s">
        <v>498</v>
      </c>
      <c r="C154" t="s">
        <v>14</v>
      </c>
      <c r="D154" s="37">
        <v>2876434.7419036</v>
      </c>
      <c r="E154" s="37">
        <v>2886186.92446635</v>
      </c>
      <c r="F154" s="37">
        <v>2894544.90592719</v>
      </c>
      <c r="G154" s="37">
        <v>2888794</v>
      </c>
      <c r="H154">
        <v>2906105</v>
      </c>
      <c r="I154">
        <v>2919006</v>
      </c>
      <c r="J154">
        <v>2927801</v>
      </c>
      <c r="K154">
        <v>2932786</v>
      </c>
      <c r="L154">
        <v>2934246</v>
      </c>
      <c r="M154">
        <v>2932455</v>
      </c>
      <c r="N154">
        <v>2927679</v>
      </c>
      <c r="O154">
        <v>2920174</v>
      </c>
      <c r="P154">
        <v>2910185</v>
      </c>
      <c r="Q154">
        <v>2897948</v>
      </c>
      <c r="R154">
        <v>2883691</v>
      </c>
      <c r="S154">
        <v>2867628</v>
      </c>
      <c r="T154">
        <v>2849966</v>
      </c>
      <c r="U154">
        <v>2830904</v>
      </c>
      <c r="V154">
        <v>2810626</v>
      </c>
      <c r="W154">
        <v>2789311</v>
      </c>
      <c r="X154">
        <v>2767127</v>
      </c>
      <c r="Y154">
        <v>2744230</v>
      </c>
      <c r="Z154">
        <v>2720768</v>
      </c>
      <c r="AA154">
        <v>2696880</v>
      </c>
      <c r="AB154">
        <v>2672694</v>
      </c>
      <c r="AC154">
        <v>2648328</v>
      </c>
      <c r="AD154">
        <v>2623891</v>
      </c>
      <c r="AE154">
        <v>2599481</v>
      </c>
      <c r="AF154">
        <v>2575189</v>
      </c>
      <c r="AG154">
        <v>2551092</v>
      </c>
      <c r="AH154">
        <v>2527260</v>
      </c>
      <c r="AI154">
        <v>2503754</v>
      </c>
      <c r="AJ154">
        <v>2480622</v>
      </c>
      <c r="AK154">
        <v>2457905</v>
      </c>
      <c r="AL154">
        <v>2435634</v>
      </c>
      <c r="AM154">
        <v>2413828</v>
      </c>
      <c r="AN154">
        <v>2392498</v>
      </c>
      <c r="AO154">
        <v>2371646</v>
      </c>
      <c r="AP154">
        <v>2351262</v>
      </c>
      <c r="AQ154">
        <v>2331327</v>
      </c>
      <c r="AR154">
        <v>2311814</v>
      </c>
      <c r="AS154">
        <v>2292683</v>
      </c>
      <c r="AT154">
        <v>2273886</v>
      </c>
      <c r="AU154">
        <v>2255366</v>
      </c>
      <c r="AV154">
        <v>2237055</v>
      </c>
    </row>
    <row r="155" spans="1:48">
      <c r="A155" t="s">
        <v>499</v>
      </c>
      <c r="B155" t="s">
        <v>500</v>
      </c>
      <c r="C155" t="s">
        <v>14</v>
      </c>
      <c r="D155" s="37">
        <v>2886114.06904664</v>
      </c>
      <c r="E155" s="37">
        <v>2895561.68170057</v>
      </c>
      <c r="F155" s="37">
        <v>2903659.33576078</v>
      </c>
      <c r="G155" s="37">
        <v>2957601</v>
      </c>
      <c r="H155">
        <v>2967964</v>
      </c>
      <c r="I155">
        <v>2977190</v>
      </c>
      <c r="J155">
        <v>2985231</v>
      </c>
      <c r="K155">
        <v>2992046</v>
      </c>
      <c r="L155">
        <v>2997598</v>
      </c>
      <c r="M155">
        <v>3001857</v>
      </c>
      <c r="N155">
        <v>3004801</v>
      </c>
      <c r="O155">
        <v>3006410</v>
      </c>
      <c r="P155">
        <v>3006673</v>
      </c>
      <c r="Q155">
        <v>3005585</v>
      </c>
      <c r="R155">
        <v>3003146</v>
      </c>
      <c r="S155">
        <v>2999363</v>
      </c>
      <c r="T155">
        <v>2994247</v>
      </c>
      <c r="U155">
        <v>2987818</v>
      </c>
      <c r="V155">
        <v>2980100</v>
      </c>
      <c r="W155">
        <v>2971123</v>
      </c>
      <c r="X155">
        <v>2960925</v>
      </c>
      <c r="Y155">
        <v>2949547</v>
      </c>
      <c r="Z155">
        <v>2937040</v>
      </c>
      <c r="AA155">
        <v>2923457</v>
      </c>
      <c r="AB155">
        <v>2908859</v>
      </c>
      <c r="AC155">
        <v>2893314</v>
      </c>
      <c r="AD155">
        <v>2876893</v>
      </c>
      <c r="AE155">
        <v>2859677</v>
      </c>
      <c r="AF155">
        <v>2841750</v>
      </c>
      <c r="AG155">
        <v>2823203</v>
      </c>
      <c r="AH155">
        <v>2804133</v>
      </c>
      <c r="AI155">
        <v>2784644</v>
      </c>
      <c r="AJ155">
        <v>2764844</v>
      </c>
      <c r="AK155">
        <v>2744849</v>
      </c>
      <c r="AL155">
        <v>2724780</v>
      </c>
      <c r="AM155">
        <v>2704765</v>
      </c>
      <c r="AN155">
        <v>2684937</v>
      </c>
      <c r="AO155">
        <v>2665434</v>
      </c>
      <c r="AP155">
        <v>2646403</v>
      </c>
      <c r="AQ155">
        <v>2627996</v>
      </c>
      <c r="AR155">
        <v>2610369</v>
      </c>
      <c r="AS155">
        <v>2593686</v>
      </c>
      <c r="AT155">
        <v>2578118</v>
      </c>
      <c r="AU155">
        <v>2563839</v>
      </c>
      <c r="AV155">
        <v>2551031</v>
      </c>
    </row>
    <row r="156" spans="1:48">
      <c r="A156" t="s">
        <v>501</v>
      </c>
      <c r="B156" t="s">
        <v>502</v>
      </c>
      <c r="C156" t="s">
        <v>14</v>
      </c>
      <c r="D156" s="37">
        <v>10443637.3600431</v>
      </c>
      <c r="E156" s="37">
        <v>10484426.1345511</v>
      </c>
      <c r="F156" s="37">
        <v>10519189.7467644</v>
      </c>
      <c r="G156" s="37">
        <v>10982491</v>
      </c>
      <c r="H156">
        <v>11017081</v>
      </c>
      <c r="I156">
        <v>11050803</v>
      </c>
      <c r="J156">
        <v>11083213</v>
      </c>
      <c r="K156">
        <v>11113899</v>
      </c>
      <c r="L156">
        <v>11142479</v>
      </c>
      <c r="M156">
        <v>11168600</v>
      </c>
      <c r="N156">
        <v>11191943</v>
      </c>
      <c r="O156">
        <v>11212215</v>
      </c>
      <c r="P156">
        <v>11229157</v>
      </c>
      <c r="Q156">
        <v>11242538</v>
      </c>
      <c r="R156">
        <v>11252160</v>
      </c>
      <c r="S156">
        <v>11257852</v>
      </c>
      <c r="T156">
        <v>11259476</v>
      </c>
      <c r="U156">
        <v>11256924</v>
      </c>
      <c r="V156">
        <v>11250118</v>
      </c>
      <c r="W156">
        <v>11239010</v>
      </c>
      <c r="X156">
        <v>11223583</v>
      </c>
      <c r="Y156">
        <v>11203851</v>
      </c>
      <c r="Z156">
        <v>11179857</v>
      </c>
      <c r="AA156">
        <v>11151675</v>
      </c>
      <c r="AB156">
        <v>11119411</v>
      </c>
      <c r="AC156">
        <v>11083198</v>
      </c>
      <c r="AD156">
        <v>11043203</v>
      </c>
      <c r="AE156">
        <v>10999621</v>
      </c>
      <c r="AF156">
        <v>10952678</v>
      </c>
      <c r="AG156">
        <v>10902632</v>
      </c>
      <c r="AH156">
        <v>10849768</v>
      </c>
      <c r="AI156">
        <v>10794406</v>
      </c>
      <c r="AJ156">
        <v>10736892</v>
      </c>
      <c r="AK156">
        <v>10677605</v>
      </c>
      <c r="AL156">
        <v>10616953</v>
      </c>
      <c r="AM156">
        <v>10555376</v>
      </c>
      <c r="AN156">
        <v>10493344</v>
      </c>
      <c r="AO156">
        <v>10431356</v>
      </c>
      <c r="AP156">
        <v>10369943</v>
      </c>
      <c r="AQ156">
        <v>10309665</v>
      </c>
      <c r="AR156">
        <v>10251114</v>
      </c>
      <c r="AS156">
        <v>10194912</v>
      </c>
      <c r="AT156">
        <v>10141710</v>
      </c>
      <c r="AU156">
        <v>10092191</v>
      </c>
      <c r="AV156">
        <v>10047068</v>
      </c>
    </row>
    <row r="157" spans="1:48">
      <c r="A157" t="s">
        <v>503</v>
      </c>
      <c r="B157" t="s">
        <v>504</v>
      </c>
      <c r="C157" t="s">
        <v>14</v>
      </c>
      <c r="D157" s="37">
        <v>5815395.48837659</v>
      </c>
      <c r="E157" s="37">
        <v>5841039.17401328</v>
      </c>
      <c r="F157" s="37">
        <v>5862841.61593735</v>
      </c>
      <c r="G157" s="37">
        <v>5589820</v>
      </c>
      <c r="H157">
        <v>5610690</v>
      </c>
      <c r="I157">
        <v>5629458</v>
      </c>
      <c r="J157">
        <v>5646084</v>
      </c>
      <c r="K157">
        <v>5660533</v>
      </c>
      <c r="L157">
        <v>5672777</v>
      </c>
      <c r="M157">
        <v>5682794</v>
      </c>
      <c r="N157">
        <v>5690569</v>
      </c>
      <c r="O157">
        <v>5696092</v>
      </c>
      <c r="P157">
        <v>5699361</v>
      </c>
      <c r="Q157">
        <v>5700379</v>
      </c>
      <c r="R157">
        <v>5699158</v>
      </c>
      <c r="S157">
        <v>5695714</v>
      </c>
      <c r="T157">
        <v>5690070</v>
      </c>
      <c r="U157">
        <v>5682254</v>
      </c>
      <c r="V157">
        <v>5672304</v>
      </c>
      <c r="W157">
        <v>5660261</v>
      </c>
      <c r="X157">
        <v>5646174</v>
      </c>
      <c r="Y157">
        <v>5630098</v>
      </c>
      <c r="Z157">
        <v>5612094</v>
      </c>
      <c r="AA157">
        <v>5592231</v>
      </c>
      <c r="AB157">
        <v>5570582</v>
      </c>
      <c r="AC157">
        <v>5547229</v>
      </c>
      <c r="AD157">
        <v>5522258</v>
      </c>
      <c r="AE157">
        <v>5495764</v>
      </c>
      <c r="AF157">
        <v>5467845</v>
      </c>
      <c r="AG157">
        <v>5438608</v>
      </c>
      <c r="AH157">
        <v>5408166</v>
      </c>
      <c r="AI157">
        <v>5376638</v>
      </c>
      <c r="AJ157">
        <v>5344150</v>
      </c>
      <c r="AK157">
        <v>5310833</v>
      </c>
      <c r="AL157">
        <v>5276826</v>
      </c>
      <c r="AM157">
        <v>5242273</v>
      </c>
      <c r="AN157">
        <v>5207327</v>
      </c>
      <c r="AO157">
        <v>5172143</v>
      </c>
      <c r="AP157">
        <v>5136887</v>
      </c>
      <c r="AQ157">
        <v>5101728</v>
      </c>
      <c r="AR157">
        <v>5066844</v>
      </c>
      <c r="AS157">
        <v>5032418</v>
      </c>
      <c r="AT157">
        <v>4998638</v>
      </c>
      <c r="AU157">
        <v>4965702</v>
      </c>
      <c r="AV157">
        <v>4933811</v>
      </c>
    </row>
    <row r="158" spans="1:48">
      <c r="A158" t="s">
        <v>505</v>
      </c>
      <c r="B158" t="s">
        <v>506</v>
      </c>
      <c r="C158" t="s">
        <v>14</v>
      </c>
      <c r="D158" s="37">
        <v>6074342.27284315</v>
      </c>
      <c r="E158" s="37">
        <v>6104618.5076427</v>
      </c>
      <c r="F158" s="37">
        <v>6130781.25401496</v>
      </c>
      <c r="G158" s="37">
        <v>5924990</v>
      </c>
      <c r="H158">
        <v>5951569</v>
      </c>
      <c r="I158">
        <v>5975991</v>
      </c>
      <c r="J158">
        <v>5998226</v>
      </c>
      <c r="K158">
        <v>6018247</v>
      </c>
      <c r="L158">
        <v>6036033</v>
      </c>
      <c r="M158">
        <v>6051569</v>
      </c>
      <c r="N158">
        <v>6064845</v>
      </c>
      <c r="O158">
        <v>6075856</v>
      </c>
      <c r="P158">
        <v>6084601</v>
      </c>
      <c r="Q158">
        <v>6091088</v>
      </c>
      <c r="R158">
        <v>6095327</v>
      </c>
      <c r="S158">
        <v>6097335</v>
      </c>
      <c r="T158">
        <v>6097133</v>
      </c>
      <c r="U158">
        <v>6094748</v>
      </c>
      <c r="V158">
        <v>6090213</v>
      </c>
      <c r="W158">
        <v>6083566</v>
      </c>
      <c r="X158">
        <v>6074849</v>
      </c>
      <c r="Y158">
        <v>6064112</v>
      </c>
      <c r="Z158">
        <v>6051407</v>
      </c>
      <c r="AA158">
        <v>6036795</v>
      </c>
      <c r="AB158">
        <v>6020338</v>
      </c>
      <c r="AC158">
        <v>6002108</v>
      </c>
      <c r="AD158">
        <v>5982178</v>
      </c>
      <c r="AE158">
        <v>5960630</v>
      </c>
      <c r="AF158">
        <v>5937549</v>
      </c>
      <c r="AG158">
        <v>5913026</v>
      </c>
      <c r="AH158">
        <v>5887157</v>
      </c>
      <c r="AI158">
        <v>5860045</v>
      </c>
      <c r="AJ158">
        <v>5831795</v>
      </c>
      <c r="AK158">
        <v>5802521</v>
      </c>
      <c r="AL158">
        <v>5772340</v>
      </c>
      <c r="AM158">
        <v>5741374</v>
      </c>
      <c r="AN158">
        <v>5709753</v>
      </c>
      <c r="AO158">
        <v>5677611</v>
      </c>
      <c r="AP158">
        <v>5645084</v>
      </c>
      <c r="AQ158">
        <v>5612319</v>
      </c>
      <c r="AR158">
        <v>5579465</v>
      </c>
      <c r="AS158">
        <v>5546677</v>
      </c>
      <c r="AT158">
        <v>5514114</v>
      </c>
      <c r="AU158">
        <v>5481943</v>
      </c>
      <c r="AV158">
        <v>5450335</v>
      </c>
    </row>
    <row r="159" spans="1:48">
      <c r="A159" t="s">
        <v>507</v>
      </c>
      <c r="B159" t="s">
        <v>508</v>
      </c>
      <c r="C159" t="s">
        <v>14</v>
      </c>
      <c r="D159" s="37">
        <v>3886050.22132277</v>
      </c>
      <c r="E159" s="37">
        <v>3900951.55509177</v>
      </c>
      <c r="F159" s="37">
        <v>3913636.74674095</v>
      </c>
      <c r="G159" s="37">
        <v>3913234</v>
      </c>
      <c r="H159">
        <v>3928160</v>
      </c>
      <c r="I159">
        <v>3941117</v>
      </c>
      <c r="J159">
        <v>3952112</v>
      </c>
      <c r="K159">
        <v>3961153</v>
      </c>
      <c r="L159">
        <v>3968253</v>
      </c>
      <c r="M159">
        <v>3973430</v>
      </c>
      <c r="N159">
        <v>3976705</v>
      </c>
      <c r="O159">
        <v>3978102</v>
      </c>
      <c r="P159">
        <v>3977650</v>
      </c>
      <c r="Q159">
        <v>3975383</v>
      </c>
      <c r="R159">
        <v>3971338</v>
      </c>
      <c r="S159">
        <v>3965555</v>
      </c>
      <c r="T159">
        <v>3958079</v>
      </c>
      <c r="U159">
        <v>3948960</v>
      </c>
      <c r="V159">
        <v>3938251</v>
      </c>
      <c r="W159">
        <v>3926007</v>
      </c>
      <c r="X159">
        <v>3912290</v>
      </c>
      <c r="Y159">
        <v>3897165</v>
      </c>
      <c r="Z159">
        <v>3880700</v>
      </c>
      <c r="AA159">
        <v>3862969</v>
      </c>
      <c r="AB159">
        <v>3844048</v>
      </c>
      <c r="AC159">
        <v>3824018</v>
      </c>
      <c r="AD159">
        <v>3802963</v>
      </c>
      <c r="AE159">
        <v>3780973</v>
      </c>
      <c r="AF159">
        <v>3758139</v>
      </c>
      <c r="AG159">
        <v>3734560</v>
      </c>
      <c r="AH159">
        <v>3710334</v>
      </c>
      <c r="AI159">
        <v>3685567</v>
      </c>
      <c r="AJ159">
        <v>3660367</v>
      </c>
      <c r="AK159">
        <v>3634847</v>
      </c>
      <c r="AL159">
        <v>3609124</v>
      </c>
      <c r="AM159">
        <v>3583318</v>
      </c>
      <c r="AN159">
        <v>3557553</v>
      </c>
      <c r="AO159">
        <v>3531958</v>
      </c>
      <c r="AP159">
        <v>3506666</v>
      </c>
      <c r="AQ159">
        <v>3481812</v>
      </c>
      <c r="AR159">
        <v>3457538</v>
      </c>
      <c r="AS159">
        <v>3433987</v>
      </c>
      <c r="AT159">
        <v>3411308</v>
      </c>
      <c r="AU159">
        <v>3389653</v>
      </c>
      <c r="AV159">
        <v>3369180</v>
      </c>
    </row>
    <row r="160" spans="1:48">
      <c r="A160" t="s">
        <v>509</v>
      </c>
      <c r="B160" t="s">
        <v>510</v>
      </c>
      <c r="C160" t="s">
        <v>14</v>
      </c>
      <c r="D160" s="37">
        <v>8595732.28652799</v>
      </c>
      <c r="E160" s="37">
        <v>8624741.73172747</v>
      </c>
      <c r="F160" s="37">
        <v>8649429.25107928</v>
      </c>
      <c r="G160" s="37">
        <v>8780329</v>
      </c>
      <c r="H160">
        <v>8794781</v>
      </c>
      <c r="I160">
        <v>8813631</v>
      </c>
      <c r="J160">
        <v>8835977</v>
      </c>
      <c r="K160">
        <v>8860965</v>
      </c>
      <c r="L160">
        <v>8887791</v>
      </c>
      <c r="M160">
        <v>8915703</v>
      </c>
      <c r="N160">
        <v>8943995</v>
      </c>
      <c r="O160">
        <v>8972013</v>
      </c>
      <c r="P160">
        <v>8999151</v>
      </c>
      <c r="Q160">
        <v>9024854</v>
      </c>
      <c r="R160">
        <v>9048616</v>
      </c>
      <c r="S160">
        <v>9069980</v>
      </c>
      <c r="T160">
        <v>9088538</v>
      </c>
      <c r="U160">
        <v>9103935</v>
      </c>
      <c r="V160">
        <v>9115861</v>
      </c>
      <c r="W160">
        <v>9124059</v>
      </c>
      <c r="X160">
        <v>9128320</v>
      </c>
      <c r="Y160">
        <v>9128484</v>
      </c>
      <c r="Z160">
        <v>9124443</v>
      </c>
      <c r="AA160">
        <v>9116135</v>
      </c>
      <c r="AB160">
        <v>9103551</v>
      </c>
      <c r="AC160">
        <v>9086729</v>
      </c>
      <c r="AD160">
        <v>9065759</v>
      </c>
      <c r="AE160">
        <v>9040778</v>
      </c>
      <c r="AF160">
        <v>9011975</v>
      </c>
      <c r="AG160">
        <v>8979586</v>
      </c>
      <c r="AH160">
        <v>8943899</v>
      </c>
      <c r="AI160">
        <v>8905249</v>
      </c>
      <c r="AJ160">
        <v>8864024</v>
      </c>
      <c r="AK160">
        <v>8820659</v>
      </c>
      <c r="AL160">
        <v>8775638</v>
      </c>
      <c r="AM160">
        <v>8729497</v>
      </c>
      <c r="AN160">
        <v>8682820</v>
      </c>
      <c r="AO160">
        <v>8636241</v>
      </c>
      <c r="AP160">
        <v>8590443</v>
      </c>
      <c r="AQ160">
        <v>8546160</v>
      </c>
      <c r="AR160">
        <v>8504173</v>
      </c>
      <c r="AS160">
        <v>8465315</v>
      </c>
      <c r="AT160">
        <v>8430468</v>
      </c>
      <c r="AU160">
        <v>8400563</v>
      </c>
      <c r="AV160">
        <v>8376580</v>
      </c>
    </row>
    <row r="161" spans="1:48">
      <c r="A161" t="s">
        <v>511</v>
      </c>
      <c r="B161" t="s">
        <v>512</v>
      </c>
      <c r="C161" t="s">
        <v>14</v>
      </c>
      <c r="D161" s="37">
        <v>9197088.65751325</v>
      </c>
      <c r="E161" s="37">
        <v>9277148.32598943</v>
      </c>
      <c r="F161" s="37">
        <v>9351792.23180707</v>
      </c>
      <c r="G161" s="37">
        <v>12452701</v>
      </c>
      <c r="H161">
        <v>12599581</v>
      </c>
      <c r="I161">
        <v>12732437</v>
      </c>
      <c r="J161">
        <v>12852072</v>
      </c>
      <c r="K161">
        <v>12959261</v>
      </c>
      <c r="L161">
        <v>13054751</v>
      </c>
      <c r="M161">
        <v>13139262</v>
      </c>
      <c r="N161">
        <v>13213489</v>
      </c>
      <c r="O161">
        <v>13278096</v>
      </c>
      <c r="P161">
        <v>13333722</v>
      </c>
      <c r="Q161">
        <v>13380978</v>
      </c>
      <c r="R161">
        <v>13420447</v>
      </c>
      <c r="S161">
        <v>13452686</v>
      </c>
      <c r="T161">
        <v>13478223</v>
      </c>
      <c r="U161">
        <v>13497561</v>
      </c>
      <c r="V161">
        <v>13511173</v>
      </c>
      <c r="W161">
        <v>13519506</v>
      </c>
      <c r="X161">
        <v>13522980</v>
      </c>
      <c r="Y161">
        <v>13521987</v>
      </c>
      <c r="Z161">
        <v>13516892</v>
      </c>
      <c r="AA161">
        <v>13508032</v>
      </c>
      <c r="AB161">
        <v>13495717</v>
      </c>
      <c r="AC161">
        <v>13480230</v>
      </c>
      <c r="AD161">
        <v>13461826</v>
      </c>
      <c r="AE161">
        <v>13440734</v>
      </c>
      <c r="AF161">
        <v>13417154</v>
      </c>
      <c r="AG161">
        <v>13391259</v>
      </c>
      <c r="AH161">
        <v>13363196</v>
      </c>
      <c r="AI161">
        <v>13333083</v>
      </c>
      <c r="AJ161">
        <v>13301011</v>
      </c>
      <c r="AK161">
        <v>13267044</v>
      </c>
      <c r="AL161">
        <v>13231220</v>
      </c>
      <c r="AM161">
        <v>13193546</v>
      </c>
      <c r="AN161">
        <v>13154005</v>
      </c>
      <c r="AO161">
        <v>13112551</v>
      </c>
      <c r="AP161">
        <v>13069112</v>
      </c>
      <c r="AQ161">
        <v>13023587</v>
      </c>
      <c r="AR161">
        <v>12975849</v>
      </c>
      <c r="AS161">
        <v>12925743</v>
      </c>
      <c r="AT161">
        <v>12873086</v>
      </c>
      <c r="AU161">
        <v>12817669</v>
      </c>
      <c r="AV161">
        <v>12759256</v>
      </c>
    </row>
    <row r="162" spans="1:48">
      <c r="A162" t="s">
        <v>513</v>
      </c>
      <c r="B162" t="s">
        <v>514</v>
      </c>
      <c r="C162" t="s">
        <v>14</v>
      </c>
      <c r="D162" s="37">
        <v>4885770.84922158</v>
      </c>
      <c r="E162" s="37">
        <v>4912157.97441405</v>
      </c>
      <c r="F162" s="37">
        <v>4936523.23256423</v>
      </c>
      <c r="G162" s="37">
        <v>4796683</v>
      </c>
      <c r="H162">
        <v>4823497</v>
      </c>
      <c r="I162">
        <v>4851218</v>
      </c>
      <c r="J162">
        <v>4879454</v>
      </c>
      <c r="K162">
        <v>4907836</v>
      </c>
      <c r="L162">
        <v>4936021</v>
      </c>
      <c r="M162">
        <v>4963690</v>
      </c>
      <c r="N162">
        <v>4990547</v>
      </c>
      <c r="O162">
        <v>5016322</v>
      </c>
      <c r="P162">
        <v>5040768</v>
      </c>
      <c r="Q162">
        <v>5063664</v>
      </c>
      <c r="R162">
        <v>5084810</v>
      </c>
      <c r="S162">
        <v>5104035</v>
      </c>
      <c r="T162">
        <v>5121188</v>
      </c>
      <c r="U162">
        <v>5136144</v>
      </c>
      <c r="V162">
        <v>5148803</v>
      </c>
      <c r="W162">
        <v>5159089</v>
      </c>
      <c r="X162">
        <v>5166949</v>
      </c>
      <c r="Y162">
        <v>5172356</v>
      </c>
      <c r="Z162">
        <v>5175306</v>
      </c>
      <c r="AA162">
        <v>5175819</v>
      </c>
      <c r="AB162">
        <v>5173942</v>
      </c>
      <c r="AC162">
        <v>5169743</v>
      </c>
      <c r="AD162">
        <v>5163317</v>
      </c>
      <c r="AE162">
        <v>5154780</v>
      </c>
      <c r="AF162">
        <v>5144277</v>
      </c>
      <c r="AG162">
        <v>5131972</v>
      </c>
      <c r="AH162">
        <v>5118057</v>
      </c>
      <c r="AI162">
        <v>5102748</v>
      </c>
      <c r="AJ162">
        <v>5086283</v>
      </c>
      <c r="AK162">
        <v>5068926</v>
      </c>
      <c r="AL162">
        <v>5050967</v>
      </c>
      <c r="AM162">
        <v>5032716</v>
      </c>
      <c r="AN162">
        <v>5014511</v>
      </c>
      <c r="AO162">
        <v>4996712</v>
      </c>
      <c r="AP162">
        <v>4979706</v>
      </c>
      <c r="AQ162">
        <v>4963901</v>
      </c>
      <c r="AR162">
        <v>4949731</v>
      </c>
      <c r="AS162">
        <v>4937655</v>
      </c>
      <c r="AT162">
        <v>4928155</v>
      </c>
      <c r="AU162">
        <v>4921738</v>
      </c>
      <c r="AV162">
        <v>4918934</v>
      </c>
    </row>
    <row r="163" spans="1:48">
      <c r="A163" t="s">
        <v>515</v>
      </c>
      <c r="B163" t="s">
        <v>516</v>
      </c>
      <c r="C163" t="s">
        <v>14</v>
      </c>
      <c r="D163" s="37">
        <v>6804756.74409818</v>
      </c>
      <c r="E163" s="37">
        <v>6842558.19392987</v>
      </c>
      <c r="F163" s="37">
        <v>6878512.75437855</v>
      </c>
      <c r="G163" s="37">
        <v>7003978</v>
      </c>
      <c r="H163">
        <v>7056103</v>
      </c>
      <c r="I163">
        <v>7107379</v>
      </c>
      <c r="J163">
        <v>7157361</v>
      </c>
      <c r="K163">
        <v>7205634</v>
      </c>
      <c r="L163">
        <v>7251816</v>
      </c>
      <c r="M163">
        <v>7295560</v>
      </c>
      <c r="N163">
        <v>7336550</v>
      </c>
      <c r="O163">
        <v>7374503</v>
      </c>
      <c r="P163">
        <v>7409169</v>
      </c>
      <c r="Q163">
        <v>7440333</v>
      </c>
      <c r="R163">
        <v>7467809</v>
      </c>
      <c r="S163">
        <v>7491448</v>
      </c>
      <c r="T163">
        <v>7511132</v>
      </c>
      <c r="U163">
        <v>7526774</v>
      </c>
      <c r="V163">
        <v>7538324</v>
      </c>
      <c r="W163">
        <v>7545762</v>
      </c>
      <c r="X163">
        <v>7549101</v>
      </c>
      <c r="Y163">
        <v>7548388</v>
      </c>
      <c r="Z163">
        <v>7543703</v>
      </c>
      <c r="AA163">
        <v>7535157</v>
      </c>
      <c r="AB163">
        <v>7522897</v>
      </c>
      <c r="AC163">
        <v>7507101</v>
      </c>
      <c r="AD163">
        <v>7487979</v>
      </c>
      <c r="AE163">
        <v>7465776</v>
      </c>
      <c r="AF163">
        <v>7440768</v>
      </c>
      <c r="AG163">
        <v>7413266</v>
      </c>
      <c r="AH163">
        <v>7383612</v>
      </c>
      <c r="AI163">
        <v>7352183</v>
      </c>
      <c r="AJ163">
        <v>7319385</v>
      </c>
      <c r="AK163">
        <v>7285662</v>
      </c>
      <c r="AL163">
        <v>7251488</v>
      </c>
      <c r="AM163">
        <v>7217369</v>
      </c>
      <c r="AN163">
        <v>7183846</v>
      </c>
      <c r="AO163">
        <v>7151492</v>
      </c>
      <c r="AP163">
        <v>7120914</v>
      </c>
      <c r="AQ163">
        <v>7092750</v>
      </c>
      <c r="AR163">
        <v>7067672</v>
      </c>
      <c r="AS163">
        <v>7046385</v>
      </c>
      <c r="AT163">
        <v>7029626</v>
      </c>
      <c r="AU163">
        <v>7018167</v>
      </c>
      <c r="AV163">
        <v>7012811</v>
      </c>
    </row>
    <row r="164" spans="1:48">
      <c r="A164" t="s">
        <v>517</v>
      </c>
      <c r="B164" t="s">
        <v>518</v>
      </c>
      <c r="C164" t="s">
        <v>14</v>
      </c>
      <c r="D164" s="37">
        <v>5136714.02287544</v>
      </c>
      <c r="E164" s="37">
        <v>5159671.00075706</v>
      </c>
      <c r="F164" s="37">
        <v>5179470.03561433</v>
      </c>
      <c r="G164" s="37">
        <v>4972670</v>
      </c>
      <c r="H164">
        <v>4986670</v>
      </c>
      <c r="I164">
        <v>5002673</v>
      </c>
      <c r="J164">
        <v>5020211</v>
      </c>
      <c r="K164">
        <v>5038845</v>
      </c>
      <c r="L164">
        <v>5058158</v>
      </c>
      <c r="M164">
        <v>5077763</v>
      </c>
      <c r="N164">
        <v>5097295</v>
      </c>
      <c r="O164">
        <v>5116418</v>
      </c>
      <c r="P164">
        <v>5134818</v>
      </c>
      <c r="Q164">
        <v>5152212</v>
      </c>
      <c r="R164">
        <v>5168337</v>
      </c>
      <c r="S164">
        <v>5182960</v>
      </c>
      <c r="T164">
        <v>5195871</v>
      </c>
      <c r="U164">
        <v>5206888</v>
      </c>
      <c r="V164">
        <v>5215854</v>
      </c>
      <c r="W164">
        <v>5222637</v>
      </c>
      <c r="X164">
        <v>5227131</v>
      </c>
      <c r="Y164">
        <v>5229257</v>
      </c>
      <c r="Z164">
        <v>5228959</v>
      </c>
      <c r="AA164">
        <v>5226211</v>
      </c>
      <c r="AB164">
        <v>5221008</v>
      </c>
      <c r="AC164">
        <v>5213375</v>
      </c>
      <c r="AD164">
        <v>5203360</v>
      </c>
      <c r="AE164">
        <v>5191037</v>
      </c>
      <c r="AF164">
        <v>5176508</v>
      </c>
      <c r="AG164">
        <v>5159898</v>
      </c>
      <c r="AH164">
        <v>5141359</v>
      </c>
      <c r="AI164">
        <v>5121068</v>
      </c>
      <c r="AJ164">
        <v>5099230</v>
      </c>
      <c r="AK164">
        <v>5076074</v>
      </c>
      <c r="AL164">
        <v>5051854</v>
      </c>
      <c r="AM164">
        <v>5026851</v>
      </c>
      <c r="AN164">
        <v>5001372</v>
      </c>
      <c r="AO164">
        <v>4975748</v>
      </c>
      <c r="AP164">
        <v>4950339</v>
      </c>
      <c r="AQ164">
        <v>4925527</v>
      </c>
      <c r="AR164">
        <v>4901723</v>
      </c>
      <c r="AS164">
        <v>4879361</v>
      </c>
      <c r="AT164">
        <v>4858902</v>
      </c>
      <c r="AU164">
        <v>4840834</v>
      </c>
      <c r="AV164">
        <v>4825669</v>
      </c>
    </row>
    <row r="165" spans="1:48">
      <c r="A165" t="s">
        <v>519</v>
      </c>
      <c r="B165" t="s">
        <v>520</v>
      </c>
      <c r="C165" t="s">
        <v>14</v>
      </c>
      <c r="D165" s="37">
        <v>5422871.96289669</v>
      </c>
      <c r="E165" s="37">
        <v>5450964.35209059</v>
      </c>
      <c r="F165" s="37">
        <v>5476220.86058088</v>
      </c>
      <c r="G165" s="37">
        <v>5455314</v>
      </c>
      <c r="H165">
        <v>5477175</v>
      </c>
      <c r="I165">
        <v>5501344</v>
      </c>
      <c r="J165">
        <v>5527263</v>
      </c>
      <c r="K165">
        <v>5554407</v>
      </c>
      <c r="L165">
        <v>5582280</v>
      </c>
      <c r="M165">
        <v>5610420</v>
      </c>
      <c r="N165">
        <v>5638395</v>
      </c>
      <c r="O165">
        <v>5665805</v>
      </c>
      <c r="P165">
        <v>5692284</v>
      </c>
      <c r="Q165">
        <v>5717493</v>
      </c>
      <c r="R165">
        <v>5741129</v>
      </c>
      <c r="S165">
        <v>5762917</v>
      </c>
      <c r="T165">
        <v>5782617</v>
      </c>
      <c r="U165">
        <v>5800018</v>
      </c>
      <c r="V165">
        <v>5814942</v>
      </c>
      <c r="W165">
        <v>5827242</v>
      </c>
      <c r="X165">
        <v>5836803</v>
      </c>
      <c r="Y165">
        <v>5843541</v>
      </c>
      <c r="Z165">
        <v>5847405</v>
      </c>
      <c r="AA165">
        <v>5848373</v>
      </c>
      <c r="AB165">
        <v>5846457</v>
      </c>
      <c r="AC165">
        <v>5841700</v>
      </c>
      <c r="AD165">
        <v>5834176</v>
      </c>
      <c r="AE165">
        <v>5823992</v>
      </c>
      <c r="AF165">
        <v>5811284</v>
      </c>
      <c r="AG165">
        <v>5796223</v>
      </c>
      <c r="AH165">
        <v>5779010</v>
      </c>
      <c r="AI165">
        <v>5759875</v>
      </c>
      <c r="AJ165">
        <v>5739085</v>
      </c>
      <c r="AK165">
        <v>5716934</v>
      </c>
      <c r="AL165">
        <v>5693750</v>
      </c>
      <c r="AM165">
        <v>5669891</v>
      </c>
      <c r="AN165">
        <v>5645749</v>
      </c>
      <c r="AO165">
        <v>5621745</v>
      </c>
      <c r="AP165">
        <v>5598333</v>
      </c>
      <c r="AQ165">
        <v>5575999</v>
      </c>
      <c r="AR165">
        <v>5555259</v>
      </c>
      <c r="AS165">
        <v>5536662</v>
      </c>
      <c r="AT165">
        <v>5520788</v>
      </c>
      <c r="AU165">
        <v>5508249</v>
      </c>
      <c r="AV165">
        <v>5499689</v>
      </c>
    </row>
    <row r="166" spans="1:48">
      <c r="A166" t="s">
        <v>521</v>
      </c>
      <c r="B166" t="s">
        <v>522</v>
      </c>
      <c r="C166" t="s">
        <v>14</v>
      </c>
      <c r="D166" s="37">
        <v>1643198.6711674</v>
      </c>
      <c r="E166" s="37">
        <v>1653014.87407634</v>
      </c>
      <c r="F166" s="37">
        <v>1662230.65512965</v>
      </c>
      <c r="G166" s="37">
        <v>1555806</v>
      </c>
      <c r="H166">
        <v>1565872</v>
      </c>
      <c r="I166">
        <v>1576371</v>
      </c>
      <c r="J166">
        <v>1587143</v>
      </c>
      <c r="K166">
        <v>1598041</v>
      </c>
      <c r="L166">
        <v>1608925</v>
      </c>
      <c r="M166">
        <v>1619665</v>
      </c>
      <c r="N166">
        <v>1630142</v>
      </c>
      <c r="O166">
        <v>1640245</v>
      </c>
      <c r="P166">
        <v>1649874</v>
      </c>
      <c r="Q166">
        <v>1658936</v>
      </c>
      <c r="R166">
        <v>1667351</v>
      </c>
      <c r="S166">
        <v>1675047</v>
      </c>
      <c r="T166">
        <v>1681959</v>
      </c>
      <c r="U166">
        <v>1688036</v>
      </c>
      <c r="V166">
        <v>1693233</v>
      </c>
      <c r="W166">
        <v>1697518</v>
      </c>
      <c r="X166">
        <v>1700864</v>
      </c>
      <c r="Y166">
        <v>1703258</v>
      </c>
      <c r="Z166">
        <v>1704693</v>
      </c>
      <c r="AA166">
        <v>1705175</v>
      </c>
      <c r="AB166">
        <v>1704716</v>
      </c>
      <c r="AC166">
        <v>1703340</v>
      </c>
      <c r="AD166">
        <v>1701081</v>
      </c>
      <c r="AE166">
        <v>1697979</v>
      </c>
      <c r="AF166">
        <v>1694087</v>
      </c>
      <c r="AG166">
        <v>1689467</v>
      </c>
      <c r="AH166">
        <v>1684189</v>
      </c>
      <c r="AI166">
        <v>1678335</v>
      </c>
      <c r="AJ166">
        <v>1671993</v>
      </c>
      <c r="AK166">
        <v>1665264</v>
      </c>
      <c r="AL166">
        <v>1658258</v>
      </c>
      <c r="AM166">
        <v>1651091</v>
      </c>
      <c r="AN166">
        <v>1643894</v>
      </c>
      <c r="AO166">
        <v>1636804</v>
      </c>
      <c r="AP166">
        <v>1629968</v>
      </c>
      <c r="AQ166">
        <v>1623543</v>
      </c>
      <c r="AR166">
        <v>1617695</v>
      </c>
      <c r="AS166">
        <v>1612601</v>
      </c>
      <c r="AT166">
        <v>1608446</v>
      </c>
      <c r="AU166">
        <v>1605425</v>
      </c>
      <c r="AV166">
        <v>1603744</v>
      </c>
    </row>
    <row r="167" spans="1:48">
      <c r="A167" t="s">
        <v>523</v>
      </c>
      <c r="B167" t="s">
        <v>524</v>
      </c>
      <c r="C167" t="s">
        <v>14</v>
      </c>
      <c r="D167" s="37">
        <v>5986909.00120268</v>
      </c>
      <c r="E167" s="37">
        <v>6020670.90787</v>
      </c>
      <c r="F167" s="37">
        <v>6051508.06953227</v>
      </c>
      <c r="G167" s="37">
        <v>6217054</v>
      </c>
      <c r="H167">
        <v>6251368</v>
      </c>
      <c r="I167">
        <v>6286655</v>
      </c>
      <c r="J167">
        <v>6322440</v>
      </c>
      <c r="K167">
        <v>6358279</v>
      </c>
      <c r="L167">
        <v>6393754</v>
      </c>
      <c r="M167">
        <v>6428479</v>
      </c>
      <c r="N167">
        <v>6462094</v>
      </c>
      <c r="O167">
        <v>6494271</v>
      </c>
      <c r="P167">
        <v>6524708</v>
      </c>
      <c r="Q167">
        <v>6553134</v>
      </c>
      <c r="R167">
        <v>6579305</v>
      </c>
      <c r="S167">
        <v>6603007</v>
      </c>
      <c r="T167">
        <v>6624056</v>
      </c>
      <c r="U167">
        <v>6642295</v>
      </c>
      <c r="V167">
        <v>6657595</v>
      </c>
      <c r="W167">
        <v>6669860</v>
      </c>
      <c r="X167">
        <v>6679018</v>
      </c>
      <c r="Y167">
        <v>6685030</v>
      </c>
      <c r="Z167">
        <v>6687882</v>
      </c>
      <c r="AA167">
        <v>6687593</v>
      </c>
      <c r="AB167">
        <v>6684208</v>
      </c>
      <c r="AC167">
        <v>6677801</v>
      </c>
      <c r="AD167">
        <v>6668477</v>
      </c>
      <c r="AE167">
        <v>6656367</v>
      </c>
      <c r="AF167">
        <v>6641633</v>
      </c>
      <c r="AG167">
        <v>6624466</v>
      </c>
      <c r="AH167">
        <v>6605084</v>
      </c>
      <c r="AI167">
        <v>6583735</v>
      </c>
      <c r="AJ167">
        <v>6560697</v>
      </c>
      <c r="AK167">
        <v>6536275</v>
      </c>
      <c r="AL167">
        <v>6510803</v>
      </c>
      <c r="AM167">
        <v>6484645</v>
      </c>
      <c r="AN167">
        <v>6458194</v>
      </c>
      <c r="AO167">
        <v>6431871</v>
      </c>
      <c r="AP167">
        <v>6406127</v>
      </c>
      <c r="AQ167">
        <v>6381439</v>
      </c>
      <c r="AR167">
        <v>6358316</v>
      </c>
      <c r="AS167">
        <v>6337296</v>
      </c>
      <c r="AT167">
        <v>6318943</v>
      </c>
      <c r="AU167">
        <v>6303852</v>
      </c>
      <c r="AV167">
        <v>6292647</v>
      </c>
    </row>
    <row r="168" spans="1:48">
      <c r="A168" t="s">
        <v>525</v>
      </c>
      <c r="B168" t="s">
        <v>526</v>
      </c>
      <c r="C168" t="s">
        <v>14</v>
      </c>
      <c r="D168" s="37">
        <v>3690369.53319018</v>
      </c>
      <c r="E168" s="37">
        <v>3713957.23209128</v>
      </c>
      <c r="F168" s="37">
        <v>3736555.32577813</v>
      </c>
      <c r="G168" s="37">
        <v>3488574</v>
      </c>
      <c r="H168">
        <v>3520778</v>
      </c>
      <c r="I168">
        <v>3551383</v>
      </c>
      <c r="J168">
        <v>3580284</v>
      </c>
      <c r="K168">
        <v>3607388</v>
      </c>
      <c r="L168">
        <v>3632610</v>
      </c>
      <c r="M168">
        <v>3655880</v>
      </c>
      <c r="N168">
        <v>3677137</v>
      </c>
      <c r="O168">
        <v>3696330</v>
      </c>
      <c r="P168">
        <v>3713421</v>
      </c>
      <c r="Q168">
        <v>3728383</v>
      </c>
      <c r="R168">
        <v>3741199</v>
      </c>
      <c r="S168">
        <v>3751862</v>
      </c>
      <c r="T168">
        <v>3760380</v>
      </c>
      <c r="U168">
        <v>3766768</v>
      </c>
      <c r="V168">
        <v>3771053</v>
      </c>
      <c r="W168">
        <v>3773276</v>
      </c>
      <c r="X168">
        <v>3773484</v>
      </c>
      <c r="Y168">
        <v>3771740</v>
      </c>
      <c r="Z168">
        <v>3768115</v>
      </c>
      <c r="AA168">
        <v>3762691</v>
      </c>
      <c r="AB168">
        <v>3755563</v>
      </c>
      <c r="AC168">
        <v>3746836</v>
      </c>
      <c r="AD168">
        <v>3736626</v>
      </c>
      <c r="AE168">
        <v>3725059</v>
      </c>
      <c r="AF168">
        <v>3712274</v>
      </c>
      <c r="AG168">
        <v>3698421</v>
      </c>
      <c r="AH168">
        <v>3683658</v>
      </c>
      <c r="AI168">
        <v>3668159</v>
      </c>
      <c r="AJ168">
        <v>3652105</v>
      </c>
      <c r="AK168">
        <v>3635689</v>
      </c>
      <c r="AL168">
        <v>3619116</v>
      </c>
      <c r="AM168">
        <v>3602601</v>
      </c>
      <c r="AN168">
        <v>3586372</v>
      </c>
      <c r="AO168">
        <v>3570665</v>
      </c>
      <c r="AP168">
        <v>3555729</v>
      </c>
      <c r="AQ168">
        <v>3541825</v>
      </c>
      <c r="AR168">
        <v>3529222</v>
      </c>
      <c r="AS168">
        <v>3518203</v>
      </c>
      <c r="AT168">
        <v>3509060</v>
      </c>
      <c r="AU168">
        <v>3502098</v>
      </c>
      <c r="AV168">
        <v>3497632</v>
      </c>
    </row>
    <row r="169" spans="1:48">
      <c r="A169" t="s">
        <v>527</v>
      </c>
      <c r="B169" t="s">
        <v>528</v>
      </c>
      <c r="C169" t="s">
        <v>14</v>
      </c>
      <c r="D169" s="37">
        <v>3770462.50284814</v>
      </c>
      <c r="E169" s="37">
        <v>3791755.99890789</v>
      </c>
      <c r="F169" s="37">
        <v>3811373.68447194</v>
      </c>
      <c r="G169" s="37">
        <v>3751446</v>
      </c>
      <c r="H169">
        <v>3771781</v>
      </c>
      <c r="I169">
        <v>3793216</v>
      </c>
      <c r="J169">
        <v>3815403</v>
      </c>
      <c r="K169">
        <v>3838014</v>
      </c>
      <c r="L169">
        <v>3860744</v>
      </c>
      <c r="M169">
        <v>3883308</v>
      </c>
      <c r="N169">
        <v>3905439</v>
      </c>
      <c r="O169">
        <v>3926895</v>
      </c>
      <c r="P169">
        <v>3947451</v>
      </c>
      <c r="Q169">
        <v>3966903</v>
      </c>
      <c r="R169">
        <v>3985070</v>
      </c>
      <c r="S169">
        <v>4001788</v>
      </c>
      <c r="T169">
        <v>4016916</v>
      </c>
      <c r="U169">
        <v>4030333</v>
      </c>
      <c r="V169">
        <v>4041938</v>
      </c>
      <c r="W169">
        <v>4051653</v>
      </c>
      <c r="X169">
        <v>4059416</v>
      </c>
      <c r="Y169">
        <v>4065189</v>
      </c>
      <c r="Z169">
        <v>4068955</v>
      </c>
      <c r="AA169">
        <v>4070715</v>
      </c>
      <c r="AB169">
        <v>4070491</v>
      </c>
      <c r="AC169">
        <v>4068329</v>
      </c>
      <c r="AD169">
        <v>4064290</v>
      </c>
      <c r="AE169">
        <v>4058461</v>
      </c>
      <c r="AF169">
        <v>4050945</v>
      </c>
      <c r="AG169">
        <v>4041869</v>
      </c>
      <c r="AH169">
        <v>4031379</v>
      </c>
      <c r="AI169">
        <v>4019641</v>
      </c>
      <c r="AJ169">
        <v>4006843</v>
      </c>
      <c r="AK169">
        <v>3993193</v>
      </c>
      <c r="AL169">
        <v>3978919</v>
      </c>
      <c r="AM169">
        <v>3964270</v>
      </c>
      <c r="AN169">
        <v>3949515</v>
      </c>
      <c r="AO169">
        <v>3934945</v>
      </c>
      <c r="AP169">
        <v>3920870</v>
      </c>
      <c r="AQ169">
        <v>3907621</v>
      </c>
      <c r="AR169">
        <v>3895551</v>
      </c>
      <c r="AS169">
        <v>3885032</v>
      </c>
      <c r="AT169">
        <v>3876455</v>
      </c>
      <c r="AU169">
        <v>3870236</v>
      </c>
      <c r="AV169">
        <v>3866808</v>
      </c>
    </row>
    <row r="170" spans="1:48">
      <c r="A170" t="s">
        <v>529</v>
      </c>
      <c r="B170" t="s">
        <v>530</v>
      </c>
      <c r="C170" t="s">
        <v>14</v>
      </c>
      <c r="D170" s="37">
        <v>4482321.34023682</v>
      </c>
      <c r="E170" s="37">
        <v>4502395.00273188</v>
      </c>
      <c r="F170" s="37">
        <v>4520387.53786406</v>
      </c>
      <c r="G170" s="37">
        <v>4361110</v>
      </c>
      <c r="H170">
        <v>4379540</v>
      </c>
      <c r="I170">
        <v>4398737</v>
      </c>
      <c r="J170">
        <v>4418357</v>
      </c>
      <c r="K170">
        <v>4438076</v>
      </c>
      <c r="L170">
        <v>4457592</v>
      </c>
      <c r="M170">
        <v>4476625</v>
      </c>
      <c r="N170">
        <v>4494915</v>
      </c>
      <c r="O170">
        <v>4512225</v>
      </c>
      <c r="P170">
        <v>4528339</v>
      </c>
      <c r="Q170">
        <v>4543061</v>
      </c>
      <c r="R170">
        <v>4556218</v>
      </c>
      <c r="S170">
        <v>4567657</v>
      </c>
      <c r="T170">
        <v>4577248</v>
      </c>
      <c r="U170">
        <v>4584882</v>
      </c>
      <c r="V170">
        <v>4590469</v>
      </c>
      <c r="W170">
        <v>4593944</v>
      </c>
      <c r="X170">
        <v>4595262</v>
      </c>
      <c r="Y170">
        <v>4594398</v>
      </c>
      <c r="Z170">
        <v>4591350</v>
      </c>
      <c r="AA170">
        <v>4586136</v>
      </c>
      <c r="AB170">
        <v>4578798</v>
      </c>
      <c r="AC170">
        <v>4569396</v>
      </c>
      <c r="AD170">
        <v>4558014</v>
      </c>
      <c r="AE170">
        <v>4544756</v>
      </c>
      <c r="AF170">
        <v>4529748</v>
      </c>
      <c r="AG170">
        <v>4513137</v>
      </c>
      <c r="AH170">
        <v>4495092</v>
      </c>
      <c r="AI170">
        <v>4475802</v>
      </c>
      <c r="AJ170">
        <v>4455480</v>
      </c>
      <c r="AK170">
        <v>4434358</v>
      </c>
      <c r="AL170">
        <v>4412689</v>
      </c>
      <c r="AM170">
        <v>4390750</v>
      </c>
      <c r="AN170">
        <v>4368838</v>
      </c>
      <c r="AO170">
        <v>4347270</v>
      </c>
      <c r="AP170">
        <v>4326386</v>
      </c>
      <c r="AQ170">
        <v>4306548</v>
      </c>
      <c r="AR170">
        <v>4288138</v>
      </c>
      <c r="AS170">
        <v>4271559</v>
      </c>
      <c r="AT170">
        <v>4257238</v>
      </c>
      <c r="AU170">
        <v>4245620</v>
      </c>
      <c r="AV170">
        <v>4237174</v>
      </c>
    </row>
    <row r="171" spans="1:48">
      <c r="A171" t="s">
        <v>531</v>
      </c>
      <c r="B171" t="s">
        <v>532</v>
      </c>
      <c r="C171" t="s">
        <v>14</v>
      </c>
      <c r="D171" s="37">
        <v>2642672.24596914</v>
      </c>
      <c r="E171" s="37">
        <v>2655317.86287274</v>
      </c>
      <c r="F171" s="37">
        <v>2666855.8306762</v>
      </c>
      <c r="G171" s="37">
        <v>2353506</v>
      </c>
      <c r="H171">
        <v>2367186</v>
      </c>
      <c r="I171">
        <v>2380292</v>
      </c>
      <c r="J171">
        <v>2392738</v>
      </c>
      <c r="K171">
        <v>2404446</v>
      </c>
      <c r="L171">
        <v>2415343</v>
      </c>
      <c r="M171">
        <v>2425365</v>
      </c>
      <c r="N171">
        <v>2434454</v>
      </c>
      <c r="O171">
        <v>2442561</v>
      </c>
      <c r="P171">
        <v>2449642</v>
      </c>
      <c r="Q171">
        <v>2455662</v>
      </c>
      <c r="R171">
        <v>2460590</v>
      </c>
      <c r="S171">
        <v>2464406</v>
      </c>
      <c r="T171">
        <v>2467096</v>
      </c>
      <c r="U171">
        <v>2468650</v>
      </c>
      <c r="V171">
        <v>2469070</v>
      </c>
      <c r="W171">
        <v>2468362</v>
      </c>
      <c r="X171">
        <v>2466541</v>
      </c>
      <c r="Y171">
        <v>2463626</v>
      </c>
      <c r="Z171">
        <v>2459647</v>
      </c>
      <c r="AA171">
        <v>2454639</v>
      </c>
      <c r="AB171">
        <v>2448644</v>
      </c>
      <c r="AC171">
        <v>2441712</v>
      </c>
      <c r="AD171">
        <v>2433901</v>
      </c>
      <c r="AE171">
        <v>2425273</v>
      </c>
      <c r="AF171">
        <v>2415900</v>
      </c>
      <c r="AG171">
        <v>2405861</v>
      </c>
      <c r="AH171">
        <v>2395240</v>
      </c>
      <c r="AI171">
        <v>2384130</v>
      </c>
      <c r="AJ171">
        <v>2372632</v>
      </c>
      <c r="AK171">
        <v>2360851</v>
      </c>
      <c r="AL171">
        <v>2348901</v>
      </c>
      <c r="AM171">
        <v>2336905</v>
      </c>
      <c r="AN171">
        <v>2324989</v>
      </c>
      <c r="AO171">
        <v>2313289</v>
      </c>
      <c r="AP171">
        <v>2301949</v>
      </c>
      <c r="AQ171">
        <v>2291117</v>
      </c>
      <c r="AR171">
        <v>2280950</v>
      </c>
      <c r="AS171">
        <v>2271612</v>
      </c>
      <c r="AT171">
        <v>2263275</v>
      </c>
      <c r="AU171">
        <v>2256116</v>
      </c>
      <c r="AV171">
        <v>2250321</v>
      </c>
    </row>
    <row r="172" spans="1:48">
      <c r="A172" t="s">
        <v>533</v>
      </c>
      <c r="B172" t="s">
        <v>534</v>
      </c>
      <c r="C172" t="s">
        <v>14</v>
      </c>
      <c r="D172" s="37">
        <v>2331829.56312435</v>
      </c>
      <c r="E172" s="37">
        <v>2345933.6098143</v>
      </c>
      <c r="F172" s="37">
        <v>2359050.30327212</v>
      </c>
      <c r="G172" s="37">
        <v>2017298</v>
      </c>
      <c r="H172">
        <v>2034724</v>
      </c>
      <c r="I172">
        <v>2050493</v>
      </c>
      <c r="J172">
        <v>2064638</v>
      </c>
      <c r="K172">
        <v>2077189</v>
      </c>
      <c r="L172">
        <v>2088182</v>
      </c>
      <c r="M172">
        <v>2097652</v>
      </c>
      <c r="N172">
        <v>2105637</v>
      </c>
      <c r="O172">
        <v>2112176</v>
      </c>
      <c r="P172">
        <v>2117311</v>
      </c>
      <c r="Q172">
        <v>2121084</v>
      </c>
      <c r="R172">
        <v>2123539</v>
      </c>
      <c r="S172">
        <v>2124722</v>
      </c>
      <c r="T172">
        <v>2124682</v>
      </c>
      <c r="U172">
        <v>2123466</v>
      </c>
      <c r="V172">
        <v>2121127</v>
      </c>
      <c r="W172">
        <v>2117717</v>
      </c>
      <c r="X172">
        <v>2113291</v>
      </c>
      <c r="Y172">
        <v>2107904</v>
      </c>
      <c r="Z172">
        <v>2101614</v>
      </c>
      <c r="AA172">
        <v>2094480</v>
      </c>
      <c r="AB172">
        <v>2086564</v>
      </c>
      <c r="AC172">
        <v>2077929</v>
      </c>
      <c r="AD172">
        <v>2068638</v>
      </c>
      <c r="AE172">
        <v>2058758</v>
      </c>
      <c r="AF172">
        <v>2048356</v>
      </c>
      <c r="AG172">
        <v>2037503</v>
      </c>
      <c r="AH172">
        <v>2026268</v>
      </c>
      <c r="AI172">
        <v>2014726</v>
      </c>
      <c r="AJ172">
        <v>2002949</v>
      </c>
      <c r="AK172">
        <v>1991015</v>
      </c>
      <c r="AL172">
        <v>1979002</v>
      </c>
      <c r="AM172">
        <v>1966988</v>
      </c>
      <c r="AN172">
        <v>1955054</v>
      </c>
      <c r="AO172">
        <v>1943285</v>
      </c>
      <c r="AP172">
        <v>1931763</v>
      </c>
      <c r="AQ172">
        <v>1920576</v>
      </c>
      <c r="AR172">
        <v>1909811</v>
      </c>
      <c r="AS172">
        <v>1899557</v>
      </c>
      <c r="AT172">
        <v>1889906</v>
      </c>
      <c r="AU172">
        <v>1880951</v>
      </c>
      <c r="AV172">
        <v>1872785</v>
      </c>
    </row>
    <row r="173" spans="1:48">
      <c r="A173" t="s">
        <v>535</v>
      </c>
      <c r="B173" t="s">
        <v>536</v>
      </c>
      <c r="C173" t="s">
        <v>14</v>
      </c>
      <c r="D173" s="37">
        <v>10734430.4967943</v>
      </c>
      <c r="E173" s="37">
        <v>10777569.2763636</v>
      </c>
      <c r="F173" s="37">
        <v>10814241.3064742</v>
      </c>
      <c r="G173" s="37">
        <v>9700448</v>
      </c>
      <c r="H173">
        <v>9712360</v>
      </c>
      <c r="I173">
        <v>9732203</v>
      </c>
      <c r="J173">
        <v>9758625</v>
      </c>
      <c r="K173">
        <v>9790347</v>
      </c>
      <c r="L173">
        <v>9826160</v>
      </c>
      <c r="M173">
        <v>9864928</v>
      </c>
      <c r="N173">
        <v>9905585</v>
      </c>
      <c r="O173">
        <v>9947137</v>
      </c>
      <c r="P173">
        <v>9988661</v>
      </c>
      <c r="Q173">
        <v>10029307</v>
      </c>
      <c r="R173">
        <v>10068294</v>
      </c>
      <c r="S173">
        <v>10104914</v>
      </c>
      <c r="T173">
        <v>10138530</v>
      </c>
      <c r="U173">
        <v>10168577</v>
      </c>
      <c r="V173">
        <v>10194559</v>
      </c>
      <c r="W173">
        <v>10216055</v>
      </c>
      <c r="X173">
        <v>10232714</v>
      </c>
      <c r="Y173">
        <v>10244254</v>
      </c>
      <c r="Z173">
        <v>10250467</v>
      </c>
      <c r="AA173">
        <v>10251217</v>
      </c>
      <c r="AB173">
        <v>10246438</v>
      </c>
      <c r="AC173">
        <v>10236135</v>
      </c>
      <c r="AD173">
        <v>10220385</v>
      </c>
      <c r="AE173">
        <v>10199337</v>
      </c>
      <c r="AF173">
        <v>10173211</v>
      </c>
      <c r="AG173">
        <v>10142297</v>
      </c>
      <c r="AH173">
        <v>10106959</v>
      </c>
      <c r="AI173">
        <v>10067631</v>
      </c>
      <c r="AJ173">
        <v>10024818</v>
      </c>
      <c r="AK173">
        <v>9979097</v>
      </c>
      <c r="AL173">
        <v>9931117</v>
      </c>
      <c r="AM173">
        <v>9881596</v>
      </c>
      <c r="AN173">
        <v>9831327</v>
      </c>
      <c r="AO173">
        <v>9781172</v>
      </c>
      <c r="AP173">
        <v>9732065</v>
      </c>
      <c r="AQ173">
        <v>9685010</v>
      </c>
      <c r="AR173">
        <v>9641085</v>
      </c>
      <c r="AS173">
        <v>9601439</v>
      </c>
      <c r="AT173">
        <v>9567290</v>
      </c>
      <c r="AU173">
        <v>9539929</v>
      </c>
      <c r="AV173">
        <v>9520719</v>
      </c>
    </row>
    <row r="174" spans="1:48">
      <c r="A174" t="s">
        <v>537</v>
      </c>
      <c r="B174" t="s">
        <v>538</v>
      </c>
      <c r="C174" t="s">
        <v>14</v>
      </c>
      <c r="D174" s="37">
        <v>7627542.43923449</v>
      </c>
      <c r="E174" s="37">
        <v>7672919.57923157</v>
      </c>
      <c r="F174" s="37">
        <v>7717335.51989029</v>
      </c>
      <c r="G174" s="37">
        <v>7745083</v>
      </c>
      <c r="H174">
        <v>7815946</v>
      </c>
      <c r="I174">
        <v>7885364</v>
      </c>
      <c r="J174">
        <v>7952878</v>
      </c>
      <c r="K174">
        <v>8018062</v>
      </c>
      <c r="L174">
        <v>8080530</v>
      </c>
      <c r="M174">
        <v>8139929</v>
      </c>
      <c r="N174">
        <v>8195943</v>
      </c>
      <c r="O174">
        <v>8248290</v>
      </c>
      <c r="P174">
        <v>8296726</v>
      </c>
      <c r="Q174">
        <v>8341042</v>
      </c>
      <c r="R174">
        <v>8381066</v>
      </c>
      <c r="S174">
        <v>8416659</v>
      </c>
      <c r="T174">
        <v>8447720</v>
      </c>
      <c r="U174">
        <v>8474184</v>
      </c>
      <c r="V174">
        <v>8496021</v>
      </c>
      <c r="W174">
        <v>8513237</v>
      </c>
      <c r="X174">
        <v>8525874</v>
      </c>
      <c r="Y174">
        <v>8534010</v>
      </c>
      <c r="Z174">
        <v>8537759</v>
      </c>
      <c r="AA174">
        <v>8537269</v>
      </c>
      <c r="AB174">
        <v>8532727</v>
      </c>
      <c r="AC174">
        <v>8524353</v>
      </c>
      <c r="AD174">
        <v>8512404</v>
      </c>
      <c r="AE174">
        <v>8497174</v>
      </c>
      <c r="AF174">
        <v>8478991</v>
      </c>
      <c r="AG174">
        <v>8458219</v>
      </c>
      <c r="AH174">
        <v>8435259</v>
      </c>
      <c r="AI174">
        <v>8410546</v>
      </c>
      <c r="AJ174">
        <v>8384554</v>
      </c>
      <c r="AK174">
        <v>8357790</v>
      </c>
      <c r="AL174">
        <v>8330797</v>
      </c>
      <c r="AM174">
        <v>8304155</v>
      </c>
      <c r="AN174">
        <v>8278480</v>
      </c>
      <c r="AO174">
        <v>8254423</v>
      </c>
      <c r="AP174">
        <v>8232671</v>
      </c>
      <c r="AQ174">
        <v>8213947</v>
      </c>
      <c r="AR174">
        <v>8199009</v>
      </c>
      <c r="AS174">
        <v>8188652</v>
      </c>
      <c r="AT174">
        <v>8183707</v>
      </c>
      <c r="AU174">
        <v>8185040</v>
      </c>
      <c r="AV174">
        <v>8193553</v>
      </c>
    </row>
    <row r="175" spans="1:48">
      <c r="A175" t="s">
        <v>539</v>
      </c>
      <c r="B175" t="s">
        <v>540</v>
      </c>
      <c r="C175" t="s">
        <v>14</v>
      </c>
      <c r="D175" s="37">
        <v>6270272.87486551</v>
      </c>
      <c r="E175" s="37">
        <v>6290618.35734718</v>
      </c>
      <c r="F175" s="37">
        <v>6309672.06085798</v>
      </c>
      <c r="G175" s="37">
        <v>6215117</v>
      </c>
      <c r="H175">
        <v>6233908</v>
      </c>
      <c r="I175">
        <v>6257410</v>
      </c>
      <c r="J175">
        <v>6284641</v>
      </c>
      <c r="K175">
        <v>6314674</v>
      </c>
      <c r="L175">
        <v>6346641</v>
      </c>
      <c r="M175">
        <v>6379732</v>
      </c>
      <c r="N175">
        <v>6413194</v>
      </c>
      <c r="O175">
        <v>6446331</v>
      </c>
      <c r="P175">
        <v>6478506</v>
      </c>
      <c r="Q175">
        <v>6509136</v>
      </c>
      <c r="R175">
        <v>6537700</v>
      </c>
      <c r="S175">
        <v>6563731</v>
      </c>
      <c r="T175">
        <v>6586822</v>
      </c>
      <c r="U175">
        <v>6606621</v>
      </c>
      <c r="V175">
        <v>6622835</v>
      </c>
      <c r="W175">
        <v>6635229</v>
      </c>
      <c r="X175">
        <v>6643624</v>
      </c>
      <c r="Y175">
        <v>6647900</v>
      </c>
      <c r="Z175">
        <v>6647993</v>
      </c>
      <c r="AA175">
        <v>6643897</v>
      </c>
      <c r="AB175">
        <v>6635664</v>
      </c>
      <c r="AC175">
        <v>6623404</v>
      </c>
      <c r="AD175">
        <v>6607282</v>
      </c>
      <c r="AE175">
        <v>6587522</v>
      </c>
      <c r="AF175">
        <v>6564408</v>
      </c>
      <c r="AG175">
        <v>6538276</v>
      </c>
      <c r="AH175">
        <v>6509525</v>
      </c>
      <c r="AI175">
        <v>6478607</v>
      </c>
      <c r="AJ175">
        <v>6446035</v>
      </c>
      <c r="AK175">
        <v>6412377</v>
      </c>
      <c r="AL175">
        <v>6378260</v>
      </c>
      <c r="AM175">
        <v>6344368</v>
      </c>
      <c r="AN175">
        <v>6311442</v>
      </c>
      <c r="AO175">
        <v>6280282</v>
      </c>
      <c r="AP175">
        <v>6251742</v>
      </c>
      <c r="AQ175">
        <v>6226739</v>
      </c>
      <c r="AR175">
        <v>6206241</v>
      </c>
      <c r="AS175">
        <v>6191280</v>
      </c>
      <c r="AT175">
        <v>6182940</v>
      </c>
      <c r="AU175">
        <v>6182366</v>
      </c>
      <c r="AV175">
        <v>6190759</v>
      </c>
    </row>
    <row r="176" spans="1:48">
      <c r="A176" t="s">
        <v>541</v>
      </c>
      <c r="B176" t="s">
        <v>542</v>
      </c>
      <c r="C176" t="s">
        <v>14</v>
      </c>
      <c r="D176" s="37">
        <v>9234596.48748065</v>
      </c>
      <c r="E176" s="37">
        <v>9283409.91106702</v>
      </c>
      <c r="F176" s="37">
        <v>9331727.92006162</v>
      </c>
      <c r="G176" s="37">
        <v>8957328</v>
      </c>
      <c r="H176">
        <v>9025102</v>
      </c>
      <c r="I176">
        <v>9095455</v>
      </c>
      <c r="J176">
        <v>9167366</v>
      </c>
      <c r="K176">
        <v>9239880</v>
      </c>
      <c r="L176">
        <v>9312110</v>
      </c>
      <c r="M176">
        <v>9383231</v>
      </c>
      <c r="N176">
        <v>9452488</v>
      </c>
      <c r="O176">
        <v>9519190</v>
      </c>
      <c r="P176">
        <v>9582712</v>
      </c>
      <c r="Q176">
        <v>9642493</v>
      </c>
      <c r="R176">
        <v>9698043</v>
      </c>
      <c r="S176">
        <v>9748932</v>
      </c>
      <c r="T176">
        <v>9794801</v>
      </c>
      <c r="U176">
        <v>9835353</v>
      </c>
      <c r="V176">
        <v>9870359</v>
      </c>
      <c r="W176">
        <v>9899656</v>
      </c>
      <c r="X176">
        <v>9923146</v>
      </c>
      <c r="Y176">
        <v>9940798</v>
      </c>
      <c r="Z176">
        <v>9952646</v>
      </c>
      <c r="AA176">
        <v>9958789</v>
      </c>
      <c r="AB176">
        <v>9959395</v>
      </c>
      <c r="AC176">
        <v>9954695</v>
      </c>
      <c r="AD176">
        <v>9944987</v>
      </c>
      <c r="AE176">
        <v>9930636</v>
      </c>
      <c r="AF176">
        <v>9912070</v>
      </c>
      <c r="AG176">
        <v>9889786</v>
      </c>
      <c r="AH176">
        <v>9864346</v>
      </c>
      <c r="AI176">
        <v>9836377</v>
      </c>
      <c r="AJ176">
        <v>9806572</v>
      </c>
      <c r="AK176">
        <v>9775692</v>
      </c>
      <c r="AL176">
        <v>9744561</v>
      </c>
      <c r="AM176">
        <v>9714071</v>
      </c>
      <c r="AN176">
        <v>9685178</v>
      </c>
      <c r="AO176">
        <v>9658908</v>
      </c>
      <c r="AP176">
        <v>9636347</v>
      </c>
      <c r="AQ176">
        <v>9618652</v>
      </c>
      <c r="AR176">
        <v>9607043</v>
      </c>
      <c r="AS176">
        <v>9602808</v>
      </c>
      <c r="AT176">
        <v>9607298</v>
      </c>
      <c r="AU176">
        <v>9621933</v>
      </c>
      <c r="AV176">
        <v>9648198</v>
      </c>
    </row>
    <row r="177" spans="1:48">
      <c r="A177" t="s">
        <v>543</v>
      </c>
      <c r="B177" t="s">
        <v>544</v>
      </c>
      <c r="C177" t="s">
        <v>14</v>
      </c>
      <c r="D177" s="37">
        <v>7440758.03580096</v>
      </c>
      <c r="E177" s="37">
        <v>7467900.53200219</v>
      </c>
      <c r="F177" s="37">
        <v>7493347.48841937</v>
      </c>
      <c r="G177" s="37">
        <v>6980998</v>
      </c>
      <c r="H177">
        <v>7007675</v>
      </c>
      <c r="I177">
        <v>7038492</v>
      </c>
      <c r="J177">
        <v>7072489</v>
      </c>
      <c r="K177">
        <v>7108762</v>
      </c>
      <c r="L177">
        <v>7146464</v>
      </c>
      <c r="M177">
        <v>7184807</v>
      </c>
      <c r="N177">
        <v>7223055</v>
      </c>
      <c r="O177">
        <v>7260534</v>
      </c>
      <c r="P177">
        <v>7296622</v>
      </c>
      <c r="Q177">
        <v>7330757</v>
      </c>
      <c r="R177">
        <v>7362431</v>
      </c>
      <c r="S177">
        <v>7391195</v>
      </c>
      <c r="T177">
        <v>7416656</v>
      </c>
      <c r="U177">
        <v>7438476</v>
      </c>
      <c r="V177">
        <v>7456375</v>
      </c>
      <c r="W177">
        <v>7470131</v>
      </c>
      <c r="X177">
        <v>7479576</v>
      </c>
      <c r="Y177">
        <v>7484601</v>
      </c>
      <c r="Z177">
        <v>7485152</v>
      </c>
      <c r="AA177">
        <v>7481233</v>
      </c>
      <c r="AB177">
        <v>7472902</v>
      </c>
      <c r="AC177">
        <v>7460278</v>
      </c>
      <c r="AD177">
        <v>7443533</v>
      </c>
      <c r="AE177">
        <v>7422898</v>
      </c>
      <c r="AF177">
        <v>7398658</v>
      </c>
      <c r="AG177">
        <v>7371157</v>
      </c>
      <c r="AH177">
        <v>7340795</v>
      </c>
      <c r="AI177">
        <v>7308029</v>
      </c>
      <c r="AJ177">
        <v>7273372</v>
      </c>
      <c r="AK177">
        <v>7237394</v>
      </c>
      <c r="AL177">
        <v>7200721</v>
      </c>
      <c r="AM177">
        <v>7164037</v>
      </c>
      <c r="AN177">
        <v>7128081</v>
      </c>
      <c r="AO177">
        <v>7093651</v>
      </c>
      <c r="AP177">
        <v>7061599</v>
      </c>
      <c r="AQ177">
        <v>7032835</v>
      </c>
      <c r="AR177">
        <v>7008326</v>
      </c>
      <c r="AS177">
        <v>6989095</v>
      </c>
      <c r="AT177">
        <v>6976223</v>
      </c>
      <c r="AU177">
        <v>6970845</v>
      </c>
      <c r="AV177">
        <v>6974155</v>
      </c>
    </row>
    <row r="178" spans="1:48">
      <c r="A178" t="s">
        <v>545</v>
      </c>
      <c r="B178" t="s">
        <v>546</v>
      </c>
      <c r="C178" t="s">
        <v>14</v>
      </c>
      <c r="D178" s="37">
        <v>707632.914763928</v>
      </c>
      <c r="E178" s="37">
        <v>712403.045797313</v>
      </c>
      <c r="F178" s="37">
        <v>716910.577987512</v>
      </c>
      <c r="G178" s="37">
        <v>720495</v>
      </c>
      <c r="H178">
        <v>727210</v>
      </c>
      <c r="I178">
        <v>733444</v>
      </c>
      <c r="J178">
        <v>739196</v>
      </c>
      <c r="K178">
        <v>744464</v>
      </c>
      <c r="L178">
        <v>749248</v>
      </c>
      <c r="M178">
        <v>753551</v>
      </c>
      <c r="N178">
        <v>757374</v>
      </c>
      <c r="O178">
        <v>760723</v>
      </c>
      <c r="P178">
        <v>763601</v>
      </c>
      <c r="Q178">
        <v>766017</v>
      </c>
      <c r="R178">
        <v>767978</v>
      </c>
      <c r="S178">
        <v>769492</v>
      </c>
      <c r="T178">
        <v>770572</v>
      </c>
      <c r="U178">
        <v>771228</v>
      </c>
      <c r="V178">
        <v>771474</v>
      </c>
      <c r="W178">
        <v>771323</v>
      </c>
      <c r="X178">
        <v>770792</v>
      </c>
      <c r="Y178">
        <v>769898</v>
      </c>
      <c r="Z178">
        <v>768658</v>
      </c>
      <c r="AA178">
        <v>767092</v>
      </c>
      <c r="AB178">
        <v>765221</v>
      </c>
      <c r="AC178">
        <v>763066</v>
      </c>
      <c r="AD178">
        <v>760652</v>
      </c>
      <c r="AE178">
        <v>758003</v>
      </c>
      <c r="AF178">
        <v>755143</v>
      </c>
      <c r="AG178">
        <v>752102</v>
      </c>
      <c r="AH178">
        <v>748906</v>
      </c>
      <c r="AI178">
        <v>745587</v>
      </c>
      <c r="AJ178">
        <v>742174</v>
      </c>
      <c r="AK178">
        <v>738699</v>
      </c>
      <c r="AL178">
        <v>735198</v>
      </c>
      <c r="AM178">
        <v>731703</v>
      </c>
      <c r="AN178">
        <v>728252</v>
      </c>
      <c r="AO178">
        <v>724882</v>
      </c>
      <c r="AP178">
        <v>721630</v>
      </c>
      <c r="AQ178">
        <v>718538</v>
      </c>
      <c r="AR178">
        <v>715647</v>
      </c>
      <c r="AS178">
        <v>712998</v>
      </c>
      <c r="AT178">
        <v>710636</v>
      </c>
      <c r="AU178">
        <v>708605</v>
      </c>
      <c r="AV178">
        <v>706953</v>
      </c>
    </row>
    <row r="179" spans="1:48">
      <c r="A179" t="s">
        <v>547</v>
      </c>
      <c r="B179" t="s">
        <v>548</v>
      </c>
      <c r="C179" t="s">
        <v>358</v>
      </c>
      <c r="D179" s="37">
        <v>10336243.3035302</v>
      </c>
      <c r="E179" s="37">
        <v>10422785.4987581</v>
      </c>
      <c r="F179" s="37">
        <v>10503781.6230021</v>
      </c>
      <c r="G179" s="37">
        <v>12157596</v>
      </c>
      <c r="H179">
        <v>12325536</v>
      </c>
      <c r="I179">
        <v>12467232</v>
      </c>
      <c r="J179">
        <v>12584748</v>
      </c>
      <c r="K179">
        <v>12680067</v>
      </c>
      <c r="L179">
        <v>12755090</v>
      </c>
      <c r="M179">
        <v>12811638</v>
      </c>
      <c r="N179">
        <v>12851448</v>
      </c>
      <c r="O179">
        <v>12876177</v>
      </c>
      <c r="P179">
        <v>12887399</v>
      </c>
      <c r="Q179">
        <v>12886607</v>
      </c>
      <c r="R179">
        <v>12875213</v>
      </c>
      <c r="S179">
        <v>12854546</v>
      </c>
      <c r="T179">
        <v>12825854</v>
      </c>
      <c r="U179">
        <v>12790303</v>
      </c>
      <c r="V179">
        <v>12748978</v>
      </c>
      <c r="W179">
        <v>12702881</v>
      </c>
      <c r="X179">
        <v>12652934</v>
      </c>
      <c r="Y179">
        <v>12599976</v>
      </c>
      <c r="Z179">
        <v>12544765</v>
      </c>
      <c r="AA179">
        <v>12487976</v>
      </c>
      <c r="AB179">
        <v>12430205</v>
      </c>
      <c r="AC179">
        <v>12371964</v>
      </c>
      <c r="AD179">
        <v>12313684</v>
      </c>
      <c r="AE179">
        <v>12255714</v>
      </c>
      <c r="AF179">
        <v>12198322</v>
      </c>
      <c r="AG179">
        <v>12141693</v>
      </c>
      <c r="AH179">
        <v>12085932</v>
      </c>
      <c r="AI179">
        <v>12031062</v>
      </c>
      <c r="AJ179">
        <v>11977023</v>
      </c>
      <c r="AK179">
        <v>11923674</v>
      </c>
      <c r="AL179">
        <v>11870793</v>
      </c>
      <c r="AM179">
        <v>11818076</v>
      </c>
      <c r="AN179">
        <v>11765137</v>
      </c>
      <c r="AO179">
        <v>11711507</v>
      </c>
      <c r="AP179">
        <v>11656639</v>
      </c>
      <c r="AQ179">
        <v>11599900</v>
      </c>
      <c r="AR179">
        <v>11540578</v>
      </c>
      <c r="AS179">
        <v>11477879</v>
      </c>
      <c r="AT179">
        <v>11410927</v>
      </c>
      <c r="AU179">
        <v>11338763</v>
      </c>
      <c r="AV179">
        <v>11260349</v>
      </c>
    </row>
    <row r="180" spans="1:48">
      <c r="A180" t="s">
        <v>549</v>
      </c>
      <c r="B180" t="s">
        <v>550</v>
      </c>
      <c r="C180" t="s">
        <v>358</v>
      </c>
      <c r="D180" s="37">
        <v>2537151.01124357</v>
      </c>
      <c r="E180" s="37">
        <v>2552585.75446723</v>
      </c>
      <c r="F180" s="37">
        <v>2567100.53334332</v>
      </c>
      <c r="G180" s="37">
        <v>2448955</v>
      </c>
      <c r="H180">
        <v>2468906</v>
      </c>
      <c r="I180">
        <v>2487850</v>
      </c>
      <c r="J180">
        <v>2505725</v>
      </c>
      <c r="K180">
        <v>2522477</v>
      </c>
      <c r="L180">
        <v>2538058</v>
      </c>
      <c r="M180">
        <v>2552425</v>
      </c>
      <c r="N180">
        <v>2565543</v>
      </c>
      <c r="O180">
        <v>2577382</v>
      </c>
      <c r="P180">
        <v>2587919</v>
      </c>
      <c r="Q180">
        <v>2597136</v>
      </c>
      <c r="R180">
        <v>2605023</v>
      </c>
      <c r="S180">
        <v>2611575</v>
      </c>
      <c r="T180">
        <v>2616794</v>
      </c>
      <c r="U180">
        <v>2620687</v>
      </c>
      <c r="V180">
        <v>2623267</v>
      </c>
      <c r="W180">
        <v>2624556</v>
      </c>
      <c r="X180">
        <v>2624580</v>
      </c>
      <c r="Y180">
        <v>2623371</v>
      </c>
      <c r="Z180">
        <v>2620969</v>
      </c>
      <c r="AA180">
        <v>2617418</v>
      </c>
      <c r="AB180">
        <v>2612770</v>
      </c>
      <c r="AC180">
        <v>2607082</v>
      </c>
      <c r="AD180">
        <v>2600418</v>
      </c>
      <c r="AE180">
        <v>2592848</v>
      </c>
      <c r="AF180">
        <v>2584448</v>
      </c>
      <c r="AG180">
        <v>2575301</v>
      </c>
      <c r="AH180">
        <v>2565496</v>
      </c>
      <c r="AI180">
        <v>2555127</v>
      </c>
      <c r="AJ180">
        <v>2544295</v>
      </c>
      <c r="AK180">
        <v>2533108</v>
      </c>
      <c r="AL180">
        <v>2521680</v>
      </c>
      <c r="AM180">
        <v>2510130</v>
      </c>
      <c r="AN180">
        <v>2498584</v>
      </c>
      <c r="AO180">
        <v>2487175</v>
      </c>
      <c r="AP180">
        <v>2476042</v>
      </c>
      <c r="AQ180">
        <v>2465328</v>
      </c>
      <c r="AR180">
        <v>2455184</v>
      </c>
      <c r="AS180">
        <v>2445769</v>
      </c>
      <c r="AT180">
        <v>2437245</v>
      </c>
      <c r="AU180">
        <v>2429782</v>
      </c>
      <c r="AV180">
        <v>2423556</v>
      </c>
    </row>
    <row r="181" spans="1:48">
      <c r="A181" t="s">
        <v>551</v>
      </c>
      <c r="B181" t="s">
        <v>552</v>
      </c>
      <c r="C181" t="s">
        <v>358</v>
      </c>
      <c r="D181" s="37">
        <v>3482133.08999741</v>
      </c>
      <c r="E181" s="37">
        <v>3501077.49098065</v>
      </c>
      <c r="F181" s="37">
        <v>3518387.85700807</v>
      </c>
      <c r="G181" s="37">
        <v>3186003</v>
      </c>
      <c r="H181">
        <v>3208734</v>
      </c>
      <c r="I181">
        <v>3229260</v>
      </c>
      <c r="J181">
        <v>3247614</v>
      </c>
      <c r="K181">
        <v>3263829</v>
      </c>
      <c r="L181">
        <v>3277945</v>
      </c>
      <c r="M181">
        <v>3290000</v>
      </c>
      <c r="N181">
        <v>3300038</v>
      </c>
      <c r="O181">
        <v>3308104</v>
      </c>
      <c r="P181">
        <v>3314245</v>
      </c>
      <c r="Q181">
        <v>3318511</v>
      </c>
      <c r="R181">
        <v>3320955</v>
      </c>
      <c r="S181">
        <v>3321633</v>
      </c>
      <c r="T181">
        <v>3320603</v>
      </c>
      <c r="U181">
        <v>3317925</v>
      </c>
      <c r="V181">
        <v>3313662</v>
      </c>
      <c r="W181">
        <v>3307879</v>
      </c>
      <c r="X181">
        <v>3300645</v>
      </c>
      <c r="Y181">
        <v>3292031</v>
      </c>
      <c r="Z181">
        <v>3282110</v>
      </c>
      <c r="AA181">
        <v>3270957</v>
      </c>
      <c r="AB181">
        <v>3258652</v>
      </c>
      <c r="AC181">
        <v>3245274</v>
      </c>
      <c r="AD181">
        <v>3230908</v>
      </c>
      <c r="AE181">
        <v>3215639</v>
      </c>
      <c r="AF181">
        <v>3199556</v>
      </c>
      <c r="AG181">
        <v>3182751</v>
      </c>
      <c r="AH181">
        <v>3165317</v>
      </c>
      <c r="AI181">
        <v>3147350</v>
      </c>
      <c r="AJ181">
        <v>3128949</v>
      </c>
      <c r="AK181">
        <v>3110216</v>
      </c>
      <c r="AL181">
        <v>3091255</v>
      </c>
      <c r="AM181">
        <v>3072172</v>
      </c>
      <c r="AN181">
        <v>3053076</v>
      </c>
      <c r="AO181">
        <v>3034079</v>
      </c>
      <c r="AP181">
        <v>3015295</v>
      </c>
      <c r="AQ181">
        <v>2996840</v>
      </c>
      <c r="AR181">
        <v>2978835</v>
      </c>
      <c r="AS181">
        <v>2961401</v>
      </c>
      <c r="AT181">
        <v>2944663</v>
      </c>
      <c r="AU181">
        <v>2928746</v>
      </c>
      <c r="AV181">
        <v>2913782</v>
      </c>
    </row>
    <row r="182" spans="1:48">
      <c r="A182" t="s">
        <v>553</v>
      </c>
      <c r="B182" t="s">
        <v>554</v>
      </c>
      <c r="C182" t="s">
        <v>358</v>
      </c>
      <c r="D182" s="37">
        <v>4182544.15087583</v>
      </c>
      <c r="E182" s="37">
        <v>4197581.86199924</v>
      </c>
      <c r="F182" s="37">
        <v>4210364.76011958</v>
      </c>
      <c r="G182" s="37">
        <v>3994116</v>
      </c>
      <c r="H182">
        <v>4017126</v>
      </c>
      <c r="I182">
        <v>4034992</v>
      </c>
      <c r="J182">
        <v>4048013</v>
      </c>
      <c r="K182">
        <v>4056483</v>
      </c>
      <c r="L182">
        <v>4060685</v>
      </c>
      <c r="M182">
        <v>4060896</v>
      </c>
      <c r="N182">
        <v>4057384</v>
      </c>
      <c r="O182">
        <v>4050409</v>
      </c>
      <c r="P182">
        <v>4040222</v>
      </c>
      <c r="Q182">
        <v>4027069</v>
      </c>
      <c r="R182">
        <v>4011183</v>
      </c>
      <c r="S182">
        <v>3992793</v>
      </c>
      <c r="T182">
        <v>3972119</v>
      </c>
      <c r="U182">
        <v>3949370</v>
      </c>
      <c r="V182">
        <v>3924752</v>
      </c>
      <c r="W182">
        <v>3898458</v>
      </c>
      <c r="X182">
        <v>3870675</v>
      </c>
      <c r="Y182">
        <v>3841583</v>
      </c>
      <c r="Z182">
        <v>3811352</v>
      </c>
      <c r="AA182">
        <v>3780145</v>
      </c>
      <c r="AB182">
        <v>3748116</v>
      </c>
      <c r="AC182">
        <v>3715411</v>
      </c>
      <c r="AD182">
        <v>3682169</v>
      </c>
      <c r="AE182">
        <v>3648520</v>
      </c>
      <c r="AF182">
        <v>3614585</v>
      </c>
      <c r="AG182">
        <v>3580479</v>
      </c>
      <c r="AH182">
        <v>3546308</v>
      </c>
      <c r="AI182">
        <v>3512168</v>
      </c>
      <c r="AJ182">
        <v>3478150</v>
      </c>
      <c r="AK182">
        <v>3444334</v>
      </c>
      <c r="AL182">
        <v>3410795</v>
      </c>
      <c r="AM182">
        <v>3377597</v>
      </c>
      <c r="AN182">
        <v>3344797</v>
      </c>
      <c r="AO182">
        <v>3312444</v>
      </c>
      <c r="AP182">
        <v>3280579</v>
      </c>
      <c r="AQ182">
        <v>3249235</v>
      </c>
      <c r="AR182">
        <v>3218436</v>
      </c>
      <c r="AS182">
        <v>3188199</v>
      </c>
      <c r="AT182">
        <v>3158531</v>
      </c>
      <c r="AU182">
        <v>3129434</v>
      </c>
      <c r="AV182">
        <v>3100898</v>
      </c>
    </row>
    <row r="183" spans="1:48">
      <c r="A183" t="s">
        <v>555</v>
      </c>
      <c r="B183" t="s">
        <v>556</v>
      </c>
      <c r="C183" t="s">
        <v>358</v>
      </c>
      <c r="D183" s="37">
        <v>5724586.75240935</v>
      </c>
      <c r="E183" s="37">
        <v>5754004.4075249</v>
      </c>
      <c r="F183" s="37">
        <v>5780690.6495781</v>
      </c>
      <c r="G183" s="37">
        <v>5224700</v>
      </c>
      <c r="H183">
        <v>5260536</v>
      </c>
      <c r="I183">
        <v>5292517</v>
      </c>
      <c r="J183">
        <v>5320707</v>
      </c>
      <c r="K183">
        <v>5345175</v>
      </c>
      <c r="L183">
        <v>5365995</v>
      </c>
      <c r="M183">
        <v>5383244</v>
      </c>
      <c r="N183">
        <v>5397004</v>
      </c>
      <c r="O183">
        <v>5407362</v>
      </c>
      <c r="P183">
        <v>5414408</v>
      </c>
      <c r="Q183">
        <v>5418239</v>
      </c>
      <c r="R183">
        <v>5418953</v>
      </c>
      <c r="S183">
        <v>5416655</v>
      </c>
      <c r="T183">
        <v>5411453</v>
      </c>
      <c r="U183">
        <v>5403461</v>
      </c>
      <c r="V183">
        <v>5392795</v>
      </c>
      <c r="W183">
        <v>5379578</v>
      </c>
      <c r="X183">
        <v>5363935</v>
      </c>
      <c r="Y183">
        <v>5345998</v>
      </c>
      <c r="Z183">
        <v>5325900</v>
      </c>
      <c r="AA183">
        <v>5303781</v>
      </c>
      <c r="AB183">
        <v>5279786</v>
      </c>
      <c r="AC183">
        <v>5254062</v>
      </c>
      <c r="AD183">
        <v>5226762</v>
      </c>
      <c r="AE183">
        <v>5198042</v>
      </c>
      <c r="AF183">
        <v>5168065</v>
      </c>
      <c r="AG183">
        <v>5136996</v>
      </c>
      <c r="AH183">
        <v>5105004</v>
      </c>
      <c r="AI183">
        <v>5072265</v>
      </c>
      <c r="AJ183">
        <v>5038958</v>
      </c>
      <c r="AK183">
        <v>5005266</v>
      </c>
      <c r="AL183">
        <v>4971376</v>
      </c>
      <c r="AM183">
        <v>4937482</v>
      </c>
      <c r="AN183">
        <v>4903779</v>
      </c>
      <c r="AO183">
        <v>4870468</v>
      </c>
      <c r="AP183">
        <v>4837756</v>
      </c>
      <c r="AQ183">
        <v>4805850</v>
      </c>
      <c r="AR183">
        <v>4774967</v>
      </c>
      <c r="AS183">
        <v>4745325</v>
      </c>
      <c r="AT183">
        <v>4717145</v>
      </c>
      <c r="AU183">
        <v>4690657</v>
      </c>
      <c r="AV183">
        <v>4666091</v>
      </c>
    </row>
    <row r="184" spans="1:48">
      <c r="A184" t="s">
        <v>557</v>
      </c>
      <c r="B184" t="s">
        <v>558</v>
      </c>
      <c r="C184" t="s">
        <v>358</v>
      </c>
      <c r="D184" s="37">
        <v>1091738.84317093</v>
      </c>
      <c r="E184" s="37">
        <v>1098227.26834533</v>
      </c>
      <c r="F184" s="37">
        <v>1104324.05610326</v>
      </c>
      <c r="G184" s="37">
        <v>1069831</v>
      </c>
      <c r="H184">
        <v>1079276</v>
      </c>
      <c r="I184">
        <v>1087840</v>
      </c>
      <c r="J184">
        <v>1095538</v>
      </c>
      <c r="K184">
        <v>1102386</v>
      </c>
      <c r="L184">
        <v>1108404</v>
      </c>
      <c r="M184">
        <v>1113610</v>
      </c>
      <c r="N184">
        <v>1118024</v>
      </c>
      <c r="O184">
        <v>1121666</v>
      </c>
      <c r="P184">
        <v>1124558</v>
      </c>
      <c r="Q184">
        <v>1126723</v>
      </c>
      <c r="R184">
        <v>1128186</v>
      </c>
      <c r="S184">
        <v>1128969</v>
      </c>
      <c r="T184">
        <v>1129099</v>
      </c>
      <c r="U184">
        <v>1128603</v>
      </c>
      <c r="V184">
        <v>1127508</v>
      </c>
      <c r="W184">
        <v>1125842</v>
      </c>
      <c r="X184">
        <v>1123635</v>
      </c>
      <c r="Y184">
        <v>1120917</v>
      </c>
      <c r="Z184">
        <v>1117719</v>
      </c>
      <c r="AA184">
        <v>1114075</v>
      </c>
      <c r="AB184">
        <v>1110016</v>
      </c>
      <c r="AC184">
        <v>1105577</v>
      </c>
      <c r="AD184">
        <v>1100793</v>
      </c>
      <c r="AE184">
        <v>1095701</v>
      </c>
      <c r="AF184">
        <v>1090338</v>
      </c>
      <c r="AG184">
        <v>1084740</v>
      </c>
      <c r="AH184">
        <v>1078948</v>
      </c>
      <c r="AI184">
        <v>1073001</v>
      </c>
      <c r="AJ184">
        <v>1066941</v>
      </c>
      <c r="AK184">
        <v>1060808</v>
      </c>
      <c r="AL184">
        <v>1054646</v>
      </c>
      <c r="AM184">
        <v>1048499</v>
      </c>
      <c r="AN184">
        <v>1042411</v>
      </c>
      <c r="AO184">
        <v>1036427</v>
      </c>
      <c r="AP184">
        <v>1030595</v>
      </c>
      <c r="AQ184">
        <v>1024962</v>
      </c>
      <c r="AR184">
        <v>1019577</v>
      </c>
      <c r="AS184">
        <v>1014488</v>
      </c>
      <c r="AT184">
        <v>1009747</v>
      </c>
      <c r="AU184">
        <v>1005404</v>
      </c>
      <c r="AV184">
        <v>1001513</v>
      </c>
    </row>
    <row r="185" spans="1:48">
      <c r="A185" t="s">
        <v>559</v>
      </c>
      <c r="B185" t="s">
        <v>560</v>
      </c>
      <c r="C185" t="s">
        <v>358</v>
      </c>
      <c r="D185" s="37">
        <v>2981737.18422584</v>
      </c>
      <c r="E185" s="37">
        <v>2997170.97449146</v>
      </c>
      <c r="F185" s="37">
        <v>3011234.65283912</v>
      </c>
      <c r="G185" s="37">
        <v>2575447</v>
      </c>
      <c r="H185">
        <v>2596700</v>
      </c>
      <c r="I185">
        <v>2614643</v>
      </c>
      <c r="J185">
        <v>2629443</v>
      </c>
      <c r="K185">
        <v>2641264</v>
      </c>
      <c r="L185">
        <v>2650265</v>
      </c>
      <c r="M185">
        <v>2656603</v>
      </c>
      <c r="N185">
        <v>2660429</v>
      </c>
      <c r="O185">
        <v>2661894</v>
      </c>
      <c r="P185">
        <v>2661142</v>
      </c>
      <c r="Q185">
        <v>2658315</v>
      </c>
      <c r="R185">
        <v>2653552</v>
      </c>
      <c r="S185">
        <v>2646987</v>
      </c>
      <c r="T185">
        <v>2638751</v>
      </c>
      <c r="U185">
        <v>2628972</v>
      </c>
      <c r="V185">
        <v>2617773</v>
      </c>
      <c r="W185">
        <v>2605274</v>
      </c>
      <c r="X185">
        <v>2591592</v>
      </c>
      <c r="Y185">
        <v>2576841</v>
      </c>
      <c r="Z185">
        <v>2561129</v>
      </c>
      <c r="AA185">
        <v>2544563</v>
      </c>
      <c r="AB185">
        <v>2527244</v>
      </c>
      <c r="AC185">
        <v>2509271</v>
      </c>
      <c r="AD185">
        <v>2490740</v>
      </c>
      <c r="AE185">
        <v>2471741</v>
      </c>
      <c r="AF185">
        <v>2452363</v>
      </c>
      <c r="AG185">
        <v>2432689</v>
      </c>
      <c r="AH185">
        <v>2412801</v>
      </c>
      <c r="AI185">
        <v>2392776</v>
      </c>
      <c r="AJ185">
        <v>2372686</v>
      </c>
      <c r="AK185">
        <v>2352602</v>
      </c>
      <c r="AL185">
        <v>2332590</v>
      </c>
      <c r="AM185">
        <v>2312713</v>
      </c>
      <c r="AN185">
        <v>2293029</v>
      </c>
      <c r="AO185">
        <v>2273595</v>
      </c>
      <c r="AP185">
        <v>2254462</v>
      </c>
      <c r="AQ185">
        <v>2235677</v>
      </c>
      <c r="AR185">
        <v>2217287</v>
      </c>
      <c r="AS185">
        <v>2199332</v>
      </c>
      <c r="AT185">
        <v>2181849</v>
      </c>
      <c r="AU185">
        <v>2164872</v>
      </c>
      <c r="AV185">
        <v>2148432</v>
      </c>
    </row>
    <row r="186" spans="1:48">
      <c r="A186" t="s">
        <v>561</v>
      </c>
      <c r="B186" t="s">
        <v>562</v>
      </c>
      <c r="C186" t="s">
        <v>358</v>
      </c>
      <c r="D186" s="37">
        <v>4995929.53915386</v>
      </c>
      <c r="E186" s="37">
        <v>5023084.53327237</v>
      </c>
      <c r="F186" s="37">
        <v>5048391.72223752</v>
      </c>
      <c r="G186" s="37">
        <v>4234844</v>
      </c>
      <c r="H186">
        <v>4270040</v>
      </c>
      <c r="I186">
        <v>4301418</v>
      </c>
      <c r="J186">
        <v>4329088</v>
      </c>
      <c r="K186">
        <v>4353159</v>
      </c>
      <c r="L186">
        <v>4373746</v>
      </c>
      <c r="M186">
        <v>4390961</v>
      </c>
      <c r="N186">
        <v>4404919</v>
      </c>
      <c r="O186">
        <v>4415739</v>
      </c>
      <c r="P186">
        <v>4423539</v>
      </c>
      <c r="Q186">
        <v>4428440</v>
      </c>
      <c r="R186">
        <v>4430563</v>
      </c>
      <c r="S186">
        <v>4430032</v>
      </c>
      <c r="T186">
        <v>4426972</v>
      </c>
      <c r="U186">
        <v>4421511</v>
      </c>
      <c r="V186">
        <v>4413776</v>
      </c>
      <c r="W186">
        <v>4403899</v>
      </c>
      <c r="X186">
        <v>4392011</v>
      </c>
      <c r="Y186">
        <v>4378244</v>
      </c>
      <c r="Z186">
        <v>4362735</v>
      </c>
      <c r="AA186">
        <v>4345620</v>
      </c>
      <c r="AB186">
        <v>4327037</v>
      </c>
      <c r="AC186">
        <v>4307126</v>
      </c>
      <c r="AD186">
        <v>4286029</v>
      </c>
      <c r="AE186">
        <v>4263889</v>
      </c>
      <c r="AF186">
        <v>4240850</v>
      </c>
      <c r="AG186">
        <v>4217058</v>
      </c>
      <c r="AH186">
        <v>4192663</v>
      </c>
      <c r="AI186">
        <v>4167813</v>
      </c>
      <c r="AJ186">
        <v>4142660</v>
      </c>
      <c r="AK186">
        <v>4117357</v>
      </c>
      <c r="AL186">
        <v>4092057</v>
      </c>
      <c r="AM186">
        <v>4066918</v>
      </c>
      <c r="AN186">
        <v>4042097</v>
      </c>
      <c r="AO186">
        <v>4017753</v>
      </c>
      <c r="AP186">
        <v>3994048</v>
      </c>
      <c r="AQ186">
        <v>3971144</v>
      </c>
      <c r="AR186">
        <v>3949204</v>
      </c>
      <c r="AS186">
        <v>3928396</v>
      </c>
      <c r="AT186">
        <v>3908886</v>
      </c>
      <c r="AU186">
        <v>3890844</v>
      </c>
      <c r="AV186">
        <v>3874440</v>
      </c>
    </row>
    <row r="187" spans="1:48">
      <c r="A187" t="s">
        <v>563</v>
      </c>
      <c r="B187" t="s">
        <v>564</v>
      </c>
      <c r="C187" t="s">
        <v>358</v>
      </c>
      <c r="D187" s="37">
        <v>5885063.13609525</v>
      </c>
      <c r="E187" s="37">
        <v>5910642.60122657</v>
      </c>
      <c r="F187" s="37">
        <v>5933500.57723591</v>
      </c>
      <c r="G187" s="37">
        <v>5196918</v>
      </c>
      <c r="H187">
        <v>5230702</v>
      </c>
      <c r="I187">
        <v>5259520</v>
      </c>
      <c r="J187">
        <v>5283562</v>
      </c>
      <c r="K187">
        <v>5303012</v>
      </c>
      <c r="L187">
        <v>5318058</v>
      </c>
      <c r="M187">
        <v>5328884</v>
      </c>
      <c r="N187">
        <v>5335675</v>
      </c>
      <c r="O187">
        <v>5338614</v>
      </c>
      <c r="P187">
        <v>5337883</v>
      </c>
      <c r="Q187">
        <v>5333664</v>
      </c>
      <c r="R187">
        <v>5326138</v>
      </c>
      <c r="S187">
        <v>5315484</v>
      </c>
      <c r="T187">
        <v>5301883</v>
      </c>
      <c r="U187">
        <v>5285512</v>
      </c>
      <c r="V187">
        <v>5266548</v>
      </c>
      <c r="W187">
        <v>5245168</v>
      </c>
      <c r="X187">
        <v>5221548</v>
      </c>
      <c r="Y187">
        <v>5195862</v>
      </c>
      <c r="Z187">
        <v>5168284</v>
      </c>
      <c r="AA187">
        <v>5138988</v>
      </c>
      <c r="AB187">
        <v>5108145</v>
      </c>
      <c r="AC187">
        <v>5075927</v>
      </c>
      <c r="AD187">
        <v>5042504</v>
      </c>
      <c r="AE187">
        <v>5008047</v>
      </c>
      <c r="AF187">
        <v>4972723</v>
      </c>
      <c r="AG187">
        <v>4936701</v>
      </c>
      <c r="AH187">
        <v>4900147</v>
      </c>
      <c r="AI187">
        <v>4863229</v>
      </c>
      <c r="AJ187">
        <v>4826111</v>
      </c>
      <c r="AK187">
        <v>4788958</v>
      </c>
      <c r="AL187">
        <v>4751933</v>
      </c>
      <c r="AM187">
        <v>4715199</v>
      </c>
      <c r="AN187">
        <v>4678918</v>
      </c>
      <c r="AO187">
        <v>4643251</v>
      </c>
      <c r="AP187">
        <v>4608359</v>
      </c>
      <c r="AQ187">
        <v>4574400</v>
      </c>
      <c r="AR187">
        <v>4541534</v>
      </c>
      <c r="AS187">
        <v>4509917</v>
      </c>
      <c r="AT187">
        <v>4479706</v>
      </c>
      <c r="AU187">
        <v>4451058</v>
      </c>
      <c r="AV187">
        <v>4424128</v>
      </c>
    </row>
    <row r="188" spans="1:48">
      <c r="A188" t="s">
        <v>565</v>
      </c>
      <c r="B188" t="s">
        <v>566</v>
      </c>
      <c r="C188" t="s">
        <v>358</v>
      </c>
      <c r="D188" s="37">
        <v>6339610.4997289</v>
      </c>
      <c r="E188" s="37">
        <v>6366161.75503251</v>
      </c>
      <c r="F188" s="37">
        <v>6390939.79558341</v>
      </c>
      <c r="G188" s="37">
        <v>5844910</v>
      </c>
      <c r="H188">
        <v>5882241</v>
      </c>
      <c r="I188">
        <v>5916680</v>
      </c>
      <c r="J188">
        <v>5948097</v>
      </c>
      <c r="K188">
        <v>5976377</v>
      </c>
      <c r="L188">
        <v>6001425</v>
      </c>
      <c r="M188">
        <v>6023160</v>
      </c>
      <c r="N188">
        <v>6041519</v>
      </c>
      <c r="O188">
        <v>6056459</v>
      </c>
      <c r="P188">
        <v>6067949</v>
      </c>
      <c r="Q188">
        <v>6075979</v>
      </c>
      <c r="R188">
        <v>6080555</v>
      </c>
      <c r="S188">
        <v>6081698</v>
      </c>
      <c r="T188">
        <v>6079450</v>
      </c>
      <c r="U188">
        <v>6073866</v>
      </c>
      <c r="V188">
        <v>6065021</v>
      </c>
      <c r="W188">
        <v>6053006</v>
      </c>
      <c r="X188">
        <v>6037928</v>
      </c>
      <c r="Y188">
        <v>6019913</v>
      </c>
      <c r="Z188">
        <v>5999103</v>
      </c>
      <c r="AA188">
        <v>5975657</v>
      </c>
      <c r="AB188">
        <v>5949751</v>
      </c>
      <c r="AC188">
        <v>5921579</v>
      </c>
      <c r="AD188">
        <v>5891350</v>
      </c>
      <c r="AE188">
        <v>5859293</v>
      </c>
      <c r="AF188">
        <v>5825652</v>
      </c>
      <c r="AG188">
        <v>5790687</v>
      </c>
      <c r="AH188">
        <v>5754678</v>
      </c>
      <c r="AI188">
        <v>5717921</v>
      </c>
      <c r="AJ188">
        <v>5680728</v>
      </c>
      <c r="AK188">
        <v>5643428</v>
      </c>
      <c r="AL188">
        <v>5606369</v>
      </c>
      <c r="AM188">
        <v>5569914</v>
      </c>
      <c r="AN188">
        <v>5534444</v>
      </c>
      <c r="AO188">
        <v>5500357</v>
      </c>
      <c r="AP188">
        <v>5468069</v>
      </c>
      <c r="AQ188">
        <v>5438010</v>
      </c>
      <c r="AR188">
        <v>5410630</v>
      </c>
      <c r="AS188">
        <v>5386396</v>
      </c>
      <c r="AT188">
        <v>5365790</v>
      </c>
      <c r="AU188">
        <v>5349313</v>
      </c>
      <c r="AV188">
        <v>5337482</v>
      </c>
    </row>
    <row r="189" spans="1:48">
      <c r="A189" t="s">
        <v>567</v>
      </c>
      <c r="B189" t="s">
        <v>568</v>
      </c>
      <c r="C189" t="s">
        <v>358</v>
      </c>
      <c r="D189" s="37">
        <v>2560558.60672886</v>
      </c>
      <c r="E189" s="37">
        <v>2573709.18204938</v>
      </c>
      <c r="F189" s="37">
        <v>2585939.74548673</v>
      </c>
      <c r="G189" s="37">
        <v>2641424</v>
      </c>
      <c r="H189">
        <v>2658105</v>
      </c>
      <c r="I189">
        <v>2674403</v>
      </c>
      <c r="J189">
        <v>2690171</v>
      </c>
      <c r="K189">
        <v>2705272</v>
      </c>
      <c r="L189">
        <v>2719579</v>
      </c>
      <c r="M189">
        <v>2732978</v>
      </c>
      <c r="N189">
        <v>2745364</v>
      </c>
      <c r="O189">
        <v>2756644</v>
      </c>
      <c r="P189">
        <v>2766736</v>
      </c>
      <c r="Q189">
        <v>2775567</v>
      </c>
      <c r="R189">
        <v>2783077</v>
      </c>
      <c r="S189">
        <v>2789217</v>
      </c>
      <c r="T189">
        <v>2793946</v>
      </c>
      <c r="U189">
        <v>2797238</v>
      </c>
      <c r="V189">
        <v>2799074</v>
      </c>
      <c r="W189">
        <v>2799448</v>
      </c>
      <c r="X189">
        <v>2798366</v>
      </c>
      <c r="Y189">
        <v>2795841</v>
      </c>
      <c r="Z189">
        <v>2791901</v>
      </c>
      <c r="AA189">
        <v>2786582</v>
      </c>
      <c r="AB189">
        <v>2779933</v>
      </c>
      <c r="AC189">
        <v>2772012</v>
      </c>
      <c r="AD189">
        <v>2762889</v>
      </c>
      <c r="AE189">
        <v>2752645</v>
      </c>
      <c r="AF189">
        <v>2741371</v>
      </c>
      <c r="AG189">
        <v>2729169</v>
      </c>
      <c r="AH189">
        <v>2716153</v>
      </c>
      <c r="AI189">
        <v>2702447</v>
      </c>
      <c r="AJ189">
        <v>2688185</v>
      </c>
      <c r="AK189">
        <v>2673514</v>
      </c>
      <c r="AL189">
        <v>2658590</v>
      </c>
      <c r="AM189">
        <v>2643581</v>
      </c>
      <c r="AN189">
        <v>2628666</v>
      </c>
      <c r="AO189">
        <v>2614033</v>
      </c>
      <c r="AP189">
        <v>2599883</v>
      </c>
      <c r="AQ189">
        <v>2586428</v>
      </c>
      <c r="AR189">
        <v>2573888</v>
      </c>
      <c r="AS189">
        <v>2562497</v>
      </c>
      <c r="AT189">
        <v>2552498</v>
      </c>
      <c r="AU189">
        <v>2544146</v>
      </c>
      <c r="AV189">
        <v>2537708</v>
      </c>
    </row>
    <row r="190" spans="1:48">
      <c r="A190" t="s">
        <v>569</v>
      </c>
      <c r="B190" t="s">
        <v>570</v>
      </c>
      <c r="C190" t="s">
        <v>358</v>
      </c>
      <c r="D190" s="37">
        <v>2246239.89123406</v>
      </c>
      <c r="E190" s="37">
        <v>2257356.25612987</v>
      </c>
      <c r="F190" s="37">
        <v>2267407.11094817</v>
      </c>
      <c r="G190" s="37">
        <v>2033353</v>
      </c>
      <c r="H190">
        <v>2047758</v>
      </c>
      <c r="I190">
        <v>2060356</v>
      </c>
      <c r="J190">
        <v>2071205</v>
      </c>
      <c r="K190">
        <v>2080362</v>
      </c>
      <c r="L190">
        <v>2087885</v>
      </c>
      <c r="M190">
        <v>2093831</v>
      </c>
      <c r="N190">
        <v>2098260</v>
      </c>
      <c r="O190">
        <v>2101231</v>
      </c>
      <c r="P190">
        <v>2102802</v>
      </c>
      <c r="Q190">
        <v>2103032</v>
      </c>
      <c r="R190">
        <v>2101983</v>
      </c>
      <c r="S190">
        <v>2099713</v>
      </c>
      <c r="T190">
        <v>2096284</v>
      </c>
      <c r="U190">
        <v>2091757</v>
      </c>
      <c r="V190">
        <v>2086192</v>
      </c>
      <c r="W190">
        <v>2079651</v>
      </c>
      <c r="X190">
        <v>2072196</v>
      </c>
      <c r="Y190">
        <v>2063890</v>
      </c>
      <c r="Z190">
        <v>2054795</v>
      </c>
      <c r="AA190">
        <v>2044973</v>
      </c>
      <c r="AB190">
        <v>2034488</v>
      </c>
      <c r="AC190">
        <v>2023405</v>
      </c>
      <c r="AD190">
        <v>2011786</v>
      </c>
      <c r="AE190">
        <v>1999696</v>
      </c>
      <c r="AF190">
        <v>1987199</v>
      </c>
      <c r="AG190">
        <v>1974362</v>
      </c>
      <c r="AH190">
        <v>1961248</v>
      </c>
      <c r="AI190">
        <v>1947924</v>
      </c>
      <c r="AJ190">
        <v>1934455</v>
      </c>
      <c r="AK190">
        <v>1920909</v>
      </c>
      <c r="AL190">
        <v>1907351</v>
      </c>
      <c r="AM190">
        <v>1893849</v>
      </c>
      <c r="AN190">
        <v>1880471</v>
      </c>
      <c r="AO190">
        <v>1867283</v>
      </c>
      <c r="AP190">
        <v>1854354</v>
      </c>
      <c r="AQ190">
        <v>1841753</v>
      </c>
      <c r="AR190">
        <v>1829548</v>
      </c>
      <c r="AS190">
        <v>1817808</v>
      </c>
      <c r="AT190">
        <v>1806603</v>
      </c>
      <c r="AU190">
        <v>1796002</v>
      </c>
      <c r="AV190">
        <v>1786076</v>
      </c>
    </row>
    <row r="191" spans="1:48">
      <c r="A191" t="s">
        <v>571</v>
      </c>
      <c r="B191" t="s">
        <v>572</v>
      </c>
      <c r="C191" t="s">
        <v>358</v>
      </c>
      <c r="D191" s="37">
        <v>3369462.10912244</v>
      </c>
      <c r="E191" s="37">
        <v>3378154.37758189</v>
      </c>
      <c r="F191" s="37">
        <v>3385691.34659389</v>
      </c>
      <c r="G191" s="37">
        <v>3446566</v>
      </c>
      <c r="H191">
        <v>3455765</v>
      </c>
      <c r="I191">
        <v>3465345</v>
      </c>
      <c r="J191">
        <v>3475037</v>
      </c>
      <c r="K191">
        <v>3484589</v>
      </c>
      <c r="L191">
        <v>3493768</v>
      </c>
      <c r="M191">
        <v>3502360</v>
      </c>
      <c r="N191">
        <v>3510166</v>
      </c>
      <c r="O191">
        <v>3517009</v>
      </c>
      <c r="P191">
        <v>3522726</v>
      </c>
      <c r="Q191">
        <v>3527176</v>
      </c>
      <c r="R191">
        <v>3530232</v>
      </c>
      <c r="S191">
        <v>3531789</v>
      </c>
      <c r="T191">
        <v>3531757</v>
      </c>
      <c r="U191">
        <v>3530065</v>
      </c>
      <c r="V191">
        <v>3526661</v>
      </c>
      <c r="W191">
        <v>3521510</v>
      </c>
      <c r="X191">
        <v>3514594</v>
      </c>
      <c r="Y191">
        <v>3505916</v>
      </c>
      <c r="Z191">
        <v>3495494</v>
      </c>
      <c r="AA191">
        <v>3483366</v>
      </c>
      <c r="AB191">
        <v>3469587</v>
      </c>
      <c r="AC191">
        <v>3454230</v>
      </c>
      <c r="AD191">
        <v>3437388</v>
      </c>
      <c r="AE191">
        <v>3419168</v>
      </c>
      <c r="AF191">
        <v>3399700</v>
      </c>
      <c r="AG191">
        <v>3379128</v>
      </c>
      <c r="AH191">
        <v>3357615</v>
      </c>
      <c r="AI191">
        <v>3335344</v>
      </c>
      <c r="AJ191">
        <v>3312514</v>
      </c>
      <c r="AK191">
        <v>3289342</v>
      </c>
      <c r="AL191">
        <v>3266065</v>
      </c>
      <c r="AM191">
        <v>3242935</v>
      </c>
      <c r="AN191">
        <v>3220225</v>
      </c>
      <c r="AO191">
        <v>3198224</v>
      </c>
      <c r="AP191">
        <v>3177241</v>
      </c>
      <c r="AQ191">
        <v>3157600</v>
      </c>
      <c r="AR191">
        <v>3139646</v>
      </c>
      <c r="AS191">
        <v>3123740</v>
      </c>
      <c r="AT191">
        <v>3110263</v>
      </c>
      <c r="AU191">
        <v>3099612</v>
      </c>
      <c r="AV191">
        <v>3092203</v>
      </c>
    </row>
    <row r="192" spans="1:48">
      <c r="A192" t="s">
        <v>573</v>
      </c>
      <c r="B192" t="s">
        <v>574</v>
      </c>
      <c r="C192" t="s">
        <v>358</v>
      </c>
      <c r="D192" s="37">
        <v>1304558.5221589</v>
      </c>
      <c r="E192" s="37">
        <v>1310313.87076403</v>
      </c>
      <c r="F192" s="37">
        <v>1315546.09247772</v>
      </c>
      <c r="G192" s="37">
        <v>1126911</v>
      </c>
      <c r="H192">
        <v>1134613</v>
      </c>
      <c r="I192">
        <v>1141247</v>
      </c>
      <c r="J192">
        <v>1146848</v>
      </c>
      <c r="K192">
        <v>1151452</v>
      </c>
      <c r="L192">
        <v>1155096</v>
      </c>
      <c r="M192">
        <v>1157814</v>
      </c>
      <c r="N192">
        <v>1159645</v>
      </c>
      <c r="O192">
        <v>1160625</v>
      </c>
      <c r="P192">
        <v>1160790</v>
      </c>
      <c r="Q192">
        <v>1160179</v>
      </c>
      <c r="R192">
        <v>1158829</v>
      </c>
      <c r="S192">
        <v>1156778</v>
      </c>
      <c r="T192">
        <v>1154064</v>
      </c>
      <c r="U192">
        <v>1150726</v>
      </c>
      <c r="V192">
        <v>1146801</v>
      </c>
      <c r="W192">
        <v>1142329</v>
      </c>
      <c r="X192">
        <v>1137349</v>
      </c>
      <c r="Y192">
        <v>1131900</v>
      </c>
      <c r="Z192">
        <v>1126023</v>
      </c>
      <c r="AA192">
        <v>1119756</v>
      </c>
      <c r="AB192">
        <v>1113140</v>
      </c>
      <c r="AC192">
        <v>1106216</v>
      </c>
      <c r="AD192">
        <v>1099023</v>
      </c>
      <c r="AE192">
        <v>1091603</v>
      </c>
      <c r="AF192">
        <v>1083998</v>
      </c>
      <c r="AG192">
        <v>1076248</v>
      </c>
      <c r="AH192">
        <v>1068394</v>
      </c>
      <c r="AI192">
        <v>1060480</v>
      </c>
      <c r="AJ192">
        <v>1052547</v>
      </c>
      <c r="AK192">
        <v>1044637</v>
      </c>
      <c r="AL192">
        <v>1036793</v>
      </c>
      <c r="AM192">
        <v>1029059</v>
      </c>
      <c r="AN192">
        <v>1021476</v>
      </c>
      <c r="AO192">
        <v>1014089</v>
      </c>
      <c r="AP192">
        <v>1006942</v>
      </c>
      <c r="AQ192">
        <v>1000077</v>
      </c>
      <c r="AR192">
        <v>993539</v>
      </c>
      <c r="AS192">
        <v>987374</v>
      </c>
      <c r="AT192">
        <v>981624</v>
      </c>
      <c r="AU192">
        <v>976336</v>
      </c>
      <c r="AV192">
        <v>971554</v>
      </c>
    </row>
    <row r="193" spans="1:48">
      <c r="A193" t="s">
        <v>575</v>
      </c>
      <c r="B193" t="s">
        <v>576</v>
      </c>
      <c r="C193" t="s">
        <v>358</v>
      </c>
      <c r="D193" s="37">
        <v>1019244.87130637</v>
      </c>
      <c r="E193" s="37">
        <v>1023741.49560395</v>
      </c>
      <c r="F193" s="37">
        <v>1027829.40354877</v>
      </c>
      <c r="G193" s="37">
        <v>880450</v>
      </c>
      <c r="H193">
        <v>886468</v>
      </c>
      <c r="I193">
        <v>891651</v>
      </c>
      <c r="J193">
        <v>896027</v>
      </c>
      <c r="K193">
        <v>899624</v>
      </c>
      <c r="L193">
        <v>902470</v>
      </c>
      <c r="M193">
        <v>904594</v>
      </c>
      <c r="N193">
        <v>906025</v>
      </c>
      <c r="O193">
        <v>906790</v>
      </c>
      <c r="P193">
        <v>906920</v>
      </c>
      <c r="Q193">
        <v>906442</v>
      </c>
      <c r="R193">
        <v>905387</v>
      </c>
      <c r="S193">
        <v>903785</v>
      </c>
      <c r="T193">
        <v>901664</v>
      </c>
      <c r="U193">
        <v>899056</v>
      </c>
      <c r="V193">
        <v>895989</v>
      </c>
      <c r="W193">
        <v>892496</v>
      </c>
      <c r="X193">
        <v>888605</v>
      </c>
      <c r="Y193">
        <v>884348</v>
      </c>
      <c r="Z193">
        <v>879756</v>
      </c>
      <c r="AA193">
        <v>874859</v>
      </c>
      <c r="AB193">
        <v>869690</v>
      </c>
      <c r="AC193">
        <v>864280</v>
      </c>
      <c r="AD193">
        <v>858661</v>
      </c>
      <c r="AE193">
        <v>852864</v>
      </c>
      <c r="AF193">
        <v>846922</v>
      </c>
      <c r="AG193">
        <v>840866</v>
      </c>
      <c r="AH193">
        <v>834731</v>
      </c>
      <c r="AI193">
        <v>828547</v>
      </c>
      <c r="AJ193">
        <v>822349</v>
      </c>
      <c r="AK193">
        <v>816169</v>
      </c>
      <c r="AL193">
        <v>810041</v>
      </c>
      <c r="AM193">
        <v>803998</v>
      </c>
      <c r="AN193">
        <v>798074</v>
      </c>
      <c r="AO193">
        <v>792302</v>
      </c>
      <c r="AP193">
        <v>786718</v>
      </c>
      <c r="AQ193">
        <v>781354</v>
      </c>
      <c r="AR193">
        <v>776247</v>
      </c>
      <c r="AS193">
        <v>771429</v>
      </c>
      <c r="AT193">
        <v>766937</v>
      </c>
      <c r="AU193">
        <v>762806</v>
      </c>
      <c r="AV193">
        <v>759070</v>
      </c>
    </row>
    <row r="194" spans="1:48">
      <c r="A194" t="s">
        <v>577</v>
      </c>
      <c r="B194" t="s">
        <v>578</v>
      </c>
      <c r="C194" t="s">
        <v>358</v>
      </c>
      <c r="D194" s="37">
        <v>1332064.60310667</v>
      </c>
      <c r="E194" s="37">
        <v>1337941.3008747</v>
      </c>
      <c r="F194" s="37">
        <v>1343283.84183552</v>
      </c>
      <c r="G194" s="37">
        <v>1150671</v>
      </c>
      <c r="H194">
        <v>1158536</v>
      </c>
      <c r="I194">
        <v>1165310</v>
      </c>
      <c r="J194">
        <v>1171029</v>
      </c>
      <c r="K194">
        <v>1175730</v>
      </c>
      <c r="L194">
        <v>1179450</v>
      </c>
      <c r="M194">
        <v>1182226</v>
      </c>
      <c r="N194">
        <v>1184096</v>
      </c>
      <c r="O194">
        <v>1185096</v>
      </c>
      <c r="P194">
        <v>1185265</v>
      </c>
      <c r="Q194">
        <v>1184641</v>
      </c>
      <c r="R194">
        <v>1183263</v>
      </c>
      <c r="S194">
        <v>1181168</v>
      </c>
      <c r="T194">
        <v>1178397</v>
      </c>
      <c r="U194">
        <v>1174988</v>
      </c>
      <c r="V194">
        <v>1170980</v>
      </c>
      <c r="W194">
        <v>1166414</v>
      </c>
      <c r="X194">
        <v>1161329</v>
      </c>
      <c r="Y194">
        <v>1155765</v>
      </c>
      <c r="Z194">
        <v>1149764</v>
      </c>
      <c r="AA194">
        <v>1143365</v>
      </c>
      <c r="AB194">
        <v>1136609</v>
      </c>
      <c r="AC194">
        <v>1129539</v>
      </c>
      <c r="AD194">
        <v>1122195</v>
      </c>
      <c r="AE194">
        <v>1114619</v>
      </c>
      <c r="AF194">
        <v>1106853</v>
      </c>
      <c r="AG194">
        <v>1098939</v>
      </c>
      <c r="AH194">
        <v>1090920</v>
      </c>
      <c r="AI194">
        <v>1082839</v>
      </c>
      <c r="AJ194">
        <v>1074738</v>
      </c>
      <c r="AK194">
        <v>1066662</v>
      </c>
      <c r="AL194">
        <v>1058653</v>
      </c>
      <c r="AM194">
        <v>1050755</v>
      </c>
      <c r="AN194">
        <v>1043013</v>
      </c>
      <c r="AO194">
        <v>1035470</v>
      </c>
      <c r="AP194">
        <v>1028172</v>
      </c>
      <c r="AQ194">
        <v>1021162</v>
      </c>
      <c r="AR194">
        <v>1014487</v>
      </c>
      <c r="AS194">
        <v>1008191</v>
      </c>
      <c r="AT194">
        <v>1002321</v>
      </c>
      <c r="AU194">
        <v>996921</v>
      </c>
      <c r="AV194">
        <v>992038</v>
      </c>
    </row>
    <row r="195" spans="1:48">
      <c r="A195" t="s">
        <v>579</v>
      </c>
      <c r="B195" t="s">
        <v>580</v>
      </c>
      <c r="C195" t="s">
        <v>358</v>
      </c>
      <c r="D195" s="37">
        <v>76535.3109623472</v>
      </c>
      <c r="E195" s="37">
        <v>76872.9634230908</v>
      </c>
      <c r="F195" s="37">
        <v>77179.925287261</v>
      </c>
      <c r="G195" s="37">
        <v>66113</v>
      </c>
      <c r="H195">
        <v>66565</v>
      </c>
      <c r="I195">
        <v>66954</v>
      </c>
      <c r="J195">
        <v>67283</v>
      </c>
      <c r="K195">
        <v>67553</v>
      </c>
      <c r="L195">
        <v>67767</v>
      </c>
      <c r="M195">
        <v>67926</v>
      </c>
      <c r="N195">
        <v>68034</v>
      </c>
      <c r="O195">
        <v>68091</v>
      </c>
      <c r="P195">
        <v>68101</v>
      </c>
      <c r="Q195">
        <v>68065</v>
      </c>
      <c r="R195">
        <v>67986</v>
      </c>
      <c r="S195">
        <v>67866</v>
      </c>
      <c r="T195">
        <v>67706</v>
      </c>
      <c r="U195">
        <v>67510</v>
      </c>
      <c r="V195">
        <v>67280</v>
      </c>
      <c r="W195">
        <v>67018</v>
      </c>
      <c r="X195">
        <v>66726</v>
      </c>
      <c r="Y195">
        <v>66406</v>
      </c>
      <c r="Z195">
        <v>66061</v>
      </c>
      <c r="AA195">
        <v>65694</v>
      </c>
      <c r="AB195">
        <v>65306</v>
      </c>
      <c r="AC195">
        <v>64899</v>
      </c>
      <c r="AD195">
        <v>64477</v>
      </c>
      <c r="AE195">
        <v>64042</v>
      </c>
      <c r="AF195">
        <v>63596</v>
      </c>
      <c r="AG195">
        <v>63141</v>
      </c>
      <c r="AH195">
        <v>62680</v>
      </c>
      <c r="AI195">
        <v>62216</v>
      </c>
      <c r="AJ195">
        <v>61751</v>
      </c>
      <c r="AK195">
        <v>61287</v>
      </c>
      <c r="AL195">
        <v>60827</v>
      </c>
      <c r="AM195">
        <v>60373</v>
      </c>
      <c r="AN195">
        <v>59928</v>
      </c>
      <c r="AO195">
        <v>59495</v>
      </c>
      <c r="AP195">
        <v>59075</v>
      </c>
      <c r="AQ195">
        <v>58672</v>
      </c>
      <c r="AR195">
        <v>58289</v>
      </c>
      <c r="AS195">
        <v>57927</v>
      </c>
      <c r="AT195">
        <v>57590</v>
      </c>
      <c r="AU195">
        <v>57280</v>
      </c>
      <c r="AV195">
        <v>56999</v>
      </c>
    </row>
    <row r="196" spans="1:48">
      <c r="A196" t="s">
        <v>581</v>
      </c>
      <c r="B196" t="s">
        <v>582</v>
      </c>
      <c r="C196" t="s">
        <v>358</v>
      </c>
      <c r="D196" s="37">
        <v>7414590.97612089</v>
      </c>
      <c r="E196" s="37">
        <v>7462703.9208639</v>
      </c>
      <c r="F196" s="37">
        <v>7506002.36302902</v>
      </c>
      <c r="G196" s="37">
        <v>9960891</v>
      </c>
      <c r="H196">
        <v>10046963</v>
      </c>
      <c r="I196">
        <v>10120601</v>
      </c>
      <c r="J196">
        <v>10182652</v>
      </c>
      <c r="K196">
        <v>10233932</v>
      </c>
      <c r="L196">
        <v>10275225</v>
      </c>
      <c r="M196">
        <v>10307281</v>
      </c>
      <c r="N196">
        <v>10330821</v>
      </c>
      <c r="O196">
        <v>10346530</v>
      </c>
      <c r="P196">
        <v>10355065</v>
      </c>
      <c r="Q196">
        <v>10357047</v>
      </c>
      <c r="R196">
        <v>10353067</v>
      </c>
      <c r="S196">
        <v>10343684</v>
      </c>
      <c r="T196">
        <v>10329424</v>
      </c>
      <c r="U196">
        <v>10310780</v>
      </c>
      <c r="V196">
        <v>10288215</v>
      </c>
      <c r="W196">
        <v>10262158</v>
      </c>
      <c r="X196">
        <v>10233007</v>
      </c>
      <c r="Y196">
        <v>10201128</v>
      </c>
      <c r="Z196">
        <v>10166853</v>
      </c>
      <c r="AA196">
        <v>10130484</v>
      </c>
      <c r="AB196">
        <v>10092290</v>
      </c>
      <c r="AC196">
        <v>10052507</v>
      </c>
      <c r="AD196">
        <v>10011340</v>
      </c>
      <c r="AE196">
        <v>9968962</v>
      </c>
      <c r="AF196">
        <v>9925512</v>
      </c>
      <c r="AG196">
        <v>9881099</v>
      </c>
      <c r="AH196">
        <v>9835799</v>
      </c>
      <c r="AI196">
        <v>9789656</v>
      </c>
      <c r="AJ196">
        <v>9742681</v>
      </c>
      <c r="AK196">
        <v>9694854</v>
      </c>
      <c r="AL196">
        <v>9646122</v>
      </c>
      <c r="AM196">
        <v>9596401</v>
      </c>
      <c r="AN196">
        <v>9545573</v>
      </c>
      <c r="AO196">
        <v>9493489</v>
      </c>
      <c r="AP196">
        <v>9439968</v>
      </c>
      <c r="AQ196">
        <v>9384796</v>
      </c>
      <c r="AR196">
        <v>9327728</v>
      </c>
      <c r="AS196">
        <v>9268487</v>
      </c>
      <c r="AT196">
        <v>9206761</v>
      </c>
      <c r="AU196">
        <v>9142209</v>
      </c>
      <c r="AV196">
        <v>9074457</v>
      </c>
    </row>
    <row r="197" spans="1:48">
      <c r="A197" t="s">
        <v>583</v>
      </c>
      <c r="B197" t="s">
        <v>584</v>
      </c>
      <c r="C197" t="s">
        <v>358</v>
      </c>
      <c r="D197" s="37">
        <v>4026503.3714462</v>
      </c>
      <c r="E197" s="37">
        <v>4044495.57552672</v>
      </c>
      <c r="F197" s="37">
        <v>4059837.11103212</v>
      </c>
      <c r="G197" s="37">
        <v>3884715</v>
      </c>
      <c r="H197">
        <v>3902352</v>
      </c>
      <c r="I197">
        <v>3917712</v>
      </c>
      <c r="J197">
        <v>3930847</v>
      </c>
      <c r="K197">
        <v>3941809</v>
      </c>
      <c r="L197">
        <v>3950654</v>
      </c>
      <c r="M197">
        <v>3957434</v>
      </c>
      <c r="N197">
        <v>3962206</v>
      </c>
      <c r="O197">
        <v>3965025</v>
      </c>
      <c r="P197">
        <v>3965949</v>
      </c>
      <c r="Q197">
        <v>3965035</v>
      </c>
      <c r="R197">
        <v>3962342</v>
      </c>
      <c r="S197">
        <v>3957930</v>
      </c>
      <c r="T197">
        <v>3951859</v>
      </c>
      <c r="U197">
        <v>3944190</v>
      </c>
      <c r="V197">
        <v>3934986</v>
      </c>
      <c r="W197">
        <v>3924308</v>
      </c>
      <c r="X197">
        <v>3912222</v>
      </c>
      <c r="Y197">
        <v>3898791</v>
      </c>
      <c r="Z197">
        <v>3884081</v>
      </c>
      <c r="AA197">
        <v>3868158</v>
      </c>
      <c r="AB197">
        <v>3851089</v>
      </c>
      <c r="AC197">
        <v>3832943</v>
      </c>
      <c r="AD197">
        <v>3813788</v>
      </c>
      <c r="AE197">
        <v>3793693</v>
      </c>
      <c r="AF197">
        <v>3772730</v>
      </c>
      <c r="AG197">
        <v>3750969</v>
      </c>
      <c r="AH197">
        <v>3728482</v>
      </c>
      <c r="AI197">
        <v>3705344</v>
      </c>
      <c r="AJ197">
        <v>3681627</v>
      </c>
      <c r="AK197">
        <v>3657406</v>
      </c>
      <c r="AL197">
        <v>3632756</v>
      </c>
      <c r="AM197">
        <v>3607755</v>
      </c>
      <c r="AN197">
        <v>3582479</v>
      </c>
      <c r="AO197">
        <v>3557006</v>
      </c>
      <c r="AP197">
        <v>3531415</v>
      </c>
      <c r="AQ197">
        <v>3505787</v>
      </c>
      <c r="AR197">
        <v>3480200</v>
      </c>
      <c r="AS197">
        <v>3454738</v>
      </c>
      <c r="AT197">
        <v>3429482</v>
      </c>
      <c r="AU197">
        <v>3404515</v>
      </c>
      <c r="AV197">
        <v>3379921</v>
      </c>
    </row>
    <row r="198" spans="1:48">
      <c r="A198" t="s">
        <v>585</v>
      </c>
      <c r="B198" t="s">
        <v>586</v>
      </c>
      <c r="C198" t="s">
        <v>358</v>
      </c>
      <c r="D198" s="37">
        <v>2846823.33271433</v>
      </c>
      <c r="E198" s="37">
        <v>2858419.95370163</v>
      </c>
      <c r="F198" s="37">
        <v>2868548.26537397</v>
      </c>
      <c r="G198" s="37">
        <v>2710752</v>
      </c>
      <c r="H198">
        <v>2725862</v>
      </c>
      <c r="I198">
        <v>2738586</v>
      </c>
      <c r="J198">
        <v>2749036</v>
      </c>
      <c r="K198">
        <v>2757320</v>
      </c>
      <c r="L198">
        <v>2763547</v>
      </c>
      <c r="M198">
        <v>2767820</v>
      </c>
      <c r="N198">
        <v>2770243</v>
      </c>
      <c r="O198">
        <v>2770917</v>
      </c>
      <c r="P198">
        <v>2769941</v>
      </c>
      <c r="Q198">
        <v>2767412</v>
      </c>
      <c r="R198">
        <v>2763424</v>
      </c>
      <c r="S198">
        <v>2758072</v>
      </c>
      <c r="T198">
        <v>2751445</v>
      </c>
      <c r="U198">
        <v>2743633</v>
      </c>
      <c r="V198">
        <v>2734722</v>
      </c>
      <c r="W198">
        <v>2724798</v>
      </c>
      <c r="X198">
        <v>2713943</v>
      </c>
      <c r="Y198">
        <v>2702239</v>
      </c>
      <c r="Z198">
        <v>2689763</v>
      </c>
      <c r="AA198">
        <v>2676593</v>
      </c>
      <c r="AB198">
        <v>2662803</v>
      </c>
      <c r="AC198">
        <v>2648467</v>
      </c>
      <c r="AD198">
        <v>2633654</v>
      </c>
      <c r="AE198">
        <v>2618435</v>
      </c>
      <c r="AF198">
        <v>2602874</v>
      </c>
      <c r="AG198">
        <v>2587038</v>
      </c>
      <c r="AH198">
        <v>2570988</v>
      </c>
      <c r="AI198">
        <v>2554786</v>
      </c>
      <c r="AJ198">
        <v>2538490</v>
      </c>
      <c r="AK198">
        <v>2522156</v>
      </c>
      <c r="AL198">
        <v>2505840</v>
      </c>
      <c r="AM198">
        <v>2489593</v>
      </c>
      <c r="AN198">
        <v>2473466</v>
      </c>
      <c r="AO198">
        <v>2457508</v>
      </c>
      <c r="AP198">
        <v>2441765</v>
      </c>
      <c r="AQ198">
        <v>2426282</v>
      </c>
      <c r="AR198">
        <v>2411101</v>
      </c>
      <c r="AS198">
        <v>2396263</v>
      </c>
      <c r="AT198">
        <v>2381806</v>
      </c>
      <c r="AU198">
        <v>2367766</v>
      </c>
      <c r="AV198">
        <v>2354178</v>
      </c>
    </row>
    <row r="199" spans="1:48">
      <c r="A199" t="s">
        <v>587</v>
      </c>
      <c r="B199" t="s">
        <v>588</v>
      </c>
      <c r="C199" t="s">
        <v>358</v>
      </c>
      <c r="D199" s="37">
        <v>7416091.90870976</v>
      </c>
      <c r="E199" s="37">
        <v>7446553.23603824</v>
      </c>
      <c r="F199" s="37">
        <v>7473913.92374655</v>
      </c>
      <c r="G199" s="37">
        <v>6620593</v>
      </c>
      <c r="H199">
        <v>6644564</v>
      </c>
      <c r="I199">
        <v>6670330</v>
      </c>
      <c r="J199">
        <v>6697304</v>
      </c>
      <c r="K199">
        <v>6724939</v>
      </c>
      <c r="L199">
        <v>6752719</v>
      </c>
      <c r="M199">
        <v>6780165</v>
      </c>
      <c r="N199">
        <v>6806834</v>
      </c>
      <c r="O199">
        <v>6832317</v>
      </c>
      <c r="P199">
        <v>6856241</v>
      </c>
      <c r="Q199">
        <v>6878268</v>
      </c>
      <c r="R199">
        <v>6898095</v>
      </c>
      <c r="S199">
        <v>6915453</v>
      </c>
      <c r="T199">
        <v>6930112</v>
      </c>
      <c r="U199">
        <v>6941873</v>
      </c>
      <c r="V199">
        <v>6950574</v>
      </c>
      <c r="W199">
        <v>6956088</v>
      </c>
      <c r="X199">
        <v>6958325</v>
      </c>
      <c r="Y199">
        <v>6957227</v>
      </c>
      <c r="Z199">
        <v>6952774</v>
      </c>
      <c r="AA199">
        <v>6944979</v>
      </c>
      <c r="AB199">
        <v>6933892</v>
      </c>
      <c r="AC199">
        <v>6919597</v>
      </c>
      <c r="AD199">
        <v>6902214</v>
      </c>
      <c r="AE199">
        <v>6881898</v>
      </c>
      <c r="AF199">
        <v>6858839</v>
      </c>
      <c r="AG199">
        <v>6833263</v>
      </c>
      <c r="AH199">
        <v>6805429</v>
      </c>
      <c r="AI199">
        <v>6775635</v>
      </c>
      <c r="AJ199">
        <v>6744210</v>
      </c>
      <c r="AK199">
        <v>6711521</v>
      </c>
      <c r="AL199">
        <v>6677970</v>
      </c>
      <c r="AM199">
        <v>6643993</v>
      </c>
      <c r="AN199">
        <v>6610062</v>
      </c>
      <c r="AO199">
        <v>6576684</v>
      </c>
      <c r="AP199">
        <v>6544401</v>
      </c>
      <c r="AQ199">
        <v>6513792</v>
      </c>
      <c r="AR199">
        <v>6485469</v>
      </c>
      <c r="AS199">
        <v>6460079</v>
      </c>
      <c r="AT199">
        <v>6438306</v>
      </c>
      <c r="AU199">
        <v>6420869</v>
      </c>
      <c r="AV199">
        <v>6408521</v>
      </c>
    </row>
    <row r="200" spans="1:48">
      <c r="A200" t="s">
        <v>589</v>
      </c>
      <c r="B200" t="s">
        <v>590</v>
      </c>
      <c r="C200" t="s">
        <v>358</v>
      </c>
      <c r="D200" s="37">
        <v>7352213.72409018</v>
      </c>
      <c r="E200" s="37">
        <v>7378079.66520157</v>
      </c>
      <c r="F200" s="37">
        <v>7399976.08349285</v>
      </c>
      <c r="G200" s="37">
        <v>6552936</v>
      </c>
      <c r="H200">
        <v>6562799</v>
      </c>
      <c r="I200">
        <v>6576485</v>
      </c>
      <c r="J200">
        <v>6593273</v>
      </c>
      <c r="K200">
        <v>6612485</v>
      </c>
      <c r="L200">
        <v>6633478</v>
      </c>
      <c r="M200">
        <v>6655649</v>
      </c>
      <c r="N200">
        <v>6678434</v>
      </c>
      <c r="O200">
        <v>6701307</v>
      </c>
      <c r="P200">
        <v>6723781</v>
      </c>
      <c r="Q200">
        <v>6745409</v>
      </c>
      <c r="R200">
        <v>6765781</v>
      </c>
      <c r="S200">
        <v>6784525</v>
      </c>
      <c r="T200">
        <v>6801311</v>
      </c>
      <c r="U200">
        <v>6815844</v>
      </c>
      <c r="V200">
        <v>6827870</v>
      </c>
      <c r="W200">
        <v>6837172</v>
      </c>
      <c r="X200">
        <v>6843575</v>
      </c>
      <c r="Y200">
        <v>6846938</v>
      </c>
      <c r="Z200">
        <v>6847163</v>
      </c>
      <c r="AA200">
        <v>6844188</v>
      </c>
      <c r="AB200">
        <v>6837990</v>
      </c>
      <c r="AC200">
        <v>6828585</v>
      </c>
      <c r="AD200">
        <v>6816030</v>
      </c>
      <c r="AE200">
        <v>6800417</v>
      </c>
      <c r="AF200">
        <v>6781878</v>
      </c>
      <c r="AG200">
        <v>6760585</v>
      </c>
      <c r="AH200">
        <v>6736747</v>
      </c>
      <c r="AI200">
        <v>6710613</v>
      </c>
      <c r="AJ200">
        <v>6682470</v>
      </c>
      <c r="AK200">
        <v>6652644</v>
      </c>
      <c r="AL200">
        <v>6621498</v>
      </c>
      <c r="AM200">
        <v>6589438</v>
      </c>
      <c r="AN200">
        <v>6556903</v>
      </c>
      <c r="AO200">
        <v>6524376</v>
      </c>
      <c r="AP200">
        <v>6492375</v>
      </c>
      <c r="AQ200">
        <v>6461458</v>
      </c>
      <c r="AR200">
        <v>6432222</v>
      </c>
      <c r="AS200">
        <v>6405303</v>
      </c>
      <c r="AT200">
        <v>6381374</v>
      </c>
      <c r="AU200">
        <v>6361149</v>
      </c>
      <c r="AV200">
        <v>6345379</v>
      </c>
    </row>
    <row r="201" spans="1:48">
      <c r="A201" t="s">
        <v>591</v>
      </c>
      <c r="B201" t="s">
        <v>592</v>
      </c>
      <c r="C201" t="s">
        <v>358</v>
      </c>
      <c r="D201" s="37">
        <v>5694836.6305915</v>
      </c>
      <c r="E201" s="37">
        <v>5721890.87691301</v>
      </c>
      <c r="F201" s="37">
        <v>5746124.44198792</v>
      </c>
      <c r="G201" s="37">
        <v>5022842</v>
      </c>
      <c r="H201">
        <v>5051459</v>
      </c>
      <c r="I201">
        <v>5077489</v>
      </c>
      <c r="J201">
        <v>5100907</v>
      </c>
      <c r="K201">
        <v>5121695</v>
      </c>
      <c r="L201">
        <v>5139842</v>
      </c>
      <c r="M201">
        <v>5155344</v>
      </c>
      <c r="N201">
        <v>5168204</v>
      </c>
      <c r="O201">
        <v>5178432</v>
      </c>
      <c r="P201">
        <v>5186045</v>
      </c>
      <c r="Q201">
        <v>5191066</v>
      </c>
      <c r="R201">
        <v>5193528</v>
      </c>
      <c r="S201">
        <v>5193467</v>
      </c>
      <c r="T201">
        <v>5190928</v>
      </c>
      <c r="U201">
        <v>5185964</v>
      </c>
      <c r="V201">
        <v>5178633</v>
      </c>
      <c r="W201">
        <v>5169001</v>
      </c>
      <c r="X201">
        <v>5157140</v>
      </c>
      <c r="Y201">
        <v>5143131</v>
      </c>
      <c r="Z201">
        <v>5127059</v>
      </c>
      <c r="AA201">
        <v>5109020</v>
      </c>
      <c r="AB201">
        <v>5089113</v>
      </c>
      <c r="AC201">
        <v>5067446</v>
      </c>
      <c r="AD201">
        <v>5044133</v>
      </c>
      <c r="AE201">
        <v>5019297</v>
      </c>
      <c r="AF201">
        <v>4993066</v>
      </c>
      <c r="AG201">
        <v>4965575</v>
      </c>
      <c r="AH201">
        <v>4936967</v>
      </c>
      <c r="AI201">
        <v>4907392</v>
      </c>
      <c r="AJ201">
        <v>4877005</v>
      </c>
      <c r="AK201">
        <v>4845971</v>
      </c>
      <c r="AL201">
        <v>4814459</v>
      </c>
      <c r="AM201">
        <v>4782648</v>
      </c>
      <c r="AN201">
        <v>4750721</v>
      </c>
      <c r="AO201">
        <v>4718870</v>
      </c>
      <c r="AP201">
        <v>4687294</v>
      </c>
      <c r="AQ201">
        <v>4656196</v>
      </c>
      <c r="AR201">
        <v>4625791</v>
      </c>
      <c r="AS201">
        <v>4596297</v>
      </c>
      <c r="AT201">
        <v>4567940</v>
      </c>
      <c r="AU201">
        <v>4540954</v>
      </c>
      <c r="AV201">
        <v>4515579</v>
      </c>
    </row>
    <row r="202" spans="1:48">
      <c r="A202" t="s">
        <v>593</v>
      </c>
      <c r="B202" t="s">
        <v>594</v>
      </c>
      <c r="C202" t="s">
        <v>358</v>
      </c>
      <c r="D202" s="37">
        <v>5862854.60331456</v>
      </c>
      <c r="E202" s="37">
        <v>5878988.73044646</v>
      </c>
      <c r="F202" s="37">
        <v>5892191.17291165</v>
      </c>
      <c r="G202" s="37">
        <v>5259812</v>
      </c>
      <c r="H202">
        <v>5278493</v>
      </c>
      <c r="I202">
        <v>5293283</v>
      </c>
      <c r="J202">
        <v>5304290</v>
      </c>
      <c r="K202">
        <v>5311627</v>
      </c>
      <c r="L202">
        <v>5315408</v>
      </c>
      <c r="M202">
        <v>5315748</v>
      </c>
      <c r="N202">
        <v>5312765</v>
      </c>
      <c r="O202">
        <v>5306580</v>
      </c>
      <c r="P202">
        <v>5297313</v>
      </c>
      <c r="Q202">
        <v>5285090</v>
      </c>
      <c r="R202">
        <v>5270037</v>
      </c>
      <c r="S202">
        <v>5252281</v>
      </c>
      <c r="T202">
        <v>5231953</v>
      </c>
      <c r="U202">
        <v>5209186</v>
      </c>
      <c r="V202">
        <v>5184114</v>
      </c>
      <c r="W202">
        <v>5156873</v>
      </c>
      <c r="X202">
        <v>5127603</v>
      </c>
      <c r="Y202">
        <v>5096444</v>
      </c>
      <c r="Z202">
        <v>5063538</v>
      </c>
      <c r="AA202">
        <v>5029031</v>
      </c>
      <c r="AB202">
        <v>4993070</v>
      </c>
      <c r="AC202">
        <v>4955803</v>
      </c>
      <c r="AD202">
        <v>4917381</v>
      </c>
      <c r="AE202">
        <v>4877959</v>
      </c>
      <c r="AF202">
        <v>4837690</v>
      </c>
      <c r="AG202">
        <v>4796733</v>
      </c>
      <c r="AH202">
        <v>4755246</v>
      </c>
      <c r="AI202">
        <v>4713392</v>
      </c>
      <c r="AJ202">
        <v>4671333</v>
      </c>
      <c r="AK202">
        <v>4629236</v>
      </c>
      <c r="AL202">
        <v>4587267</v>
      </c>
      <c r="AM202">
        <v>4545597</v>
      </c>
      <c r="AN202">
        <v>4504398</v>
      </c>
      <c r="AO202">
        <v>4463843</v>
      </c>
      <c r="AP202">
        <v>4424109</v>
      </c>
      <c r="AQ202">
        <v>4385373</v>
      </c>
      <c r="AR202">
        <v>4347816</v>
      </c>
      <c r="AS202">
        <v>4311619</v>
      </c>
      <c r="AT202">
        <v>4276968</v>
      </c>
      <c r="AU202">
        <v>4244048</v>
      </c>
      <c r="AV202">
        <v>4213047</v>
      </c>
    </row>
    <row r="203" spans="1:48">
      <c r="A203" t="s">
        <v>595</v>
      </c>
      <c r="B203" t="s">
        <v>596</v>
      </c>
      <c r="C203" t="s">
        <v>358</v>
      </c>
      <c r="D203" s="37">
        <v>1522209.11611825</v>
      </c>
      <c r="E203" s="37">
        <v>1526347.26288587</v>
      </c>
      <c r="F203" s="37">
        <v>1529714.52707818</v>
      </c>
      <c r="G203" s="37">
        <v>1514082</v>
      </c>
      <c r="H203">
        <v>1516846</v>
      </c>
      <c r="I203">
        <v>1519621</v>
      </c>
      <c r="J203">
        <v>1522329</v>
      </c>
      <c r="K203">
        <v>1524894</v>
      </c>
      <c r="L203">
        <v>1527249</v>
      </c>
      <c r="M203">
        <v>1529330</v>
      </c>
      <c r="N203">
        <v>1531077</v>
      </c>
      <c r="O203">
        <v>1532440</v>
      </c>
      <c r="P203">
        <v>1533370</v>
      </c>
      <c r="Q203">
        <v>1533824</v>
      </c>
      <c r="R203">
        <v>1533767</v>
      </c>
      <c r="S203">
        <v>1533166</v>
      </c>
      <c r="T203">
        <v>1531996</v>
      </c>
      <c r="U203">
        <v>1530235</v>
      </c>
      <c r="V203">
        <v>1527868</v>
      </c>
      <c r="W203">
        <v>1524886</v>
      </c>
      <c r="X203">
        <v>1521283</v>
      </c>
      <c r="Y203">
        <v>1517060</v>
      </c>
      <c r="Z203">
        <v>1512223</v>
      </c>
      <c r="AA203">
        <v>1506782</v>
      </c>
      <c r="AB203">
        <v>1500756</v>
      </c>
      <c r="AC203">
        <v>1494165</v>
      </c>
      <c r="AD203">
        <v>1487037</v>
      </c>
      <c r="AE203">
        <v>1479404</v>
      </c>
      <c r="AF203">
        <v>1471305</v>
      </c>
      <c r="AG203">
        <v>1462783</v>
      </c>
      <c r="AH203">
        <v>1453886</v>
      </c>
      <c r="AI203">
        <v>1444669</v>
      </c>
      <c r="AJ203">
        <v>1435191</v>
      </c>
      <c r="AK203">
        <v>1425516</v>
      </c>
      <c r="AL203">
        <v>1415715</v>
      </c>
      <c r="AM203">
        <v>1405862</v>
      </c>
      <c r="AN203">
        <v>1396040</v>
      </c>
      <c r="AO203">
        <v>1386333</v>
      </c>
      <c r="AP203">
        <v>1376833</v>
      </c>
      <c r="AQ203">
        <v>1367638</v>
      </c>
      <c r="AR203">
        <v>1358848</v>
      </c>
      <c r="AS203">
        <v>1350571</v>
      </c>
      <c r="AT203">
        <v>1342921</v>
      </c>
      <c r="AU203">
        <v>1336016</v>
      </c>
      <c r="AV203">
        <v>1329978</v>
      </c>
    </row>
    <row r="204" spans="1:48">
      <c r="A204" t="s">
        <v>597</v>
      </c>
      <c r="B204" t="s">
        <v>598</v>
      </c>
      <c r="C204" t="s">
        <v>358</v>
      </c>
      <c r="D204" s="37">
        <v>4461909.82048293</v>
      </c>
      <c r="E204" s="37">
        <v>4477911.10116096</v>
      </c>
      <c r="F204" s="37">
        <v>4491297.65816842</v>
      </c>
      <c r="G204" s="37">
        <v>3836292</v>
      </c>
      <c r="H204">
        <v>3851078</v>
      </c>
      <c r="I204">
        <v>3863796</v>
      </c>
      <c r="J204">
        <v>3874483</v>
      </c>
      <c r="K204">
        <v>3883174</v>
      </c>
      <c r="L204">
        <v>3889909</v>
      </c>
      <c r="M204">
        <v>3894729</v>
      </c>
      <c r="N204">
        <v>3897675</v>
      </c>
      <c r="O204">
        <v>3898792</v>
      </c>
      <c r="P204">
        <v>3898126</v>
      </c>
      <c r="Q204">
        <v>3895725</v>
      </c>
      <c r="R204">
        <v>3891639</v>
      </c>
      <c r="S204">
        <v>3885918</v>
      </c>
      <c r="T204">
        <v>3878617</v>
      </c>
      <c r="U204">
        <v>3869791</v>
      </c>
      <c r="V204">
        <v>3859496</v>
      </c>
      <c r="W204">
        <v>3847791</v>
      </c>
      <c r="X204">
        <v>3834737</v>
      </c>
      <c r="Y204">
        <v>3820397</v>
      </c>
      <c r="Z204">
        <v>3804834</v>
      </c>
      <c r="AA204">
        <v>3788115</v>
      </c>
      <c r="AB204">
        <v>3770308</v>
      </c>
      <c r="AC204">
        <v>3751482</v>
      </c>
      <c r="AD204">
        <v>3731709</v>
      </c>
      <c r="AE204">
        <v>3711062</v>
      </c>
      <c r="AF204">
        <v>3689617</v>
      </c>
      <c r="AG204">
        <v>3667450</v>
      </c>
      <c r="AH204">
        <v>3644641</v>
      </c>
      <c r="AI204">
        <v>3621269</v>
      </c>
      <c r="AJ204">
        <v>3597418</v>
      </c>
      <c r="AK204">
        <v>3573172</v>
      </c>
      <c r="AL204">
        <v>3548617</v>
      </c>
      <c r="AM204">
        <v>3523841</v>
      </c>
      <c r="AN204">
        <v>3498933</v>
      </c>
      <c r="AO204">
        <v>3473986</v>
      </c>
      <c r="AP204">
        <v>3449092</v>
      </c>
      <c r="AQ204">
        <v>3424347</v>
      </c>
      <c r="AR204">
        <v>3399848</v>
      </c>
      <c r="AS204">
        <v>3375694</v>
      </c>
      <c r="AT204">
        <v>3351985</v>
      </c>
      <c r="AU204">
        <v>3328824</v>
      </c>
      <c r="AV204">
        <v>3306316</v>
      </c>
    </row>
    <row r="205" spans="1:48">
      <c r="A205" t="s">
        <v>599</v>
      </c>
      <c r="B205" t="s">
        <v>600</v>
      </c>
      <c r="C205" t="s">
        <v>358</v>
      </c>
      <c r="D205" s="37">
        <v>4807575.2491455</v>
      </c>
      <c r="E205" s="37">
        <v>4827111.57395707</v>
      </c>
      <c r="F205" s="37">
        <v>4843491.48987165</v>
      </c>
      <c r="G205" s="37">
        <v>4662263</v>
      </c>
      <c r="H205">
        <v>4666720</v>
      </c>
      <c r="I205">
        <v>4674886</v>
      </c>
      <c r="J205">
        <v>4686153</v>
      </c>
      <c r="K205">
        <v>4699940</v>
      </c>
      <c r="L205">
        <v>4715701</v>
      </c>
      <c r="M205">
        <v>4732918</v>
      </c>
      <c r="N205">
        <v>4751107</v>
      </c>
      <c r="O205">
        <v>4769813</v>
      </c>
      <c r="P205">
        <v>4788612</v>
      </c>
      <c r="Q205">
        <v>4807113</v>
      </c>
      <c r="R205">
        <v>4824955</v>
      </c>
      <c r="S205">
        <v>4841807</v>
      </c>
      <c r="T205">
        <v>4857370</v>
      </c>
      <c r="U205">
        <v>4871378</v>
      </c>
      <c r="V205">
        <v>4883592</v>
      </c>
      <c r="W205">
        <v>4893809</v>
      </c>
      <c r="X205">
        <v>4901852</v>
      </c>
      <c r="Y205">
        <v>4907579</v>
      </c>
      <c r="Z205">
        <v>4910877</v>
      </c>
      <c r="AA205">
        <v>4911665</v>
      </c>
      <c r="AB205">
        <v>4909894</v>
      </c>
      <c r="AC205">
        <v>4905543</v>
      </c>
      <c r="AD205">
        <v>4898625</v>
      </c>
      <c r="AE205">
        <v>4889184</v>
      </c>
      <c r="AF205">
        <v>4877294</v>
      </c>
      <c r="AG205">
        <v>4863059</v>
      </c>
      <c r="AH205">
        <v>4846616</v>
      </c>
      <c r="AI205">
        <v>4828134</v>
      </c>
      <c r="AJ205">
        <v>4807810</v>
      </c>
      <c r="AK205">
        <v>4785874</v>
      </c>
      <c r="AL205">
        <v>4762588</v>
      </c>
      <c r="AM205">
        <v>4738242</v>
      </c>
      <c r="AN205">
        <v>4713161</v>
      </c>
      <c r="AO205">
        <v>4687698</v>
      </c>
      <c r="AP205">
        <v>4662239</v>
      </c>
      <c r="AQ205">
        <v>4637199</v>
      </c>
      <c r="AR205">
        <v>4613027</v>
      </c>
      <c r="AS205">
        <v>4590200</v>
      </c>
      <c r="AT205">
        <v>4569229</v>
      </c>
      <c r="AU205">
        <v>4550654</v>
      </c>
      <c r="AV205">
        <v>4535046</v>
      </c>
    </row>
    <row r="206" spans="1:48">
      <c r="A206" t="s">
        <v>601</v>
      </c>
      <c r="B206" t="s">
        <v>602</v>
      </c>
      <c r="C206" t="s">
        <v>358</v>
      </c>
      <c r="D206" s="37">
        <v>5412256.09483255</v>
      </c>
      <c r="E206" s="37">
        <v>5434322.59086983</v>
      </c>
      <c r="F206" s="37">
        <v>5453524.74426203</v>
      </c>
      <c r="G206" s="37">
        <v>5275986</v>
      </c>
      <c r="H206">
        <v>5289326</v>
      </c>
      <c r="I206">
        <v>5304963</v>
      </c>
      <c r="J206">
        <v>5322387</v>
      </c>
      <c r="K206">
        <v>5341117</v>
      </c>
      <c r="L206">
        <v>5360702</v>
      </c>
      <c r="M206">
        <v>5380718</v>
      </c>
      <c r="N206">
        <v>5400769</v>
      </c>
      <c r="O206">
        <v>5420487</v>
      </c>
      <c r="P206">
        <v>5439534</v>
      </c>
      <c r="Q206">
        <v>5457599</v>
      </c>
      <c r="R206">
        <v>5474399</v>
      </c>
      <c r="S206">
        <v>5489679</v>
      </c>
      <c r="T206">
        <v>5503215</v>
      </c>
      <c r="U206">
        <v>5514808</v>
      </c>
      <c r="V206">
        <v>5524288</v>
      </c>
      <c r="W206">
        <v>5531516</v>
      </c>
      <c r="X206">
        <v>5536378</v>
      </c>
      <c r="Y206">
        <v>5538789</v>
      </c>
      <c r="Z206">
        <v>5538693</v>
      </c>
      <c r="AA206">
        <v>5536063</v>
      </c>
      <c r="AB206">
        <v>5530898</v>
      </c>
      <c r="AC206">
        <v>5523227</v>
      </c>
      <c r="AD206">
        <v>5513108</v>
      </c>
      <c r="AE206">
        <v>5500625</v>
      </c>
      <c r="AF206">
        <v>5485891</v>
      </c>
      <c r="AG206">
        <v>5469050</v>
      </c>
      <c r="AH206">
        <v>5450269</v>
      </c>
      <c r="AI206">
        <v>5429749</v>
      </c>
      <c r="AJ206">
        <v>5407716</v>
      </c>
      <c r="AK206">
        <v>5384423</v>
      </c>
      <c r="AL206">
        <v>5360156</v>
      </c>
      <c r="AM206">
        <v>5335224</v>
      </c>
      <c r="AN206">
        <v>5309969</v>
      </c>
      <c r="AO206">
        <v>5284757</v>
      </c>
      <c r="AP206">
        <v>5259985</v>
      </c>
      <c r="AQ206">
        <v>5236079</v>
      </c>
      <c r="AR206">
        <v>5213490</v>
      </c>
      <c r="AS206">
        <v>5192700</v>
      </c>
      <c r="AT206">
        <v>5174219</v>
      </c>
      <c r="AU206">
        <v>5158583</v>
      </c>
      <c r="AV206">
        <v>5146360</v>
      </c>
    </row>
    <row r="207" spans="1:48">
      <c r="A207" t="s">
        <v>603</v>
      </c>
      <c r="B207" t="s">
        <v>604</v>
      </c>
      <c r="C207" t="s">
        <v>358</v>
      </c>
      <c r="D207" s="37">
        <v>4923306.60313274</v>
      </c>
      <c r="E207" s="37">
        <v>4941533.96981259</v>
      </c>
      <c r="F207" s="37">
        <v>4956838.28053346</v>
      </c>
      <c r="G207" s="37">
        <v>4572891</v>
      </c>
      <c r="H207">
        <v>4587107</v>
      </c>
      <c r="I207">
        <v>4600368</v>
      </c>
      <c r="J207">
        <v>4612557</v>
      </c>
      <c r="K207">
        <v>4623568</v>
      </c>
      <c r="L207">
        <v>4633301</v>
      </c>
      <c r="M207">
        <v>4641667</v>
      </c>
      <c r="N207">
        <v>4648586</v>
      </c>
      <c r="O207">
        <v>4653989</v>
      </c>
      <c r="P207">
        <v>4657815</v>
      </c>
      <c r="Q207">
        <v>4660011</v>
      </c>
      <c r="R207">
        <v>4660537</v>
      </c>
      <c r="S207">
        <v>4659359</v>
      </c>
      <c r="T207">
        <v>4656455</v>
      </c>
      <c r="U207">
        <v>4651810</v>
      </c>
      <c r="V207">
        <v>4645420</v>
      </c>
      <c r="W207">
        <v>4637291</v>
      </c>
      <c r="X207">
        <v>4627436</v>
      </c>
      <c r="Y207">
        <v>4615880</v>
      </c>
      <c r="Z207">
        <v>4602655</v>
      </c>
      <c r="AA207">
        <v>4587805</v>
      </c>
      <c r="AB207">
        <v>4571382</v>
      </c>
      <c r="AC207">
        <v>4553446</v>
      </c>
      <c r="AD207">
        <v>4534070</v>
      </c>
      <c r="AE207">
        <v>4513333</v>
      </c>
      <c r="AF207">
        <v>4491325</v>
      </c>
      <c r="AG207">
        <v>4468146</v>
      </c>
      <c r="AH207">
        <v>4443903</v>
      </c>
      <c r="AI207">
        <v>4418715</v>
      </c>
      <c r="AJ207">
        <v>4392708</v>
      </c>
      <c r="AK207">
        <v>4366021</v>
      </c>
      <c r="AL207">
        <v>4338799</v>
      </c>
      <c r="AM207">
        <v>4311197</v>
      </c>
      <c r="AN207">
        <v>4283382</v>
      </c>
      <c r="AO207">
        <v>4255526</v>
      </c>
      <c r="AP207">
        <v>4227814</v>
      </c>
      <c r="AQ207">
        <v>4200439</v>
      </c>
      <c r="AR207">
        <v>4173604</v>
      </c>
      <c r="AS207">
        <v>4147521</v>
      </c>
      <c r="AT207">
        <v>4122412</v>
      </c>
      <c r="AU207">
        <v>4098507</v>
      </c>
      <c r="AV207">
        <v>4076046</v>
      </c>
    </row>
    <row r="208" spans="1:48">
      <c r="A208" t="s">
        <v>605</v>
      </c>
      <c r="B208" t="s">
        <v>606</v>
      </c>
      <c r="C208" t="s">
        <v>358</v>
      </c>
      <c r="D208" s="37">
        <v>3929112.7914237</v>
      </c>
      <c r="E208" s="37">
        <v>3945594.41185873</v>
      </c>
      <c r="F208" s="37">
        <v>3960258.29499795</v>
      </c>
      <c r="G208" s="37">
        <v>3811408</v>
      </c>
      <c r="H208">
        <v>3826564</v>
      </c>
      <c r="I208">
        <v>3841933</v>
      </c>
      <c r="J208">
        <v>3857290</v>
      </c>
      <c r="K208">
        <v>3872423</v>
      </c>
      <c r="L208">
        <v>3887137</v>
      </c>
      <c r="M208">
        <v>3901249</v>
      </c>
      <c r="N208">
        <v>3914592</v>
      </c>
      <c r="O208">
        <v>3927011</v>
      </c>
      <c r="P208">
        <v>3938367</v>
      </c>
      <c r="Q208">
        <v>3948534</v>
      </c>
      <c r="R208">
        <v>3957403</v>
      </c>
      <c r="S208">
        <v>3964875</v>
      </c>
      <c r="T208">
        <v>3970869</v>
      </c>
      <c r="U208">
        <v>3975316</v>
      </c>
      <c r="V208">
        <v>3978162</v>
      </c>
      <c r="W208">
        <v>3979367</v>
      </c>
      <c r="X208">
        <v>3978906</v>
      </c>
      <c r="Y208">
        <v>3976767</v>
      </c>
      <c r="Z208">
        <v>3972954</v>
      </c>
      <c r="AA208">
        <v>3967482</v>
      </c>
      <c r="AB208">
        <v>3960385</v>
      </c>
      <c r="AC208">
        <v>3951707</v>
      </c>
      <c r="AD208">
        <v>3941508</v>
      </c>
      <c r="AE208">
        <v>3929862</v>
      </c>
      <c r="AF208">
        <v>3916858</v>
      </c>
      <c r="AG208">
        <v>3902598</v>
      </c>
      <c r="AH208">
        <v>3887199</v>
      </c>
      <c r="AI208">
        <v>3870792</v>
      </c>
      <c r="AJ208">
        <v>3853523</v>
      </c>
      <c r="AK208">
        <v>3835551</v>
      </c>
      <c r="AL208">
        <v>3817049</v>
      </c>
      <c r="AM208">
        <v>3798207</v>
      </c>
      <c r="AN208">
        <v>3779225</v>
      </c>
      <c r="AO208">
        <v>3760321</v>
      </c>
      <c r="AP208">
        <v>3741725</v>
      </c>
      <c r="AQ208">
        <v>3723682</v>
      </c>
      <c r="AR208">
        <v>3706452</v>
      </c>
      <c r="AS208">
        <v>3690308</v>
      </c>
      <c r="AT208">
        <v>3675538</v>
      </c>
      <c r="AU208">
        <v>3662443</v>
      </c>
      <c r="AV208">
        <v>3651340</v>
      </c>
    </row>
    <row r="209" spans="1:48">
      <c r="A209" t="s">
        <v>607</v>
      </c>
      <c r="B209" t="s">
        <v>608</v>
      </c>
      <c r="C209" t="s">
        <v>358</v>
      </c>
      <c r="D209" s="37">
        <v>2637978.74811449</v>
      </c>
      <c r="E209" s="37">
        <v>2651289.45281239</v>
      </c>
      <c r="F209" s="37">
        <v>2663963.80814746</v>
      </c>
      <c r="G209" s="37">
        <v>2471188</v>
      </c>
      <c r="H209">
        <v>2487853</v>
      </c>
      <c r="I209">
        <v>2504305</v>
      </c>
      <c r="J209">
        <v>2520405</v>
      </c>
      <c r="K209">
        <v>2536021</v>
      </c>
      <c r="L209">
        <v>2551034</v>
      </c>
      <c r="M209">
        <v>2565335</v>
      </c>
      <c r="N209">
        <v>2578822</v>
      </c>
      <c r="O209">
        <v>2591407</v>
      </c>
      <c r="P209">
        <v>2603008</v>
      </c>
      <c r="Q209">
        <v>2613557</v>
      </c>
      <c r="R209">
        <v>2622992</v>
      </c>
      <c r="S209">
        <v>2631265</v>
      </c>
      <c r="T209">
        <v>2638334</v>
      </c>
      <c r="U209">
        <v>2644170</v>
      </c>
      <c r="V209">
        <v>2648754</v>
      </c>
      <c r="W209">
        <v>2652074</v>
      </c>
      <c r="X209">
        <v>2654131</v>
      </c>
      <c r="Y209">
        <v>2654935</v>
      </c>
      <c r="Z209">
        <v>2654505</v>
      </c>
      <c r="AA209">
        <v>2652873</v>
      </c>
      <c r="AB209">
        <v>2650077</v>
      </c>
      <c r="AC209">
        <v>2646169</v>
      </c>
      <c r="AD209">
        <v>2641207</v>
      </c>
      <c r="AE209">
        <v>2635261</v>
      </c>
      <c r="AF209">
        <v>2628413</v>
      </c>
      <c r="AG209">
        <v>2620751</v>
      </c>
      <c r="AH209">
        <v>2612376</v>
      </c>
      <c r="AI209">
        <v>2603397</v>
      </c>
      <c r="AJ209">
        <v>2593936</v>
      </c>
      <c r="AK209">
        <v>2584120</v>
      </c>
      <c r="AL209">
        <v>2574092</v>
      </c>
      <c r="AM209">
        <v>2564000</v>
      </c>
      <c r="AN209">
        <v>2554004</v>
      </c>
      <c r="AO209">
        <v>2544275</v>
      </c>
      <c r="AP209">
        <v>2534993</v>
      </c>
      <c r="AQ209">
        <v>2526347</v>
      </c>
      <c r="AR209">
        <v>2518537</v>
      </c>
      <c r="AS209">
        <v>2511774</v>
      </c>
      <c r="AT209">
        <v>2506278</v>
      </c>
      <c r="AU209">
        <v>2502277</v>
      </c>
      <c r="AV209">
        <v>2500013</v>
      </c>
    </row>
    <row r="210" spans="1:48">
      <c r="A210" t="s">
        <v>609</v>
      </c>
      <c r="B210" t="s">
        <v>610</v>
      </c>
      <c r="C210" t="s">
        <v>358</v>
      </c>
      <c r="D210" s="37">
        <v>13591601.8117509</v>
      </c>
      <c r="E210" s="37">
        <v>13727032.9670006</v>
      </c>
      <c r="F210" s="37">
        <v>13854308.2545365</v>
      </c>
      <c r="G210" s="37">
        <v>18402895</v>
      </c>
      <c r="H210">
        <v>18675050</v>
      </c>
      <c r="I210">
        <v>18910104</v>
      </c>
      <c r="J210">
        <v>19111063</v>
      </c>
      <c r="K210">
        <v>19280805</v>
      </c>
      <c r="L210">
        <v>19422077</v>
      </c>
      <c r="M210">
        <v>19537495</v>
      </c>
      <c r="N210">
        <v>19629545</v>
      </c>
      <c r="O210">
        <v>19700581</v>
      </c>
      <c r="P210">
        <v>19752829</v>
      </c>
      <c r="Q210">
        <v>19788380</v>
      </c>
      <c r="R210">
        <v>19809200</v>
      </c>
      <c r="S210">
        <v>19817120</v>
      </c>
      <c r="T210">
        <v>19813843</v>
      </c>
      <c r="U210">
        <v>19800939</v>
      </c>
      <c r="V210">
        <v>19779849</v>
      </c>
      <c r="W210">
        <v>19751884</v>
      </c>
      <c r="X210">
        <v>19718223</v>
      </c>
      <c r="Y210">
        <v>19679915</v>
      </c>
      <c r="Z210">
        <v>19637878</v>
      </c>
      <c r="AA210">
        <v>19592900</v>
      </c>
      <c r="AB210">
        <v>19545638</v>
      </c>
      <c r="AC210">
        <v>19496618</v>
      </c>
      <c r="AD210">
        <v>19446237</v>
      </c>
      <c r="AE210">
        <v>19394759</v>
      </c>
      <c r="AF210">
        <v>19342320</v>
      </c>
      <c r="AG210">
        <v>19288923</v>
      </c>
      <c r="AH210">
        <v>19234441</v>
      </c>
      <c r="AI210">
        <v>19178619</v>
      </c>
      <c r="AJ210">
        <v>19121067</v>
      </c>
      <c r="AK210">
        <v>19061267</v>
      </c>
      <c r="AL210">
        <v>18998571</v>
      </c>
      <c r="AM210">
        <v>18932199</v>
      </c>
      <c r="AN210">
        <v>18861241</v>
      </c>
      <c r="AO210">
        <v>18784655</v>
      </c>
      <c r="AP210">
        <v>18701272</v>
      </c>
      <c r="AQ210">
        <v>18609787</v>
      </c>
      <c r="AR210">
        <v>18508770</v>
      </c>
      <c r="AS210">
        <v>18396656</v>
      </c>
      <c r="AT210">
        <v>18271752</v>
      </c>
      <c r="AU210">
        <v>18132233</v>
      </c>
      <c r="AV210">
        <v>17976145</v>
      </c>
    </row>
    <row r="211" spans="1:48">
      <c r="A211" t="s">
        <v>611</v>
      </c>
      <c r="B211" t="s">
        <v>612</v>
      </c>
      <c r="C211" t="s">
        <v>358</v>
      </c>
      <c r="D211" s="37">
        <v>2891205.64897796</v>
      </c>
      <c r="E211" s="37">
        <v>2899997.38060141</v>
      </c>
      <c r="F211" s="37">
        <v>2908153.87143979</v>
      </c>
      <c r="G211" s="37">
        <v>2844937</v>
      </c>
      <c r="H211">
        <v>2854785</v>
      </c>
      <c r="I211">
        <v>2865054</v>
      </c>
      <c r="J211">
        <v>2875489</v>
      </c>
      <c r="K211">
        <v>2885856</v>
      </c>
      <c r="L211">
        <v>2895936</v>
      </c>
      <c r="M211">
        <v>2905526</v>
      </c>
      <c r="N211">
        <v>2914441</v>
      </c>
      <c r="O211">
        <v>2922510</v>
      </c>
      <c r="P211">
        <v>2929580</v>
      </c>
      <c r="Q211">
        <v>2935515</v>
      </c>
      <c r="R211">
        <v>2940195</v>
      </c>
      <c r="S211">
        <v>2943515</v>
      </c>
      <c r="T211">
        <v>2945389</v>
      </c>
      <c r="U211">
        <v>2945747</v>
      </c>
      <c r="V211">
        <v>2944532</v>
      </c>
      <c r="W211">
        <v>2941709</v>
      </c>
      <c r="X211">
        <v>2937256</v>
      </c>
      <c r="Y211">
        <v>2931167</v>
      </c>
      <c r="Z211">
        <v>2923456</v>
      </c>
      <c r="AA211">
        <v>2914148</v>
      </c>
      <c r="AB211">
        <v>2903291</v>
      </c>
      <c r="AC211">
        <v>2890944</v>
      </c>
      <c r="AD211">
        <v>2877185</v>
      </c>
      <c r="AE211">
        <v>2862108</v>
      </c>
      <c r="AF211">
        <v>2845824</v>
      </c>
      <c r="AG211">
        <v>2828461</v>
      </c>
      <c r="AH211">
        <v>2810160</v>
      </c>
      <c r="AI211">
        <v>2791084</v>
      </c>
      <c r="AJ211">
        <v>2771407</v>
      </c>
      <c r="AK211">
        <v>2751323</v>
      </c>
      <c r="AL211">
        <v>2731042</v>
      </c>
      <c r="AM211">
        <v>2710789</v>
      </c>
      <c r="AN211">
        <v>2690807</v>
      </c>
      <c r="AO211">
        <v>2671355</v>
      </c>
      <c r="AP211">
        <v>2652708</v>
      </c>
      <c r="AQ211">
        <v>2635158</v>
      </c>
      <c r="AR211">
        <v>2619013</v>
      </c>
      <c r="AS211">
        <v>2604599</v>
      </c>
      <c r="AT211">
        <v>2592256</v>
      </c>
      <c r="AU211">
        <v>2582343</v>
      </c>
      <c r="AV211">
        <v>2575234</v>
      </c>
    </row>
    <row r="212" spans="1:48">
      <c r="A212" t="s">
        <v>613</v>
      </c>
      <c r="B212" t="s">
        <v>614</v>
      </c>
      <c r="C212" t="s">
        <v>358</v>
      </c>
      <c r="D212" s="37">
        <v>11564374.0871746</v>
      </c>
      <c r="E212" s="37">
        <v>11744739.7860396</v>
      </c>
      <c r="F212" s="37">
        <v>11914877.7283332</v>
      </c>
      <c r="G212" s="37">
        <v>17182096</v>
      </c>
      <c r="H212">
        <v>17559804</v>
      </c>
      <c r="I212">
        <v>17888768</v>
      </c>
      <c r="J212">
        <v>18173498</v>
      </c>
      <c r="K212">
        <v>18418288</v>
      </c>
      <c r="L212">
        <v>18627210</v>
      </c>
      <c r="M212">
        <v>18804123</v>
      </c>
      <c r="N212">
        <v>18952663</v>
      </c>
      <c r="O212">
        <v>19076252</v>
      </c>
      <c r="P212">
        <v>19178091</v>
      </c>
      <c r="Q212">
        <v>19261164</v>
      </c>
      <c r="R212">
        <v>19328237</v>
      </c>
      <c r="S212">
        <v>19381858</v>
      </c>
      <c r="T212">
        <v>19424357</v>
      </c>
      <c r="U212">
        <v>19457845</v>
      </c>
      <c r="V212">
        <v>19484217</v>
      </c>
      <c r="W212">
        <v>19505147</v>
      </c>
      <c r="X212">
        <v>19522093</v>
      </c>
      <c r="Y212">
        <v>19536294</v>
      </c>
      <c r="Z212">
        <v>19548772</v>
      </c>
      <c r="AA212">
        <v>19560330</v>
      </c>
      <c r="AB212">
        <v>19571553</v>
      </c>
      <c r="AC212">
        <v>19582807</v>
      </c>
      <c r="AD212">
        <v>19594242</v>
      </c>
      <c r="AE212">
        <v>19605789</v>
      </c>
      <c r="AF212">
        <v>19617160</v>
      </c>
      <c r="AG212">
        <v>19627850</v>
      </c>
      <c r="AH212">
        <v>19637136</v>
      </c>
      <c r="AI212">
        <v>19644076</v>
      </c>
      <c r="AJ212">
        <v>19647510</v>
      </c>
      <c r="AK212">
        <v>19646061</v>
      </c>
      <c r="AL212">
        <v>19638134</v>
      </c>
      <c r="AM212">
        <v>19621913</v>
      </c>
      <c r="AN212">
        <v>19595368</v>
      </c>
      <c r="AO212">
        <v>19556249</v>
      </c>
      <c r="AP212">
        <v>19502086</v>
      </c>
      <c r="AQ212">
        <v>19430195</v>
      </c>
      <c r="AR212">
        <v>19337670</v>
      </c>
      <c r="AS212">
        <v>19221390</v>
      </c>
      <c r="AT212">
        <v>19078015</v>
      </c>
      <c r="AU212">
        <v>18903984</v>
      </c>
      <c r="AV212">
        <v>18695523</v>
      </c>
    </row>
    <row r="213" spans="1:48">
      <c r="A213" t="s">
        <v>615</v>
      </c>
      <c r="B213" t="s">
        <v>616</v>
      </c>
      <c r="C213" t="s">
        <v>358</v>
      </c>
      <c r="D213" s="37">
        <v>1672089.51610802</v>
      </c>
      <c r="E213" s="37">
        <v>1689409.80865597</v>
      </c>
      <c r="F213" s="37">
        <v>1705924.4965546</v>
      </c>
      <c r="G213" s="37">
        <v>2402908</v>
      </c>
      <c r="H213">
        <v>2439449</v>
      </c>
      <c r="I213">
        <v>2471918</v>
      </c>
      <c r="J213">
        <v>2500596</v>
      </c>
      <c r="K213">
        <v>2525753</v>
      </c>
      <c r="L213">
        <v>2547648</v>
      </c>
      <c r="M213">
        <v>2566528</v>
      </c>
      <c r="N213">
        <v>2582628</v>
      </c>
      <c r="O213">
        <v>2596174</v>
      </c>
      <c r="P213">
        <v>2607380</v>
      </c>
      <c r="Q213">
        <v>2616447</v>
      </c>
      <c r="R213">
        <v>2623567</v>
      </c>
      <c r="S213">
        <v>2628920</v>
      </c>
      <c r="T213">
        <v>2632675</v>
      </c>
      <c r="U213">
        <v>2634990</v>
      </c>
      <c r="V213">
        <v>2636011</v>
      </c>
      <c r="W213">
        <v>2635872</v>
      </c>
      <c r="X213">
        <v>2634699</v>
      </c>
      <c r="Y213">
        <v>2632604</v>
      </c>
      <c r="Z213">
        <v>2629689</v>
      </c>
      <c r="AA213">
        <v>2626043</v>
      </c>
      <c r="AB213">
        <v>2621747</v>
      </c>
      <c r="AC213">
        <v>2616868</v>
      </c>
      <c r="AD213">
        <v>2611463</v>
      </c>
      <c r="AE213">
        <v>2605577</v>
      </c>
      <c r="AF213">
        <v>2599246</v>
      </c>
      <c r="AG213">
        <v>2592491</v>
      </c>
      <c r="AH213">
        <v>2585326</v>
      </c>
      <c r="AI213">
        <v>2577751</v>
      </c>
      <c r="AJ213">
        <v>2569755</v>
      </c>
      <c r="AK213">
        <v>2561317</v>
      </c>
      <c r="AL213">
        <v>2552404</v>
      </c>
      <c r="AM213">
        <v>2542971</v>
      </c>
      <c r="AN213">
        <v>2532965</v>
      </c>
      <c r="AO213">
        <v>2522317</v>
      </c>
      <c r="AP213">
        <v>2510952</v>
      </c>
      <c r="AQ213">
        <v>2498779</v>
      </c>
      <c r="AR213">
        <v>2485698</v>
      </c>
      <c r="AS213">
        <v>2471599</v>
      </c>
      <c r="AT213">
        <v>2456359</v>
      </c>
      <c r="AU213">
        <v>2439844</v>
      </c>
      <c r="AV213">
        <v>2421909</v>
      </c>
    </row>
    <row r="214" spans="1:48">
      <c r="A214" t="s">
        <v>617</v>
      </c>
      <c r="B214" t="s">
        <v>618</v>
      </c>
      <c r="C214" t="s">
        <v>358</v>
      </c>
      <c r="D214" s="37">
        <v>5563238.05634706</v>
      </c>
      <c r="E214" s="37">
        <v>5605074.9668012</v>
      </c>
      <c r="F214" s="37">
        <v>5648201.78746529</v>
      </c>
      <c r="G214" s="37">
        <v>5432228</v>
      </c>
      <c r="H214">
        <v>5501462</v>
      </c>
      <c r="I214">
        <v>5568630</v>
      </c>
      <c r="J214">
        <v>5633430</v>
      </c>
      <c r="K214">
        <v>5695584</v>
      </c>
      <c r="L214">
        <v>5754845</v>
      </c>
      <c r="M214">
        <v>5810989</v>
      </c>
      <c r="N214">
        <v>5863818</v>
      </c>
      <c r="O214">
        <v>5913163</v>
      </c>
      <c r="P214">
        <v>5958880</v>
      </c>
      <c r="Q214">
        <v>6000851</v>
      </c>
      <c r="R214">
        <v>6038985</v>
      </c>
      <c r="S214">
        <v>6073216</v>
      </c>
      <c r="T214">
        <v>6103508</v>
      </c>
      <c r="U214">
        <v>6129847</v>
      </c>
      <c r="V214">
        <v>6152249</v>
      </c>
      <c r="W214">
        <v>6170753</v>
      </c>
      <c r="X214">
        <v>6185428</v>
      </c>
      <c r="Y214">
        <v>6196365</v>
      </c>
      <c r="Z214">
        <v>6203687</v>
      </c>
      <c r="AA214">
        <v>6207538</v>
      </c>
      <c r="AB214">
        <v>6208092</v>
      </c>
      <c r="AC214">
        <v>6205547</v>
      </c>
      <c r="AD214">
        <v>6200130</v>
      </c>
      <c r="AE214">
        <v>6192092</v>
      </c>
      <c r="AF214">
        <v>6181710</v>
      </c>
      <c r="AG214">
        <v>6169291</v>
      </c>
      <c r="AH214">
        <v>6155165</v>
      </c>
      <c r="AI214">
        <v>6139690</v>
      </c>
      <c r="AJ214">
        <v>6123249</v>
      </c>
      <c r="AK214">
        <v>6106252</v>
      </c>
      <c r="AL214">
        <v>6089137</v>
      </c>
      <c r="AM214">
        <v>6072366</v>
      </c>
      <c r="AN214">
        <v>6056428</v>
      </c>
      <c r="AO214">
        <v>6041840</v>
      </c>
      <c r="AP214">
        <v>6029143</v>
      </c>
      <c r="AQ214">
        <v>6018907</v>
      </c>
      <c r="AR214">
        <v>6011725</v>
      </c>
      <c r="AS214">
        <v>6008220</v>
      </c>
      <c r="AT214">
        <v>6009039</v>
      </c>
      <c r="AU214">
        <v>6014857</v>
      </c>
      <c r="AV214">
        <v>6026373</v>
      </c>
    </row>
    <row r="215" spans="1:48">
      <c r="A215" t="s">
        <v>619</v>
      </c>
      <c r="B215" t="s">
        <v>620</v>
      </c>
      <c r="C215" t="s">
        <v>358</v>
      </c>
      <c r="D215" s="37">
        <v>7710190.62139005</v>
      </c>
      <c r="E215" s="37">
        <v>7789581.50353059</v>
      </c>
      <c r="F215" s="37">
        <v>7864704.96349696</v>
      </c>
      <c r="G215" s="37">
        <v>9357480</v>
      </c>
      <c r="H215">
        <v>9498230</v>
      </c>
      <c r="I215">
        <v>9621603</v>
      </c>
      <c r="J215">
        <v>9728896</v>
      </c>
      <c r="K215">
        <v>9821354</v>
      </c>
      <c r="L215">
        <v>9900164</v>
      </c>
      <c r="M215">
        <v>9966461</v>
      </c>
      <c r="N215">
        <v>10021323</v>
      </c>
      <c r="O215">
        <v>10065774</v>
      </c>
      <c r="P215">
        <v>10100782</v>
      </c>
      <c r="Q215">
        <v>10127263</v>
      </c>
      <c r="R215">
        <v>10146074</v>
      </c>
      <c r="S215">
        <v>10158020</v>
      </c>
      <c r="T215">
        <v>10163850</v>
      </c>
      <c r="U215">
        <v>10164258</v>
      </c>
      <c r="V215">
        <v>10159885</v>
      </c>
      <c r="W215">
        <v>10151313</v>
      </c>
      <c r="X215">
        <v>10139073</v>
      </c>
      <c r="Y215">
        <v>10123640</v>
      </c>
      <c r="Z215">
        <v>10105433</v>
      </c>
      <c r="AA215">
        <v>10084817</v>
      </c>
      <c r="AB215">
        <v>10062101</v>
      </c>
      <c r="AC215">
        <v>10037541</v>
      </c>
      <c r="AD215">
        <v>10011338</v>
      </c>
      <c r="AE215">
        <v>9983635</v>
      </c>
      <c r="AF215">
        <v>9954523</v>
      </c>
      <c r="AG215">
        <v>9924038</v>
      </c>
      <c r="AH215">
        <v>9892160</v>
      </c>
      <c r="AI215">
        <v>9858814</v>
      </c>
      <c r="AJ215">
        <v>9823871</v>
      </c>
      <c r="AK215">
        <v>9787146</v>
      </c>
      <c r="AL215">
        <v>9748401</v>
      </c>
      <c r="AM215">
        <v>9707341</v>
      </c>
      <c r="AN215">
        <v>9663617</v>
      </c>
      <c r="AO215">
        <v>9616825</v>
      </c>
      <c r="AP215">
        <v>9566506</v>
      </c>
      <c r="AQ215">
        <v>9512146</v>
      </c>
      <c r="AR215">
        <v>9453177</v>
      </c>
      <c r="AS215">
        <v>9388975</v>
      </c>
      <c r="AT215">
        <v>9318860</v>
      </c>
      <c r="AU215">
        <v>9242101</v>
      </c>
      <c r="AV215">
        <v>9157907</v>
      </c>
    </row>
    <row r="216" spans="1:48">
      <c r="A216" t="s">
        <v>621</v>
      </c>
      <c r="B216" t="s">
        <v>622</v>
      </c>
      <c r="C216" t="s">
        <v>358</v>
      </c>
      <c r="D216" s="37">
        <v>4604415.2245414</v>
      </c>
      <c r="E216" s="37">
        <v>4630512.16333953</v>
      </c>
      <c r="F216" s="37">
        <v>4655408.59896542</v>
      </c>
      <c r="G216" s="37">
        <v>4754551</v>
      </c>
      <c r="H216">
        <v>4797405</v>
      </c>
      <c r="I216">
        <v>4835400</v>
      </c>
      <c r="J216">
        <v>4868726</v>
      </c>
      <c r="K216">
        <v>4897574</v>
      </c>
      <c r="L216">
        <v>4922129</v>
      </c>
      <c r="M216">
        <v>4942578</v>
      </c>
      <c r="N216">
        <v>4959103</v>
      </c>
      <c r="O216">
        <v>4971887</v>
      </c>
      <c r="P216">
        <v>4981107</v>
      </c>
      <c r="Q216">
        <v>4986943</v>
      </c>
      <c r="R216">
        <v>4989568</v>
      </c>
      <c r="S216">
        <v>4989156</v>
      </c>
      <c r="T216">
        <v>4985880</v>
      </c>
      <c r="U216">
        <v>4979908</v>
      </c>
      <c r="V216">
        <v>4971408</v>
      </c>
      <c r="W216">
        <v>4960545</v>
      </c>
      <c r="X216">
        <v>4947483</v>
      </c>
      <c r="Y216">
        <v>4932384</v>
      </c>
      <c r="Z216">
        <v>4915408</v>
      </c>
      <c r="AA216">
        <v>4896711</v>
      </c>
      <c r="AB216">
        <v>4876451</v>
      </c>
      <c r="AC216">
        <v>4854780</v>
      </c>
      <c r="AD216">
        <v>4831850</v>
      </c>
      <c r="AE216">
        <v>4807811</v>
      </c>
      <c r="AF216">
        <v>4782812</v>
      </c>
      <c r="AG216">
        <v>4756997</v>
      </c>
      <c r="AH216">
        <v>4730511</v>
      </c>
      <c r="AI216">
        <v>4703496</v>
      </c>
      <c r="AJ216">
        <v>4676091</v>
      </c>
      <c r="AK216">
        <v>4648436</v>
      </c>
      <c r="AL216">
        <v>4620665</v>
      </c>
      <c r="AM216">
        <v>4592913</v>
      </c>
      <c r="AN216">
        <v>4565312</v>
      </c>
      <c r="AO216">
        <v>4537992</v>
      </c>
      <c r="AP216">
        <v>4511082</v>
      </c>
      <c r="AQ216">
        <v>4484707</v>
      </c>
      <c r="AR216">
        <v>4458992</v>
      </c>
      <c r="AS216">
        <v>4434059</v>
      </c>
      <c r="AT216">
        <v>4410029</v>
      </c>
      <c r="AU216">
        <v>4387019</v>
      </c>
      <c r="AV216">
        <v>4365146</v>
      </c>
    </row>
    <row r="217" spans="1:48">
      <c r="A217" t="s">
        <v>623</v>
      </c>
      <c r="B217" t="s">
        <v>624</v>
      </c>
      <c r="C217" t="s">
        <v>358</v>
      </c>
      <c r="D217" s="37">
        <v>7180691.65540908</v>
      </c>
      <c r="E217" s="37">
        <v>7226013.18607662</v>
      </c>
      <c r="F217" s="37">
        <v>7272925.8713232</v>
      </c>
      <c r="G217" s="37">
        <v>6906768</v>
      </c>
      <c r="H217">
        <v>6980364</v>
      </c>
      <c r="I217">
        <v>7053361</v>
      </c>
      <c r="J217">
        <v>7125201</v>
      </c>
      <c r="K217">
        <v>7195370</v>
      </c>
      <c r="L217">
        <v>7263390</v>
      </c>
      <c r="M217">
        <v>7328829</v>
      </c>
      <c r="N217">
        <v>7391293</v>
      </c>
      <c r="O217">
        <v>7450428</v>
      </c>
      <c r="P217">
        <v>7505923</v>
      </c>
      <c r="Q217">
        <v>7557508</v>
      </c>
      <c r="R217">
        <v>7604951</v>
      </c>
      <c r="S217">
        <v>7648064</v>
      </c>
      <c r="T217">
        <v>7686698</v>
      </c>
      <c r="U217">
        <v>7720746</v>
      </c>
      <c r="V217">
        <v>7750141</v>
      </c>
      <c r="W217">
        <v>7774857</v>
      </c>
      <c r="X217">
        <v>7794908</v>
      </c>
      <c r="Y217">
        <v>7810352</v>
      </c>
      <c r="Z217">
        <v>7821284</v>
      </c>
      <c r="AA217">
        <v>7827843</v>
      </c>
      <c r="AB217">
        <v>7830205</v>
      </c>
      <c r="AC217">
        <v>7828592</v>
      </c>
      <c r="AD217">
        <v>7823262</v>
      </c>
      <c r="AE217">
        <v>7814517</v>
      </c>
      <c r="AF217">
        <v>7802699</v>
      </c>
      <c r="AG217">
        <v>7788189</v>
      </c>
      <c r="AH217">
        <v>7771413</v>
      </c>
      <c r="AI217">
        <v>7752834</v>
      </c>
      <c r="AJ217">
        <v>7732956</v>
      </c>
      <c r="AK217">
        <v>7712328</v>
      </c>
      <c r="AL217">
        <v>7691534</v>
      </c>
      <c r="AM217">
        <v>7671203</v>
      </c>
      <c r="AN217">
        <v>7652004</v>
      </c>
      <c r="AO217">
        <v>7634647</v>
      </c>
      <c r="AP217">
        <v>7619880</v>
      </c>
      <c r="AQ217">
        <v>7608496</v>
      </c>
      <c r="AR217">
        <v>7601327</v>
      </c>
      <c r="AS217">
        <v>7599245</v>
      </c>
      <c r="AT217">
        <v>7603164</v>
      </c>
      <c r="AU217">
        <v>7614040</v>
      </c>
      <c r="AV217">
        <v>7632866</v>
      </c>
    </row>
    <row r="218" spans="1:48">
      <c r="A218" t="s">
        <v>625</v>
      </c>
      <c r="B218" t="s">
        <v>626</v>
      </c>
      <c r="C218" t="s">
        <v>358</v>
      </c>
      <c r="D218" s="37">
        <v>5913913.45905545</v>
      </c>
      <c r="E218" s="37">
        <v>5941352.99159642</v>
      </c>
      <c r="F218" s="37">
        <v>5970763.86835446</v>
      </c>
      <c r="G218" s="37">
        <v>6128516</v>
      </c>
      <c r="H218">
        <v>6173260</v>
      </c>
      <c r="I218">
        <v>6222647</v>
      </c>
      <c r="J218">
        <v>6275608</v>
      </c>
      <c r="K218">
        <v>6331138</v>
      </c>
      <c r="L218">
        <v>6388295</v>
      </c>
      <c r="M218">
        <v>6446202</v>
      </c>
      <c r="N218">
        <v>6504049</v>
      </c>
      <c r="O218">
        <v>6561088</v>
      </c>
      <c r="P218">
        <v>6616634</v>
      </c>
      <c r="Q218">
        <v>6670070</v>
      </c>
      <c r="R218">
        <v>6720841</v>
      </c>
      <c r="S218">
        <v>6768457</v>
      </c>
      <c r="T218">
        <v>6812492</v>
      </c>
      <c r="U218">
        <v>6852585</v>
      </c>
      <c r="V218">
        <v>6888439</v>
      </c>
      <c r="W218">
        <v>6919823</v>
      </c>
      <c r="X218">
        <v>6946567</v>
      </c>
      <c r="Y218">
        <v>6968568</v>
      </c>
      <c r="Z218">
        <v>6985788</v>
      </c>
      <c r="AA218">
        <v>6998250</v>
      </c>
      <c r="AB218">
        <v>7006046</v>
      </c>
      <c r="AC218">
        <v>7009328</v>
      </c>
      <c r="AD218">
        <v>7008316</v>
      </c>
      <c r="AE218">
        <v>7003291</v>
      </c>
      <c r="AF218">
        <v>6994602</v>
      </c>
      <c r="AG218">
        <v>6982660</v>
      </c>
      <c r="AH218">
        <v>6967940</v>
      </c>
      <c r="AI218">
        <v>6950984</v>
      </c>
      <c r="AJ218">
        <v>6932396</v>
      </c>
      <c r="AK218">
        <v>6912845</v>
      </c>
      <c r="AL218">
        <v>6893065</v>
      </c>
      <c r="AM218">
        <v>6873854</v>
      </c>
      <c r="AN218">
        <v>6856075</v>
      </c>
      <c r="AO218">
        <v>6840653</v>
      </c>
      <c r="AP218">
        <v>6828581</v>
      </c>
      <c r="AQ218">
        <v>6820914</v>
      </c>
      <c r="AR218">
        <v>6818772</v>
      </c>
      <c r="AS218">
        <v>6823339</v>
      </c>
      <c r="AT218">
        <v>6835865</v>
      </c>
      <c r="AU218">
        <v>6857662</v>
      </c>
      <c r="AV218">
        <v>6890109</v>
      </c>
    </row>
    <row r="219" spans="1:48">
      <c r="A219" t="s">
        <v>627</v>
      </c>
      <c r="B219" t="s">
        <v>628</v>
      </c>
      <c r="C219" t="s">
        <v>358</v>
      </c>
      <c r="D219" s="37">
        <v>4027261.46718018</v>
      </c>
      <c r="E219" s="37">
        <v>4046756.09850775</v>
      </c>
      <c r="F219" s="37">
        <v>4065979.33704233</v>
      </c>
      <c r="G219" s="37">
        <v>4085565</v>
      </c>
      <c r="H219">
        <v>4113118</v>
      </c>
      <c r="I219">
        <v>4140951</v>
      </c>
      <c r="J219">
        <v>4168716</v>
      </c>
      <c r="K219">
        <v>4196089</v>
      </c>
      <c r="L219">
        <v>4222771</v>
      </c>
      <c r="M219">
        <v>4248484</v>
      </c>
      <c r="N219">
        <v>4272974</v>
      </c>
      <c r="O219">
        <v>4296010</v>
      </c>
      <c r="P219">
        <v>4317387</v>
      </c>
      <c r="Q219">
        <v>4336919</v>
      </c>
      <c r="R219">
        <v>4354446</v>
      </c>
      <c r="S219">
        <v>4369830</v>
      </c>
      <c r="T219">
        <v>4382958</v>
      </c>
      <c r="U219">
        <v>4393739</v>
      </c>
      <c r="V219">
        <v>4402106</v>
      </c>
      <c r="W219">
        <v>4408014</v>
      </c>
      <c r="X219">
        <v>4411443</v>
      </c>
      <c r="Y219">
        <v>4412395</v>
      </c>
      <c r="Z219">
        <v>4410895</v>
      </c>
      <c r="AA219">
        <v>4406994</v>
      </c>
      <c r="AB219">
        <v>4400763</v>
      </c>
      <c r="AC219">
        <v>4392299</v>
      </c>
      <c r="AD219">
        <v>4381719</v>
      </c>
      <c r="AE219">
        <v>4369167</v>
      </c>
      <c r="AF219">
        <v>4354808</v>
      </c>
      <c r="AG219">
        <v>4338831</v>
      </c>
      <c r="AH219">
        <v>4321448</v>
      </c>
      <c r="AI219">
        <v>4302895</v>
      </c>
      <c r="AJ219">
        <v>4283430</v>
      </c>
      <c r="AK219">
        <v>4263336</v>
      </c>
      <c r="AL219">
        <v>4242919</v>
      </c>
      <c r="AM219">
        <v>4222506</v>
      </c>
      <c r="AN219">
        <v>4202450</v>
      </c>
      <c r="AO219">
        <v>4183126</v>
      </c>
      <c r="AP219">
        <v>4164933</v>
      </c>
      <c r="AQ219">
        <v>4148293</v>
      </c>
      <c r="AR219">
        <v>4133651</v>
      </c>
      <c r="AS219">
        <v>4121475</v>
      </c>
      <c r="AT219">
        <v>4112258</v>
      </c>
      <c r="AU219">
        <v>4106514</v>
      </c>
      <c r="AV219">
        <v>4104783</v>
      </c>
    </row>
    <row r="220" spans="1:48">
      <c r="A220" t="s">
        <v>629</v>
      </c>
      <c r="B220" t="s">
        <v>630</v>
      </c>
      <c r="C220" t="s">
        <v>358</v>
      </c>
      <c r="D220" s="37">
        <v>4863007.64005335</v>
      </c>
      <c r="E220" s="37">
        <v>4906794.92798241</v>
      </c>
      <c r="F220" s="37">
        <v>4949339.90627119</v>
      </c>
      <c r="G220" s="37">
        <v>5964944</v>
      </c>
      <c r="H220">
        <v>6042363</v>
      </c>
      <c r="I220">
        <v>6114906</v>
      </c>
      <c r="J220">
        <v>6182669</v>
      </c>
      <c r="K220">
        <v>6245749</v>
      </c>
      <c r="L220">
        <v>6304247</v>
      </c>
      <c r="M220">
        <v>6358265</v>
      </c>
      <c r="N220">
        <v>6407906</v>
      </c>
      <c r="O220">
        <v>6453275</v>
      </c>
      <c r="P220">
        <v>6494480</v>
      </c>
      <c r="Q220">
        <v>6531630</v>
      </c>
      <c r="R220">
        <v>6564837</v>
      </c>
      <c r="S220">
        <v>6594215</v>
      </c>
      <c r="T220">
        <v>6619877</v>
      </c>
      <c r="U220">
        <v>6641942</v>
      </c>
      <c r="V220">
        <v>6660528</v>
      </c>
      <c r="W220">
        <v>6675756</v>
      </c>
      <c r="X220">
        <v>6687750</v>
      </c>
      <c r="Y220">
        <v>6696633</v>
      </c>
      <c r="Z220">
        <v>6702533</v>
      </c>
      <c r="AA220">
        <v>6705578</v>
      </c>
      <c r="AB220">
        <v>6705899</v>
      </c>
      <c r="AC220">
        <v>6703629</v>
      </c>
      <c r="AD220">
        <v>6698901</v>
      </c>
      <c r="AE220">
        <v>6691852</v>
      </c>
      <c r="AF220">
        <v>6682621</v>
      </c>
      <c r="AG220">
        <v>6671347</v>
      </c>
      <c r="AH220">
        <v>6658172</v>
      </c>
      <c r="AI220">
        <v>6643242</v>
      </c>
      <c r="AJ220">
        <v>6626701</v>
      </c>
      <c r="AK220">
        <v>6608697</v>
      </c>
      <c r="AL220">
        <v>6589381</v>
      </c>
      <c r="AM220">
        <v>6568904</v>
      </c>
      <c r="AN220">
        <v>6547419</v>
      </c>
      <c r="AO220">
        <v>6525083</v>
      </c>
      <c r="AP220">
        <v>6502053</v>
      </c>
      <c r="AQ220">
        <v>6478487</v>
      </c>
      <c r="AR220">
        <v>6454548</v>
      </c>
      <c r="AS220">
        <v>6430399</v>
      </c>
      <c r="AT220">
        <v>6406205</v>
      </c>
      <c r="AU220">
        <v>6382132</v>
      </c>
      <c r="AV220">
        <v>6358351</v>
      </c>
    </row>
    <row r="221" spans="1:48">
      <c r="A221" t="s">
        <v>631</v>
      </c>
      <c r="B221" t="s">
        <v>632</v>
      </c>
      <c r="C221" t="s">
        <v>358</v>
      </c>
      <c r="D221" s="37">
        <v>4318260.42460028</v>
      </c>
      <c r="E221" s="37">
        <v>4334463.67041403</v>
      </c>
      <c r="F221" s="37">
        <v>4350798.52647782</v>
      </c>
      <c r="G221" s="37">
        <v>3850462</v>
      </c>
      <c r="H221">
        <v>3872631</v>
      </c>
      <c r="I221">
        <v>3895489</v>
      </c>
      <c r="J221">
        <v>3918655</v>
      </c>
      <c r="K221">
        <v>3941776</v>
      </c>
      <c r="L221">
        <v>3964521</v>
      </c>
      <c r="M221">
        <v>3986586</v>
      </c>
      <c r="N221">
        <v>4007693</v>
      </c>
      <c r="O221">
        <v>4027587</v>
      </c>
      <c r="P221">
        <v>4046041</v>
      </c>
      <c r="Q221">
        <v>4062851</v>
      </c>
      <c r="R221">
        <v>4077838</v>
      </c>
      <c r="S221">
        <v>4090852</v>
      </c>
      <c r="T221">
        <v>4101763</v>
      </c>
      <c r="U221">
        <v>4110469</v>
      </c>
      <c r="V221">
        <v>4116895</v>
      </c>
      <c r="W221">
        <v>4120987</v>
      </c>
      <c r="X221">
        <v>4122719</v>
      </c>
      <c r="Y221">
        <v>4122091</v>
      </c>
      <c r="Z221">
        <v>4119125</v>
      </c>
      <c r="AA221">
        <v>4113872</v>
      </c>
      <c r="AB221">
        <v>4106405</v>
      </c>
      <c r="AC221">
        <v>4096824</v>
      </c>
      <c r="AD221">
        <v>4085255</v>
      </c>
      <c r="AE221">
        <v>4071847</v>
      </c>
      <c r="AF221">
        <v>4056776</v>
      </c>
      <c r="AG221">
        <v>4040242</v>
      </c>
      <c r="AH221">
        <v>4022471</v>
      </c>
      <c r="AI221">
        <v>4003715</v>
      </c>
      <c r="AJ221">
        <v>3984249</v>
      </c>
      <c r="AK221">
        <v>3964376</v>
      </c>
      <c r="AL221">
        <v>3944422</v>
      </c>
      <c r="AM221">
        <v>3924739</v>
      </c>
      <c r="AN221">
        <v>3905704</v>
      </c>
      <c r="AO221">
        <v>3887721</v>
      </c>
      <c r="AP221">
        <v>3871216</v>
      </c>
      <c r="AQ221">
        <v>3856643</v>
      </c>
      <c r="AR221">
        <v>3844481</v>
      </c>
      <c r="AS221">
        <v>3835232</v>
      </c>
      <c r="AT221">
        <v>3829426</v>
      </c>
      <c r="AU221">
        <v>3827616</v>
      </c>
      <c r="AV221">
        <v>3830382</v>
      </c>
    </row>
    <row r="222" spans="1:48">
      <c r="A222" t="s">
        <v>633</v>
      </c>
      <c r="B222" t="s">
        <v>634</v>
      </c>
      <c r="C222" t="s">
        <v>358</v>
      </c>
      <c r="D222" s="37">
        <v>3028407.89386686</v>
      </c>
      <c r="E222" s="37">
        <v>3053286.70515034</v>
      </c>
      <c r="F222" s="37">
        <v>3079332.62582283</v>
      </c>
      <c r="G222" s="37">
        <v>2634629</v>
      </c>
      <c r="H222">
        <v>2672559</v>
      </c>
      <c r="I222">
        <v>2709707</v>
      </c>
      <c r="J222">
        <v>2745887</v>
      </c>
      <c r="K222">
        <v>2780930</v>
      </c>
      <c r="L222">
        <v>2814681</v>
      </c>
      <c r="M222">
        <v>2847000</v>
      </c>
      <c r="N222">
        <v>2877762</v>
      </c>
      <c r="O222">
        <v>2906857</v>
      </c>
      <c r="P222">
        <v>2934190</v>
      </c>
      <c r="Q222">
        <v>2959681</v>
      </c>
      <c r="R222">
        <v>2983266</v>
      </c>
      <c r="S222">
        <v>3004895</v>
      </c>
      <c r="T222">
        <v>3024532</v>
      </c>
      <c r="U222">
        <v>3042159</v>
      </c>
      <c r="V222">
        <v>3057770</v>
      </c>
      <c r="W222">
        <v>3071376</v>
      </c>
      <c r="X222">
        <v>3083001</v>
      </c>
      <c r="Y222">
        <v>3092687</v>
      </c>
      <c r="Z222">
        <v>3100488</v>
      </c>
      <c r="AA222">
        <v>3106475</v>
      </c>
      <c r="AB222">
        <v>3110733</v>
      </c>
      <c r="AC222">
        <v>3113363</v>
      </c>
      <c r="AD222">
        <v>3114479</v>
      </c>
      <c r="AE222">
        <v>3114212</v>
      </c>
      <c r="AF222">
        <v>3112708</v>
      </c>
      <c r="AG222">
        <v>3110126</v>
      </c>
      <c r="AH222">
        <v>3106643</v>
      </c>
      <c r="AI222">
        <v>3102449</v>
      </c>
      <c r="AJ222">
        <v>3097749</v>
      </c>
      <c r="AK222">
        <v>3092764</v>
      </c>
      <c r="AL222">
        <v>3087729</v>
      </c>
      <c r="AM222">
        <v>3082894</v>
      </c>
      <c r="AN222">
        <v>3078526</v>
      </c>
      <c r="AO222">
        <v>3074905</v>
      </c>
      <c r="AP222">
        <v>3072325</v>
      </c>
      <c r="AQ222">
        <v>3071099</v>
      </c>
      <c r="AR222">
        <v>3071551</v>
      </c>
      <c r="AS222">
        <v>3074021</v>
      </c>
      <c r="AT222">
        <v>3078867</v>
      </c>
      <c r="AU222">
        <v>3086457</v>
      </c>
      <c r="AV222">
        <v>3097179</v>
      </c>
    </row>
    <row r="223" spans="1:48">
      <c r="A223" t="s">
        <v>635</v>
      </c>
      <c r="B223" t="s">
        <v>636</v>
      </c>
      <c r="C223" t="s">
        <v>358</v>
      </c>
      <c r="D223" s="37">
        <v>3034672.4457432</v>
      </c>
      <c r="E223" s="37">
        <v>3046124.84151517</v>
      </c>
      <c r="F223" s="37">
        <v>3057178.14409189</v>
      </c>
      <c r="G223" s="37">
        <v>2828469</v>
      </c>
      <c r="H223">
        <v>2837349</v>
      </c>
      <c r="I223">
        <v>2848946</v>
      </c>
      <c r="J223">
        <v>2862773</v>
      </c>
      <c r="K223">
        <v>2878375</v>
      </c>
      <c r="L223">
        <v>2895318</v>
      </c>
      <c r="M223">
        <v>2913199</v>
      </c>
      <c r="N223">
        <v>2931639</v>
      </c>
      <c r="O223">
        <v>2950288</v>
      </c>
      <c r="P223">
        <v>2968819</v>
      </c>
      <c r="Q223">
        <v>2986935</v>
      </c>
      <c r="R223">
        <v>3004363</v>
      </c>
      <c r="S223">
        <v>3020859</v>
      </c>
      <c r="T223">
        <v>3036203</v>
      </c>
      <c r="U223">
        <v>3050205</v>
      </c>
      <c r="V223">
        <v>3062698</v>
      </c>
      <c r="W223">
        <v>3073543</v>
      </c>
      <c r="X223">
        <v>3082628</v>
      </c>
      <c r="Y223">
        <v>3089868</v>
      </c>
      <c r="Z223">
        <v>3095204</v>
      </c>
      <c r="AA223">
        <v>3098602</v>
      </c>
      <c r="AB223">
        <v>3100056</v>
      </c>
      <c r="AC223">
        <v>3099588</v>
      </c>
      <c r="AD223">
        <v>3097245</v>
      </c>
      <c r="AE223">
        <v>3093100</v>
      </c>
      <c r="AF223">
        <v>3087254</v>
      </c>
      <c r="AG223">
        <v>3079834</v>
      </c>
      <c r="AH223">
        <v>3070993</v>
      </c>
      <c r="AI223">
        <v>3060911</v>
      </c>
      <c r="AJ223">
        <v>3049796</v>
      </c>
      <c r="AK223">
        <v>3037880</v>
      </c>
      <c r="AL223">
        <v>3025423</v>
      </c>
      <c r="AM223">
        <v>3012711</v>
      </c>
      <c r="AN223">
        <v>3000059</v>
      </c>
      <c r="AO223">
        <v>2987805</v>
      </c>
      <c r="AP223">
        <v>2976315</v>
      </c>
      <c r="AQ223">
        <v>2965983</v>
      </c>
      <c r="AR223">
        <v>2957227</v>
      </c>
      <c r="AS223">
        <v>2950495</v>
      </c>
      <c r="AT223">
        <v>2946257</v>
      </c>
      <c r="AU223">
        <v>2945014</v>
      </c>
      <c r="AV223">
        <v>2947290</v>
      </c>
    </row>
    <row r="224" spans="1:48">
      <c r="A224" t="s">
        <v>637</v>
      </c>
      <c r="B224" t="s">
        <v>638</v>
      </c>
      <c r="C224" t="s">
        <v>358</v>
      </c>
      <c r="D224" s="37">
        <v>2489362.07134562</v>
      </c>
      <c r="E224" s="37">
        <v>2500449.76829761</v>
      </c>
      <c r="F224" s="37">
        <v>2511174.61690207</v>
      </c>
      <c r="G224" s="37">
        <v>2586287</v>
      </c>
      <c r="H224">
        <v>2602568</v>
      </c>
      <c r="I224">
        <v>2618614</v>
      </c>
      <c r="J224">
        <v>2634268</v>
      </c>
      <c r="K224">
        <v>2649385</v>
      </c>
      <c r="L224">
        <v>2663830</v>
      </c>
      <c r="M224">
        <v>2677480</v>
      </c>
      <c r="N224">
        <v>2690224</v>
      </c>
      <c r="O224">
        <v>2701960</v>
      </c>
      <c r="P224">
        <v>2712600</v>
      </c>
      <c r="Q224">
        <v>2722063</v>
      </c>
      <c r="R224">
        <v>2730284</v>
      </c>
      <c r="S224">
        <v>2737205</v>
      </c>
      <c r="T224">
        <v>2742781</v>
      </c>
      <c r="U224">
        <v>2746979</v>
      </c>
      <c r="V224">
        <v>2749777</v>
      </c>
      <c r="W224">
        <v>2751161</v>
      </c>
      <c r="X224">
        <v>2751131</v>
      </c>
      <c r="Y224">
        <v>2749699</v>
      </c>
      <c r="Z224">
        <v>2746886</v>
      </c>
      <c r="AA224">
        <v>2742725</v>
      </c>
      <c r="AB224">
        <v>2737260</v>
      </c>
      <c r="AC224">
        <v>2730545</v>
      </c>
      <c r="AD224">
        <v>2722649</v>
      </c>
      <c r="AE224">
        <v>2713647</v>
      </c>
      <c r="AF224">
        <v>2703628</v>
      </c>
      <c r="AG224">
        <v>2692693</v>
      </c>
      <c r="AH224">
        <v>2680953</v>
      </c>
      <c r="AI224">
        <v>2668528</v>
      </c>
      <c r="AJ224">
        <v>2655553</v>
      </c>
      <c r="AK224">
        <v>2642172</v>
      </c>
      <c r="AL224">
        <v>2628540</v>
      </c>
      <c r="AM224">
        <v>2614824</v>
      </c>
      <c r="AN224">
        <v>2601202</v>
      </c>
      <c r="AO224">
        <v>2587862</v>
      </c>
      <c r="AP224">
        <v>2575006</v>
      </c>
      <c r="AQ224">
        <v>2562843</v>
      </c>
      <c r="AR224">
        <v>2551596</v>
      </c>
      <c r="AS224">
        <v>2541499</v>
      </c>
      <c r="AT224">
        <v>2532797</v>
      </c>
      <c r="AU224">
        <v>2525745</v>
      </c>
      <c r="AV224">
        <v>2520610</v>
      </c>
    </row>
    <row r="225" spans="1:48">
      <c r="A225" t="s">
        <v>639</v>
      </c>
      <c r="B225" t="s">
        <v>640</v>
      </c>
      <c r="C225" t="s">
        <v>358</v>
      </c>
      <c r="D225" s="37">
        <v>3803096.37693831</v>
      </c>
      <c r="E225" s="37">
        <v>3820704.0078692</v>
      </c>
      <c r="F225" s="37">
        <v>3837882.18839116</v>
      </c>
      <c r="G225" s="37">
        <v>3943328</v>
      </c>
      <c r="H225">
        <v>3968961</v>
      </c>
      <c r="I225">
        <v>3994516</v>
      </c>
      <c r="J225">
        <v>4019706</v>
      </c>
      <c r="K225">
        <v>4044264</v>
      </c>
      <c r="L225">
        <v>4067941</v>
      </c>
      <c r="M225">
        <v>4090511</v>
      </c>
      <c r="N225">
        <v>4111764</v>
      </c>
      <c r="O225">
        <v>4131514</v>
      </c>
      <c r="P225">
        <v>4149591</v>
      </c>
      <c r="Q225">
        <v>4165849</v>
      </c>
      <c r="R225">
        <v>4180157</v>
      </c>
      <c r="S225">
        <v>4192409</v>
      </c>
      <c r="T225">
        <v>4202516</v>
      </c>
      <c r="U225">
        <v>4210408</v>
      </c>
      <c r="V225">
        <v>4216038</v>
      </c>
      <c r="W225">
        <v>4219377</v>
      </c>
      <c r="X225">
        <v>4220416</v>
      </c>
      <c r="Y225">
        <v>4219165</v>
      </c>
      <c r="Z225">
        <v>4215657</v>
      </c>
      <c r="AA225">
        <v>4209942</v>
      </c>
      <c r="AB225">
        <v>4202091</v>
      </c>
      <c r="AC225">
        <v>4192194</v>
      </c>
      <c r="AD225">
        <v>4180363</v>
      </c>
      <c r="AE225">
        <v>4166728</v>
      </c>
      <c r="AF225">
        <v>4151439</v>
      </c>
      <c r="AG225">
        <v>4134666</v>
      </c>
      <c r="AH225">
        <v>4116601</v>
      </c>
      <c r="AI225">
        <v>4097453</v>
      </c>
      <c r="AJ225">
        <v>4077453</v>
      </c>
      <c r="AK225">
        <v>4056850</v>
      </c>
      <c r="AL225">
        <v>4035914</v>
      </c>
      <c r="AM225">
        <v>4014936</v>
      </c>
      <c r="AN225">
        <v>3994225</v>
      </c>
      <c r="AO225">
        <v>3974111</v>
      </c>
      <c r="AP225">
        <v>3954944</v>
      </c>
      <c r="AQ225">
        <v>3937092</v>
      </c>
      <c r="AR225">
        <v>3920946</v>
      </c>
      <c r="AS225">
        <v>3906914</v>
      </c>
      <c r="AT225">
        <v>3895427</v>
      </c>
      <c r="AU225">
        <v>3886933</v>
      </c>
      <c r="AV225">
        <v>3881901</v>
      </c>
    </row>
    <row r="226" spans="1:48">
      <c r="A226" t="s">
        <v>641</v>
      </c>
      <c r="B226" t="s">
        <v>642</v>
      </c>
      <c r="C226" t="s">
        <v>358</v>
      </c>
      <c r="D226" s="37">
        <v>9123248.23151899</v>
      </c>
      <c r="E226" s="37">
        <v>9267545.83123783</v>
      </c>
      <c r="F226" s="37">
        <v>9405163.76986525</v>
      </c>
      <c r="G226" s="37">
        <v>10223153</v>
      </c>
      <c r="H226">
        <v>10466314</v>
      </c>
      <c r="I226">
        <v>10677529</v>
      </c>
      <c r="J226">
        <v>10859712</v>
      </c>
      <c r="K226">
        <v>11015641</v>
      </c>
      <c r="L226">
        <v>11147953</v>
      </c>
      <c r="M226">
        <v>11259150</v>
      </c>
      <c r="N226">
        <v>11351596</v>
      </c>
      <c r="O226">
        <v>11427518</v>
      </c>
      <c r="P226">
        <v>11489006</v>
      </c>
      <c r="Q226">
        <v>11538012</v>
      </c>
      <c r="R226">
        <v>11576349</v>
      </c>
      <c r="S226">
        <v>11605697</v>
      </c>
      <c r="T226">
        <v>11627594</v>
      </c>
      <c r="U226">
        <v>11643444</v>
      </c>
      <c r="V226">
        <v>11654511</v>
      </c>
      <c r="W226">
        <v>11661924</v>
      </c>
      <c r="X226">
        <v>11666673</v>
      </c>
      <c r="Y226">
        <v>11669612</v>
      </c>
      <c r="Z226">
        <v>11671457</v>
      </c>
      <c r="AA226">
        <v>11672785</v>
      </c>
      <c r="AB226">
        <v>11674039</v>
      </c>
      <c r="AC226">
        <v>11675521</v>
      </c>
      <c r="AD226">
        <v>11677399</v>
      </c>
      <c r="AE226">
        <v>11679702</v>
      </c>
      <c r="AF226">
        <v>11682321</v>
      </c>
      <c r="AG226">
        <v>11685011</v>
      </c>
      <c r="AH226">
        <v>11687389</v>
      </c>
      <c r="AI226">
        <v>11688934</v>
      </c>
      <c r="AJ226">
        <v>11688990</v>
      </c>
      <c r="AK226">
        <v>11686760</v>
      </c>
      <c r="AL226">
        <v>11681313</v>
      </c>
      <c r="AM226">
        <v>11671579</v>
      </c>
      <c r="AN226">
        <v>11656351</v>
      </c>
      <c r="AO226">
        <v>11634284</v>
      </c>
      <c r="AP226">
        <v>11603897</v>
      </c>
      <c r="AQ226">
        <v>11563571</v>
      </c>
      <c r="AR226">
        <v>11511548</v>
      </c>
      <c r="AS226">
        <v>11445936</v>
      </c>
      <c r="AT226">
        <v>11364703</v>
      </c>
      <c r="AU226">
        <v>11265680</v>
      </c>
      <c r="AV226">
        <v>11146561</v>
      </c>
    </row>
    <row r="227" spans="1:48">
      <c r="A227" t="s">
        <v>643</v>
      </c>
      <c r="B227" t="s">
        <v>644</v>
      </c>
      <c r="C227" t="s">
        <v>358</v>
      </c>
      <c r="D227" s="37">
        <v>3371892.98809765</v>
      </c>
      <c r="E227" s="37">
        <v>3411431.08042351</v>
      </c>
      <c r="F227" s="37">
        <v>3449059.4547159</v>
      </c>
      <c r="G227" s="37">
        <v>4342518</v>
      </c>
      <c r="H227">
        <v>4417800</v>
      </c>
      <c r="I227">
        <v>4483968</v>
      </c>
      <c r="J227">
        <v>4541743</v>
      </c>
      <c r="K227">
        <v>4591816</v>
      </c>
      <c r="L227">
        <v>4634844</v>
      </c>
      <c r="M227">
        <v>4671455</v>
      </c>
      <c r="N227">
        <v>4702242</v>
      </c>
      <c r="O227">
        <v>4727770</v>
      </c>
      <c r="P227">
        <v>4748570</v>
      </c>
      <c r="Q227">
        <v>4765141</v>
      </c>
      <c r="R227">
        <v>4777952</v>
      </c>
      <c r="S227">
        <v>4787440</v>
      </c>
      <c r="T227">
        <v>4794009</v>
      </c>
      <c r="U227">
        <v>4798032</v>
      </c>
      <c r="V227">
        <v>4799851</v>
      </c>
      <c r="W227">
        <v>4799776</v>
      </c>
      <c r="X227">
        <v>4798085</v>
      </c>
      <c r="Y227">
        <v>4795024</v>
      </c>
      <c r="Z227">
        <v>4790809</v>
      </c>
      <c r="AA227">
        <v>4785621</v>
      </c>
      <c r="AB227">
        <v>4779613</v>
      </c>
      <c r="AC227">
        <v>4772905</v>
      </c>
      <c r="AD227">
        <v>4765584</v>
      </c>
      <c r="AE227">
        <v>4757707</v>
      </c>
      <c r="AF227">
        <v>4749298</v>
      </c>
      <c r="AG227">
        <v>4740352</v>
      </c>
      <c r="AH227">
        <v>4730828</v>
      </c>
      <c r="AI227">
        <v>4720657</v>
      </c>
      <c r="AJ227">
        <v>4709736</v>
      </c>
      <c r="AK227">
        <v>4697933</v>
      </c>
      <c r="AL227">
        <v>4685081</v>
      </c>
      <c r="AM227">
        <v>4670984</v>
      </c>
      <c r="AN227">
        <v>4655414</v>
      </c>
      <c r="AO227">
        <v>4638108</v>
      </c>
      <c r="AP227">
        <v>4618777</v>
      </c>
      <c r="AQ227">
        <v>4597095</v>
      </c>
      <c r="AR227">
        <v>4572708</v>
      </c>
      <c r="AS227">
        <v>4545229</v>
      </c>
      <c r="AT227">
        <v>4514238</v>
      </c>
      <c r="AU227">
        <v>4479285</v>
      </c>
      <c r="AV227">
        <v>4439889</v>
      </c>
    </row>
    <row r="228" spans="1:48">
      <c r="A228" t="s">
        <v>645</v>
      </c>
      <c r="B228" t="s">
        <v>646</v>
      </c>
      <c r="C228" t="s">
        <v>358</v>
      </c>
      <c r="D228" s="37">
        <v>2745158.3890497</v>
      </c>
      <c r="E228" s="37">
        <v>2760179.01582379</v>
      </c>
      <c r="F228" s="37">
        <v>2775115.88194727</v>
      </c>
      <c r="G228" s="37">
        <v>2545629</v>
      </c>
      <c r="H228">
        <v>2568066</v>
      </c>
      <c r="I228">
        <v>2589364</v>
      </c>
      <c r="J228">
        <v>2609429</v>
      </c>
      <c r="K228">
        <v>2628183</v>
      </c>
      <c r="L228">
        <v>2645551</v>
      </c>
      <c r="M228">
        <v>2661472</v>
      </c>
      <c r="N228">
        <v>2675891</v>
      </c>
      <c r="O228">
        <v>2688764</v>
      </c>
      <c r="P228">
        <v>2700056</v>
      </c>
      <c r="Q228">
        <v>2709741</v>
      </c>
      <c r="R228">
        <v>2717802</v>
      </c>
      <c r="S228">
        <v>2724231</v>
      </c>
      <c r="T228">
        <v>2729030</v>
      </c>
      <c r="U228">
        <v>2732210</v>
      </c>
      <c r="V228">
        <v>2733791</v>
      </c>
      <c r="W228">
        <v>2733803</v>
      </c>
      <c r="X228">
        <v>2732284</v>
      </c>
      <c r="Y228">
        <v>2729283</v>
      </c>
      <c r="Z228">
        <v>2724855</v>
      </c>
      <c r="AA228">
        <v>2719068</v>
      </c>
      <c r="AB228">
        <v>2711997</v>
      </c>
      <c r="AC228">
        <v>2703727</v>
      </c>
      <c r="AD228">
        <v>2694352</v>
      </c>
      <c r="AE228">
        <v>2683975</v>
      </c>
      <c r="AF228">
        <v>2672709</v>
      </c>
      <c r="AG228">
        <v>2660676</v>
      </c>
      <c r="AH228">
        <v>2648006</v>
      </c>
      <c r="AI228">
        <v>2634839</v>
      </c>
      <c r="AJ228">
        <v>2621326</v>
      </c>
      <c r="AK228">
        <v>2607625</v>
      </c>
      <c r="AL228">
        <v>2593904</v>
      </c>
      <c r="AM228">
        <v>2580340</v>
      </c>
      <c r="AN228">
        <v>2567120</v>
      </c>
      <c r="AO228">
        <v>2554438</v>
      </c>
      <c r="AP228">
        <v>2542500</v>
      </c>
      <c r="AQ228">
        <v>2531521</v>
      </c>
      <c r="AR228">
        <v>2521723</v>
      </c>
      <c r="AS228">
        <v>2513339</v>
      </c>
      <c r="AT228">
        <v>2506611</v>
      </c>
      <c r="AU228">
        <v>2501790</v>
      </c>
      <c r="AV228">
        <v>2499136</v>
      </c>
    </row>
    <row r="229" spans="1:48">
      <c r="A229" t="s">
        <v>647</v>
      </c>
      <c r="B229" t="s">
        <v>648</v>
      </c>
      <c r="C229" t="s">
        <v>358</v>
      </c>
      <c r="D229" s="37">
        <v>6041985.24747799</v>
      </c>
      <c r="E229" s="37">
        <v>6087620.52195063</v>
      </c>
      <c r="F229" s="37">
        <v>6135830.8932041</v>
      </c>
      <c r="G229" s="37">
        <v>5503202</v>
      </c>
      <c r="H229">
        <v>5577210</v>
      </c>
      <c r="I229">
        <v>5650335</v>
      </c>
      <c r="J229">
        <v>5722096</v>
      </c>
      <c r="K229">
        <v>5792048</v>
      </c>
      <c r="L229">
        <v>5859783</v>
      </c>
      <c r="M229">
        <v>5924930</v>
      </c>
      <c r="N229">
        <v>5987154</v>
      </c>
      <c r="O229">
        <v>6046158</v>
      </c>
      <c r="P229">
        <v>6101680</v>
      </c>
      <c r="Q229">
        <v>6153495</v>
      </c>
      <c r="R229">
        <v>6201417</v>
      </c>
      <c r="S229">
        <v>6245293</v>
      </c>
      <c r="T229">
        <v>6285010</v>
      </c>
      <c r="U229">
        <v>6320489</v>
      </c>
      <c r="V229">
        <v>6351689</v>
      </c>
      <c r="W229">
        <v>6378607</v>
      </c>
      <c r="X229">
        <v>6401273</v>
      </c>
      <c r="Y229">
        <v>6419759</v>
      </c>
      <c r="Z229">
        <v>6434168</v>
      </c>
      <c r="AA229">
        <v>6444644</v>
      </c>
      <c r="AB229">
        <v>6451366</v>
      </c>
      <c r="AC229">
        <v>6454549</v>
      </c>
      <c r="AD229">
        <v>6454446</v>
      </c>
      <c r="AE229">
        <v>6451346</v>
      </c>
      <c r="AF229">
        <v>6445575</v>
      </c>
      <c r="AG229">
        <v>6437495</v>
      </c>
      <c r="AH229">
        <v>6427506</v>
      </c>
      <c r="AI229">
        <v>6416043</v>
      </c>
      <c r="AJ229">
        <v>6403580</v>
      </c>
      <c r="AK229">
        <v>6390625</v>
      </c>
      <c r="AL229">
        <v>6377725</v>
      </c>
      <c r="AM229">
        <v>6365462</v>
      </c>
      <c r="AN229">
        <v>6354456</v>
      </c>
      <c r="AO229">
        <v>6345362</v>
      </c>
      <c r="AP229">
        <v>6338873</v>
      </c>
      <c r="AQ229">
        <v>6335720</v>
      </c>
      <c r="AR229">
        <v>6336668</v>
      </c>
      <c r="AS229">
        <v>6342519</v>
      </c>
      <c r="AT229">
        <v>6354114</v>
      </c>
      <c r="AU229">
        <v>6372328</v>
      </c>
      <c r="AV229">
        <v>6398075</v>
      </c>
    </row>
    <row r="230" spans="1:48">
      <c r="A230" t="s">
        <v>649</v>
      </c>
      <c r="B230" t="s">
        <v>650</v>
      </c>
      <c r="C230" t="s">
        <v>358</v>
      </c>
      <c r="D230" s="37">
        <v>2418013.85927381</v>
      </c>
      <c r="E230" s="37">
        <v>2427696.86416869</v>
      </c>
      <c r="F230" s="37">
        <v>2437482.4666267</v>
      </c>
      <c r="G230" s="37">
        <v>2370029</v>
      </c>
      <c r="H230">
        <v>2383040</v>
      </c>
      <c r="I230">
        <v>2397176</v>
      </c>
      <c r="J230">
        <v>2412124</v>
      </c>
      <c r="K230">
        <v>2427591</v>
      </c>
      <c r="L230">
        <v>2443303</v>
      </c>
      <c r="M230">
        <v>2459003</v>
      </c>
      <c r="N230">
        <v>2474457</v>
      </c>
      <c r="O230">
        <v>2489448</v>
      </c>
      <c r="P230">
        <v>2503777</v>
      </c>
      <c r="Q230">
        <v>2517267</v>
      </c>
      <c r="R230">
        <v>2529758</v>
      </c>
      <c r="S230">
        <v>2541111</v>
      </c>
      <c r="T230">
        <v>2551203</v>
      </c>
      <c r="U230">
        <v>2559934</v>
      </c>
      <c r="V230">
        <v>2567221</v>
      </c>
      <c r="W230">
        <v>2573000</v>
      </c>
      <c r="X230">
        <v>2577227</v>
      </c>
      <c r="Y230">
        <v>2579878</v>
      </c>
      <c r="Z230">
        <v>2580946</v>
      </c>
      <c r="AA230">
        <v>2580444</v>
      </c>
      <c r="AB230">
        <v>2578405</v>
      </c>
      <c r="AC230">
        <v>2574881</v>
      </c>
      <c r="AD230">
        <v>2569942</v>
      </c>
      <c r="AE230">
        <v>2563679</v>
      </c>
      <c r="AF230">
        <v>2556200</v>
      </c>
      <c r="AG230">
        <v>2547634</v>
      </c>
      <c r="AH230">
        <v>2538128</v>
      </c>
      <c r="AI230">
        <v>2527848</v>
      </c>
      <c r="AJ230">
        <v>2516982</v>
      </c>
      <c r="AK230">
        <v>2505733</v>
      </c>
      <c r="AL230">
        <v>2494327</v>
      </c>
      <c r="AM230">
        <v>2483005</v>
      </c>
      <c r="AN230">
        <v>2472031</v>
      </c>
      <c r="AO230">
        <v>2461687</v>
      </c>
      <c r="AP230">
        <v>2452272</v>
      </c>
      <c r="AQ230">
        <v>2444108</v>
      </c>
      <c r="AR230">
        <v>2437534</v>
      </c>
      <c r="AS230">
        <v>2432907</v>
      </c>
      <c r="AT230">
        <v>2430606</v>
      </c>
      <c r="AU230">
        <v>2431026</v>
      </c>
      <c r="AV230">
        <v>2434585</v>
      </c>
    </row>
    <row r="231" spans="1:48">
      <c r="A231" t="s">
        <v>651</v>
      </c>
      <c r="B231" t="s">
        <v>652</v>
      </c>
      <c r="C231" t="s">
        <v>358</v>
      </c>
      <c r="D231" s="37">
        <v>6955066.02376045</v>
      </c>
      <c r="E231" s="37">
        <v>6993392.78276333</v>
      </c>
      <c r="F231" s="37">
        <v>7028616.54895022</v>
      </c>
      <c r="G231" s="37">
        <v>8683576</v>
      </c>
      <c r="H231">
        <v>8740684</v>
      </c>
      <c r="I231">
        <v>8794852</v>
      </c>
      <c r="J231">
        <v>8845919</v>
      </c>
      <c r="K231">
        <v>8893741</v>
      </c>
      <c r="L231">
        <v>8938189</v>
      </c>
      <c r="M231">
        <v>8979149</v>
      </c>
      <c r="N231">
        <v>9016520</v>
      </c>
      <c r="O231">
        <v>9050221</v>
      </c>
      <c r="P231">
        <v>9080181</v>
      </c>
      <c r="Q231">
        <v>9106348</v>
      </c>
      <c r="R231">
        <v>9128683</v>
      </c>
      <c r="S231">
        <v>9147164</v>
      </c>
      <c r="T231">
        <v>9161781</v>
      </c>
      <c r="U231">
        <v>9172544</v>
      </c>
      <c r="V231">
        <v>9179473</v>
      </c>
      <c r="W231">
        <v>9182606</v>
      </c>
      <c r="X231">
        <v>9181998</v>
      </c>
      <c r="Y231">
        <v>9177715</v>
      </c>
      <c r="Z231">
        <v>9169840</v>
      </c>
      <c r="AA231">
        <v>9158473</v>
      </c>
      <c r="AB231">
        <v>9143726</v>
      </c>
      <c r="AC231">
        <v>9125729</v>
      </c>
      <c r="AD231">
        <v>9104625</v>
      </c>
      <c r="AE231">
        <v>9080574</v>
      </c>
      <c r="AF231">
        <v>9053750</v>
      </c>
      <c r="AG231">
        <v>9024342</v>
      </c>
      <c r="AH231">
        <v>8992555</v>
      </c>
      <c r="AI231">
        <v>8958609</v>
      </c>
      <c r="AJ231">
        <v>8922740</v>
      </c>
      <c r="AK231">
        <v>8885196</v>
      </c>
      <c r="AL231">
        <v>8846244</v>
      </c>
      <c r="AM231">
        <v>8806164</v>
      </c>
      <c r="AN231">
        <v>8765253</v>
      </c>
      <c r="AO231">
        <v>8723820</v>
      </c>
      <c r="AP231">
        <v>8682193</v>
      </c>
      <c r="AQ231">
        <v>8640712</v>
      </c>
      <c r="AR231">
        <v>8599735</v>
      </c>
      <c r="AS231">
        <v>8559632</v>
      </c>
      <c r="AT231">
        <v>8520791</v>
      </c>
      <c r="AU231">
        <v>8483614</v>
      </c>
      <c r="AV231">
        <v>8448518</v>
      </c>
    </row>
    <row r="232" spans="1:48">
      <c r="A232" t="s">
        <v>653</v>
      </c>
      <c r="B232" t="s">
        <v>654</v>
      </c>
      <c r="C232" t="s">
        <v>358</v>
      </c>
      <c r="D232" s="37">
        <v>3920759.78316934</v>
      </c>
      <c r="E232" s="37">
        <v>3939237.37214818</v>
      </c>
      <c r="F232" s="37">
        <v>3955583.00402291</v>
      </c>
      <c r="G232" s="37">
        <v>4137334</v>
      </c>
      <c r="H232">
        <v>4157499</v>
      </c>
      <c r="I232">
        <v>4176425</v>
      </c>
      <c r="J232">
        <v>4194033</v>
      </c>
      <c r="K232">
        <v>4210248</v>
      </c>
      <c r="L232">
        <v>4225005</v>
      </c>
      <c r="M232">
        <v>4238243</v>
      </c>
      <c r="N232">
        <v>4249910</v>
      </c>
      <c r="O232">
        <v>4259961</v>
      </c>
      <c r="P232">
        <v>4268357</v>
      </c>
      <c r="Q232">
        <v>4275068</v>
      </c>
      <c r="R232">
        <v>4280069</v>
      </c>
      <c r="S232">
        <v>4283343</v>
      </c>
      <c r="T232">
        <v>4284880</v>
      </c>
      <c r="U232">
        <v>4284677</v>
      </c>
      <c r="V232">
        <v>4282739</v>
      </c>
      <c r="W232">
        <v>4279075</v>
      </c>
      <c r="X232">
        <v>4273706</v>
      </c>
      <c r="Y232">
        <v>4266655</v>
      </c>
      <c r="Z232">
        <v>4257955</v>
      </c>
      <c r="AA232">
        <v>4247646</v>
      </c>
      <c r="AB232">
        <v>4235775</v>
      </c>
      <c r="AC232">
        <v>4222394</v>
      </c>
      <c r="AD232">
        <v>4207564</v>
      </c>
      <c r="AE232">
        <v>4191353</v>
      </c>
      <c r="AF232">
        <v>4173837</v>
      </c>
      <c r="AG232">
        <v>4155095</v>
      </c>
      <c r="AH232">
        <v>4135218</v>
      </c>
      <c r="AI232">
        <v>4114302</v>
      </c>
      <c r="AJ232">
        <v>4092449</v>
      </c>
      <c r="AK232">
        <v>4069769</v>
      </c>
      <c r="AL232">
        <v>4046380</v>
      </c>
      <c r="AM232">
        <v>4022406</v>
      </c>
      <c r="AN232">
        <v>3997978</v>
      </c>
      <c r="AO232">
        <v>3973234</v>
      </c>
      <c r="AP232">
        <v>3948320</v>
      </c>
      <c r="AQ232">
        <v>3923388</v>
      </c>
      <c r="AR232">
        <v>3898598</v>
      </c>
      <c r="AS232">
        <v>3874116</v>
      </c>
      <c r="AT232">
        <v>3850116</v>
      </c>
      <c r="AU232">
        <v>3826778</v>
      </c>
      <c r="AV232">
        <v>3804292</v>
      </c>
    </row>
    <row r="233" spans="1:48">
      <c r="A233" t="s">
        <v>655</v>
      </c>
      <c r="B233" t="s">
        <v>656</v>
      </c>
      <c r="C233" t="s">
        <v>358</v>
      </c>
      <c r="D233" s="37">
        <v>4926187.40095691</v>
      </c>
      <c r="E233" s="37">
        <v>4943269.37018451</v>
      </c>
      <c r="F233" s="37">
        <v>4957410.44614644</v>
      </c>
      <c r="G233" s="37">
        <v>4916630</v>
      </c>
      <c r="H233">
        <v>4930503</v>
      </c>
      <c r="I233">
        <v>4943258</v>
      </c>
      <c r="J233">
        <v>4954786</v>
      </c>
      <c r="K233">
        <v>4964986</v>
      </c>
      <c r="L233">
        <v>4973767</v>
      </c>
      <c r="M233">
        <v>4981047</v>
      </c>
      <c r="N233">
        <v>4986751</v>
      </c>
      <c r="O233">
        <v>4990816</v>
      </c>
      <c r="P233">
        <v>4993187</v>
      </c>
      <c r="Q233">
        <v>4993815</v>
      </c>
      <c r="R233">
        <v>4992665</v>
      </c>
      <c r="S233">
        <v>4989707</v>
      </c>
      <c r="T233">
        <v>4984922</v>
      </c>
      <c r="U233">
        <v>4978300</v>
      </c>
      <c r="V233">
        <v>4969838</v>
      </c>
      <c r="W233">
        <v>4959544</v>
      </c>
      <c r="X233">
        <v>4947434</v>
      </c>
      <c r="Y233">
        <v>4933535</v>
      </c>
      <c r="Z233">
        <v>4917879</v>
      </c>
      <c r="AA233">
        <v>4900511</v>
      </c>
      <c r="AB233">
        <v>4881482</v>
      </c>
      <c r="AC233">
        <v>4860855</v>
      </c>
      <c r="AD233">
        <v>4838698</v>
      </c>
      <c r="AE233">
        <v>4815092</v>
      </c>
      <c r="AF233">
        <v>4790125</v>
      </c>
      <c r="AG233">
        <v>4763893</v>
      </c>
      <c r="AH233">
        <v>4736504</v>
      </c>
      <c r="AI233">
        <v>4708072</v>
      </c>
      <c r="AJ233">
        <v>4678721</v>
      </c>
      <c r="AK233">
        <v>4648585</v>
      </c>
      <c r="AL233">
        <v>4617805</v>
      </c>
      <c r="AM233">
        <v>4586533</v>
      </c>
      <c r="AN233">
        <v>4554929</v>
      </c>
      <c r="AO233">
        <v>4523162</v>
      </c>
      <c r="AP233">
        <v>4491409</v>
      </c>
      <c r="AQ233">
        <v>4459859</v>
      </c>
      <c r="AR233">
        <v>4428706</v>
      </c>
      <c r="AS233">
        <v>4398157</v>
      </c>
      <c r="AT233">
        <v>4368424</v>
      </c>
      <c r="AU233">
        <v>4339731</v>
      </c>
      <c r="AV233">
        <v>4312310</v>
      </c>
    </row>
    <row r="234" spans="1:48">
      <c r="A234" t="s">
        <v>657</v>
      </c>
      <c r="B234" t="s">
        <v>658</v>
      </c>
      <c r="C234" t="s">
        <v>358</v>
      </c>
      <c r="D234" s="37">
        <v>2973832.91552549</v>
      </c>
      <c r="E234" s="37">
        <v>2987092.27154885</v>
      </c>
      <c r="F234" s="37">
        <v>2999999.74706187</v>
      </c>
      <c r="G234" s="37">
        <v>2806203</v>
      </c>
      <c r="H234">
        <v>2820636</v>
      </c>
      <c r="I234">
        <v>2836932</v>
      </c>
      <c r="J234">
        <v>2854696</v>
      </c>
      <c r="K234">
        <v>2873555</v>
      </c>
      <c r="L234">
        <v>2893160</v>
      </c>
      <c r="M234">
        <v>2913183</v>
      </c>
      <c r="N234">
        <v>2933319</v>
      </c>
      <c r="O234">
        <v>2953284</v>
      </c>
      <c r="P234">
        <v>2972819</v>
      </c>
      <c r="Q234">
        <v>2991686</v>
      </c>
      <c r="R234">
        <v>3009668</v>
      </c>
      <c r="S234">
        <v>3026574</v>
      </c>
      <c r="T234">
        <v>3042232</v>
      </c>
      <c r="U234">
        <v>3056494</v>
      </c>
      <c r="V234">
        <v>3069234</v>
      </c>
      <c r="W234">
        <v>3080349</v>
      </c>
      <c r="X234">
        <v>3089759</v>
      </c>
      <c r="Y234">
        <v>3097403</v>
      </c>
      <c r="Z234">
        <v>3103248</v>
      </c>
      <c r="AA234">
        <v>3107278</v>
      </c>
      <c r="AB234">
        <v>3109502</v>
      </c>
      <c r="AC234">
        <v>3109952</v>
      </c>
      <c r="AD234">
        <v>3108682</v>
      </c>
      <c r="AE234">
        <v>3105767</v>
      </c>
      <c r="AF234">
        <v>3101306</v>
      </c>
      <c r="AG234">
        <v>3095420</v>
      </c>
      <c r="AH234">
        <v>3088252</v>
      </c>
      <c r="AI234">
        <v>3079968</v>
      </c>
      <c r="AJ234">
        <v>3070756</v>
      </c>
      <c r="AK234">
        <v>3060828</v>
      </c>
      <c r="AL234">
        <v>3050415</v>
      </c>
      <c r="AM234">
        <v>3039773</v>
      </c>
      <c r="AN234">
        <v>3029181</v>
      </c>
      <c r="AO234">
        <v>3018938</v>
      </c>
      <c r="AP234">
        <v>3009368</v>
      </c>
      <c r="AQ234">
        <v>3000815</v>
      </c>
      <c r="AR234">
        <v>2993648</v>
      </c>
      <c r="AS234">
        <v>2988256</v>
      </c>
      <c r="AT234">
        <v>2985052</v>
      </c>
      <c r="AU234">
        <v>2984470</v>
      </c>
      <c r="AV234">
        <v>2986969</v>
      </c>
    </row>
    <row r="235" spans="1:48">
      <c r="A235" t="s">
        <v>659</v>
      </c>
      <c r="B235" t="s">
        <v>660</v>
      </c>
      <c r="C235" t="s">
        <v>358</v>
      </c>
      <c r="D235" s="37">
        <v>1595897.18907594</v>
      </c>
      <c r="E235" s="37">
        <v>1603520.90010576</v>
      </c>
      <c r="F235" s="37">
        <v>1610691.55600635</v>
      </c>
      <c r="G235" s="37">
        <v>1842468</v>
      </c>
      <c r="H235">
        <v>1852987</v>
      </c>
      <c r="I235">
        <v>1863730</v>
      </c>
      <c r="J235">
        <v>1874559</v>
      </c>
      <c r="K235">
        <v>1885344</v>
      </c>
      <c r="L235">
        <v>1895963</v>
      </c>
      <c r="M235">
        <v>1906303</v>
      </c>
      <c r="N235">
        <v>1916260</v>
      </c>
      <c r="O235">
        <v>1925739</v>
      </c>
      <c r="P235">
        <v>1934652</v>
      </c>
      <c r="Q235">
        <v>1942921</v>
      </c>
      <c r="R235">
        <v>1950476</v>
      </c>
      <c r="S235">
        <v>1957256</v>
      </c>
      <c r="T235">
        <v>1963209</v>
      </c>
      <c r="U235">
        <v>1968290</v>
      </c>
      <c r="V235">
        <v>1972465</v>
      </c>
      <c r="W235">
        <v>1975707</v>
      </c>
      <c r="X235">
        <v>1977998</v>
      </c>
      <c r="Y235">
        <v>1979328</v>
      </c>
      <c r="Z235">
        <v>1979697</v>
      </c>
      <c r="AA235">
        <v>1979113</v>
      </c>
      <c r="AB235">
        <v>1977591</v>
      </c>
      <c r="AC235">
        <v>1975158</v>
      </c>
      <c r="AD235">
        <v>1971848</v>
      </c>
      <c r="AE235">
        <v>1967701</v>
      </c>
      <c r="AF235">
        <v>1962771</v>
      </c>
      <c r="AG235">
        <v>1957115</v>
      </c>
      <c r="AH235">
        <v>1950803</v>
      </c>
      <c r="AI235">
        <v>1943912</v>
      </c>
      <c r="AJ235">
        <v>1936526</v>
      </c>
      <c r="AK235">
        <v>1928741</v>
      </c>
      <c r="AL235">
        <v>1920659</v>
      </c>
      <c r="AM235">
        <v>1912391</v>
      </c>
      <c r="AN235">
        <v>1904058</v>
      </c>
      <c r="AO235">
        <v>1895787</v>
      </c>
      <c r="AP235">
        <v>1887718</v>
      </c>
      <c r="AQ235">
        <v>1879994</v>
      </c>
      <c r="AR235">
        <v>1872772</v>
      </c>
      <c r="AS235">
        <v>1866214</v>
      </c>
      <c r="AT235">
        <v>1860492</v>
      </c>
      <c r="AU235">
        <v>1855787</v>
      </c>
      <c r="AV235">
        <v>1852287</v>
      </c>
    </row>
    <row r="236" spans="1:48">
      <c r="A236" t="s">
        <v>661</v>
      </c>
      <c r="B236" t="s">
        <v>662</v>
      </c>
      <c r="C236" t="s">
        <v>358</v>
      </c>
      <c r="D236" s="37">
        <v>907787.674129123</v>
      </c>
      <c r="E236" s="37">
        <v>912420.094864595</v>
      </c>
      <c r="F236" s="37">
        <v>916628.736973315</v>
      </c>
      <c r="G236" s="37">
        <v>1041397</v>
      </c>
      <c r="H236">
        <v>1045958</v>
      </c>
      <c r="I236">
        <v>1050942</v>
      </c>
      <c r="J236">
        <v>1056249</v>
      </c>
      <c r="K236">
        <v>1061784</v>
      </c>
      <c r="L236">
        <v>1067458</v>
      </c>
      <c r="M236">
        <v>1073187</v>
      </c>
      <c r="N236">
        <v>1078891</v>
      </c>
      <c r="O236">
        <v>1084497</v>
      </c>
      <c r="P236">
        <v>1089938</v>
      </c>
      <c r="Q236">
        <v>1095151</v>
      </c>
      <c r="R236">
        <v>1100079</v>
      </c>
      <c r="S236">
        <v>1104670</v>
      </c>
      <c r="T236">
        <v>1108878</v>
      </c>
      <c r="U236">
        <v>1112663</v>
      </c>
      <c r="V236">
        <v>1115989</v>
      </c>
      <c r="W236">
        <v>1118826</v>
      </c>
      <c r="X236">
        <v>1121151</v>
      </c>
      <c r="Y236">
        <v>1122943</v>
      </c>
      <c r="Z236">
        <v>1124190</v>
      </c>
      <c r="AA236">
        <v>1124884</v>
      </c>
      <c r="AB236">
        <v>1125021</v>
      </c>
      <c r="AC236">
        <v>1124604</v>
      </c>
      <c r="AD236">
        <v>1123642</v>
      </c>
      <c r="AE236">
        <v>1122149</v>
      </c>
      <c r="AF236">
        <v>1120143</v>
      </c>
      <c r="AG236">
        <v>1117649</v>
      </c>
      <c r="AH236">
        <v>1114697</v>
      </c>
      <c r="AI236">
        <v>1111322</v>
      </c>
      <c r="AJ236">
        <v>1107566</v>
      </c>
      <c r="AK236">
        <v>1103473</v>
      </c>
      <c r="AL236">
        <v>1099097</v>
      </c>
      <c r="AM236">
        <v>1094494</v>
      </c>
      <c r="AN236">
        <v>1089727</v>
      </c>
      <c r="AO236">
        <v>1084864</v>
      </c>
      <c r="AP236">
        <v>1079978</v>
      </c>
      <c r="AQ236">
        <v>1075147</v>
      </c>
      <c r="AR236">
        <v>1070458</v>
      </c>
      <c r="AS236">
        <v>1065998</v>
      </c>
      <c r="AT236">
        <v>1061864</v>
      </c>
      <c r="AU236">
        <v>1058156</v>
      </c>
      <c r="AV236">
        <v>1054980</v>
      </c>
    </row>
    <row r="237" spans="1:48">
      <c r="A237" t="s">
        <v>663</v>
      </c>
      <c r="B237" t="s">
        <v>664</v>
      </c>
      <c r="C237" t="s">
        <v>358</v>
      </c>
      <c r="D237" s="37">
        <v>3179662.33763412</v>
      </c>
      <c r="E237" s="37">
        <v>3191040.2385774</v>
      </c>
      <c r="F237" s="37">
        <v>3201854.54575021</v>
      </c>
      <c r="G237" s="37">
        <v>3295763</v>
      </c>
      <c r="H237">
        <v>3301850</v>
      </c>
      <c r="I237">
        <v>3312742</v>
      </c>
      <c r="J237">
        <v>3327718</v>
      </c>
      <c r="K237">
        <v>3346096</v>
      </c>
      <c r="L237">
        <v>3367233</v>
      </c>
      <c r="M237">
        <v>3390520</v>
      </c>
      <c r="N237">
        <v>3415389</v>
      </c>
      <c r="O237">
        <v>3441307</v>
      </c>
      <c r="P237">
        <v>3467780</v>
      </c>
      <c r="Q237">
        <v>3494351</v>
      </c>
      <c r="R237">
        <v>3520601</v>
      </c>
      <c r="S237">
        <v>3546148</v>
      </c>
      <c r="T237">
        <v>3570647</v>
      </c>
      <c r="U237">
        <v>3593793</v>
      </c>
      <c r="V237">
        <v>3615314</v>
      </c>
      <c r="W237">
        <v>3634981</v>
      </c>
      <c r="X237">
        <v>3652598</v>
      </c>
      <c r="Y237">
        <v>3668009</v>
      </c>
      <c r="Z237">
        <v>3681095</v>
      </c>
      <c r="AA237">
        <v>3691773</v>
      </c>
      <c r="AB237">
        <v>3700001</v>
      </c>
      <c r="AC237">
        <v>3705771</v>
      </c>
      <c r="AD237">
        <v>3709115</v>
      </c>
      <c r="AE237">
        <v>3710100</v>
      </c>
      <c r="AF237">
        <v>3708834</v>
      </c>
      <c r="AG237">
        <v>3705459</v>
      </c>
      <c r="AH237">
        <v>3700156</v>
      </c>
      <c r="AI237">
        <v>3693144</v>
      </c>
      <c r="AJ237">
        <v>3684680</v>
      </c>
      <c r="AK237">
        <v>3675056</v>
      </c>
      <c r="AL237">
        <v>3664605</v>
      </c>
      <c r="AM237">
        <v>3653694</v>
      </c>
      <c r="AN237">
        <v>3642730</v>
      </c>
      <c r="AO237">
        <v>3632157</v>
      </c>
      <c r="AP237">
        <v>3622456</v>
      </c>
      <c r="AQ237">
        <v>3614145</v>
      </c>
      <c r="AR237">
        <v>3607782</v>
      </c>
      <c r="AS237">
        <v>3603960</v>
      </c>
      <c r="AT237">
        <v>3603311</v>
      </c>
      <c r="AU237">
        <v>3606503</v>
      </c>
      <c r="AV237">
        <v>3614242</v>
      </c>
    </row>
    <row r="238" spans="1:48">
      <c r="A238" t="s">
        <v>665</v>
      </c>
      <c r="B238" t="s">
        <v>666</v>
      </c>
      <c r="C238" t="s">
        <v>358</v>
      </c>
      <c r="D238" s="37">
        <v>4242172.43083046</v>
      </c>
      <c r="E238" s="37">
        <v>4259540.35013422</v>
      </c>
      <c r="F238" s="37">
        <v>4276546.78118307</v>
      </c>
      <c r="G238" s="37">
        <v>4298711</v>
      </c>
      <c r="H238">
        <v>4315747</v>
      </c>
      <c r="I238">
        <v>4337174</v>
      </c>
      <c r="J238">
        <v>4362219</v>
      </c>
      <c r="K238">
        <v>4390157</v>
      </c>
      <c r="L238">
        <v>4420301</v>
      </c>
      <c r="M238">
        <v>4452008</v>
      </c>
      <c r="N238">
        <v>4484678</v>
      </c>
      <c r="O238">
        <v>4517752</v>
      </c>
      <c r="P238">
        <v>4550712</v>
      </c>
      <c r="Q238">
        <v>4583084</v>
      </c>
      <c r="R238">
        <v>4614435</v>
      </c>
      <c r="S238">
        <v>4644376</v>
      </c>
      <c r="T238">
        <v>4672559</v>
      </c>
      <c r="U238">
        <v>4698677</v>
      </c>
      <c r="V238">
        <v>4722467</v>
      </c>
      <c r="W238">
        <v>4743707</v>
      </c>
      <c r="X238">
        <v>4762218</v>
      </c>
      <c r="Y238">
        <v>4777862</v>
      </c>
      <c r="Z238">
        <v>4790545</v>
      </c>
      <c r="AA238">
        <v>4800213</v>
      </c>
      <c r="AB238">
        <v>4806857</v>
      </c>
      <c r="AC238">
        <v>4810506</v>
      </c>
      <c r="AD238">
        <v>4811235</v>
      </c>
      <c r="AE238">
        <v>4809159</v>
      </c>
      <c r="AF238">
        <v>4804437</v>
      </c>
      <c r="AG238">
        <v>4797269</v>
      </c>
      <c r="AH238">
        <v>4787896</v>
      </c>
      <c r="AI238">
        <v>4776603</v>
      </c>
      <c r="AJ238">
        <v>4763717</v>
      </c>
      <c r="AK238">
        <v>4749607</v>
      </c>
      <c r="AL238">
        <v>4734683</v>
      </c>
      <c r="AM238">
        <v>4719398</v>
      </c>
      <c r="AN238">
        <v>4704248</v>
      </c>
      <c r="AO238">
        <v>4689769</v>
      </c>
      <c r="AP238">
        <v>4676543</v>
      </c>
      <c r="AQ238">
        <v>4665189</v>
      </c>
      <c r="AR238">
        <v>4656373</v>
      </c>
      <c r="AS238">
        <v>4650800</v>
      </c>
      <c r="AT238">
        <v>4649218</v>
      </c>
      <c r="AU238">
        <v>4652418</v>
      </c>
      <c r="AV238">
        <v>4661233</v>
      </c>
    </row>
    <row r="239" spans="1:48">
      <c r="A239" t="s">
        <v>667</v>
      </c>
      <c r="B239" t="s">
        <v>668</v>
      </c>
      <c r="C239" t="s">
        <v>358</v>
      </c>
      <c r="D239" s="37">
        <v>5683496.78556814</v>
      </c>
      <c r="E239" s="37">
        <v>5707354.02385684</v>
      </c>
      <c r="F239" s="37">
        <v>5730004.37531833</v>
      </c>
      <c r="G239" s="37">
        <v>5778041</v>
      </c>
      <c r="H239">
        <v>5796147</v>
      </c>
      <c r="I239">
        <v>5820721</v>
      </c>
      <c r="J239">
        <v>5850711</v>
      </c>
      <c r="K239">
        <v>5885124</v>
      </c>
      <c r="L239">
        <v>5923017</v>
      </c>
      <c r="M239">
        <v>5963509</v>
      </c>
      <c r="N239">
        <v>6005770</v>
      </c>
      <c r="O239">
        <v>6049028</v>
      </c>
      <c r="P239">
        <v>6092567</v>
      </c>
      <c r="Q239">
        <v>6135725</v>
      </c>
      <c r="R239">
        <v>6177899</v>
      </c>
      <c r="S239">
        <v>6218538</v>
      </c>
      <c r="T239">
        <v>6257150</v>
      </c>
      <c r="U239">
        <v>6293297</v>
      </c>
      <c r="V239">
        <v>6326598</v>
      </c>
      <c r="W239">
        <v>6356726</v>
      </c>
      <c r="X239">
        <v>6383411</v>
      </c>
      <c r="Y239">
        <v>6406439</v>
      </c>
      <c r="Z239">
        <v>6425653</v>
      </c>
      <c r="AA239">
        <v>6440948</v>
      </c>
      <c r="AB239">
        <v>6452278</v>
      </c>
      <c r="AC239">
        <v>6459653</v>
      </c>
      <c r="AD239">
        <v>6463137</v>
      </c>
      <c r="AE239">
        <v>6462850</v>
      </c>
      <c r="AF239">
        <v>6458970</v>
      </c>
      <c r="AG239">
        <v>6451727</v>
      </c>
      <c r="AH239">
        <v>6441411</v>
      </c>
      <c r="AI239">
        <v>6428365</v>
      </c>
      <c r="AJ239">
        <v>6412989</v>
      </c>
      <c r="AK239">
        <v>6395738</v>
      </c>
      <c r="AL239">
        <v>6377124</v>
      </c>
      <c r="AM239">
        <v>6357713</v>
      </c>
      <c r="AN239">
        <v>6338129</v>
      </c>
      <c r="AO239">
        <v>6319049</v>
      </c>
      <c r="AP239">
        <v>6301210</v>
      </c>
      <c r="AQ239">
        <v>6285400</v>
      </c>
      <c r="AR239">
        <v>6272466</v>
      </c>
      <c r="AS239">
        <v>6263311</v>
      </c>
      <c r="AT239">
        <v>6258891</v>
      </c>
      <c r="AU239">
        <v>6260221</v>
      </c>
      <c r="AV239">
        <v>6268369</v>
      </c>
    </row>
    <row r="240" spans="1:48">
      <c r="A240" t="s">
        <v>669</v>
      </c>
      <c r="B240" t="s">
        <v>670</v>
      </c>
      <c r="C240" t="s">
        <v>358</v>
      </c>
      <c r="D240" s="37">
        <v>3606045.97916439</v>
      </c>
      <c r="E240" s="37">
        <v>3620622.60465952</v>
      </c>
      <c r="F240" s="37">
        <v>3633482.94211708</v>
      </c>
      <c r="G240" s="37">
        <v>3561458</v>
      </c>
      <c r="H240">
        <v>3571155</v>
      </c>
      <c r="I240">
        <v>3582475</v>
      </c>
      <c r="J240">
        <v>3595064</v>
      </c>
      <c r="K240">
        <v>3608585</v>
      </c>
      <c r="L240">
        <v>3622724</v>
      </c>
      <c r="M240">
        <v>3637182</v>
      </c>
      <c r="N240">
        <v>3651683</v>
      </c>
      <c r="O240">
        <v>3665968</v>
      </c>
      <c r="P240">
        <v>3679798</v>
      </c>
      <c r="Q240">
        <v>3692953</v>
      </c>
      <c r="R240">
        <v>3705234</v>
      </c>
      <c r="S240">
        <v>3716460</v>
      </c>
      <c r="T240">
        <v>3726468</v>
      </c>
      <c r="U240">
        <v>3735118</v>
      </c>
      <c r="V240">
        <v>3742285</v>
      </c>
      <c r="W240">
        <v>3747866</v>
      </c>
      <c r="X240">
        <v>3751778</v>
      </c>
      <c r="Y240">
        <v>3753955</v>
      </c>
      <c r="Z240">
        <v>3754351</v>
      </c>
      <c r="AA240">
        <v>3752942</v>
      </c>
      <c r="AB240">
        <v>3749718</v>
      </c>
      <c r="AC240">
        <v>3744694</v>
      </c>
      <c r="AD240">
        <v>3737901</v>
      </c>
      <c r="AE240">
        <v>3729390</v>
      </c>
      <c r="AF240">
        <v>3719231</v>
      </c>
      <c r="AG240">
        <v>3707515</v>
      </c>
      <c r="AH240">
        <v>3694350</v>
      </c>
      <c r="AI240">
        <v>3679865</v>
      </c>
      <c r="AJ240">
        <v>3664208</v>
      </c>
      <c r="AK240">
        <v>3647546</v>
      </c>
      <c r="AL240">
        <v>3630065</v>
      </c>
      <c r="AM240">
        <v>3611971</v>
      </c>
      <c r="AN240">
        <v>3593490</v>
      </c>
      <c r="AO240">
        <v>3574865</v>
      </c>
      <c r="AP240">
        <v>3556361</v>
      </c>
      <c r="AQ240">
        <v>3538261</v>
      </c>
      <c r="AR240">
        <v>3520867</v>
      </c>
      <c r="AS240">
        <v>3504501</v>
      </c>
      <c r="AT240">
        <v>3489504</v>
      </c>
      <c r="AU240">
        <v>3476238</v>
      </c>
      <c r="AV240">
        <v>3465080</v>
      </c>
    </row>
    <row r="241" spans="1:48">
      <c r="A241" t="s">
        <v>671</v>
      </c>
      <c r="B241" t="s">
        <v>672</v>
      </c>
      <c r="C241" t="s">
        <v>358</v>
      </c>
      <c r="D241" s="37">
        <v>2023526.88667598</v>
      </c>
      <c r="E241" s="37">
        <v>2032670.29226919</v>
      </c>
      <c r="F241" s="37">
        <v>2041312.88051887</v>
      </c>
      <c r="G241" s="37">
        <v>1997805</v>
      </c>
      <c r="H241">
        <v>2007622</v>
      </c>
      <c r="I241">
        <v>2018329</v>
      </c>
      <c r="J241">
        <v>2029709</v>
      </c>
      <c r="K241">
        <v>2041553</v>
      </c>
      <c r="L241">
        <v>2053669</v>
      </c>
      <c r="M241">
        <v>2065876</v>
      </c>
      <c r="N241">
        <v>2078004</v>
      </c>
      <c r="O241">
        <v>2089897</v>
      </c>
      <c r="P241">
        <v>2101413</v>
      </c>
      <c r="Q241">
        <v>2112419</v>
      </c>
      <c r="R241">
        <v>2122799</v>
      </c>
      <c r="S241">
        <v>2132446</v>
      </c>
      <c r="T241">
        <v>2141267</v>
      </c>
      <c r="U241">
        <v>2149182</v>
      </c>
      <c r="V241">
        <v>2156123</v>
      </c>
      <c r="W241">
        <v>2162035</v>
      </c>
      <c r="X241">
        <v>2166874</v>
      </c>
      <c r="Y241">
        <v>2170612</v>
      </c>
      <c r="Z241">
        <v>2173230</v>
      </c>
      <c r="AA241">
        <v>2174724</v>
      </c>
      <c r="AB241">
        <v>2175101</v>
      </c>
      <c r="AC241">
        <v>2174383</v>
      </c>
      <c r="AD241">
        <v>2172601</v>
      </c>
      <c r="AE241">
        <v>2169801</v>
      </c>
      <c r="AF241">
        <v>2166042</v>
      </c>
      <c r="AG241">
        <v>2161394</v>
      </c>
      <c r="AH241">
        <v>2155941</v>
      </c>
      <c r="AI241">
        <v>2149779</v>
      </c>
      <c r="AJ241">
        <v>2143015</v>
      </c>
      <c r="AK241">
        <v>2135772</v>
      </c>
      <c r="AL241">
        <v>2128184</v>
      </c>
      <c r="AM241">
        <v>2120395</v>
      </c>
      <c r="AN241">
        <v>2112567</v>
      </c>
      <c r="AO241">
        <v>2104869</v>
      </c>
      <c r="AP241">
        <v>2097487</v>
      </c>
      <c r="AQ241">
        <v>2090616</v>
      </c>
      <c r="AR241">
        <v>2084467</v>
      </c>
      <c r="AS241">
        <v>2079262</v>
      </c>
      <c r="AT241">
        <v>2075234</v>
      </c>
      <c r="AU241">
        <v>2072632</v>
      </c>
      <c r="AV241">
        <v>2071714</v>
      </c>
    </row>
    <row r="242" spans="1:48">
      <c r="A242" t="s">
        <v>673</v>
      </c>
      <c r="B242" t="s">
        <v>674</v>
      </c>
      <c r="C242" t="s">
        <v>358</v>
      </c>
      <c r="D242" s="37">
        <v>3491503.20837138</v>
      </c>
      <c r="E242" s="37">
        <v>3503148.86344779</v>
      </c>
      <c r="F242" s="37">
        <v>3513220.39284642</v>
      </c>
      <c r="G242" s="37">
        <v>3412574</v>
      </c>
      <c r="H242">
        <v>3417554</v>
      </c>
      <c r="I242">
        <v>3424955</v>
      </c>
      <c r="J242">
        <v>3434346</v>
      </c>
      <c r="K242">
        <v>3445318</v>
      </c>
      <c r="L242">
        <v>3457486</v>
      </c>
      <c r="M242">
        <v>3470488</v>
      </c>
      <c r="N242">
        <v>3483984</v>
      </c>
      <c r="O242">
        <v>3497658</v>
      </c>
      <c r="P242">
        <v>3511215</v>
      </c>
      <c r="Q242">
        <v>3524386</v>
      </c>
      <c r="R242">
        <v>3536922</v>
      </c>
      <c r="S242">
        <v>3548599</v>
      </c>
      <c r="T242">
        <v>3559216</v>
      </c>
      <c r="U242">
        <v>3568592</v>
      </c>
      <c r="V242">
        <v>3576573</v>
      </c>
      <c r="W242">
        <v>3583024</v>
      </c>
      <c r="X242">
        <v>3587837</v>
      </c>
      <c r="Y242">
        <v>3590924</v>
      </c>
      <c r="Z242">
        <v>3592220</v>
      </c>
      <c r="AA242">
        <v>3591685</v>
      </c>
      <c r="AB242">
        <v>3589300</v>
      </c>
      <c r="AC242">
        <v>3585070</v>
      </c>
      <c r="AD242">
        <v>3579023</v>
      </c>
      <c r="AE242">
        <v>3571208</v>
      </c>
      <c r="AF242">
        <v>3561700</v>
      </c>
      <c r="AG242">
        <v>3550594</v>
      </c>
      <c r="AH242">
        <v>3538011</v>
      </c>
      <c r="AI242">
        <v>3524092</v>
      </c>
      <c r="AJ242">
        <v>3509002</v>
      </c>
      <c r="AK242">
        <v>3492930</v>
      </c>
      <c r="AL242">
        <v>3476087</v>
      </c>
      <c r="AM242">
        <v>3458707</v>
      </c>
      <c r="AN242">
        <v>3441047</v>
      </c>
      <c r="AO242">
        <v>3423387</v>
      </c>
      <c r="AP242">
        <v>3406029</v>
      </c>
      <c r="AQ242">
        <v>3389300</v>
      </c>
      <c r="AR242">
        <v>3373548</v>
      </c>
      <c r="AS242">
        <v>3359145</v>
      </c>
      <c r="AT242">
        <v>3346486</v>
      </c>
      <c r="AU242">
        <v>3335988</v>
      </c>
      <c r="AV242">
        <v>3328091</v>
      </c>
    </row>
    <row r="243" spans="1:48">
      <c r="A243" t="s">
        <v>675</v>
      </c>
      <c r="B243" t="s">
        <v>676</v>
      </c>
      <c r="C243" t="s">
        <v>358</v>
      </c>
      <c r="D243" s="37">
        <v>2179016.06522511</v>
      </c>
      <c r="E243" s="37">
        <v>2187529.19078854</v>
      </c>
      <c r="F243" s="37">
        <v>2195112.92752147</v>
      </c>
      <c r="G243" s="37">
        <v>2068047</v>
      </c>
      <c r="H243">
        <v>2074343</v>
      </c>
      <c r="I243">
        <v>2081525</v>
      </c>
      <c r="J243">
        <v>2089391</v>
      </c>
      <c r="K243">
        <v>2097752</v>
      </c>
      <c r="L243">
        <v>2106427</v>
      </c>
      <c r="M243">
        <v>2115248</v>
      </c>
      <c r="N243">
        <v>2124057</v>
      </c>
      <c r="O243">
        <v>2132708</v>
      </c>
      <c r="P243">
        <v>2141067</v>
      </c>
      <c r="Q243">
        <v>2149009</v>
      </c>
      <c r="R243">
        <v>2156421</v>
      </c>
      <c r="S243">
        <v>2163202</v>
      </c>
      <c r="T243">
        <v>2169261</v>
      </c>
      <c r="U243">
        <v>2174518</v>
      </c>
      <c r="V243">
        <v>2178906</v>
      </c>
      <c r="W243">
        <v>2182367</v>
      </c>
      <c r="X243">
        <v>2184854</v>
      </c>
      <c r="Y243">
        <v>2186333</v>
      </c>
      <c r="Z243">
        <v>2186781</v>
      </c>
      <c r="AA243">
        <v>2186183</v>
      </c>
      <c r="AB243">
        <v>2184539</v>
      </c>
      <c r="AC243">
        <v>2181858</v>
      </c>
      <c r="AD243">
        <v>2178160</v>
      </c>
      <c r="AE243">
        <v>2173478</v>
      </c>
      <c r="AF243">
        <v>2167854</v>
      </c>
      <c r="AG243">
        <v>2161342</v>
      </c>
      <c r="AH243">
        <v>2154007</v>
      </c>
      <c r="AI243">
        <v>2145926</v>
      </c>
      <c r="AJ243">
        <v>2137185</v>
      </c>
      <c r="AK243">
        <v>2127884</v>
      </c>
      <c r="AL243">
        <v>2118131</v>
      </c>
      <c r="AM243">
        <v>2108048</v>
      </c>
      <c r="AN243">
        <v>2097766</v>
      </c>
      <c r="AO243">
        <v>2087428</v>
      </c>
      <c r="AP243">
        <v>2077188</v>
      </c>
      <c r="AQ243">
        <v>2067211</v>
      </c>
      <c r="AR243">
        <v>2057674</v>
      </c>
      <c r="AS243">
        <v>2048765</v>
      </c>
      <c r="AT243">
        <v>2040680</v>
      </c>
      <c r="AU243">
        <v>2033631</v>
      </c>
      <c r="AV243">
        <v>2027838</v>
      </c>
    </row>
    <row r="244" spans="1:48">
      <c r="A244" t="s">
        <v>677</v>
      </c>
      <c r="B244" t="s">
        <v>678</v>
      </c>
      <c r="C244" t="s">
        <v>358</v>
      </c>
      <c r="D244" s="37">
        <v>2071854.157019</v>
      </c>
      <c r="E244" s="37">
        <v>2078617.40051522</v>
      </c>
      <c r="F244" s="37">
        <v>2084148.11891468</v>
      </c>
      <c r="G244" s="37">
        <v>2085698</v>
      </c>
      <c r="H244">
        <v>2088452</v>
      </c>
      <c r="I244">
        <v>2091879</v>
      </c>
      <c r="J244">
        <v>2095813</v>
      </c>
      <c r="K244">
        <v>2100097</v>
      </c>
      <c r="L244">
        <v>2104581</v>
      </c>
      <c r="M244">
        <v>2109128</v>
      </c>
      <c r="N244">
        <v>2113607</v>
      </c>
      <c r="O244">
        <v>2117896</v>
      </c>
      <c r="P244">
        <v>2121885</v>
      </c>
      <c r="Q244">
        <v>2125470</v>
      </c>
      <c r="R244">
        <v>2128558</v>
      </c>
      <c r="S244">
        <v>2131064</v>
      </c>
      <c r="T244">
        <v>2132913</v>
      </c>
      <c r="U244">
        <v>2134040</v>
      </c>
      <c r="V244">
        <v>2134387</v>
      </c>
      <c r="W244">
        <v>2133906</v>
      </c>
      <c r="X244">
        <v>2132559</v>
      </c>
      <c r="Y244">
        <v>2130315</v>
      </c>
      <c r="Z244">
        <v>2127156</v>
      </c>
      <c r="AA244">
        <v>2123069</v>
      </c>
      <c r="AB244">
        <v>2118053</v>
      </c>
      <c r="AC244">
        <v>2112114</v>
      </c>
      <c r="AD244">
        <v>2105269</v>
      </c>
      <c r="AE244">
        <v>2097542</v>
      </c>
      <c r="AF244">
        <v>2088969</v>
      </c>
      <c r="AG244">
        <v>2079593</v>
      </c>
      <c r="AH244">
        <v>2069467</v>
      </c>
      <c r="AI244">
        <v>2058652</v>
      </c>
      <c r="AJ244">
        <v>2047220</v>
      </c>
      <c r="AK244">
        <v>2035251</v>
      </c>
      <c r="AL244">
        <v>2022835</v>
      </c>
      <c r="AM244">
        <v>2010068</v>
      </c>
      <c r="AN244">
        <v>1997061</v>
      </c>
      <c r="AO244">
        <v>1983928</v>
      </c>
      <c r="AP244">
        <v>1970796</v>
      </c>
      <c r="AQ244">
        <v>1957800</v>
      </c>
      <c r="AR244">
        <v>1945084</v>
      </c>
      <c r="AS244">
        <v>1932802</v>
      </c>
      <c r="AT244">
        <v>1921115</v>
      </c>
      <c r="AU244">
        <v>1910196</v>
      </c>
      <c r="AV244">
        <v>1900225</v>
      </c>
    </row>
    <row r="245" spans="1:48">
      <c r="A245" t="s">
        <v>679</v>
      </c>
      <c r="B245" t="s">
        <v>680</v>
      </c>
      <c r="C245" t="s">
        <v>358</v>
      </c>
      <c r="D245" s="37">
        <v>2153975.87670048</v>
      </c>
      <c r="E245" s="37">
        <v>2170757.56048504</v>
      </c>
      <c r="F245" s="37">
        <v>2186809.2145349</v>
      </c>
      <c r="G245" s="37">
        <v>2841398</v>
      </c>
      <c r="H245">
        <v>2873101</v>
      </c>
      <c r="I245">
        <v>2902504</v>
      </c>
      <c r="J245">
        <v>2929662</v>
      </c>
      <c r="K245">
        <v>2954632</v>
      </c>
      <c r="L245">
        <v>2977472</v>
      </c>
      <c r="M245">
        <v>2998239</v>
      </c>
      <c r="N245">
        <v>3016990</v>
      </c>
      <c r="O245">
        <v>3033786</v>
      </c>
      <c r="P245">
        <v>3048683</v>
      </c>
      <c r="Q245">
        <v>3061743</v>
      </c>
      <c r="R245">
        <v>3073024</v>
      </c>
      <c r="S245">
        <v>3082586</v>
      </c>
      <c r="T245">
        <v>3090492</v>
      </c>
      <c r="U245">
        <v>3096800</v>
      </c>
      <c r="V245">
        <v>3101574</v>
      </c>
      <c r="W245">
        <v>3104876</v>
      </c>
      <c r="X245">
        <v>3106766</v>
      </c>
      <c r="Y245">
        <v>3107310</v>
      </c>
      <c r="Z245">
        <v>3106569</v>
      </c>
      <c r="AA245">
        <v>3104608</v>
      </c>
      <c r="AB245">
        <v>3101491</v>
      </c>
      <c r="AC245">
        <v>3097283</v>
      </c>
      <c r="AD245">
        <v>3092048</v>
      </c>
      <c r="AE245">
        <v>3085852</v>
      </c>
      <c r="AF245">
        <v>3078762</v>
      </c>
      <c r="AG245">
        <v>3070844</v>
      </c>
      <c r="AH245">
        <v>3062164</v>
      </c>
      <c r="AI245">
        <v>3052790</v>
      </c>
      <c r="AJ245">
        <v>3042790</v>
      </c>
      <c r="AK245">
        <v>3032232</v>
      </c>
      <c r="AL245">
        <v>3021184</v>
      </c>
      <c r="AM245">
        <v>3009716</v>
      </c>
      <c r="AN245">
        <v>2997898</v>
      </c>
      <c r="AO245">
        <v>2985799</v>
      </c>
      <c r="AP245">
        <v>2973489</v>
      </c>
      <c r="AQ245">
        <v>2961040</v>
      </c>
      <c r="AR245">
        <v>2948524</v>
      </c>
      <c r="AS245">
        <v>2936010</v>
      </c>
      <c r="AT245">
        <v>2923573</v>
      </c>
      <c r="AU245">
        <v>2911284</v>
      </c>
      <c r="AV245">
        <v>2899217</v>
      </c>
    </row>
    <row r="246" spans="1:48">
      <c r="A246" t="s">
        <v>681</v>
      </c>
      <c r="B246" t="s">
        <v>682</v>
      </c>
      <c r="C246" t="s">
        <v>358</v>
      </c>
      <c r="D246" s="37">
        <v>732164.513909542</v>
      </c>
      <c r="E246" s="37">
        <v>739661.848889292</v>
      </c>
      <c r="F246" s="37">
        <v>746903.416456056</v>
      </c>
      <c r="G246" s="37">
        <v>1016558</v>
      </c>
      <c r="H246">
        <v>1031350</v>
      </c>
      <c r="I246">
        <v>1045103</v>
      </c>
      <c r="J246">
        <v>1057858</v>
      </c>
      <c r="K246">
        <v>1069655</v>
      </c>
      <c r="L246">
        <v>1080533</v>
      </c>
      <c r="M246">
        <v>1090529</v>
      </c>
      <c r="N246">
        <v>1099682</v>
      </c>
      <c r="O246">
        <v>1108025</v>
      </c>
      <c r="P246">
        <v>1115596</v>
      </c>
      <c r="Q246">
        <v>1122428</v>
      </c>
      <c r="R246">
        <v>1128554</v>
      </c>
      <c r="S246">
        <v>1134007</v>
      </c>
      <c r="T246">
        <v>1138817</v>
      </c>
      <c r="U246">
        <v>1143017</v>
      </c>
      <c r="V246">
        <v>1146634</v>
      </c>
      <c r="W246">
        <v>1149698</v>
      </c>
      <c r="X246">
        <v>1152237</v>
      </c>
      <c r="Y246">
        <v>1154277</v>
      </c>
      <c r="Z246">
        <v>1155843</v>
      </c>
      <c r="AA246">
        <v>1156962</v>
      </c>
      <c r="AB246">
        <v>1157657</v>
      </c>
      <c r="AC246">
        <v>1157951</v>
      </c>
      <c r="AD246">
        <v>1157866</v>
      </c>
      <c r="AE246">
        <v>1157423</v>
      </c>
      <c r="AF246">
        <v>1156643</v>
      </c>
      <c r="AG246">
        <v>1155546</v>
      </c>
      <c r="AH246">
        <v>1154148</v>
      </c>
      <c r="AI246">
        <v>1152469</v>
      </c>
      <c r="AJ246">
        <v>1150524</v>
      </c>
      <c r="AK246">
        <v>1148330</v>
      </c>
      <c r="AL246">
        <v>1145900</v>
      </c>
      <c r="AM246">
        <v>1143250</v>
      </c>
      <c r="AN246">
        <v>1140391</v>
      </c>
      <c r="AO246">
        <v>1137335</v>
      </c>
      <c r="AP246">
        <v>1134094</v>
      </c>
      <c r="AQ246">
        <v>1130678</v>
      </c>
      <c r="AR246">
        <v>1127096</v>
      </c>
      <c r="AS246">
        <v>1123356</v>
      </c>
      <c r="AT246">
        <v>1119465</v>
      </c>
      <c r="AU246">
        <v>1115430</v>
      </c>
      <c r="AV246">
        <v>1111256</v>
      </c>
    </row>
    <row r="247" spans="1:48">
      <c r="A247" t="s">
        <v>683</v>
      </c>
      <c r="B247" t="s">
        <v>684</v>
      </c>
      <c r="C247" t="s">
        <v>358</v>
      </c>
      <c r="D247" s="37">
        <v>1800</v>
      </c>
      <c r="E247" s="37">
        <v>1800</v>
      </c>
      <c r="F247" s="37">
        <v>1800</v>
      </c>
      <c r="G247" s="37">
        <v>2307</v>
      </c>
      <c r="H247">
        <v>2333</v>
      </c>
      <c r="I247">
        <v>2357</v>
      </c>
      <c r="J247">
        <v>2379</v>
      </c>
      <c r="K247">
        <v>2399</v>
      </c>
      <c r="L247">
        <v>2417</v>
      </c>
      <c r="M247">
        <v>2434</v>
      </c>
      <c r="N247">
        <v>2450</v>
      </c>
      <c r="O247">
        <v>2463</v>
      </c>
      <c r="P247">
        <v>2475</v>
      </c>
      <c r="Q247">
        <v>2486</v>
      </c>
      <c r="R247">
        <v>2495</v>
      </c>
      <c r="S247">
        <v>2503</v>
      </c>
      <c r="T247">
        <v>2509</v>
      </c>
      <c r="U247">
        <v>2514</v>
      </c>
      <c r="V247">
        <v>2518</v>
      </c>
      <c r="W247">
        <v>2521</v>
      </c>
      <c r="X247">
        <v>2522</v>
      </c>
      <c r="Y247">
        <v>2523</v>
      </c>
      <c r="Z247">
        <v>2522</v>
      </c>
      <c r="AA247">
        <v>2520</v>
      </c>
      <c r="AB247">
        <v>2518</v>
      </c>
      <c r="AC247">
        <v>2514</v>
      </c>
      <c r="AD247">
        <v>2510</v>
      </c>
      <c r="AE247">
        <v>2505</v>
      </c>
      <c r="AF247">
        <v>2499</v>
      </c>
      <c r="AG247">
        <v>2493</v>
      </c>
      <c r="AH247">
        <v>2486</v>
      </c>
      <c r="AI247">
        <v>2478</v>
      </c>
      <c r="AJ247">
        <v>2470</v>
      </c>
      <c r="AK247">
        <v>2462</v>
      </c>
      <c r="AL247">
        <v>2453</v>
      </c>
      <c r="AM247">
        <v>2443</v>
      </c>
      <c r="AN247">
        <v>2434</v>
      </c>
      <c r="AO247">
        <v>2424</v>
      </c>
      <c r="AP247">
        <v>2414</v>
      </c>
      <c r="AQ247">
        <v>2404</v>
      </c>
      <c r="AR247">
        <v>2394</v>
      </c>
      <c r="AS247">
        <v>2384</v>
      </c>
      <c r="AT247">
        <v>2373</v>
      </c>
      <c r="AU247">
        <v>2363</v>
      </c>
      <c r="AV247">
        <v>2354</v>
      </c>
    </row>
    <row r="248" spans="1:48">
      <c r="A248" t="s">
        <v>685</v>
      </c>
      <c r="B248" t="s">
        <v>686</v>
      </c>
      <c r="C248" t="s">
        <v>358</v>
      </c>
      <c r="D248" s="37">
        <v>949796.376720263</v>
      </c>
      <c r="E248" s="37">
        <v>954201.832592655</v>
      </c>
      <c r="F248" s="37">
        <v>958382.888264159</v>
      </c>
      <c r="G248" s="37">
        <v>946182</v>
      </c>
      <c r="H248">
        <v>954165</v>
      </c>
      <c r="I248">
        <v>962405</v>
      </c>
      <c r="J248">
        <v>970800</v>
      </c>
      <c r="K248">
        <v>979253</v>
      </c>
      <c r="L248">
        <v>987673</v>
      </c>
      <c r="M248">
        <v>995976</v>
      </c>
      <c r="N248">
        <v>1004083</v>
      </c>
      <c r="O248">
        <v>1011924</v>
      </c>
      <c r="P248">
        <v>1019433</v>
      </c>
      <c r="Q248">
        <v>1026550</v>
      </c>
      <c r="R248">
        <v>1033224</v>
      </c>
      <c r="S248">
        <v>1039407</v>
      </c>
      <c r="T248">
        <v>1045061</v>
      </c>
      <c r="U248">
        <v>1050150</v>
      </c>
      <c r="V248">
        <v>1054648</v>
      </c>
      <c r="W248">
        <v>1058533</v>
      </c>
      <c r="X248">
        <v>1061791</v>
      </c>
      <c r="Y248">
        <v>1064414</v>
      </c>
      <c r="Z248">
        <v>1066398</v>
      </c>
      <c r="AA248">
        <v>1067750</v>
      </c>
      <c r="AB248">
        <v>1068478</v>
      </c>
      <c r="AC248">
        <v>1068601</v>
      </c>
      <c r="AD248">
        <v>1068141</v>
      </c>
      <c r="AE248">
        <v>1067127</v>
      </c>
      <c r="AF248">
        <v>1065596</v>
      </c>
      <c r="AG248">
        <v>1063590</v>
      </c>
      <c r="AH248">
        <v>1061157</v>
      </c>
      <c r="AI248">
        <v>1058353</v>
      </c>
      <c r="AJ248">
        <v>1055237</v>
      </c>
      <c r="AK248">
        <v>1051879</v>
      </c>
      <c r="AL248">
        <v>1048351</v>
      </c>
      <c r="AM248">
        <v>1044734</v>
      </c>
      <c r="AN248">
        <v>1041114</v>
      </c>
      <c r="AO248">
        <v>1037584</v>
      </c>
      <c r="AP248">
        <v>1034243</v>
      </c>
      <c r="AQ248">
        <v>1031197</v>
      </c>
      <c r="AR248">
        <v>1028557</v>
      </c>
      <c r="AS248">
        <v>1026442</v>
      </c>
      <c r="AT248">
        <v>1024975</v>
      </c>
      <c r="AU248">
        <v>1024288</v>
      </c>
      <c r="AV248">
        <v>1024518</v>
      </c>
    </row>
    <row r="249" spans="1:48">
      <c r="A249" t="s">
        <v>687</v>
      </c>
      <c r="B249" t="s">
        <v>688</v>
      </c>
      <c r="C249" t="s">
        <v>358</v>
      </c>
      <c r="D249" s="37">
        <v>111743.970366543</v>
      </c>
      <c r="E249" s="37">
        <v>112262.274228846</v>
      </c>
      <c r="F249" s="37">
        <v>112754.177306715</v>
      </c>
      <c r="G249" s="37">
        <v>111020</v>
      </c>
      <c r="H249">
        <v>112259</v>
      </c>
      <c r="I249">
        <v>113408</v>
      </c>
      <c r="J249">
        <v>114469</v>
      </c>
      <c r="K249">
        <v>115444</v>
      </c>
      <c r="L249">
        <v>116337</v>
      </c>
      <c r="M249">
        <v>117148</v>
      </c>
      <c r="N249">
        <v>117881</v>
      </c>
      <c r="O249">
        <v>118537</v>
      </c>
      <c r="P249">
        <v>119119</v>
      </c>
      <c r="Q249">
        <v>119629</v>
      </c>
      <c r="R249">
        <v>120070</v>
      </c>
      <c r="S249">
        <v>120444</v>
      </c>
      <c r="T249">
        <v>120753</v>
      </c>
      <c r="U249">
        <v>120999</v>
      </c>
      <c r="V249">
        <v>121186</v>
      </c>
      <c r="W249">
        <v>121315</v>
      </c>
      <c r="X249">
        <v>121388</v>
      </c>
      <c r="Y249">
        <v>121410</v>
      </c>
      <c r="Z249">
        <v>121381</v>
      </c>
      <c r="AA249">
        <v>121304</v>
      </c>
      <c r="AB249">
        <v>121182</v>
      </c>
      <c r="AC249">
        <v>121018</v>
      </c>
      <c r="AD249">
        <v>120813</v>
      </c>
      <c r="AE249">
        <v>120571</v>
      </c>
      <c r="AF249">
        <v>120294</v>
      </c>
      <c r="AG249">
        <v>119985</v>
      </c>
      <c r="AH249">
        <v>119646</v>
      </c>
      <c r="AI249">
        <v>119279</v>
      </c>
      <c r="AJ249">
        <v>118889</v>
      </c>
      <c r="AK249">
        <v>118476</v>
      </c>
      <c r="AL249">
        <v>118044</v>
      </c>
      <c r="AM249">
        <v>117596</v>
      </c>
      <c r="AN249">
        <v>117135</v>
      </c>
      <c r="AO249">
        <v>116662</v>
      </c>
      <c r="AP249">
        <v>116181</v>
      </c>
      <c r="AQ249">
        <v>115694</v>
      </c>
      <c r="AR249">
        <v>115205</v>
      </c>
      <c r="AS249">
        <v>114716</v>
      </c>
      <c r="AT249">
        <v>114230</v>
      </c>
      <c r="AU249">
        <v>113750</v>
      </c>
      <c r="AV249">
        <v>113279</v>
      </c>
    </row>
    <row r="250" spans="1:48">
      <c r="A250" t="s">
        <v>689</v>
      </c>
      <c r="B250" t="s">
        <v>690</v>
      </c>
      <c r="C250" t="s">
        <v>358</v>
      </c>
      <c r="D250" s="37">
        <v>525767.677796026</v>
      </c>
      <c r="E250" s="37">
        <v>528206.354506564</v>
      </c>
      <c r="F250" s="37">
        <v>530520.812620979</v>
      </c>
      <c r="G250" s="37">
        <v>522363</v>
      </c>
      <c r="H250">
        <v>528191</v>
      </c>
      <c r="I250">
        <v>533596</v>
      </c>
      <c r="J250">
        <v>538589</v>
      </c>
      <c r="K250">
        <v>543179</v>
      </c>
      <c r="L250">
        <v>547378</v>
      </c>
      <c r="M250">
        <v>551196</v>
      </c>
      <c r="N250">
        <v>554643</v>
      </c>
      <c r="O250">
        <v>557731</v>
      </c>
      <c r="P250">
        <v>560469</v>
      </c>
      <c r="Q250">
        <v>562870</v>
      </c>
      <c r="R250">
        <v>564944</v>
      </c>
      <c r="S250">
        <v>566702</v>
      </c>
      <c r="T250">
        <v>568155</v>
      </c>
      <c r="U250">
        <v>569315</v>
      </c>
      <c r="V250">
        <v>570193</v>
      </c>
      <c r="W250">
        <v>570800</v>
      </c>
      <c r="X250">
        <v>571147</v>
      </c>
      <c r="Y250">
        <v>571247</v>
      </c>
      <c r="Z250">
        <v>571111</v>
      </c>
      <c r="AA250">
        <v>570750</v>
      </c>
      <c r="AB250">
        <v>570177</v>
      </c>
      <c r="AC250">
        <v>569404</v>
      </c>
      <c r="AD250">
        <v>568441</v>
      </c>
      <c r="AE250">
        <v>567302</v>
      </c>
      <c r="AF250">
        <v>565999</v>
      </c>
      <c r="AG250">
        <v>564543</v>
      </c>
      <c r="AH250">
        <v>562947</v>
      </c>
      <c r="AI250">
        <v>561224</v>
      </c>
      <c r="AJ250">
        <v>559385</v>
      </c>
      <c r="AK250">
        <v>557444</v>
      </c>
      <c r="AL250">
        <v>555413</v>
      </c>
      <c r="AM250">
        <v>553305</v>
      </c>
      <c r="AN250">
        <v>551132</v>
      </c>
      <c r="AO250">
        <v>548908</v>
      </c>
      <c r="AP250">
        <v>546645</v>
      </c>
      <c r="AQ250">
        <v>544356</v>
      </c>
      <c r="AR250">
        <v>542055</v>
      </c>
      <c r="AS250">
        <v>539755</v>
      </c>
      <c r="AT250">
        <v>537468</v>
      </c>
      <c r="AU250">
        <v>535209</v>
      </c>
      <c r="AV250">
        <v>532991</v>
      </c>
    </row>
    <row r="251" spans="1:48">
      <c r="A251" t="s">
        <v>691</v>
      </c>
      <c r="B251" t="s">
        <v>692</v>
      </c>
      <c r="C251" t="s">
        <v>358</v>
      </c>
      <c r="D251" s="37">
        <v>558270.960948899</v>
      </c>
      <c r="E251" s="37">
        <v>560860.398162579</v>
      </c>
      <c r="F251" s="37">
        <v>563317.937509666</v>
      </c>
      <c r="G251" s="37">
        <v>554655</v>
      </c>
      <c r="H251">
        <v>560844</v>
      </c>
      <c r="I251">
        <v>566583</v>
      </c>
      <c r="J251">
        <v>571885</v>
      </c>
      <c r="K251">
        <v>576759</v>
      </c>
      <c r="L251">
        <v>581218</v>
      </c>
      <c r="M251">
        <v>585272</v>
      </c>
      <c r="N251">
        <v>588932</v>
      </c>
      <c r="O251">
        <v>592211</v>
      </c>
      <c r="P251">
        <v>595119</v>
      </c>
      <c r="Q251">
        <v>597668</v>
      </c>
      <c r="R251">
        <v>599870</v>
      </c>
      <c r="S251">
        <v>601737</v>
      </c>
      <c r="T251">
        <v>603280</v>
      </c>
      <c r="U251">
        <v>604511</v>
      </c>
      <c r="V251">
        <v>605443</v>
      </c>
      <c r="W251">
        <v>606088</v>
      </c>
      <c r="X251">
        <v>606457</v>
      </c>
      <c r="Y251">
        <v>606563</v>
      </c>
      <c r="Z251">
        <v>606418</v>
      </c>
      <c r="AA251">
        <v>606035</v>
      </c>
      <c r="AB251">
        <v>605427</v>
      </c>
      <c r="AC251">
        <v>604605</v>
      </c>
      <c r="AD251">
        <v>603583</v>
      </c>
      <c r="AE251">
        <v>602374</v>
      </c>
      <c r="AF251">
        <v>600990</v>
      </c>
      <c r="AG251">
        <v>599444</v>
      </c>
      <c r="AH251">
        <v>597750</v>
      </c>
      <c r="AI251">
        <v>595920</v>
      </c>
      <c r="AJ251">
        <v>593968</v>
      </c>
      <c r="AK251">
        <v>591907</v>
      </c>
      <c r="AL251">
        <v>589750</v>
      </c>
      <c r="AM251">
        <v>587512</v>
      </c>
      <c r="AN251">
        <v>585205</v>
      </c>
      <c r="AO251">
        <v>582843</v>
      </c>
      <c r="AP251">
        <v>580440</v>
      </c>
      <c r="AQ251">
        <v>578010</v>
      </c>
      <c r="AR251">
        <v>575567</v>
      </c>
      <c r="AS251">
        <v>573124</v>
      </c>
      <c r="AT251">
        <v>570696</v>
      </c>
      <c r="AU251">
        <v>568297</v>
      </c>
      <c r="AV251">
        <v>565942</v>
      </c>
    </row>
    <row r="252" spans="1:48">
      <c r="A252" t="s">
        <v>693</v>
      </c>
      <c r="B252" t="s">
        <v>694</v>
      </c>
      <c r="C252" t="s">
        <v>358</v>
      </c>
      <c r="D252" s="37">
        <v>543438.650637039</v>
      </c>
      <c r="E252" s="37">
        <v>545959.290906273</v>
      </c>
      <c r="F252" s="37">
        <v>548351.537610989</v>
      </c>
      <c r="G252" s="37">
        <v>539919</v>
      </c>
      <c r="H252">
        <v>545943</v>
      </c>
      <c r="I252">
        <v>551530</v>
      </c>
      <c r="J252">
        <v>556691</v>
      </c>
      <c r="K252">
        <v>561436</v>
      </c>
      <c r="L252">
        <v>565776</v>
      </c>
      <c r="M252">
        <v>569722</v>
      </c>
      <c r="N252">
        <v>573285</v>
      </c>
      <c r="O252">
        <v>576476</v>
      </c>
      <c r="P252">
        <v>579307</v>
      </c>
      <c r="Q252">
        <v>581789</v>
      </c>
      <c r="R252">
        <v>583932</v>
      </c>
      <c r="S252">
        <v>585749</v>
      </c>
      <c r="T252">
        <v>587251</v>
      </c>
      <c r="U252">
        <v>588450</v>
      </c>
      <c r="V252">
        <v>589357</v>
      </c>
      <c r="W252">
        <v>589985</v>
      </c>
      <c r="X252">
        <v>590344</v>
      </c>
      <c r="Y252">
        <v>590447</v>
      </c>
      <c r="Z252">
        <v>590307</v>
      </c>
      <c r="AA252">
        <v>589934</v>
      </c>
      <c r="AB252">
        <v>589342</v>
      </c>
      <c r="AC252">
        <v>588542</v>
      </c>
      <c r="AD252">
        <v>587547</v>
      </c>
      <c r="AE252">
        <v>586370</v>
      </c>
      <c r="AF252">
        <v>585023</v>
      </c>
      <c r="AG252">
        <v>583518</v>
      </c>
      <c r="AH252">
        <v>581869</v>
      </c>
      <c r="AI252">
        <v>580088</v>
      </c>
      <c r="AJ252">
        <v>578188</v>
      </c>
      <c r="AK252">
        <v>576181</v>
      </c>
      <c r="AL252">
        <v>574082</v>
      </c>
      <c r="AM252">
        <v>571903</v>
      </c>
      <c r="AN252">
        <v>569657</v>
      </c>
      <c r="AO252">
        <v>567358</v>
      </c>
      <c r="AP252">
        <v>565019</v>
      </c>
      <c r="AQ252">
        <v>562654</v>
      </c>
      <c r="AR252">
        <v>560275</v>
      </c>
      <c r="AS252">
        <v>557898</v>
      </c>
      <c r="AT252">
        <v>555534</v>
      </c>
      <c r="AU252">
        <v>553199</v>
      </c>
      <c r="AV252">
        <v>550906</v>
      </c>
    </row>
    <row r="253" spans="1:48">
      <c r="A253" t="s">
        <v>695</v>
      </c>
      <c r="B253" t="s">
        <v>696</v>
      </c>
      <c r="C253" t="s">
        <v>358</v>
      </c>
      <c r="D253" s="37">
        <v>442379.477693514</v>
      </c>
      <c r="E253" s="37">
        <v>444431.37356888</v>
      </c>
      <c r="F253" s="37">
        <v>446378.752259199</v>
      </c>
      <c r="G253" s="37">
        <v>439514</v>
      </c>
      <c r="H253">
        <v>444418</v>
      </c>
      <c r="I253">
        <v>448966</v>
      </c>
      <c r="J253">
        <v>453167</v>
      </c>
      <c r="K253">
        <v>457030</v>
      </c>
      <c r="L253">
        <v>460563</v>
      </c>
      <c r="M253">
        <v>463775</v>
      </c>
      <c r="N253">
        <v>466676</v>
      </c>
      <c r="O253">
        <v>469274</v>
      </c>
      <c r="P253">
        <v>471578</v>
      </c>
      <c r="Q253">
        <v>473598</v>
      </c>
      <c r="R253">
        <v>475343</v>
      </c>
      <c r="S253">
        <v>476822</v>
      </c>
      <c r="T253">
        <v>478045</v>
      </c>
      <c r="U253">
        <v>479021</v>
      </c>
      <c r="V253">
        <v>479760</v>
      </c>
      <c r="W253">
        <v>480270</v>
      </c>
      <c r="X253">
        <v>480563</v>
      </c>
      <c r="Y253">
        <v>480647</v>
      </c>
      <c r="Z253">
        <v>480532</v>
      </c>
      <c r="AA253">
        <v>480229</v>
      </c>
      <c r="AB253">
        <v>479747</v>
      </c>
      <c r="AC253">
        <v>479096</v>
      </c>
      <c r="AD253">
        <v>478286</v>
      </c>
      <c r="AE253">
        <v>477328</v>
      </c>
      <c r="AF253">
        <v>476231</v>
      </c>
      <c r="AG253">
        <v>475006</v>
      </c>
      <c r="AH253">
        <v>473664</v>
      </c>
      <c r="AI253">
        <v>472214</v>
      </c>
      <c r="AJ253">
        <v>470667</v>
      </c>
      <c r="AK253">
        <v>469034</v>
      </c>
      <c r="AL253">
        <v>467325</v>
      </c>
      <c r="AM253">
        <v>465551</v>
      </c>
      <c r="AN253">
        <v>463723</v>
      </c>
      <c r="AO253">
        <v>461851</v>
      </c>
      <c r="AP253">
        <v>459947</v>
      </c>
      <c r="AQ253">
        <v>458022</v>
      </c>
      <c r="AR253">
        <v>456086</v>
      </c>
      <c r="AS253">
        <v>454150</v>
      </c>
      <c r="AT253">
        <v>452226</v>
      </c>
      <c r="AU253">
        <v>450326</v>
      </c>
      <c r="AV253">
        <v>448459</v>
      </c>
    </row>
    <row r="254" spans="1:48">
      <c r="A254" t="s">
        <v>697</v>
      </c>
      <c r="B254" t="s">
        <v>698</v>
      </c>
      <c r="C254" t="s">
        <v>358</v>
      </c>
      <c r="D254" s="37">
        <v>283358.637946817</v>
      </c>
      <c r="E254" s="37">
        <v>284672.944893161</v>
      </c>
      <c r="F254" s="37">
        <v>285920.305137204</v>
      </c>
      <c r="G254" s="37">
        <v>281523</v>
      </c>
      <c r="H254">
        <v>284665</v>
      </c>
      <c r="I254">
        <v>287578</v>
      </c>
      <c r="J254">
        <v>290269</v>
      </c>
      <c r="K254">
        <v>292743</v>
      </c>
      <c r="L254">
        <v>295006</v>
      </c>
      <c r="M254">
        <v>297063</v>
      </c>
      <c r="N254">
        <v>298921</v>
      </c>
      <c r="O254">
        <v>300585</v>
      </c>
      <c r="P254">
        <v>302061</v>
      </c>
      <c r="Q254">
        <v>303355</v>
      </c>
      <c r="R254">
        <v>304473</v>
      </c>
      <c r="S254">
        <v>305420</v>
      </c>
      <c r="T254">
        <v>306203</v>
      </c>
      <c r="U254">
        <v>306828</v>
      </c>
      <c r="V254">
        <v>307301</v>
      </c>
      <c r="W254">
        <v>307629</v>
      </c>
      <c r="X254">
        <v>307816</v>
      </c>
      <c r="Y254">
        <v>307870</v>
      </c>
      <c r="Z254">
        <v>307796</v>
      </c>
      <c r="AA254">
        <v>307602</v>
      </c>
      <c r="AB254">
        <v>307293</v>
      </c>
      <c r="AC254">
        <v>306876</v>
      </c>
      <c r="AD254">
        <v>306357</v>
      </c>
      <c r="AE254">
        <v>305744</v>
      </c>
      <c r="AF254">
        <v>305041</v>
      </c>
      <c r="AG254">
        <v>304256</v>
      </c>
      <c r="AH254">
        <v>303396</v>
      </c>
      <c r="AI254">
        <v>302468</v>
      </c>
      <c r="AJ254">
        <v>301477</v>
      </c>
      <c r="AK254">
        <v>300431</v>
      </c>
      <c r="AL254">
        <v>299336</v>
      </c>
      <c r="AM254">
        <v>298200</v>
      </c>
      <c r="AN254">
        <v>297029</v>
      </c>
      <c r="AO254">
        <v>295830</v>
      </c>
      <c r="AP254">
        <v>294610</v>
      </c>
      <c r="AQ254">
        <v>293377</v>
      </c>
      <c r="AR254">
        <v>292137</v>
      </c>
      <c r="AS254">
        <v>290897</v>
      </c>
      <c r="AT254">
        <v>289665</v>
      </c>
      <c r="AU254">
        <v>288447</v>
      </c>
      <c r="AV254">
        <v>287252</v>
      </c>
    </row>
    <row r="255" spans="1:48">
      <c r="A255" t="s">
        <v>699</v>
      </c>
      <c r="B255" t="s">
        <v>700</v>
      </c>
      <c r="C255" t="s">
        <v>358</v>
      </c>
      <c r="D255" s="37">
        <v>254140.917559979</v>
      </c>
      <c r="E255" s="37">
        <v>255319.703482016</v>
      </c>
      <c r="F255" s="37">
        <v>256438.445720637</v>
      </c>
      <c r="G255" s="37">
        <v>252495</v>
      </c>
      <c r="H255">
        <v>255312</v>
      </c>
      <c r="I255">
        <v>257925</v>
      </c>
      <c r="J255">
        <v>260338</v>
      </c>
      <c r="K255">
        <v>262557</v>
      </c>
      <c r="L255">
        <v>264587</v>
      </c>
      <c r="M255">
        <v>266432</v>
      </c>
      <c r="N255">
        <v>268098</v>
      </c>
      <c r="O255">
        <v>269591</v>
      </c>
      <c r="P255">
        <v>270915</v>
      </c>
      <c r="Q255">
        <v>272075</v>
      </c>
      <c r="R255">
        <v>273078</v>
      </c>
      <c r="S255">
        <v>273927</v>
      </c>
      <c r="T255">
        <v>274630</v>
      </c>
      <c r="U255">
        <v>275190</v>
      </c>
      <c r="V255">
        <v>275615</v>
      </c>
      <c r="W255">
        <v>275908</v>
      </c>
      <c r="X255">
        <v>276076</v>
      </c>
      <c r="Y255">
        <v>276124</v>
      </c>
      <c r="Z255">
        <v>276058</v>
      </c>
      <c r="AA255">
        <v>275884</v>
      </c>
      <c r="AB255">
        <v>275607</v>
      </c>
      <c r="AC255">
        <v>275233</v>
      </c>
      <c r="AD255">
        <v>274768</v>
      </c>
      <c r="AE255">
        <v>274217</v>
      </c>
      <c r="AF255">
        <v>273587</v>
      </c>
      <c r="AG255">
        <v>272883</v>
      </c>
      <c r="AH255">
        <v>272112</v>
      </c>
      <c r="AI255">
        <v>271279</v>
      </c>
      <c r="AJ255">
        <v>270390</v>
      </c>
      <c r="AK255">
        <v>269452</v>
      </c>
      <c r="AL255">
        <v>268471</v>
      </c>
      <c r="AM255">
        <v>267451</v>
      </c>
      <c r="AN255">
        <v>266401</v>
      </c>
      <c r="AO255">
        <v>265326</v>
      </c>
      <c r="AP255">
        <v>264232</v>
      </c>
      <c r="AQ255">
        <v>263126</v>
      </c>
      <c r="AR255">
        <v>262014</v>
      </c>
      <c r="AS255">
        <v>260902</v>
      </c>
      <c r="AT255">
        <v>259796</v>
      </c>
      <c r="AU255">
        <v>258704</v>
      </c>
      <c r="AV255">
        <v>257632</v>
      </c>
    </row>
    <row r="256" spans="1:48">
      <c r="A256" t="s">
        <v>701</v>
      </c>
      <c r="B256" t="s">
        <v>702</v>
      </c>
      <c r="C256" t="s">
        <v>358</v>
      </c>
      <c r="D256" s="37">
        <v>495624.306584465</v>
      </c>
      <c r="E256" s="37">
        <v>497923.168809527</v>
      </c>
      <c r="F256" s="37">
        <v>500104.93415289</v>
      </c>
      <c r="G256" s="37">
        <v>492414</v>
      </c>
      <c r="H256">
        <v>497908</v>
      </c>
      <c r="I256">
        <v>503004</v>
      </c>
      <c r="J256">
        <v>507710</v>
      </c>
      <c r="K256">
        <v>512038</v>
      </c>
      <c r="L256">
        <v>515996</v>
      </c>
      <c r="M256">
        <v>519595</v>
      </c>
      <c r="N256">
        <v>522844</v>
      </c>
      <c r="O256">
        <v>525755</v>
      </c>
      <c r="P256">
        <v>528337</v>
      </c>
      <c r="Q256">
        <v>530600</v>
      </c>
      <c r="R256">
        <v>532555</v>
      </c>
      <c r="S256">
        <v>534212</v>
      </c>
      <c r="T256">
        <v>535582</v>
      </c>
      <c r="U256">
        <v>536675</v>
      </c>
      <c r="V256">
        <v>537503</v>
      </c>
      <c r="W256">
        <v>538075</v>
      </c>
      <c r="X256">
        <v>538402</v>
      </c>
      <c r="Y256">
        <v>538497</v>
      </c>
      <c r="Z256">
        <v>538368</v>
      </c>
      <c r="AA256">
        <v>538028</v>
      </c>
      <c r="AB256">
        <v>537488</v>
      </c>
      <c r="AC256">
        <v>536759</v>
      </c>
      <c r="AD256">
        <v>535852</v>
      </c>
      <c r="AE256">
        <v>534778</v>
      </c>
      <c r="AF256">
        <v>533549</v>
      </c>
      <c r="AG256">
        <v>532177</v>
      </c>
      <c r="AH256">
        <v>530673</v>
      </c>
      <c r="AI256">
        <v>529048</v>
      </c>
      <c r="AJ256">
        <v>527315</v>
      </c>
      <c r="AK256">
        <v>525485</v>
      </c>
      <c r="AL256">
        <v>523571</v>
      </c>
      <c r="AM256">
        <v>521583</v>
      </c>
      <c r="AN256">
        <v>519535</v>
      </c>
      <c r="AO256">
        <v>517438</v>
      </c>
      <c r="AP256">
        <v>515305</v>
      </c>
      <c r="AQ256">
        <v>513148</v>
      </c>
      <c r="AR256">
        <v>510979</v>
      </c>
      <c r="AS256">
        <v>508810</v>
      </c>
      <c r="AT256">
        <v>506655</v>
      </c>
      <c r="AU256">
        <v>504525</v>
      </c>
      <c r="AV256">
        <v>502434</v>
      </c>
    </row>
    <row r="257" spans="1:48">
      <c r="A257" t="s">
        <v>703</v>
      </c>
      <c r="B257" t="s">
        <v>704</v>
      </c>
      <c r="C257" t="s">
        <v>358</v>
      </c>
      <c r="D257" s="37">
        <v>418627.078466414</v>
      </c>
      <c r="E257" s="37">
        <v>420568.803204869</v>
      </c>
      <c r="F257" s="37">
        <v>422411.62253285</v>
      </c>
      <c r="G257" s="37">
        <v>415916</v>
      </c>
      <c r="H257">
        <v>420556</v>
      </c>
      <c r="I257">
        <v>424860</v>
      </c>
      <c r="J257">
        <v>428836</v>
      </c>
      <c r="K257">
        <v>432491</v>
      </c>
      <c r="L257">
        <v>435834</v>
      </c>
      <c r="M257">
        <v>438874</v>
      </c>
      <c r="N257">
        <v>441619</v>
      </c>
      <c r="O257">
        <v>444077</v>
      </c>
      <c r="P257">
        <v>446258</v>
      </c>
      <c r="Q257">
        <v>448169</v>
      </c>
      <c r="R257">
        <v>449821</v>
      </c>
      <c r="S257">
        <v>451220</v>
      </c>
      <c r="T257">
        <v>452378</v>
      </c>
      <c r="U257">
        <v>453301</v>
      </c>
      <c r="V257">
        <v>454000</v>
      </c>
      <c r="W257">
        <v>454483</v>
      </c>
      <c r="X257">
        <v>454760</v>
      </c>
      <c r="Y257">
        <v>454839</v>
      </c>
      <c r="Z257">
        <v>454731</v>
      </c>
      <c r="AA257">
        <v>454444</v>
      </c>
      <c r="AB257">
        <v>453988</v>
      </c>
      <c r="AC257">
        <v>453372</v>
      </c>
      <c r="AD257">
        <v>452605</v>
      </c>
      <c r="AE257">
        <v>451699</v>
      </c>
      <c r="AF257">
        <v>450661</v>
      </c>
      <c r="AG257">
        <v>449502</v>
      </c>
      <c r="AH257">
        <v>448231</v>
      </c>
      <c r="AI257">
        <v>446859</v>
      </c>
      <c r="AJ257">
        <v>445395</v>
      </c>
      <c r="AK257">
        <v>443850</v>
      </c>
      <c r="AL257">
        <v>442233</v>
      </c>
      <c r="AM257">
        <v>440554</v>
      </c>
      <c r="AN257">
        <v>438824</v>
      </c>
      <c r="AO257">
        <v>437053</v>
      </c>
      <c r="AP257">
        <v>435251</v>
      </c>
      <c r="AQ257">
        <v>433429</v>
      </c>
      <c r="AR257">
        <v>431597</v>
      </c>
      <c r="AS257">
        <v>429765</v>
      </c>
      <c r="AT257">
        <v>427945</v>
      </c>
      <c r="AU257">
        <v>426146</v>
      </c>
      <c r="AV257">
        <v>424380</v>
      </c>
    </row>
    <row r="258" spans="1:48">
      <c r="A258" t="s">
        <v>705</v>
      </c>
      <c r="B258" t="s">
        <v>706</v>
      </c>
      <c r="C258" t="s">
        <v>358</v>
      </c>
      <c r="D258" s="37">
        <v>163928.779764666</v>
      </c>
      <c r="E258" s="37">
        <v>164689.133271133</v>
      </c>
      <c r="F258" s="37">
        <v>165410.75673818</v>
      </c>
      <c r="G258" s="37">
        <v>162867</v>
      </c>
      <c r="H258">
        <v>164684</v>
      </c>
      <c r="I258">
        <v>166370</v>
      </c>
      <c r="J258">
        <v>167926</v>
      </c>
      <c r="K258">
        <v>169357</v>
      </c>
      <c r="L258">
        <v>170666</v>
      </c>
      <c r="M258">
        <v>171857</v>
      </c>
      <c r="N258">
        <v>172932</v>
      </c>
      <c r="O258">
        <v>173894</v>
      </c>
      <c r="P258">
        <v>174748</v>
      </c>
      <c r="Q258">
        <v>175497</v>
      </c>
      <c r="R258">
        <v>176143</v>
      </c>
      <c r="S258">
        <v>176691</v>
      </c>
      <c r="T258">
        <v>177144</v>
      </c>
      <c r="U258">
        <v>177506</v>
      </c>
      <c r="V258">
        <v>177780</v>
      </c>
      <c r="W258">
        <v>177969</v>
      </c>
      <c r="X258">
        <v>178077</v>
      </c>
      <c r="Y258">
        <v>178108</v>
      </c>
      <c r="Z258">
        <v>178066</v>
      </c>
      <c r="AA258">
        <v>177953</v>
      </c>
      <c r="AB258">
        <v>177775</v>
      </c>
      <c r="AC258">
        <v>177533</v>
      </c>
      <c r="AD258">
        <v>177233</v>
      </c>
      <c r="AE258">
        <v>176878</v>
      </c>
      <c r="AF258">
        <v>176472</v>
      </c>
      <c r="AG258">
        <v>176018</v>
      </c>
      <c r="AH258">
        <v>175520</v>
      </c>
      <c r="AI258">
        <v>174983</v>
      </c>
      <c r="AJ258">
        <v>174410</v>
      </c>
      <c r="AK258">
        <v>173805</v>
      </c>
      <c r="AL258">
        <v>173171</v>
      </c>
      <c r="AM258">
        <v>172514</v>
      </c>
      <c r="AN258">
        <v>171837</v>
      </c>
      <c r="AO258">
        <v>171143</v>
      </c>
      <c r="AP258">
        <v>170437</v>
      </c>
      <c r="AQ258">
        <v>169724</v>
      </c>
      <c r="AR258">
        <v>169006</v>
      </c>
      <c r="AS258">
        <v>168289</v>
      </c>
      <c r="AT258">
        <v>167576</v>
      </c>
      <c r="AU258">
        <v>166872</v>
      </c>
      <c r="AV258">
        <v>166180</v>
      </c>
    </row>
    <row r="259" spans="1:48">
      <c r="A259" t="s">
        <v>707</v>
      </c>
      <c r="B259" t="s">
        <v>708</v>
      </c>
      <c r="C259" t="s">
        <v>358</v>
      </c>
      <c r="D259" s="37">
        <v>231038.464557122</v>
      </c>
      <c r="E259" s="37">
        <v>232110.093998314</v>
      </c>
      <c r="F259" s="37">
        <v>233127.137973474</v>
      </c>
      <c r="G259" s="37">
        <v>229542</v>
      </c>
      <c r="H259">
        <v>232103</v>
      </c>
      <c r="I259">
        <v>234479</v>
      </c>
      <c r="J259">
        <v>236673</v>
      </c>
      <c r="K259">
        <v>238690</v>
      </c>
      <c r="L259">
        <v>240535</v>
      </c>
      <c r="M259">
        <v>242213</v>
      </c>
      <c r="N259">
        <v>243727</v>
      </c>
      <c r="O259">
        <v>245084</v>
      </c>
      <c r="P259">
        <v>246288</v>
      </c>
      <c r="Q259">
        <v>247343</v>
      </c>
      <c r="R259">
        <v>248254</v>
      </c>
      <c r="S259">
        <v>249027</v>
      </c>
      <c r="T259">
        <v>249665</v>
      </c>
      <c r="U259">
        <v>250175</v>
      </c>
      <c r="V259">
        <v>250560</v>
      </c>
      <c r="W259">
        <v>250827</v>
      </c>
      <c r="X259">
        <v>250980</v>
      </c>
      <c r="Y259">
        <v>251024</v>
      </c>
      <c r="Z259">
        <v>250964</v>
      </c>
      <c r="AA259">
        <v>250805</v>
      </c>
      <c r="AB259">
        <v>250554</v>
      </c>
      <c r="AC259">
        <v>250214</v>
      </c>
      <c r="AD259">
        <v>249791</v>
      </c>
      <c r="AE259">
        <v>249290</v>
      </c>
      <c r="AF259">
        <v>248717</v>
      </c>
      <c r="AG259">
        <v>248078</v>
      </c>
      <c r="AH259">
        <v>247376</v>
      </c>
      <c r="AI259">
        <v>246619</v>
      </c>
      <c r="AJ259">
        <v>245811</v>
      </c>
      <c r="AK259">
        <v>244958</v>
      </c>
      <c r="AL259">
        <v>244066</v>
      </c>
      <c r="AM259">
        <v>243139</v>
      </c>
      <c r="AN259">
        <v>242185</v>
      </c>
      <c r="AO259">
        <v>241207</v>
      </c>
      <c r="AP259">
        <v>240213</v>
      </c>
      <c r="AQ259">
        <v>239207</v>
      </c>
      <c r="AR259">
        <v>238196</v>
      </c>
      <c r="AS259">
        <v>237185</v>
      </c>
      <c r="AT259">
        <v>236180</v>
      </c>
      <c r="AU259">
        <v>235188</v>
      </c>
      <c r="AV259">
        <v>234213</v>
      </c>
    </row>
    <row r="260" spans="1:48">
      <c r="A260" t="s">
        <v>709</v>
      </c>
      <c r="B260" t="s">
        <v>710</v>
      </c>
      <c r="C260" t="s">
        <v>358</v>
      </c>
      <c r="D260" s="37">
        <v>462263.054602655</v>
      </c>
      <c r="E260" s="37">
        <v>464407.176793899</v>
      </c>
      <c r="F260" s="37">
        <v>466442.084078813</v>
      </c>
      <c r="G260" s="37">
        <v>459269</v>
      </c>
      <c r="H260">
        <v>464393</v>
      </c>
      <c r="I260">
        <v>469146</v>
      </c>
      <c r="J260">
        <v>473536</v>
      </c>
      <c r="K260">
        <v>477572</v>
      </c>
      <c r="L260">
        <v>481263</v>
      </c>
      <c r="M260">
        <v>484620</v>
      </c>
      <c r="N260">
        <v>487651</v>
      </c>
      <c r="O260">
        <v>490366</v>
      </c>
      <c r="P260">
        <v>492774</v>
      </c>
      <c r="Q260">
        <v>494884</v>
      </c>
      <c r="R260">
        <v>496708</v>
      </c>
      <c r="S260">
        <v>498253</v>
      </c>
      <c r="T260">
        <v>499531</v>
      </c>
      <c r="U260">
        <v>500551</v>
      </c>
      <c r="V260">
        <v>501322</v>
      </c>
      <c r="W260">
        <v>501856</v>
      </c>
      <c r="X260">
        <v>502162</v>
      </c>
      <c r="Y260">
        <v>502249</v>
      </c>
      <c r="Z260">
        <v>502130</v>
      </c>
      <c r="AA260">
        <v>501813</v>
      </c>
      <c r="AB260">
        <v>501309</v>
      </c>
      <c r="AC260">
        <v>500629</v>
      </c>
      <c r="AD260">
        <v>499783</v>
      </c>
      <c r="AE260">
        <v>498781</v>
      </c>
      <c r="AF260">
        <v>497635</v>
      </c>
      <c r="AG260">
        <v>496355</v>
      </c>
      <c r="AH260">
        <v>494952</v>
      </c>
      <c r="AI260">
        <v>493437</v>
      </c>
      <c r="AJ260">
        <v>491821</v>
      </c>
      <c r="AK260">
        <v>490114</v>
      </c>
      <c r="AL260">
        <v>488329</v>
      </c>
      <c r="AM260">
        <v>486475</v>
      </c>
      <c r="AN260">
        <v>484565</v>
      </c>
      <c r="AO260">
        <v>482609</v>
      </c>
      <c r="AP260">
        <v>480619</v>
      </c>
      <c r="AQ260">
        <v>478607</v>
      </c>
      <c r="AR260">
        <v>476584</v>
      </c>
      <c r="AS260">
        <v>474562</v>
      </c>
      <c r="AT260">
        <v>472551</v>
      </c>
      <c r="AU260">
        <v>470565</v>
      </c>
      <c r="AV260">
        <v>468614</v>
      </c>
    </row>
    <row r="261" spans="1:48">
      <c r="A261" t="s">
        <v>711</v>
      </c>
      <c r="B261" t="s">
        <v>712</v>
      </c>
      <c r="C261" t="s">
        <v>358</v>
      </c>
      <c r="D261" s="37">
        <v>370768.940181274</v>
      </c>
      <c r="E261" s="37">
        <v>372488.683744059</v>
      </c>
      <c r="F261" s="37">
        <v>374120.828926078</v>
      </c>
      <c r="G261" s="37">
        <v>368368</v>
      </c>
      <c r="H261">
        <v>372478</v>
      </c>
      <c r="I261">
        <v>376290</v>
      </c>
      <c r="J261">
        <v>379810</v>
      </c>
      <c r="K261">
        <v>383048</v>
      </c>
      <c r="L261">
        <v>386009</v>
      </c>
      <c r="M261">
        <v>388701</v>
      </c>
      <c r="N261">
        <v>391132</v>
      </c>
      <c r="O261">
        <v>393309</v>
      </c>
      <c r="P261">
        <v>395241</v>
      </c>
      <c r="Q261">
        <v>396934</v>
      </c>
      <c r="R261">
        <v>398396</v>
      </c>
      <c r="S261">
        <v>399636</v>
      </c>
      <c r="T261">
        <v>400661</v>
      </c>
      <c r="U261">
        <v>401479</v>
      </c>
      <c r="V261">
        <v>402098</v>
      </c>
      <c r="W261">
        <v>402526</v>
      </c>
      <c r="X261">
        <v>402771</v>
      </c>
      <c r="Y261">
        <v>402842</v>
      </c>
      <c r="Z261">
        <v>402746</v>
      </c>
      <c r="AA261">
        <v>402491</v>
      </c>
      <c r="AB261">
        <v>402087</v>
      </c>
      <c r="AC261">
        <v>401542</v>
      </c>
      <c r="AD261">
        <v>400863</v>
      </c>
      <c r="AE261">
        <v>400060</v>
      </c>
      <c r="AF261">
        <v>399141</v>
      </c>
      <c r="AG261">
        <v>398114</v>
      </c>
      <c r="AH261">
        <v>396989</v>
      </c>
      <c r="AI261">
        <v>395773</v>
      </c>
      <c r="AJ261">
        <v>394477</v>
      </c>
      <c r="AK261">
        <v>393108</v>
      </c>
      <c r="AL261">
        <v>391676</v>
      </c>
      <c r="AM261">
        <v>390189</v>
      </c>
      <c r="AN261">
        <v>388657</v>
      </c>
      <c r="AO261">
        <v>387089</v>
      </c>
      <c r="AP261">
        <v>385493</v>
      </c>
      <c r="AQ261">
        <v>383879</v>
      </c>
      <c r="AR261">
        <v>382256</v>
      </c>
      <c r="AS261">
        <v>380634</v>
      </c>
      <c r="AT261">
        <v>379021</v>
      </c>
      <c r="AU261">
        <v>377428</v>
      </c>
      <c r="AV261">
        <v>375864</v>
      </c>
    </row>
    <row r="262" spans="1:48">
      <c r="A262" t="s">
        <v>713</v>
      </c>
      <c r="B262" t="s">
        <v>714</v>
      </c>
      <c r="C262" t="s">
        <v>358</v>
      </c>
      <c r="D262" s="37">
        <v>155377.955855849</v>
      </c>
      <c r="E262" s="37">
        <v>156098.647937692</v>
      </c>
      <c r="F262" s="37">
        <v>156782.630209557</v>
      </c>
      <c r="G262" s="37">
        <v>154372</v>
      </c>
      <c r="H262">
        <v>156094</v>
      </c>
      <c r="I262">
        <v>157691</v>
      </c>
      <c r="J262">
        <v>159167</v>
      </c>
      <c r="K262">
        <v>160523</v>
      </c>
      <c r="L262">
        <v>161764</v>
      </c>
      <c r="M262">
        <v>162893</v>
      </c>
      <c r="N262">
        <v>163911</v>
      </c>
      <c r="O262">
        <v>164824</v>
      </c>
      <c r="P262">
        <v>165633</v>
      </c>
      <c r="Q262">
        <v>166343</v>
      </c>
      <c r="R262">
        <v>166956</v>
      </c>
      <c r="S262">
        <v>167475</v>
      </c>
      <c r="T262">
        <v>167905</v>
      </c>
      <c r="U262">
        <v>168247</v>
      </c>
      <c r="V262">
        <v>168507</v>
      </c>
      <c r="W262">
        <v>168686</v>
      </c>
      <c r="X262">
        <v>168789</v>
      </c>
      <c r="Y262">
        <v>168819</v>
      </c>
      <c r="Z262">
        <v>168778</v>
      </c>
      <c r="AA262">
        <v>168672</v>
      </c>
      <c r="AB262">
        <v>168502</v>
      </c>
      <c r="AC262">
        <v>168274</v>
      </c>
      <c r="AD262">
        <v>167989</v>
      </c>
      <c r="AE262">
        <v>167653</v>
      </c>
      <c r="AF262">
        <v>167268</v>
      </c>
      <c r="AG262">
        <v>166838</v>
      </c>
      <c r="AH262">
        <v>166366</v>
      </c>
      <c r="AI262">
        <v>165857</v>
      </c>
      <c r="AJ262">
        <v>165313</v>
      </c>
      <c r="AK262">
        <v>164740</v>
      </c>
      <c r="AL262">
        <v>164140</v>
      </c>
      <c r="AM262">
        <v>163517</v>
      </c>
      <c r="AN262">
        <v>162875</v>
      </c>
      <c r="AO262">
        <v>162217</v>
      </c>
      <c r="AP262">
        <v>161548</v>
      </c>
      <c r="AQ262">
        <v>160872</v>
      </c>
      <c r="AR262">
        <v>160192</v>
      </c>
      <c r="AS262">
        <v>159512</v>
      </c>
      <c r="AT262">
        <v>158836</v>
      </c>
      <c r="AU262">
        <v>158169</v>
      </c>
      <c r="AV262">
        <v>157513</v>
      </c>
    </row>
    <row r="263" spans="1:48">
      <c r="A263" t="s">
        <v>715</v>
      </c>
      <c r="B263" t="s">
        <v>716</v>
      </c>
      <c r="C263" t="s">
        <v>358</v>
      </c>
      <c r="D263" s="37">
        <v>178746.160224515</v>
      </c>
      <c r="E263" s="37">
        <v>179575.241426054</v>
      </c>
      <c r="F263" s="37">
        <v>180362.091813446</v>
      </c>
      <c r="G263" s="37">
        <v>177588</v>
      </c>
      <c r="H263">
        <v>179570</v>
      </c>
      <c r="I263">
        <v>181408</v>
      </c>
      <c r="J263">
        <v>183105</v>
      </c>
      <c r="K263">
        <v>184666</v>
      </c>
      <c r="L263">
        <v>186093</v>
      </c>
      <c r="M263">
        <v>187391</v>
      </c>
      <c r="N263">
        <v>188563</v>
      </c>
      <c r="O263">
        <v>189613</v>
      </c>
      <c r="P263">
        <v>190544</v>
      </c>
      <c r="Q263">
        <v>191360</v>
      </c>
      <c r="R263">
        <v>192066</v>
      </c>
      <c r="S263">
        <v>192663</v>
      </c>
      <c r="T263">
        <v>193157</v>
      </c>
      <c r="U263">
        <v>193552</v>
      </c>
      <c r="V263">
        <v>193850</v>
      </c>
      <c r="W263">
        <v>194056</v>
      </c>
      <c r="X263">
        <v>194175</v>
      </c>
      <c r="Y263">
        <v>194209</v>
      </c>
      <c r="Z263">
        <v>194162</v>
      </c>
      <c r="AA263">
        <v>194040</v>
      </c>
      <c r="AB263">
        <v>193845</v>
      </c>
      <c r="AC263">
        <v>193582</v>
      </c>
      <c r="AD263">
        <v>193255</v>
      </c>
      <c r="AE263">
        <v>192868</v>
      </c>
      <c r="AF263">
        <v>192425</v>
      </c>
      <c r="AG263">
        <v>191930</v>
      </c>
      <c r="AH263">
        <v>191387</v>
      </c>
      <c r="AI263">
        <v>190801</v>
      </c>
      <c r="AJ263">
        <v>190176</v>
      </c>
      <c r="AK263">
        <v>189517</v>
      </c>
      <c r="AL263">
        <v>188826</v>
      </c>
      <c r="AM263">
        <v>188109</v>
      </c>
      <c r="AN263">
        <v>187371</v>
      </c>
      <c r="AO263">
        <v>186615</v>
      </c>
      <c r="AP263">
        <v>185845</v>
      </c>
      <c r="AQ263">
        <v>185067</v>
      </c>
      <c r="AR263">
        <v>184285</v>
      </c>
      <c r="AS263">
        <v>183503</v>
      </c>
      <c r="AT263">
        <v>182726</v>
      </c>
      <c r="AU263">
        <v>181957</v>
      </c>
      <c r="AV263">
        <v>181203</v>
      </c>
    </row>
    <row r="264" spans="1:48">
      <c r="A264" t="s">
        <v>717</v>
      </c>
      <c r="B264" t="s">
        <v>718</v>
      </c>
      <c r="C264" t="s">
        <v>358</v>
      </c>
      <c r="D264" s="37">
        <v>29478580.2170526</v>
      </c>
      <c r="E264" s="37">
        <v>29568435.0620549</v>
      </c>
      <c r="F264" s="37">
        <v>29650286.3162744</v>
      </c>
      <c r="G264" s="37">
        <v>31913910</v>
      </c>
      <c r="H264">
        <v>32050209</v>
      </c>
      <c r="I264">
        <v>32175887</v>
      </c>
      <c r="J264">
        <v>32290061</v>
      </c>
      <c r="K264">
        <v>32391939</v>
      </c>
      <c r="L264">
        <v>32480820</v>
      </c>
      <c r="M264">
        <v>32556098</v>
      </c>
      <c r="N264">
        <v>32617255</v>
      </c>
      <c r="O264">
        <v>32663869</v>
      </c>
      <c r="P264">
        <v>32695608</v>
      </c>
      <c r="Q264">
        <v>32712231</v>
      </c>
      <c r="R264">
        <v>32713592</v>
      </c>
      <c r="S264">
        <v>32699636</v>
      </c>
      <c r="T264">
        <v>32670397</v>
      </c>
      <c r="U264">
        <v>32626007</v>
      </c>
      <c r="V264">
        <v>32566684</v>
      </c>
      <c r="W264">
        <v>32492742</v>
      </c>
      <c r="X264">
        <v>32404586</v>
      </c>
      <c r="Y264">
        <v>32302713</v>
      </c>
      <c r="Z264">
        <v>32187712</v>
      </c>
      <c r="AA264">
        <v>32060263</v>
      </c>
      <c r="AB264">
        <v>31921141</v>
      </c>
      <c r="AC264">
        <v>31771210</v>
      </c>
      <c r="AD264">
        <v>31611428</v>
      </c>
      <c r="AE264">
        <v>31442843</v>
      </c>
      <c r="AF264">
        <v>31266599</v>
      </c>
      <c r="AG264">
        <v>31083927</v>
      </c>
      <c r="AH264">
        <v>30896154</v>
      </c>
      <c r="AI264">
        <v>30704697</v>
      </c>
      <c r="AJ264">
        <v>30511066</v>
      </c>
      <c r="AK264">
        <v>30316864</v>
      </c>
      <c r="AL264">
        <v>30123782</v>
      </c>
      <c r="AM264">
        <v>29933609</v>
      </c>
      <c r="AN264">
        <v>29748221</v>
      </c>
      <c r="AO264">
        <v>29569590</v>
      </c>
      <c r="AP264">
        <v>29399776</v>
      </c>
      <c r="AQ264">
        <v>29240934</v>
      </c>
      <c r="AR264">
        <v>29095311</v>
      </c>
      <c r="AS264">
        <v>28965245</v>
      </c>
      <c r="AT264">
        <v>28853166</v>
      </c>
      <c r="AU264">
        <v>28761597</v>
      </c>
      <c r="AV264">
        <v>28693153</v>
      </c>
    </row>
    <row r="265" spans="1:48">
      <c r="A265" t="s">
        <v>719</v>
      </c>
      <c r="B265" t="s">
        <v>720</v>
      </c>
      <c r="C265" t="s">
        <v>358</v>
      </c>
      <c r="D265" s="37">
        <v>15779040.1575483</v>
      </c>
      <c r="E265" s="37">
        <v>15873867.5311354</v>
      </c>
      <c r="F265" s="37">
        <v>15960356.150794</v>
      </c>
      <c r="G265" s="37">
        <v>20738729</v>
      </c>
      <c r="H265">
        <v>20935566</v>
      </c>
      <c r="I265">
        <v>21098739</v>
      </c>
      <c r="J265">
        <v>21230755</v>
      </c>
      <c r="K265">
        <v>21334023</v>
      </c>
      <c r="L265">
        <v>21410857</v>
      </c>
      <c r="M265">
        <v>21463472</v>
      </c>
      <c r="N265">
        <v>21493987</v>
      </c>
      <c r="O265">
        <v>21504422</v>
      </c>
      <c r="P265">
        <v>21496701</v>
      </c>
      <c r="Q265">
        <v>21472653</v>
      </c>
      <c r="R265">
        <v>21434006</v>
      </c>
      <c r="S265">
        <v>21382393</v>
      </c>
      <c r="T265">
        <v>21319349</v>
      </c>
      <c r="U265">
        <v>21246314</v>
      </c>
      <c r="V265">
        <v>21164628</v>
      </c>
      <c r="W265">
        <v>21075536</v>
      </c>
      <c r="X265">
        <v>20980184</v>
      </c>
      <c r="Y265">
        <v>20879622</v>
      </c>
      <c r="Z265">
        <v>20774804</v>
      </c>
      <c r="AA265">
        <v>20666584</v>
      </c>
      <c r="AB265">
        <v>20555720</v>
      </c>
      <c r="AC265">
        <v>20442875</v>
      </c>
      <c r="AD265">
        <v>20328612</v>
      </c>
      <c r="AE265">
        <v>20213399</v>
      </c>
      <c r="AF265">
        <v>20097605</v>
      </c>
      <c r="AG265">
        <v>19981503</v>
      </c>
      <c r="AH265">
        <v>19865268</v>
      </c>
      <c r="AI265">
        <v>19748979</v>
      </c>
      <c r="AJ265">
        <v>19632617</v>
      </c>
      <c r="AK265">
        <v>19516066</v>
      </c>
      <c r="AL265">
        <v>19399114</v>
      </c>
      <c r="AM265">
        <v>19281450</v>
      </c>
      <c r="AN265">
        <v>19162667</v>
      </c>
      <c r="AO265">
        <v>19042261</v>
      </c>
      <c r="AP265">
        <v>18919629</v>
      </c>
      <c r="AQ265">
        <v>18794074</v>
      </c>
      <c r="AR265">
        <v>18664799</v>
      </c>
      <c r="AS265">
        <v>18530912</v>
      </c>
      <c r="AT265">
        <v>18391422</v>
      </c>
      <c r="AU265">
        <v>18245242</v>
      </c>
      <c r="AV265">
        <v>18091188</v>
      </c>
    </row>
    <row r="266" spans="1:48">
      <c r="A266" t="s">
        <v>721</v>
      </c>
      <c r="B266" t="s">
        <v>722</v>
      </c>
      <c r="C266" t="s">
        <v>358</v>
      </c>
      <c r="D266" s="37">
        <v>2722160.01024419</v>
      </c>
      <c r="E266" s="37">
        <v>2726019.33069477</v>
      </c>
      <c r="F266" s="37">
        <v>2728918.17616779</v>
      </c>
      <c r="G266" s="37">
        <v>2486142</v>
      </c>
      <c r="H266">
        <v>2488903</v>
      </c>
      <c r="I266">
        <v>2491428</v>
      </c>
      <c r="J266">
        <v>2493604</v>
      </c>
      <c r="K266">
        <v>2495329</v>
      </c>
      <c r="L266">
        <v>2496506</v>
      </c>
      <c r="M266">
        <v>2497051</v>
      </c>
      <c r="N266">
        <v>2496886</v>
      </c>
      <c r="O266">
        <v>2495944</v>
      </c>
      <c r="P266">
        <v>2494165</v>
      </c>
      <c r="Q266">
        <v>2491498</v>
      </c>
      <c r="R266">
        <v>2487901</v>
      </c>
      <c r="S266">
        <v>2483343</v>
      </c>
      <c r="T266">
        <v>2477799</v>
      </c>
      <c r="U266">
        <v>2471253</v>
      </c>
      <c r="V266">
        <v>2463700</v>
      </c>
      <c r="W266">
        <v>2455142</v>
      </c>
      <c r="X266">
        <v>2445590</v>
      </c>
      <c r="Y266">
        <v>2435064</v>
      </c>
      <c r="Z266">
        <v>2423594</v>
      </c>
      <c r="AA266">
        <v>2411217</v>
      </c>
      <c r="AB266">
        <v>2397980</v>
      </c>
      <c r="AC266">
        <v>2383938</v>
      </c>
      <c r="AD266">
        <v>2369155</v>
      </c>
      <c r="AE266">
        <v>2353705</v>
      </c>
      <c r="AF266">
        <v>2337670</v>
      </c>
      <c r="AG266">
        <v>2321141</v>
      </c>
      <c r="AH266">
        <v>2304216</v>
      </c>
      <c r="AI266">
        <v>2287005</v>
      </c>
      <c r="AJ266">
        <v>2269625</v>
      </c>
      <c r="AK266">
        <v>2252202</v>
      </c>
      <c r="AL266">
        <v>2234871</v>
      </c>
      <c r="AM266">
        <v>2217775</v>
      </c>
      <c r="AN266">
        <v>2201068</v>
      </c>
      <c r="AO266">
        <v>2184910</v>
      </c>
      <c r="AP266">
        <v>2169473</v>
      </c>
      <c r="AQ266">
        <v>2154934</v>
      </c>
      <c r="AR266">
        <v>2141483</v>
      </c>
      <c r="AS266">
        <v>2129315</v>
      </c>
      <c r="AT266">
        <v>2118637</v>
      </c>
      <c r="AU266">
        <v>2109662</v>
      </c>
      <c r="AV266">
        <v>2102615</v>
      </c>
    </row>
    <row r="267" spans="1:48">
      <c r="A267" t="s">
        <v>723</v>
      </c>
      <c r="B267" t="s">
        <v>724</v>
      </c>
      <c r="C267" t="s">
        <v>358</v>
      </c>
      <c r="D267" s="37">
        <v>1260827.30232291</v>
      </c>
      <c r="E267" s="37">
        <v>1267397.84586932</v>
      </c>
      <c r="F267" s="37">
        <v>1273456.94201158</v>
      </c>
      <c r="G267" s="37">
        <v>1203871</v>
      </c>
      <c r="H267">
        <v>1212134</v>
      </c>
      <c r="I267">
        <v>1219617</v>
      </c>
      <c r="J267">
        <v>1226328</v>
      </c>
      <c r="K267">
        <v>1232278</v>
      </c>
      <c r="L267">
        <v>1237478</v>
      </c>
      <c r="M267">
        <v>1241939</v>
      </c>
      <c r="N267">
        <v>1245673</v>
      </c>
      <c r="O267">
        <v>1248695</v>
      </c>
      <c r="P267">
        <v>1251019</v>
      </c>
      <c r="Q267">
        <v>1252660</v>
      </c>
      <c r="R267">
        <v>1253634</v>
      </c>
      <c r="S267">
        <v>1253960</v>
      </c>
      <c r="T267">
        <v>1253654</v>
      </c>
      <c r="U267">
        <v>1252737</v>
      </c>
      <c r="V267">
        <v>1251229</v>
      </c>
      <c r="W267">
        <v>1249151</v>
      </c>
      <c r="X267">
        <v>1246524</v>
      </c>
      <c r="Y267">
        <v>1243372</v>
      </c>
      <c r="Z267">
        <v>1239719</v>
      </c>
      <c r="AA267">
        <v>1235590</v>
      </c>
      <c r="AB267">
        <v>1231010</v>
      </c>
      <c r="AC267">
        <v>1226006</v>
      </c>
      <c r="AD267">
        <v>1220607</v>
      </c>
      <c r="AE267">
        <v>1214840</v>
      </c>
      <c r="AF267">
        <v>1208735</v>
      </c>
      <c r="AG267">
        <v>1202324</v>
      </c>
      <c r="AH267">
        <v>1195636</v>
      </c>
      <c r="AI267">
        <v>1188706</v>
      </c>
      <c r="AJ267">
        <v>1181566</v>
      </c>
      <c r="AK267">
        <v>1174250</v>
      </c>
      <c r="AL267">
        <v>1166794</v>
      </c>
      <c r="AM267">
        <v>1159234</v>
      </c>
      <c r="AN267">
        <v>1151608</v>
      </c>
      <c r="AO267">
        <v>1143953</v>
      </c>
      <c r="AP267">
        <v>1136308</v>
      </c>
      <c r="AQ267">
        <v>1128714</v>
      </c>
      <c r="AR267">
        <v>1121211</v>
      </c>
      <c r="AS267">
        <v>1113841</v>
      </c>
      <c r="AT267">
        <v>1106647</v>
      </c>
      <c r="AU267">
        <v>1099674</v>
      </c>
      <c r="AV267">
        <v>1092965</v>
      </c>
    </row>
    <row r="268" spans="1:48">
      <c r="A268" t="s">
        <v>725</v>
      </c>
      <c r="B268" t="s">
        <v>726</v>
      </c>
      <c r="C268" t="s">
        <v>358</v>
      </c>
      <c r="D268" s="37">
        <v>4294248.26907319</v>
      </c>
      <c r="E268" s="37">
        <v>4301448.80936624</v>
      </c>
      <c r="F268" s="37">
        <v>4307671.54121832</v>
      </c>
      <c r="G268" s="37">
        <v>4252340</v>
      </c>
      <c r="H268">
        <v>4253646</v>
      </c>
      <c r="I268">
        <v>4258188</v>
      </c>
      <c r="J268">
        <v>4265348</v>
      </c>
      <c r="K268">
        <v>4274544</v>
      </c>
      <c r="L268">
        <v>4285232</v>
      </c>
      <c r="M268">
        <v>4296900</v>
      </c>
      <c r="N268">
        <v>4309073</v>
      </c>
      <c r="O268">
        <v>4321311</v>
      </c>
      <c r="P268">
        <v>4333211</v>
      </c>
      <c r="Q268">
        <v>4344403</v>
      </c>
      <c r="R268">
        <v>4354555</v>
      </c>
      <c r="S268">
        <v>4363369</v>
      </c>
      <c r="T268">
        <v>4370582</v>
      </c>
      <c r="U268">
        <v>4375968</v>
      </c>
      <c r="V268">
        <v>4379335</v>
      </c>
      <c r="W268">
        <v>4380528</v>
      </c>
      <c r="X268">
        <v>4379427</v>
      </c>
      <c r="Y268">
        <v>4375945</v>
      </c>
      <c r="Z268">
        <v>4370035</v>
      </c>
      <c r="AA268">
        <v>4361681</v>
      </c>
      <c r="AB268">
        <v>4350907</v>
      </c>
      <c r="AC268">
        <v>4337767</v>
      </c>
      <c r="AD268">
        <v>4322356</v>
      </c>
      <c r="AE268">
        <v>4304801</v>
      </c>
      <c r="AF268">
        <v>4285266</v>
      </c>
      <c r="AG268">
        <v>4263949</v>
      </c>
      <c r="AH268">
        <v>4241085</v>
      </c>
      <c r="AI268">
        <v>4216943</v>
      </c>
      <c r="AJ268">
        <v>4191829</v>
      </c>
      <c r="AK268">
        <v>4166085</v>
      </c>
      <c r="AL268">
        <v>4140085</v>
      </c>
      <c r="AM268">
        <v>4114242</v>
      </c>
      <c r="AN268">
        <v>4089004</v>
      </c>
      <c r="AO268">
        <v>4064852</v>
      </c>
      <c r="AP268">
        <v>4042305</v>
      </c>
      <c r="AQ268">
        <v>4021917</v>
      </c>
      <c r="AR268">
        <v>4004276</v>
      </c>
      <c r="AS268">
        <v>3990008</v>
      </c>
      <c r="AT268">
        <v>3979773</v>
      </c>
      <c r="AU268">
        <v>3974265</v>
      </c>
      <c r="AV268">
        <v>3974217</v>
      </c>
    </row>
    <row r="269" spans="1:48">
      <c r="A269" t="s">
        <v>727</v>
      </c>
      <c r="B269" t="s">
        <v>728</v>
      </c>
      <c r="C269" t="s">
        <v>358</v>
      </c>
      <c r="D269" s="37">
        <v>3696331.87185521</v>
      </c>
      <c r="E269" s="37">
        <v>3707012.07349967</v>
      </c>
      <c r="F269" s="37">
        <v>3716271.99557336</v>
      </c>
      <c r="G269" s="37">
        <v>3439786</v>
      </c>
      <c r="H269">
        <v>3455741</v>
      </c>
      <c r="I269">
        <v>3468552</v>
      </c>
      <c r="J269">
        <v>3478340</v>
      </c>
      <c r="K269">
        <v>3485228</v>
      </c>
      <c r="L269">
        <v>3489338</v>
      </c>
      <c r="M269">
        <v>3490791</v>
      </c>
      <c r="N269">
        <v>3489708</v>
      </c>
      <c r="O269">
        <v>3486209</v>
      </c>
      <c r="P269">
        <v>3480415</v>
      </c>
      <c r="Q269">
        <v>3472446</v>
      </c>
      <c r="R269">
        <v>3462419</v>
      </c>
      <c r="S269">
        <v>3450455</v>
      </c>
      <c r="T269">
        <v>3436673</v>
      </c>
      <c r="U269">
        <v>3421188</v>
      </c>
      <c r="V269">
        <v>3404121</v>
      </c>
      <c r="W269">
        <v>3385587</v>
      </c>
      <c r="X269">
        <v>3365704</v>
      </c>
      <c r="Y269">
        <v>3344587</v>
      </c>
      <c r="Z269">
        <v>3322353</v>
      </c>
      <c r="AA269">
        <v>3299118</v>
      </c>
      <c r="AB269">
        <v>3274996</v>
      </c>
      <c r="AC269">
        <v>3250102</v>
      </c>
      <c r="AD269">
        <v>3224551</v>
      </c>
      <c r="AE269">
        <v>3198456</v>
      </c>
      <c r="AF269">
        <v>3171930</v>
      </c>
      <c r="AG269">
        <v>3145087</v>
      </c>
      <c r="AH269">
        <v>3118040</v>
      </c>
      <c r="AI269">
        <v>3090900</v>
      </c>
      <c r="AJ269">
        <v>3063780</v>
      </c>
      <c r="AK269">
        <v>3036790</v>
      </c>
      <c r="AL269">
        <v>3010042</v>
      </c>
      <c r="AM269">
        <v>2983647</v>
      </c>
      <c r="AN269">
        <v>2957713</v>
      </c>
      <c r="AO269">
        <v>2932352</v>
      </c>
      <c r="AP269">
        <v>2907672</v>
      </c>
      <c r="AQ269">
        <v>2883783</v>
      </c>
      <c r="AR269">
        <v>2860792</v>
      </c>
      <c r="AS269">
        <v>2838807</v>
      </c>
      <c r="AT269">
        <v>2817937</v>
      </c>
      <c r="AU269">
        <v>2798289</v>
      </c>
      <c r="AV269">
        <v>2779969</v>
      </c>
    </row>
    <row r="270" spans="1:48">
      <c r="A270" t="s">
        <v>729</v>
      </c>
      <c r="B270" t="s">
        <v>730</v>
      </c>
      <c r="C270" t="s">
        <v>358</v>
      </c>
      <c r="D270" s="37">
        <v>4707617.75351701</v>
      </c>
      <c r="E270" s="37">
        <v>4722013.39021187</v>
      </c>
      <c r="F270" s="37">
        <v>4735037.73716474</v>
      </c>
      <c r="G270" s="37">
        <v>4842758</v>
      </c>
      <c r="H270">
        <v>4867708</v>
      </c>
      <c r="I270">
        <v>4888699</v>
      </c>
      <c r="J270">
        <v>4905833</v>
      </c>
      <c r="K270">
        <v>4919213</v>
      </c>
      <c r="L270">
        <v>4928949</v>
      </c>
      <c r="M270">
        <v>4935152</v>
      </c>
      <c r="N270">
        <v>4937938</v>
      </c>
      <c r="O270">
        <v>4937426</v>
      </c>
      <c r="P270">
        <v>4933738</v>
      </c>
      <c r="Q270">
        <v>4927000</v>
      </c>
      <c r="R270">
        <v>4917341</v>
      </c>
      <c r="S270">
        <v>4904893</v>
      </c>
      <c r="T270">
        <v>4889794</v>
      </c>
      <c r="U270">
        <v>4872181</v>
      </c>
      <c r="V270">
        <v>4852200</v>
      </c>
      <c r="W270">
        <v>4829995</v>
      </c>
      <c r="X270">
        <v>4805717</v>
      </c>
      <c r="Y270">
        <v>4779520</v>
      </c>
      <c r="Z270">
        <v>4751560</v>
      </c>
      <c r="AA270">
        <v>4721998</v>
      </c>
      <c r="AB270">
        <v>4690997</v>
      </c>
      <c r="AC270">
        <v>4658725</v>
      </c>
      <c r="AD270">
        <v>4625353</v>
      </c>
      <c r="AE270">
        <v>4591055</v>
      </c>
      <c r="AF270">
        <v>4556008</v>
      </c>
      <c r="AG270">
        <v>4520394</v>
      </c>
      <c r="AH270">
        <v>4484397</v>
      </c>
      <c r="AI270">
        <v>4448205</v>
      </c>
      <c r="AJ270">
        <v>4412010</v>
      </c>
      <c r="AK270">
        <v>4376007</v>
      </c>
      <c r="AL270">
        <v>4340394</v>
      </c>
      <c r="AM270">
        <v>4305373</v>
      </c>
      <c r="AN270">
        <v>4271149</v>
      </c>
      <c r="AO270">
        <v>4237931</v>
      </c>
      <c r="AP270">
        <v>4205932</v>
      </c>
      <c r="AQ270">
        <v>4175367</v>
      </c>
      <c r="AR270">
        <v>4146456</v>
      </c>
      <c r="AS270">
        <v>4119421</v>
      </c>
      <c r="AT270">
        <v>4094487</v>
      </c>
      <c r="AU270">
        <v>4071886</v>
      </c>
      <c r="AV270">
        <v>4051849</v>
      </c>
    </row>
    <row r="271" spans="1:48">
      <c r="A271" t="s">
        <v>731</v>
      </c>
      <c r="B271" t="s">
        <v>732</v>
      </c>
      <c r="C271" t="s">
        <v>358</v>
      </c>
      <c r="D271" s="37">
        <v>2524608.93483186</v>
      </c>
      <c r="E271" s="37">
        <v>2532373.13712134</v>
      </c>
      <c r="F271" s="37">
        <v>2539813.38142054</v>
      </c>
      <c r="G271" s="37">
        <v>2293590</v>
      </c>
      <c r="H271">
        <v>2305457</v>
      </c>
      <c r="I271">
        <v>2316281</v>
      </c>
      <c r="J271">
        <v>2325996</v>
      </c>
      <c r="K271">
        <v>2334541</v>
      </c>
      <c r="L271">
        <v>2341865</v>
      </c>
      <c r="M271">
        <v>2347924</v>
      </c>
      <c r="N271">
        <v>2352684</v>
      </c>
      <c r="O271">
        <v>2356116</v>
      </c>
      <c r="P271">
        <v>2358200</v>
      </c>
      <c r="Q271">
        <v>2358924</v>
      </c>
      <c r="R271">
        <v>2358284</v>
      </c>
      <c r="S271">
        <v>2356284</v>
      </c>
      <c r="T271">
        <v>2352935</v>
      </c>
      <c r="U271">
        <v>2348258</v>
      </c>
      <c r="V271">
        <v>2342278</v>
      </c>
      <c r="W271">
        <v>2335032</v>
      </c>
      <c r="X271">
        <v>2326562</v>
      </c>
      <c r="Y271">
        <v>2316920</v>
      </c>
      <c r="Z271">
        <v>2306165</v>
      </c>
      <c r="AA271">
        <v>2294362</v>
      </c>
      <c r="AB271">
        <v>2281588</v>
      </c>
      <c r="AC271">
        <v>2267923</v>
      </c>
      <c r="AD271">
        <v>2253459</v>
      </c>
      <c r="AE271">
        <v>2238295</v>
      </c>
      <c r="AF271">
        <v>2222535</v>
      </c>
      <c r="AG271">
        <v>2206294</v>
      </c>
      <c r="AH271">
        <v>2189695</v>
      </c>
      <c r="AI271">
        <v>2172866</v>
      </c>
      <c r="AJ271">
        <v>2155946</v>
      </c>
      <c r="AK271">
        <v>2139079</v>
      </c>
      <c r="AL271">
        <v>2122420</v>
      </c>
      <c r="AM271">
        <v>2106130</v>
      </c>
      <c r="AN271">
        <v>2090377</v>
      </c>
      <c r="AO271">
        <v>2075340</v>
      </c>
      <c r="AP271">
        <v>2061202</v>
      </c>
      <c r="AQ271">
        <v>2048156</v>
      </c>
      <c r="AR271">
        <v>2036405</v>
      </c>
      <c r="AS271">
        <v>2026155</v>
      </c>
      <c r="AT271">
        <v>2017623</v>
      </c>
      <c r="AU271">
        <v>2011034</v>
      </c>
      <c r="AV271">
        <v>2006619</v>
      </c>
    </row>
    <row r="272" spans="1:48">
      <c r="A272" t="s">
        <v>733</v>
      </c>
      <c r="B272" t="s">
        <v>734</v>
      </c>
      <c r="C272" t="s">
        <v>358</v>
      </c>
      <c r="D272" s="37">
        <v>3328139.12240262</v>
      </c>
      <c r="E272" s="37">
        <v>3341935.58623168</v>
      </c>
      <c r="F272" s="37">
        <v>3355097.51720566</v>
      </c>
      <c r="G272" s="37">
        <v>2793119</v>
      </c>
      <c r="H272">
        <v>2813842</v>
      </c>
      <c r="I272">
        <v>2832032</v>
      </c>
      <c r="J272">
        <v>2847772</v>
      </c>
      <c r="K272">
        <v>2861146</v>
      </c>
      <c r="L272">
        <v>2872242</v>
      </c>
      <c r="M272">
        <v>2881144</v>
      </c>
      <c r="N272">
        <v>2887941</v>
      </c>
      <c r="O272">
        <v>2892719</v>
      </c>
      <c r="P272">
        <v>2895569</v>
      </c>
      <c r="Q272">
        <v>2896580</v>
      </c>
      <c r="R272">
        <v>2895842</v>
      </c>
      <c r="S272">
        <v>2893446</v>
      </c>
      <c r="T272">
        <v>2889484</v>
      </c>
      <c r="U272">
        <v>2884049</v>
      </c>
      <c r="V272">
        <v>2877235</v>
      </c>
      <c r="W272">
        <v>2869136</v>
      </c>
      <c r="X272">
        <v>2859846</v>
      </c>
      <c r="Y272">
        <v>2849463</v>
      </c>
      <c r="Z272">
        <v>2838082</v>
      </c>
      <c r="AA272">
        <v>2825802</v>
      </c>
      <c r="AB272">
        <v>2812720</v>
      </c>
      <c r="AC272">
        <v>2798936</v>
      </c>
      <c r="AD272">
        <v>2784550</v>
      </c>
      <c r="AE272">
        <v>2769661</v>
      </c>
      <c r="AF272">
        <v>2754372</v>
      </c>
      <c r="AG272">
        <v>2738786</v>
      </c>
      <c r="AH272">
        <v>2723004</v>
      </c>
      <c r="AI272">
        <v>2707132</v>
      </c>
      <c r="AJ272">
        <v>2691273</v>
      </c>
      <c r="AK272">
        <v>2675533</v>
      </c>
      <c r="AL272">
        <v>2660018</v>
      </c>
      <c r="AM272">
        <v>2644835</v>
      </c>
      <c r="AN272">
        <v>2630093</v>
      </c>
      <c r="AO272">
        <v>2615899</v>
      </c>
      <c r="AP272">
        <v>2602364</v>
      </c>
      <c r="AQ272">
        <v>2589597</v>
      </c>
      <c r="AR272">
        <v>2577709</v>
      </c>
      <c r="AS272">
        <v>2566812</v>
      </c>
      <c r="AT272">
        <v>2557019</v>
      </c>
      <c r="AU272">
        <v>2548443</v>
      </c>
      <c r="AV272">
        <v>2541199</v>
      </c>
    </row>
    <row r="273" spans="1:48">
      <c r="A273" t="s">
        <v>735</v>
      </c>
      <c r="B273" t="s">
        <v>736</v>
      </c>
      <c r="C273" t="s">
        <v>358</v>
      </c>
      <c r="D273" s="37">
        <v>3806119.73773924</v>
      </c>
      <c r="E273" s="37">
        <v>3817199.07902825</v>
      </c>
      <c r="F273" s="37">
        <v>3826571.5043626</v>
      </c>
      <c r="G273" s="37">
        <v>3130498</v>
      </c>
      <c r="H273">
        <v>3140250</v>
      </c>
      <c r="I273">
        <v>3149015</v>
      </c>
      <c r="J273">
        <v>3156741</v>
      </c>
      <c r="K273">
        <v>3163384</v>
      </c>
      <c r="L273">
        <v>3168904</v>
      </c>
      <c r="M273">
        <v>3173269</v>
      </c>
      <c r="N273">
        <v>3176451</v>
      </c>
      <c r="O273">
        <v>3178427</v>
      </c>
      <c r="P273">
        <v>3179181</v>
      </c>
      <c r="Q273">
        <v>3178701</v>
      </c>
      <c r="R273">
        <v>3176982</v>
      </c>
      <c r="S273">
        <v>3174025</v>
      </c>
      <c r="T273">
        <v>3169834</v>
      </c>
      <c r="U273">
        <v>3164422</v>
      </c>
      <c r="V273">
        <v>3157805</v>
      </c>
      <c r="W273">
        <v>3150006</v>
      </c>
      <c r="X273">
        <v>3141053</v>
      </c>
      <c r="Y273">
        <v>3130980</v>
      </c>
      <c r="Z273">
        <v>3119825</v>
      </c>
      <c r="AA273">
        <v>3107635</v>
      </c>
      <c r="AB273">
        <v>3094459</v>
      </c>
      <c r="AC273">
        <v>3080354</v>
      </c>
      <c r="AD273">
        <v>3065381</v>
      </c>
      <c r="AE273">
        <v>3049608</v>
      </c>
      <c r="AF273">
        <v>3033108</v>
      </c>
      <c r="AG273">
        <v>3015960</v>
      </c>
      <c r="AH273">
        <v>2998246</v>
      </c>
      <c r="AI273">
        <v>2980058</v>
      </c>
      <c r="AJ273">
        <v>2961491</v>
      </c>
      <c r="AK273">
        <v>2942646</v>
      </c>
      <c r="AL273">
        <v>2923628</v>
      </c>
      <c r="AM273">
        <v>2904551</v>
      </c>
      <c r="AN273">
        <v>2885532</v>
      </c>
      <c r="AO273">
        <v>2866695</v>
      </c>
      <c r="AP273">
        <v>2848168</v>
      </c>
      <c r="AQ273">
        <v>2830086</v>
      </c>
      <c r="AR273">
        <v>2812590</v>
      </c>
      <c r="AS273">
        <v>2795824</v>
      </c>
      <c r="AT273">
        <v>2779941</v>
      </c>
      <c r="AU273">
        <v>2765098</v>
      </c>
      <c r="AV273">
        <v>2751456</v>
      </c>
    </row>
    <row r="274" spans="1:48">
      <c r="A274" t="s">
        <v>737</v>
      </c>
      <c r="B274" t="s">
        <v>738</v>
      </c>
      <c r="C274" t="s">
        <v>358</v>
      </c>
      <c r="D274" s="37">
        <v>3298598.14885639</v>
      </c>
      <c r="E274" s="37">
        <v>3307137.08234308</v>
      </c>
      <c r="F274" s="37">
        <v>3314594.26753178</v>
      </c>
      <c r="G274" s="37">
        <v>3146663</v>
      </c>
      <c r="H274">
        <v>3159755</v>
      </c>
      <c r="I274">
        <v>3170645</v>
      </c>
      <c r="J274">
        <v>3179373</v>
      </c>
      <c r="K274">
        <v>3185980</v>
      </c>
      <c r="L274">
        <v>3190511</v>
      </c>
      <c r="M274">
        <v>3193014</v>
      </c>
      <c r="N274">
        <v>3193539</v>
      </c>
      <c r="O274">
        <v>3192142</v>
      </c>
      <c r="P274">
        <v>3188878</v>
      </c>
      <c r="Q274">
        <v>3183808</v>
      </c>
      <c r="R274">
        <v>3176994</v>
      </c>
      <c r="S274">
        <v>3168502</v>
      </c>
      <c r="T274">
        <v>3158402</v>
      </c>
      <c r="U274">
        <v>3146764</v>
      </c>
      <c r="V274">
        <v>3133665</v>
      </c>
      <c r="W274">
        <v>3119181</v>
      </c>
      <c r="X274">
        <v>3103394</v>
      </c>
      <c r="Y274">
        <v>3086388</v>
      </c>
      <c r="Z274">
        <v>3068248</v>
      </c>
      <c r="AA274">
        <v>3049066</v>
      </c>
      <c r="AB274">
        <v>3028934</v>
      </c>
      <c r="AC274">
        <v>3007948</v>
      </c>
      <c r="AD274">
        <v>2986206</v>
      </c>
      <c r="AE274">
        <v>2963811</v>
      </c>
      <c r="AF274">
        <v>2940868</v>
      </c>
      <c r="AG274">
        <v>2917483</v>
      </c>
      <c r="AH274">
        <v>2893769</v>
      </c>
      <c r="AI274">
        <v>2869838</v>
      </c>
      <c r="AJ274">
        <v>2845808</v>
      </c>
      <c r="AK274">
        <v>2821798</v>
      </c>
      <c r="AL274">
        <v>2797931</v>
      </c>
      <c r="AM274">
        <v>2774334</v>
      </c>
      <c r="AN274">
        <v>2751134</v>
      </c>
      <c r="AO274">
        <v>2728463</v>
      </c>
      <c r="AP274">
        <v>2706457</v>
      </c>
      <c r="AQ274">
        <v>2685253</v>
      </c>
      <c r="AR274">
        <v>2664992</v>
      </c>
      <c r="AS274">
        <v>2645818</v>
      </c>
      <c r="AT274">
        <v>2627877</v>
      </c>
      <c r="AU274">
        <v>2611319</v>
      </c>
      <c r="AV274">
        <v>2596297</v>
      </c>
    </row>
    <row r="275" spans="1:48">
      <c r="A275" t="s">
        <v>739</v>
      </c>
      <c r="B275" t="s">
        <v>740</v>
      </c>
      <c r="C275" t="s">
        <v>358</v>
      </c>
      <c r="D275" s="37">
        <v>6391598.10888535</v>
      </c>
      <c r="E275" s="37">
        <v>6411804.59741058</v>
      </c>
      <c r="F275" s="37">
        <v>6430944.19599034</v>
      </c>
      <c r="G275" s="37">
        <v>5577567</v>
      </c>
      <c r="H275">
        <v>5606906</v>
      </c>
      <c r="I275">
        <v>5633460</v>
      </c>
      <c r="J275">
        <v>5657156</v>
      </c>
      <c r="K275">
        <v>5677934</v>
      </c>
      <c r="L275">
        <v>5695746</v>
      </c>
      <c r="M275">
        <v>5710561</v>
      </c>
      <c r="N275">
        <v>5722356</v>
      </c>
      <c r="O275">
        <v>5731126</v>
      </c>
      <c r="P275">
        <v>5736878</v>
      </c>
      <c r="Q275">
        <v>5739629</v>
      </c>
      <c r="R275">
        <v>5739415</v>
      </c>
      <c r="S275">
        <v>5736281</v>
      </c>
      <c r="T275">
        <v>5730288</v>
      </c>
      <c r="U275">
        <v>5721507</v>
      </c>
      <c r="V275">
        <v>5710026</v>
      </c>
      <c r="W275">
        <v>5695944</v>
      </c>
      <c r="X275">
        <v>5679374</v>
      </c>
      <c r="Y275">
        <v>5660443</v>
      </c>
      <c r="Z275">
        <v>5639290</v>
      </c>
      <c r="AA275">
        <v>5616069</v>
      </c>
      <c r="AB275">
        <v>5590945</v>
      </c>
      <c r="AC275">
        <v>5564098</v>
      </c>
      <c r="AD275">
        <v>5535721</v>
      </c>
      <c r="AE275">
        <v>5506021</v>
      </c>
      <c r="AF275">
        <v>5475217</v>
      </c>
      <c r="AG275">
        <v>5443541</v>
      </c>
      <c r="AH275">
        <v>5411240</v>
      </c>
      <c r="AI275">
        <v>5378575</v>
      </c>
      <c r="AJ275">
        <v>5345816</v>
      </c>
      <c r="AK275">
        <v>5313251</v>
      </c>
      <c r="AL275">
        <v>5281179</v>
      </c>
      <c r="AM275">
        <v>5249913</v>
      </c>
      <c r="AN275">
        <v>5219779</v>
      </c>
      <c r="AO275">
        <v>5191117</v>
      </c>
      <c r="AP275">
        <v>5164279</v>
      </c>
      <c r="AQ275">
        <v>5139631</v>
      </c>
      <c r="AR275">
        <v>5117552</v>
      </c>
      <c r="AS275">
        <v>5098437</v>
      </c>
      <c r="AT275">
        <v>5082689</v>
      </c>
      <c r="AU275">
        <v>5070730</v>
      </c>
      <c r="AV275">
        <v>5062991</v>
      </c>
    </row>
    <row r="276" spans="1:48">
      <c r="A276" t="s">
        <v>741</v>
      </c>
      <c r="B276" t="s">
        <v>742</v>
      </c>
      <c r="C276" t="s">
        <v>358</v>
      </c>
      <c r="D276" s="37">
        <v>2984450.57903436</v>
      </c>
      <c r="E276" s="37">
        <v>2990176.27505342</v>
      </c>
      <c r="F276" s="37">
        <v>2995262.40961895</v>
      </c>
      <c r="G276" s="37">
        <v>2943361</v>
      </c>
      <c r="H276">
        <v>2954765</v>
      </c>
      <c r="I276">
        <v>2964261</v>
      </c>
      <c r="J276">
        <v>2971865</v>
      </c>
      <c r="K276">
        <v>2977595</v>
      </c>
      <c r="L276">
        <v>2981474</v>
      </c>
      <c r="M276">
        <v>2983530</v>
      </c>
      <c r="N276">
        <v>2983795</v>
      </c>
      <c r="O276">
        <v>2982305</v>
      </c>
      <c r="P276">
        <v>2979101</v>
      </c>
      <c r="Q276">
        <v>2974227</v>
      </c>
      <c r="R276">
        <v>2967735</v>
      </c>
      <c r="S276">
        <v>2959676</v>
      </c>
      <c r="T276">
        <v>2950111</v>
      </c>
      <c r="U276">
        <v>2939101</v>
      </c>
      <c r="V276">
        <v>2926713</v>
      </c>
      <c r="W276">
        <v>2913020</v>
      </c>
      <c r="X276">
        <v>2898096</v>
      </c>
      <c r="Y276">
        <v>2882023</v>
      </c>
      <c r="Z276">
        <v>2864884</v>
      </c>
      <c r="AA276">
        <v>2846770</v>
      </c>
      <c r="AB276">
        <v>2827773</v>
      </c>
      <c r="AC276">
        <v>2807991</v>
      </c>
      <c r="AD276">
        <v>2787527</v>
      </c>
      <c r="AE276">
        <v>2766487</v>
      </c>
      <c r="AF276">
        <v>2744982</v>
      </c>
      <c r="AG276">
        <v>2723127</v>
      </c>
      <c r="AH276">
        <v>2701043</v>
      </c>
      <c r="AI276">
        <v>2678854</v>
      </c>
      <c r="AJ276">
        <v>2656688</v>
      </c>
      <c r="AK276">
        <v>2634678</v>
      </c>
      <c r="AL276">
        <v>2612962</v>
      </c>
      <c r="AM276">
        <v>2591682</v>
      </c>
      <c r="AN276">
        <v>2570983</v>
      </c>
      <c r="AO276">
        <v>2551016</v>
      </c>
      <c r="AP276">
        <v>2531936</v>
      </c>
      <c r="AQ276">
        <v>2513903</v>
      </c>
      <c r="AR276">
        <v>2497080</v>
      </c>
      <c r="AS276">
        <v>2481636</v>
      </c>
      <c r="AT276">
        <v>2467743</v>
      </c>
      <c r="AU276">
        <v>2455577</v>
      </c>
      <c r="AV276">
        <v>2445321</v>
      </c>
    </row>
    <row r="277" spans="1:48">
      <c r="A277" t="s">
        <v>743</v>
      </c>
      <c r="B277" t="s">
        <v>744</v>
      </c>
      <c r="C277" t="s">
        <v>358</v>
      </c>
      <c r="D277" s="37">
        <v>4557322.3237829</v>
      </c>
      <c r="E277" s="37">
        <v>4569217.66506887</v>
      </c>
      <c r="F277" s="37">
        <v>4580495.95408711</v>
      </c>
      <c r="G277" s="37">
        <v>4575669</v>
      </c>
      <c r="H277">
        <v>4588296</v>
      </c>
      <c r="I277">
        <v>4603049</v>
      </c>
      <c r="J277">
        <v>4619370</v>
      </c>
      <c r="K277">
        <v>4636738</v>
      </c>
      <c r="L277">
        <v>4654663</v>
      </c>
      <c r="M277">
        <v>4672690</v>
      </c>
      <c r="N277">
        <v>4690398</v>
      </c>
      <c r="O277">
        <v>4707401</v>
      </c>
      <c r="P277">
        <v>4723346</v>
      </c>
      <c r="Q277">
        <v>4737914</v>
      </c>
      <c r="R277">
        <v>4750820</v>
      </c>
      <c r="S277">
        <v>4761814</v>
      </c>
      <c r="T277">
        <v>4770679</v>
      </c>
      <c r="U277">
        <v>4777233</v>
      </c>
      <c r="V277">
        <v>4781326</v>
      </c>
      <c r="W277">
        <v>4782844</v>
      </c>
      <c r="X277">
        <v>4781707</v>
      </c>
      <c r="Y277">
        <v>4777868</v>
      </c>
      <c r="Z277">
        <v>4771315</v>
      </c>
      <c r="AA277">
        <v>4762069</v>
      </c>
      <c r="AB277">
        <v>4750185</v>
      </c>
      <c r="AC277">
        <v>4735755</v>
      </c>
      <c r="AD277">
        <v>4718900</v>
      </c>
      <c r="AE277">
        <v>4699779</v>
      </c>
      <c r="AF277">
        <v>4678583</v>
      </c>
      <c r="AG277">
        <v>4655538</v>
      </c>
      <c r="AH277">
        <v>4630904</v>
      </c>
      <c r="AI277">
        <v>4604975</v>
      </c>
      <c r="AJ277">
        <v>4578078</v>
      </c>
      <c r="AK277">
        <v>4550576</v>
      </c>
      <c r="AL277">
        <v>4522864</v>
      </c>
      <c r="AM277">
        <v>4495371</v>
      </c>
      <c r="AN277">
        <v>4468563</v>
      </c>
      <c r="AO277">
        <v>4442937</v>
      </c>
      <c r="AP277">
        <v>4419025</v>
      </c>
      <c r="AQ277">
        <v>4397392</v>
      </c>
      <c r="AR277">
        <v>4378640</v>
      </c>
      <c r="AS277">
        <v>4363401</v>
      </c>
      <c r="AT277">
        <v>4352345</v>
      </c>
      <c r="AU277">
        <v>4346173</v>
      </c>
      <c r="AV277">
        <v>4345622</v>
      </c>
    </row>
    <row r="278" spans="1:48">
      <c r="A278" t="s">
        <v>745</v>
      </c>
      <c r="B278" t="s">
        <v>746</v>
      </c>
      <c r="C278" t="s">
        <v>358</v>
      </c>
      <c r="D278" s="37">
        <v>3225557.34045239</v>
      </c>
      <c r="E278" s="37">
        <v>3231743.626235</v>
      </c>
      <c r="F278" s="37">
        <v>3238143.51205935</v>
      </c>
      <c r="G278" s="37">
        <v>3243754</v>
      </c>
      <c r="H278">
        <v>3254514</v>
      </c>
      <c r="I278">
        <v>3266175</v>
      </c>
      <c r="J278">
        <v>3278389</v>
      </c>
      <c r="K278">
        <v>3290830</v>
      </c>
      <c r="L278">
        <v>3303200</v>
      </c>
      <c r="M278">
        <v>3315221</v>
      </c>
      <c r="N278">
        <v>3326640</v>
      </c>
      <c r="O278">
        <v>3337228</v>
      </c>
      <c r="P278">
        <v>3346777</v>
      </c>
      <c r="Q278">
        <v>3355106</v>
      </c>
      <c r="R278">
        <v>3362055</v>
      </c>
      <c r="S278">
        <v>3367489</v>
      </c>
      <c r="T278">
        <v>3371296</v>
      </c>
      <c r="U278">
        <v>3373388</v>
      </c>
      <c r="V278">
        <v>3373700</v>
      </c>
      <c r="W278">
        <v>3372191</v>
      </c>
      <c r="X278">
        <v>3368843</v>
      </c>
      <c r="Y278">
        <v>3363662</v>
      </c>
      <c r="Z278">
        <v>3356678</v>
      </c>
      <c r="AA278">
        <v>3347944</v>
      </c>
      <c r="AB278">
        <v>3337537</v>
      </c>
      <c r="AC278">
        <v>3325556</v>
      </c>
      <c r="AD278">
        <v>3312126</v>
      </c>
      <c r="AE278">
        <v>3297394</v>
      </c>
      <c r="AF278">
        <v>3281531</v>
      </c>
      <c r="AG278">
        <v>3264731</v>
      </c>
      <c r="AH278">
        <v>3247213</v>
      </c>
      <c r="AI278">
        <v>3229218</v>
      </c>
      <c r="AJ278">
        <v>3211012</v>
      </c>
      <c r="AK278">
        <v>3192882</v>
      </c>
      <c r="AL278">
        <v>3175143</v>
      </c>
      <c r="AM278">
        <v>3158129</v>
      </c>
      <c r="AN278">
        <v>3142200</v>
      </c>
      <c r="AO278">
        <v>3127739</v>
      </c>
      <c r="AP278">
        <v>3115154</v>
      </c>
      <c r="AQ278">
        <v>3104873</v>
      </c>
      <c r="AR278">
        <v>3097351</v>
      </c>
      <c r="AS278">
        <v>3093065</v>
      </c>
      <c r="AT278">
        <v>3092517</v>
      </c>
      <c r="AU278">
        <v>3096230</v>
      </c>
      <c r="AV278">
        <v>3104752</v>
      </c>
    </row>
    <row r="279" spans="1:48">
      <c r="A279" t="s">
        <v>747</v>
      </c>
      <c r="B279" t="s">
        <v>748</v>
      </c>
      <c r="C279" t="s">
        <v>358</v>
      </c>
      <c r="D279" s="37">
        <v>5584216.48708367</v>
      </c>
      <c r="E279" s="37">
        <v>5599145.99690543</v>
      </c>
      <c r="F279" s="37">
        <v>5612815.25470913</v>
      </c>
      <c r="G279" s="37">
        <v>5371125</v>
      </c>
      <c r="H279">
        <v>5384919</v>
      </c>
      <c r="I279">
        <v>5400322</v>
      </c>
      <c r="J279">
        <v>5416820</v>
      </c>
      <c r="K279">
        <v>5433927</v>
      </c>
      <c r="L279">
        <v>5451193</v>
      </c>
      <c r="M279">
        <v>5468199</v>
      </c>
      <c r="N279">
        <v>5484559</v>
      </c>
      <c r="O279">
        <v>5499919</v>
      </c>
      <c r="P279">
        <v>5513958</v>
      </c>
      <c r="Q279">
        <v>5526386</v>
      </c>
      <c r="R279">
        <v>5536948</v>
      </c>
      <c r="S279">
        <v>5545419</v>
      </c>
      <c r="T279">
        <v>5551607</v>
      </c>
      <c r="U279">
        <v>5555353</v>
      </c>
      <c r="V279">
        <v>5556532</v>
      </c>
      <c r="W279">
        <v>5555047</v>
      </c>
      <c r="X279">
        <v>5550838</v>
      </c>
      <c r="Y279">
        <v>5543876</v>
      </c>
      <c r="Z279">
        <v>5534162</v>
      </c>
      <c r="AA279">
        <v>5521734</v>
      </c>
      <c r="AB279">
        <v>5506658</v>
      </c>
      <c r="AC279">
        <v>5489036</v>
      </c>
      <c r="AD279">
        <v>5469000</v>
      </c>
      <c r="AE279">
        <v>5446715</v>
      </c>
      <c r="AF279">
        <v>5422379</v>
      </c>
      <c r="AG279">
        <v>5396223</v>
      </c>
      <c r="AH279">
        <v>5368509</v>
      </c>
      <c r="AI279">
        <v>5339532</v>
      </c>
      <c r="AJ279">
        <v>5309620</v>
      </c>
      <c r="AK279">
        <v>5279132</v>
      </c>
      <c r="AL279">
        <v>5248462</v>
      </c>
      <c r="AM279">
        <v>5218034</v>
      </c>
      <c r="AN279">
        <v>5188305</v>
      </c>
      <c r="AO279">
        <v>5159765</v>
      </c>
      <c r="AP279">
        <v>5132937</v>
      </c>
      <c r="AQ279">
        <v>5108375</v>
      </c>
      <c r="AR279">
        <v>5086667</v>
      </c>
      <c r="AS279">
        <v>5068431</v>
      </c>
      <c r="AT279">
        <v>5054320</v>
      </c>
      <c r="AU279">
        <v>5045018</v>
      </c>
      <c r="AV279">
        <v>5041243</v>
      </c>
    </row>
    <row r="280" spans="1:48">
      <c r="A280" t="s">
        <v>749</v>
      </c>
      <c r="B280" t="s">
        <v>750</v>
      </c>
      <c r="C280" t="s">
        <v>358</v>
      </c>
      <c r="D280" s="37">
        <v>1548902.81916974</v>
      </c>
      <c r="E280" s="37">
        <v>1554853.33743081</v>
      </c>
      <c r="F280" s="37">
        <v>1560343.41720046</v>
      </c>
      <c r="G280" s="37">
        <v>1426430</v>
      </c>
      <c r="H280">
        <v>1434440</v>
      </c>
      <c r="I280">
        <v>1441758</v>
      </c>
      <c r="J280">
        <v>1448367</v>
      </c>
      <c r="K280">
        <v>1454249</v>
      </c>
      <c r="L280">
        <v>1459392</v>
      </c>
      <c r="M280">
        <v>1463786</v>
      </c>
      <c r="N280">
        <v>1467423</v>
      </c>
      <c r="O280">
        <v>1470300</v>
      </c>
      <c r="P280">
        <v>1472413</v>
      </c>
      <c r="Q280">
        <v>1473766</v>
      </c>
      <c r="R280">
        <v>1474362</v>
      </c>
      <c r="S280">
        <v>1474208</v>
      </c>
      <c r="T280">
        <v>1473315</v>
      </c>
      <c r="U280">
        <v>1471695</v>
      </c>
      <c r="V280">
        <v>1469365</v>
      </c>
      <c r="W280">
        <v>1466342</v>
      </c>
      <c r="X280">
        <v>1462650</v>
      </c>
      <c r="Y280">
        <v>1458312</v>
      </c>
      <c r="Z280">
        <v>1453356</v>
      </c>
      <c r="AA280">
        <v>1447813</v>
      </c>
      <c r="AB280">
        <v>1441715</v>
      </c>
      <c r="AC280">
        <v>1435099</v>
      </c>
      <c r="AD280">
        <v>1428004</v>
      </c>
      <c r="AE280">
        <v>1420471</v>
      </c>
      <c r="AF280">
        <v>1412547</v>
      </c>
      <c r="AG280">
        <v>1404278</v>
      </c>
      <c r="AH280">
        <v>1395715</v>
      </c>
      <c r="AI280">
        <v>1386911</v>
      </c>
      <c r="AJ280">
        <v>1377924</v>
      </c>
      <c r="AK280">
        <v>1368813</v>
      </c>
      <c r="AL280">
        <v>1359639</v>
      </c>
      <c r="AM280">
        <v>1350469</v>
      </c>
      <c r="AN280">
        <v>1341369</v>
      </c>
      <c r="AO280">
        <v>1332412</v>
      </c>
      <c r="AP280">
        <v>1323670</v>
      </c>
      <c r="AQ280">
        <v>1315221</v>
      </c>
      <c r="AR280">
        <v>1307144</v>
      </c>
      <c r="AS280">
        <v>1299522</v>
      </c>
      <c r="AT280">
        <v>1292441</v>
      </c>
      <c r="AU280">
        <v>1285988</v>
      </c>
      <c r="AV280">
        <v>1280255</v>
      </c>
    </row>
    <row r="281" spans="1:48">
      <c r="A281" t="s">
        <v>751</v>
      </c>
      <c r="B281" t="s">
        <v>752</v>
      </c>
      <c r="C281" t="s">
        <v>358</v>
      </c>
      <c r="D281" s="37">
        <v>3341374.0997195</v>
      </c>
      <c r="E281" s="37">
        <v>3355543.02750053</v>
      </c>
      <c r="F281" s="37">
        <v>3369939.23707781</v>
      </c>
      <c r="G281" s="37">
        <v>2693347</v>
      </c>
      <c r="H281">
        <v>2712641</v>
      </c>
      <c r="I281">
        <v>2731441</v>
      </c>
      <c r="J281">
        <v>2749580</v>
      </c>
      <c r="K281">
        <v>2766907</v>
      </c>
      <c r="L281">
        <v>2783282</v>
      </c>
      <c r="M281">
        <v>2798581</v>
      </c>
      <c r="N281">
        <v>2812691</v>
      </c>
      <c r="O281">
        <v>2825515</v>
      </c>
      <c r="P281">
        <v>2836968</v>
      </c>
      <c r="Q281">
        <v>2846978</v>
      </c>
      <c r="R281">
        <v>2855487</v>
      </c>
      <c r="S281">
        <v>2862452</v>
      </c>
      <c r="T281">
        <v>2867842</v>
      </c>
      <c r="U281">
        <v>2871640</v>
      </c>
      <c r="V281">
        <v>2873841</v>
      </c>
      <c r="W281">
        <v>2874456</v>
      </c>
      <c r="X281">
        <v>2873508</v>
      </c>
      <c r="Y281">
        <v>2871033</v>
      </c>
      <c r="Z281">
        <v>2867082</v>
      </c>
      <c r="AA281">
        <v>2861720</v>
      </c>
      <c r="AB281">
        <v>2855022</v>
      </c>
      <c r="AC281">
        <v>2847080</v>
      </c>
      <c r="AD281">
        <v>2837999</v>
      </c>
      <c r="AE281">
        <v>2827895</v>
      </c>
      <c r="AF281">
        <v>2816901</v>
      </c>
      <c r="AG281">
        <v>2805162</v>
      </c>
      <c r="AH281">
        <v>2792834</v>
      </c>
      <c r="AI281">
        <v>2780091</v>
      </c>
      <c r="AJ281">
        <v>2767118</v>
      </c>
      <c r="AK281">
        <v>2754113</v>
      </c>
      <c r="AL281">
        <v>2741289</v>
      </c>
      <c r="AM281">
        <v>2728872</v>
      </c>
      <c r="AN281">
        <v>2717101</v>
      </c>
      <c r="AO281">
        <v>2706229</v>
      </c>
      <c r="AP281">
        <v>2696522</v>
      </c>
      <c r="AQ281">
        <v>2688260</v>
      </c>
      <c r="AR281">
        <v>2681737</v>
      </c>
      <c r="AS281">
        <v>2677259</v>
      </c>
      <c r="AT281">
        <v>2675147</v>
      </c>
      <c r="AU281">
        <v>2675734</v>
      </c>
      <c r="AV281">
        <v>2679369</v>
      </c>
    </row>
    <row r="282" spans="1:48">
      <c r="A282" t="s">
        <v>753</v>
      </c>
      <c r="B282" t="s">
        <v>754</v>
      </c>
      <c r="C282" t="s">
        <v>358</v>
      </c>
      <c r="D282" s="37">
        <v>2639553.27419899</v>
      </c>
      <c r="E282" s="37">
        <v>2641888.02921961</v>
      </c>
      <c r="F282" s="37">
        <v>2643031.31360372</v>
      </c>
      <c r="G282" s="37">
        <v>2310197</v>
      </c>
      <c r="H282">
        <v>2308279</v>
      </c>
      <c r="I282">
        <v>2306829</v>
      </c>
      <c r="J282">
        <v>2305695</v>
      </c>
      <c r="K282">
        <v>2304734</v>
      </c>
      <c r="L282">
        <v>2303814</v>
      </c>
      <c r="M282">
        <v>2302811</v>
      </c>
      <c r="N282">
        <v>2301613</v>
      </c>
      <c r="O282">
        <v>2300115</v>
      </c>
      <c r="P282">
        <v>2298224</v>
      </c>
      <c r="Q282">
        <v>2295855</v>
      </c>
      <c r="R282">
        <v>2292933</v>
      </c>
      <c r="S282">
        <v>2289393</v>
      </c>
      <c r="T282">
        <v>2285179</v>
      </c>
      <c r="U282">
        <v>2280245</v>
      </c>
      <c r="V282">
        <v>2274556</v>
      </c>
      <c r="W282">
        <v>2268084</v>
      </c>
      <c r="X282">
        <v>2260812</v>
      </c>
      <c r="Y282">
        <v>2252733</v>
      </c>
      <c r="Z282">
        <v>2243850</v>
      </c>
      <c r="AA282">
        <v>2234173</v>
      </c>
      <c r="AB282">
        <v>2223724</v>
      </c>
      <c r="AC282">
        <v>2212535</v>
      </c>
      <c r="AD282">
        <v>2200647</v>
      </c>
      <c r="AE282">
        <v>2188108</v>
      </c>
      <c r="AF282">
        <v>2174981</v>
      </c>
      <c r="AG282">
        <v>2161333</v>
      </c>
      <c r="AH282">
        <v>2147246</v>
      </c>
      <c r="AI282">
        <v>2132806</v>
      </c>
      <c r="AJ282">
        <v>2118113</v>
      </c>
      <c r="AK282">
        <v>2103276</v>
      </c>
      <c r="AL282">
        <v>2088411</v>
      </c>
      <c r="AM282">
        <v>2073647</v>
      </c>
      <c r="AN282">
        <v>2059120</v>
      </c>
      <c r="AO282">
        <v>2044977</v>
      </c>
      <c r="AP282">
        <v>2031374</v>
      </c>
      <c r="AQ282">
        <v>2018478</v>
      </c>
      <c r="AR282">
        <v>2006463</v>
      </c>
      <c r="AS282">
        <v>1995516</v>
      </c>
      <c r="AT282">
        <v>1985831</v>
      </c>
      <c r="AU282">
        <v>1977612</v>
      </c>
      <c r="AV282">
        <v>1971074</v>
      </c>
    </row>
    <row r="283" spans="1:48">
      <c r="A283" t="s">
        <v>755</v>
      </c>
      <c r="B283" t="s">
        <v>756</v>
      </c>
      <c r="C283" t="s">
        <v>358</v>
      </c>
      <c r="D283" s="37">
        <v>942803.195414056</v>
      </c>
      <c r="E283" s="37">
        <v>950127.527327469</v>
      </c>
      <c r="F283" s="37">
        <v>957252.924030968</v>
      </c>
      <c r="G283" s="37">
        <v>813427</v>
      </c>
      <c r="H283">
        <v>822535</v>
      </c>
      <c r="I283">
        <v>831178</v>
      </c>
      <c r="J283">
        <v>839349</v>
      </c>
      <c r="K283">
        <v>847043</v>
      </c>
      <c r="L283">
        <v>854255</v>
      </c>
      <c r="M283">
        <v>860983</v>
      </c>
      <c r="N283">
        <v>867224</v>
      </c>
      <c r="O283">
        <v>872979</v>
      </c>
      <c r="P283">
        <v>878248</v>
      </c>
      <c r="Q283">
        <v>883033</v>
      </c>
      <c r="R283">
        <v>887338</v>
      </c>
      <c r="S283">
        <v>891169</v>
      </c>
      <c r="T283">
        <v>894530</v>
      </c>
      <c r="U283">
        <v>897431</v>
      </c>
      <c r="V283">
        <v>899879</v>
      </c>
      <c r="W283">
        <v>901885</v>
      </c>
      <c r="X283">
        <v>903461</v>
      </c>
      <c r="Y283">
        <v>904619</v>
      </c>
      <c r="Z283">
        <v>905374</v>
      </c>
      <c r="AA283">
        <v>905740</v>
      </c>
      <c r="AB283">
        <v>905736</v>
      </c>
      <c r="AC283">
        <v>905379</v>
      </c>
      <c r="AD283">
        <v>904689</v>
      </c>
      <c r="AE283">
        <v>903686</v>
      </c>
      <c r="AF283">
        <v>902392</v>
      </c>
      <c r="AG283">
        <v>900832</v>
      </c>
      <c r="AH283">
        <v>899029</v>
      </c>
      <c r="AI283">
        <v>897011</v>
      </c>
      <c r="AJ283">
        <v>894804</v>
      </c>
      <c r="AK283">
        <v>892437</v>
      </c>
      <c r="AL283">
        <v>889940</v>
      </c>
      <c r="AM283">
        <v>887345</v>
      </c>
      <c r="AN283">
        <v>884685</v>
      </c>
      <c r="AO283">
        <v>881993</v>
      </c>
      <c r="AP283">
        <v>879306</v>
      </c>
      <c r="AQ283">
        <v>876658</v>
      </c>
      <c r="AR283">
        <v>874090</v>
      </c>
      <c r="AS283">
        <v>871639</v>
      </c>
      <c r="AT283">
        <v>869348</v>
      </c>
      <c r="AU283">
        <v>867257</v>
      </c>
      <c r="AV283">
        <v>865410</v>
      </c>
    </row>
    <row r="284" spans="1:48">
      <c r="A284" t="s">
        <v>757</v>
      </c>
      <c r="B284" t="s">
        <v>757</v>
      </c>
      <c r="C284" t="s">
        <v>358</v>
      </c>
      <c r="D284" s="37">
        <v>1150702.80278277</v>
      </c>
      <c r="E284" s="37">
        <v>1159192.11677585</v>
      </c>
      <c r="F284" s="37">
        <v>1167335.92150636</v>
      </c>
      <c r="G284" s="37">
        <v>1097851</v>
      </c>
      <c r="H284">
        <v>1107370</v>
      </c>
      <c r="I284">
        <v>1117030</v>
      </c>
      <c r="J284">
        <v>1126747</v>
      </c>
      <c r="K284">
        <v>1136441</v>
      </c>
      <c r="L284">
        <v>1146037</v>
      </c>
      <c r="M284">
        <v>1155466</v>
      </c>
      <c r="N284">
        <v>1164664</v>
      </c>
      <c r="O284">
        <v>1173570</v>
      </c>
      <c r="P284">
        <v>1182130</v>
      </c>
      <c r="Q284">
        <v>1190294</v>
      </c>
      <c r="R284">
        <v>1198018</v>
      </c>
      <c r="S284">
        <v>1205261</v>
      </c>
      <c r="T284">
        <v>1211988</v>
      </c>
      <c r="U284">
        <v>1218170</v>
      </c>
      <c r="V284">
        <v>1223781</v>
      </c>
      <c r="W284">
        <v>1228801</v>
      </c>
      <c r="X284">
        <v>1233216</v>
      </c>
      <c r="Y284">
        <v>1237014</v>
      </c>
      <c r="Z284">
        <v>1240191</v>
      </c>
      <c r="AA284">
        <v>1242747</v>
      </c>
      <c r="AB284">
        <v>1244685</v>
      </c>
      <c r="AC284">
        <v>1246016</v>
      </c>
      <c r="AD284">
        <v>1246754</v>
      </c>
      <c r="AE284">
        <v>1246919</v>
      </c>
      <c r="AF284">
        <v>1246534</v>
      </c>
      <c r="AG284">
        <v>1245630</v>
      </c>
      <c r="AH284">
        <v>1244241</v>
      </c>
      <c r="AI284">
        <v>1242406</v>
      </c>
      <c r="AJ284">
        <v>1240168</v>
      </c>
      <c r="AK284">
        <v>1237578</v>
      </c>
      <c r="AL284">
        <v>1234690</v>
      </c>
      <c r="AM284">
        <v>1231562</v>
      </c>
      <c r="AN284">
        <v>1228259</v>
      </c>
      <c r="AO284">
        <v>1224849</v>
      </c>
      <c r="AP284">
        <v>1221406</v>
      </c>
      <c r="AQ284">
        <v>1218010</v>
      </c>
      <c r="AR284">
        <v>1214743</v>
      </c>
      <c r="AS284">
        <v>1211696</v>
      </c>
      <c r="AT284">
        <v>1208960</v>
      </c>
      <c r="AU284">
        <v>1206636</v>
      </c>
      <c r="AV284">
        <v>1204827</v>
      </c>
    </row>
    <row r="285" spans="1:48">
      <c r="A285" t="s">
        <v>758</v>
      </c>
      <c r="B285" t="s">
        <v>759</v>
      </c>
      <c r="C285" t="s">
        <v>358</v>
      </c>
      <c r="D285" s="37">
        <v>4730163.26876791</v>
      </c>
      <c r="E285" s="37">
        <v>4757985.79027774</v>
      </c>
      <c r="F285" s="37">
        <v>4785098.01928785</v>
      </c>
      <c r="G285" s="37">
        <v>4830059</v>
      </c>
      <c r="H285">
        <v>4858109</v>
      </c>
      <c r="I285">
        <v>4891026</v>
      </c>
      <c r="J285">
        <v>4927953</v>
      </c>
      <c r="K285">
        <v>4968079</v>
      </c>
      <c r="L285">
        <v>5010640</v>
      </c>
      <c r="M285">
        <v>5054915</v>
      </c>
      <c r="N285">
        <v>5100233</v>
      </c>
      <c r="O285">
        <v>5145966</v>
      </c>
      <c r="P285">
        <v>5191531</v>
      </c>
      <c r="Q285">
        <v>5236394</v>
      </c>
      <c r="R285">
        <v>5280065</v>
      </c>
      <c r="S285">
        <v>5322099</v>
      </c>
      <c r="T285">
        <v>5362099</v>
      </c>
      <c r="U285">
        <v>5399711</v>
      </c>
      <c r="V285">
        <v>5434630</v>
      </c>
      <c r="W285">
        <v>5466595</v>
      </c>
      <c r="X285">
        <v>5495391</v>
      </c>
      <c r="Y285">
        <v>5520848</v>
      </c>
      <c r="Z285">
        <v>5542844</v>
      </c>
      <c r="AA285">
        <v>5561300</v>
      </c>
      <c r="AB285">
        <v>5576187</v>
      </c>
      <c r="AC285">
        <v>5587517</v>
      </c>
      <c r="AD285">
        <v>5595351</v>
      </c>
      <c r="AE285">
        <v>5599794</v>
      </c>
      <c r="AF285">
        <v>5600999</v>
      </c>
      <c r="AG285">
        <v>5599163</v>
      </c>
      <c r="AH285">
        <v>5594530</v>
      </c>
      <c r="AI285">
        <v>5587388</v>
      </c>
      <c r="AJ285">
        <v>5578073</v>
      </c>
      <c r="AK285">
        <v>5566965</v>
      </c>
      <c r="AL285">
        <v>5554492</v>
      </c>
      <c r="AM285">
        <v>5541126</v>
      </c>
      <c r="AN285">
        <v>5527385</v>
      </c>
      <c r="AO285">
        <v>5513833</v>
      </c>
      <c r="AP285">
        <v>5501080</v>
      </c>
      <c r="AQ285">
        <v>5489783</v>
      </c>
      <c r="AR285">
        <v>5480643</v>
      </c>
      <c r="AS285">
        <v>5474408</v>
      </c>
      <c r="AT285">
        <v>5471870</v>
      </c>
      <c r="AU285">
        <v>5473869</v>
      </c>
      <c r="AV285">
        <v>5481291</v>
      </c>
    </row>
    <row r="286" spans="1:48">
      <c r="A286" t="s">
        <v>760</v>
      </c>
      <c r="B286" t="s">
        <v>761</v>
      </c>
      <c r="C286" t="s">
        <v>358</v>
      </c>
      <c r="D286" s="37">
        <v>4530214.69575666</v>
      </c>
      <c r="E286" s="37">
        <v>4561631.07370818</v>
      </c>
      <c r="F286" s="37">
        <v>4591320.22255464</v>
      </c>
      <c r="G286" s="37">
        <v>5930175</v>
      </c>
      <c r="H286">
        <v>5986628</v>
      </c>
      <c r="I286">
        <v>6038287</v>
      </c>
      <c r="J286">
        <v>6085281</v>
      </c>
      <c r="K286">
        <v>6127743</v>
      </c>
      <c r="L286">
        <v>6165802</v>
      </c>
      <c r="M286">
        <v>6199592</v>
      </c>
      <c r="N286">
        <v>6229245</v>
      </c>
      <c r="O286">
        <v>6254895</v>
      </c>
      <c r="P286">
        <v>6276676</v>
      </c>
      <c r="Q286">
        <v>6294723</v>
      </c>
      <c r="R286">
        <v>6309172</v>
      </c>
      <c r="S286">
        <v>6320158</v>
      </c>
      <c r="T286">
        <v>6327820</v>
      </c>
      <c r="U286">
        <v>6332295</v>
      </c>
      <c r="V286">
        <v>6333720</v>
      </c>
      <c r="W286">
        <v>6332237</v>
      </c>
      <c r="X286">
        <v>6327983</v>
      </c>
      <c r="Y286">
        <v>6321100</v>
      </c>
      <c r="Z286">
        <v>6311729</v>
      </c>
      <c r="AA286">
        <v>6300011</v>
      </c>
      <c r="AB286">
        <v>6286090</v>
      </c>
      <c r="AC286">
        <v>6270109</v>
      </c>
      <c r="AD286">
        <v>6252211</v>
      </c>
      <c r="AE286">
        <v>6232541</v>
      </c>
      <c r="AF286">
        <v>6211245</v>
      </c>
      <c r="AG286">
        <v>6188469</v>
      </c>
      <c r="AH286">
        <v>6164360</v>
      </c>
      <c r="AI286">
        <v>6139064</v>
      </c>
      <c r="AJ286">
        <v>6112730</v>
      </c>
      <c r="AK286">
        <v>6085507</v>
      </c>
      <c r="AL286">
        <v>6057545</v>
      </c>
      <c r="AM286">
        <v>6028993</v>
      </c>
      <c r="AN286">
        <v>6000003</v>
      </c>
      <c r="AO286">
        <v>5970726</v>
      </c>
      <c r="AP286">
        <v>5941314</v>
      </c>
      <c r="AQ286">
        <v>5911921</v>
      </c>
      <c r="AR286">
        <v>5882700</v>
      </c>
      <c r="AS286">
        <v>5853806</v>
      </c>
      <c r="AT286">
        <v>5825393</v>
      </c>
      <c r="AU286">
        <v>5797618</v>
      </c>
      <c r="AV286">
        <v>5770636</v>
      </c>
    </row>
    <row r="287" spans="1:48">
      <c r="A287" t="s">
        <v>762</v>
      </c>
      <c r="B287" t="s">
        <v>763</v>
      </c>
      <c r="C287" t="s">
        <v>358</v>
      </c>
      <c r="D287" s="37">
        <v>2953125.11245223</v>
      </c>
      <c r="E287" s="37">
        <v>2972523.96347372</v>
      </c>
      <c r="F287" s="37">
        <v>2991968.24046389</v>
      </c>
      <c r="G287" s="37">
        <v>3002928</v>
      </c>
      <c r="H287">
        <v>3031418</v>
      </c>
      <c r="I287">
        <v>3060053</v>
      </c>
      <c r="J287">
        <v>3088560</v>
      </c>
      <c r="K287">
        <v>3116686</v>
      </c>
      <c r="L287">
        <v>3144193</v>
      </c>
      <c r="M287">
        <v>3170864</v>
      </c>
      <c r="N287">
        <v>3196499</v>
      </c>
      <c r="O287">
        <v>3220916</v>
      </c>
      <c r="P287">
        <v>3243950</v>
      </c>
      <c r="Q287">
        <v>3265458</v>
      </c>
      <c r="R287">
        <v>3285313</v>
      </c>
      <c r="S287">
        <v>3303404</v>
      </c>
      <c r="T287">
        <v>3319642</v>
      </c>
      <c r="U287">
        <v>3333954</v>
      </c>
      <c r="V287">
        <v>3346286</v>
      </c>
      <c r="W287">
        <v>3356601</v>
      </c>
      <c r="X287">
        <v>3364883</v>
      </c>
      <c r="Y287">
        <v>3371132</v>
      </c>
      <c r="Z287">
        <v>3375366</v>
      </c>
      <c r="AA287">
        <v>3377622</v>
      </c>
      <c r="AB287">
        <v>3377955</v>
      </c>
      <c r="AC287">
        <v>3376439</v>
      </c>
      <c r="AD287">
        <v>3373165</v>
      </c>
      <c r="AE287">
        <v>3368243</v>
      </c>
      <c r="AF287">
        <v>3361800</v>
      </c>
      <c r="AG287">
        <v>3353984</v>
      </c>
      <c r="AH287">
        <v>3344958</v>
      </c>
      <c r="AI287">
        <v>3334905</v>
      </c>
      <c r="AJ287">
        <v>3324026</v>
      </c>
      <c r="AK287">
        <v>3312539</v>
      </c>
      <c r="AL287">
        <v>3300683</v>
      </c>
      <c r="AM287">
        <v>3288713</v>
      </c>
      <c r="AN287">
        <v>3276901</v>
      </c>
      <c r="AO287">
        <v>3265541</v>
      </c>
      <c r="AP287">
        <v>3254942</v>
      </c>
      <c r="AQ287">
        <v>3245433</v>
      </c>
      <c r="AR287">
        <v>3237361</v>
      </c>
      <c r="AS287">
        <v>3231089</v>
      </c>
      <c r="AT287">
        <v>3227001</v>
      </c>
      <c r="AU287">
        <v>3225499</v>
      </c>
      <c r="AV287">
        <v>3227001</v>
      </c>
    </row>
    <row r="288" spans="1:48">
      <c r="A288" t="s">
        <v>764</v>
      </c>
      <c r="B288" t="s">
        <v>765</v>
      </c>
      <c r="C288" t="s">
        <v>358</v>
      </c>
      <c r="D288" s="37">
        <v>6254409.96618168</v>
      </c>
      <c r="E288" s="37">
        <v>6277895.76008231</v>
      </c>
      <c r="F288" s="37">
        <v>6301338.29231938</v>
      </c>
      <c r="G288" s="37">
        <v>6575302</v>
      </c>
      <c r="H288">
        <v>6606192</v>
      </c>
      <c r="I288">
        <v>6640338</v>
      </c>
      <c r="J288">
        <v>6676848</v>
      </c>
      <c r="K288">
        <v>6714881</v>
      </c>
      <c r="L288">
        <v>6753654</v>
      </c>
      <c r="M288">
        <v>6792439</v>
      </c>
      <c r="N288">
        <v>6830560</v>
      </c>
      <c r="O288">
        <v>6867398</v>
      </c>
      <c r="P288">
        <v>6902390</v>
      </c>
      <c r="Q288">
        <v>6935026</v>
      </c>
      <c r="R288">
        <v>6964850</v>
      </c>
      <c r="S288">
        <v>6991465</v>
      </c>
      <c r="T288">
        <v>7014524</v>
      </c>
      <c r="U288">
        <v>7033739</v>
      </c>
      <c r="V288">
        <v>7048874</v>
      </c>
      <c r="W288">
        <v>7059750</v>
      </c>
      <c r="X288">
        <v>7066241</v>
      </c>
      <c r="Y288">
        <v>7068277</v>
      </c>
      <c r="Z288">
        <v>7065843</v>
      </c>
      <c r="AA288">
        <v>7058979</v>
      </c>
      <c r="AB288">
        <v>7047780</v>
      </c>
      <c r="AC288">
        <v>7032395</v>
      </c>
      <c r="AD288">
        <v>7013029</v>
      </c>
      <c r="AE288">
        <v>6989940</v>
      </c>
      <c r="AF288">
        <v>6963444</v>
      </c>
      <c r="AG288">
        <v>6933909</v>
      </c>
      <c r="AH288">
        <v>6901760</v>
      </c>
      <c r="AI288">
        <v>6867475</v>
      </c>
      <c r="AJ288">
        <v>6831589</v>
      </c>
      <c r="AK288">
        <v>6794691</v>
      </c>
      <c r="AL288">
        <v>6757424</v>
      </c>
      <c r="AM288">
        <v>6720487</v>
      </c>
      <c r="AN288">
        <v>6684633</v>
      </c>
      <c r="AO288">
        <v>6650672</v>
      </c>
      <c r="AP288">
        <v>6619467</v>
      </c>
      <c r="AQ288">
        <v>6591936</v>
      </c>
      <c r="AR288">
        <v>6569052</v>
      </c>
      <c r="AS288">
        <v>6551843</v>
      </c>
      <c r="AT288">
        <v>6541394</v>
      </c>
      <c r="AU288">
        <v>6538841</v>
      </c>
      <c r="AV288">
        <v>6545378</v>
      </c>
    </row>
    <row r="289" spans="1:48">
      <c r="A289" t="s">
        <v>766</v>
      </c>
      <c r="B289" t="s">
        <v>767</v>
      </c>
      <c r="C289" t="s">
        <v>358</v>
      </c>
      <c r="D289" s="37">
        <v>2364956.06197169</v>
      </c>
      <c r="E289" s="37">
        <v>2375544.83020643</v>
      </c>
      <c r="F289" s="37">
        <v>2385960.43928313</v>
      </c>
      <c r="G289" s="37">
        <v>2458977</v>
      </c>
      <c r="H289">
        <v>2470443</v>
      </c>
      <c r="I289">
        <v>2483790</v>
      </c>
      <c r="J289">
        <v>2498630</v>
      </c>
      <c r="K289">
        <v>2514598</v>
      </c>
      <c r="L289">
        <v>2531349</v>
      </c>
      <c r="M289">
        <v>2548563</v>
      </c>
      <c r="N289">
        <v>2565940</v>
      </c>
      <c r="O289">
        <v>2583204</v>
      </c>
      <c r="P289">
        <v>2600099</v>
      </c>
      <c r="Q289">
        <v>2616394</v>
      </c>
      <c r="R289">
        <v>2631878</v>
      </c>
      <c r="S289">
        <v>2646363</v>
      </c>
      <c r="T289">
        <v>2659684</v>
      </c>
      <c r="U289">
        <v>2671697</v>
      </c>
      <c r="V289">
        <v>2682282</v>
      </c>
      <c r="W289">
        <v>2691338</v>
      </c>
      <c r="X289">
        <v>2698789</v>
      </c>
      <c r="Y289">
        <v>2704582</v>
      </c>
      <c r="Z289">
        <v>2708682</v>
      </c>
      <c r="AA289">
        <v>2711082</v>
      </c>
      <c r="AB289">
        <v>2711792</v>
      </c>
      <c r="AC289">
        <v>2710847</v>
      </c>
      <c r="AD289">
        <v>2708304</v>
      </c>
      <c r="AE289">
        <v>2704242</v>
      </c>
      <c r="AF289">
        <v>2698762</v>
      </c>
      <c r="AG289">
        <v>2691987</v>
      </c>
      <c r="AH289">
        <v>2684064</v>
      </c>
      <c r="AI289">
        <v>2675159</v>
      </c>
      <c r="AJ289">
        <v>2665464</v>
      </c>
      <c r="AK289">
        <v>2655189</v>
      </c>
      <c r="AL289">
        <v>2644571</v>
      </c>
      <c r="AM289">
        <v>2633866</v>
      </c>
      <c r="AN289">
        <v>2623352</v>
      </c>
      <c r="AO289">
        <v>2613332</v>
      </c>
      <c r="AP289">
        <v>2604129</v>
      </c>
      <c r="AQ289">
        <v>2596088</v>
      </c>
      <c r="AR289">
        <v>2589577</v>
      </c>
      <c r="AS289">
        <v>2584988</v>
      </c>
      <c r="AT289">
        <v>2582732</v>
      </c>
      <c r="AU289">
        <v>2583244</v>
      </c>
      <c r="AV289">
        <v>2586980</v>
      </c>
    </row>
    <row r="290" spans="1:48">
      <c r="A290" t="s">
        <v>768</v>
      </c>
      <c r="B290" t="s">
        <v>769</v>
      </c>
      <c r="C290" t="s">
        <v>358</v>
      </c>
      <c r="D290" s="37">
        <v>6710809.64579471</v>
      </c>
      <c r="E290" s="37">
        <v>6743147.62105193</v>
      </c>
      <c r="F290" s="37">
        <v>6776667.85361925</v>
      </c>
      <c r="G290" s="37">
        <v>6864173</v>
      </c>
      <c r="H290">
        <v>6899184</v>
      </c>
      <c r="I290">
        <v>6944225</v>
      </c>
      <c r="J290">
        <v>6997603</v>
      </c>
      <c r="K290">
        <v>7057716</v>
      </c>
      <c r="L290">
        <v>7123058</v>
      </c>
      <c r="M290">
        <v>7192212</v>
      </c>
      <c r="N290">
        <v>7263857</v>
      </c>
      <c r="O290">
        <v>7336766</v>
      </c>
      <c r="P290">
        <v>7409801</v>
      </c>
      <c r="Q290">
        <v>7481922</v>
      </c>
      <c r="R290">
        <v>7552178</v>
      </c>
      <c r="S290">
        <v>7619712</v>
      </c>
      <c r="T290">
        <v>7683762</v>
      </c>
      <c r="U290">
        <v>7743658</v>
      </c>
      <c r="V290">
        <v>7798821</v>
      </c>
      <c r="W290">
        <v>7848768</v>
      </c>
      <c r="X290">
        <v>7893107</v>
      </c>
      <c r="Y290">
        <v>7931540</v>
      </c>
      <c r="Z290">
        <v>7963863</v>
      </c>
      <c r="AA290">
        <v>7989962</v>
      </c>
      <c r="AB290">
        <v>8009820</v>
      </c>
      <c r="AC290">
        <v>8023509</v>
      </c>
      <c r="AD290">
        <v>8031198</v>
      </c>
      <c r="AE290">
        <v>8033146</v>
      </c>
      <c r="AF290">
        <v>8029707</v>
      </c>
      <c r="AG290">
        <v>8021326</v>
      </c>
      <c r="AH290">
        <v>8008543</v>
      </c>
      <c r="AI290">
        <v>7991989</v>
      </c>
      <c r="AJ290">
        <v>7972392</v>
      </c>
      <c r="AK290">
        <v>7950568</v>
      </c>
      <c r="AL290">
        <v>7927430</v>
      </c>
      <c r="AM290">
        <v>7903981</v>
      </c>
      <c r="AN290">
        <v>7881319</v>
      </c>
      <c r="AO290">
        <v>7860636</v>
      </c>
      <c r="AP290">
        <v>7843213</v>
      </c>
      <c r="AQ290">
        <v>7830429</v>
      </c>
      <c r="AR290">
        <v>7823753</v>
      </c>
      <c r="AS290">
        <v>7824747</v>
      </c>
      <c r="AT290">
        <v>7835067</v>
      </c>
      <c r="AU290">
        <v>7856462</v>
      </c>
      <c r="AV290">
        <v>7890774</v>
      </c>
    </row>
    <row r="291" spans="1:48">
      <c r="A291" t="s">
        <v>770</v>
      </c>
      <c r="B291" t="s">
        <v>771</v>
      </c>
      <c r="C291" t="s">
        <v>358</v>
      </c>
      <c r="D291" s="37">
        <v>3145872.98366221</v>
      </c>
      <c r="E291" s="37">
        <v>3156207.48491662</v>
      </c>
      <c r="F291" s="37">
        <v>3166894.12572663</v>
      </c>
      <c r="G291" s="37">
        <v>3287298</v>
      </c>
      <c r="H291">
        <v>3298213</v>
      </c>
      <c r="I291">
        <v>3312913</v>
      </c>
      <c r="J291">
        <v>3330718</v>
      </c>
      <c r="K291">
        <v>3350985</v>
      </c>
      <c r="L291">
        <v>3373112</v>
      </c>
      <c r="M291">
        <v>3396535</v>
      </c>
      <c r="N291">
        <v>3420727</v>
      </c>
      <c r="O291">
        <v>3445203</v>
      </c>
      <c r="P291">
        <v>3469514</v>
      </c>
      <c r="Q291">
        <v>3493250</v>
      </c>
      <c r="R291">
        <v>3516041</v>
      </c>
      <c r="S291">
        <v>3537555</v>
      </c>
      <c r="T291">
        <v>3557498</v>
      </c>
      <c r="U291">
        <v>3575615</v>
      </c>
      <c r="V291">
        <v>3591692</v>
      </c>
      <c r="W291">
        <v>3605550</v>
      </c>
      <c r="X291">
        <v>3617052</v>
      </c>
      <c r="Y291">
        <v>3626097</v>
      </c>
      <c r="Z291">
        <v>3632624</v>
      </c>
      <c r="AA291">
        <v>3636611</v>
      </c>
      <c r="AB291">
        <v>3638075</v>
      </c>
      <c r="AC291">
        <v>3637070</v>
      </c>
      <c r="AD291">
        <v>3633691</v>
      </c>
      <c r="AE291">
        <v>3628069</v>
      </c>
      <c r="AF291">
        <v>3620375</v>
      </c>
      <c r="AG291">
        <v>3610821</v>
      </c>
      <c r="AH291">
        <v>3599654</v>
      </c>
      <c r="AI291">
        <v>3587161</v>
      </c>
      <c r="AJ291">
        <v>3573670</v>
      </c>
      <c r="AK291">
        <v>3559543</v>
      </c>
      <c r="AL291">
        <v>3545186</v>
      </c>
      <c r="AM291">
        <v>3531039</v>
      </c>
      <c r="AN291">
        <v>3517585</v>
      </c>
      <c r="AO291">
        <v>3505342</v>
      </c>
      <c r="AP291">
        <v>3494868</v>
      </c>
      <c r="AQ291">
        <v>3486762</v>
      </c>
      <c r="AR291">
        <v>3481657</v>
      </c>
      <c r="AS291">
        <v>3480230</v>
      </c>
      <c r="AT291">
        <v>3483192</v>
      </c>
      <c r="AU291">
        <v>3491297</v>
      </c>
      <c r="AV291">
        <v>3505333</v>
      </c>
    </row>
    <row r="292" spans="1:48">
      <c r="A292" t="s">
        <v>772</v>
      </c>
      <c r="B292" t="s">
        <v>772</v>
      </c>
      <c r="C292" t="s">
        <v>358</v>
      </c>
      <c r="D292" s="37">
        <v>2893616.23212925</v>
      </c>
      <c r="E292" s="37">
        <v>2907615.71023496</v>
      </c>
      <c r="F292" s="37">
        <v>2921555.16480307</v>
      </c>
      <c r="G292" s="37">
        <v>3000660</v>
      </c>
      <c r="H292">
        <v>3014901</v>
      </c>
      <c r="I292">
        <v>3032436</v>
      </c>
      <c r="J292">
        <v>3052674</v>
      </c>
      <c r="K292">
        <v>3075057</v>
      </c>
      <c r="L292">
        <v>3099060</v>
      </c>
      <c r="M292">
        <v>3124190</v>
      </c>
      <c r="N292">
        <v>3149987</v>
      </c>
      <c r="O292">
        <v>3176025</v>
      </c>
      <c r="P292">
        <v>3201908</v>
      </c>
      <c r="Q292">
        <v>3227276</v>
      </c>
      <c r="R292">
        <v>3251797</v>
      </c>
      <c r="S292">
        <v>3275176</v>
      </c>
      <c r="T292">
        <v>3297150</v>
      </c>
      <c r="U292">
        <v>3317486</v>
      </c>
      <c r="V292">
        <v>3335986</v>
      </c>
      <c r="W292">
        <v>3352485</v>
      </c>
      <c r="X292">
        <v>3366848</v>
      </c>
      <c r="Y292">
        <v>3378976</v>
      </c>
      <c r="Z292">
        <v>3388800</v>
      </c>
      <c r="AA292">
        <v>3396285</v>
      </c>
      <c r="AB292">
        <v>3401429</v>
      </c>
      <c r="AC292">
        <v>3404261</v>
      </c>
      <c r="AD292">
        <v>3404844</v>
      </c>
      <c r="AE292">
        <v>3403274</v>
      </c>
      <c r="AF292">
        <v>3399679</v>
      </c>
      <c r="AG292">
        <v>3394218</v>
      </c>
      <c r="AH292">
        <v>3387086</v>
      </c>
      <c r="AI292">
        <v>3378509</v>
      </c>
      <c r="AJ292">
        <v>3368745</v>
      </c>
      <c r="AK292">
        <v>3358085</v>
      </c>
      <c r="AL292">
        <v>3346854</v>
      </c>
      <c r="AM292">
        <v>3335408</v>
      </c>
      <c r="AN292">
        <v>3324137</v>
      </c>
      <c r="AO292">
        <v>3313462</v>
      </c>
      <c r="AP292">
        <v>3303838</v>
      </c>
      <c r="AQ292">
        <v>3295752</v>
      </c>
      <c r="AR292">
        <v>3289725</v>
      </c>
      <c r="AS292">
        <v>3286308</v>
      </c>
      <c r="AT292">
        <v>3286088</v>
      </c>
      <c r="AU292">
        <v>3289682</v>
      </c>
      <c r="AV292">
        <v>3297741</v>
      </c>
    </row>
    <row r="293" spans="1:48">
      <c r="A293" t="s">
        <v>773</v>
      </c>
      <c r="B293" t="s">
        <v>773</v>
      </c>
      <c r="C293" t="s">
        <v>358</v>
      </c>
      <c r="D293" s="37">
        <v>3563711.25619398</v>
      </c>
      <c r="E293" s="37">
        <v>3575540.22559939</v>
      </c>
      <c r="F293" s="37">
        <v>3586986.01572396</v>
      </c>
      <c r="G293" s="37">
        <v>3747198</v>
      </c>
      <c r="H293">
        <v>3758358</v>
      </c>
      <c r="I293">
        <v>3772587</v>
      </c>
      <c r="J293">
        <v>3789281</v>
      </c>
      <c r="K293">
        <v>3807871</v>
      </c>
      <c r="L293">
        <v>3827823</v>
      </c>
      <c r="M293">
        <v>3848636</v>
      </c>
      <c r="N293">
        <v>3869845</v>
      </c>
      <c r="O293">
        <v>3891020</v>
      </c>
      <c r="P293">
        <v>3911765</v>
      </c>
      <c r="Q293">
        <v>3931716</v>
      </c>
      <c r="R293">
        <v>3950549</v>
      </c>
      <c r="S293">
        <v>3967970</v>
      </c>
      <c r="T293">
        <v>3983720</v>
      </c>
      <c r="U293">
        <v>3997577</v>
      </c>
      <c r="V293">
        <v>4009353</v>
      </c>
      <c r="W293">
        <v>4018891</v>
      </c>
      <c r="X293">
        <v>4026074</v>
      </c>
      <c r="Y293">
        <v>4030815</v>
      </c>
      <c r="Z293">
        <v>4033064</v>
      </c>
      <c r="AA293">
        <v>4032806</v>
      </c>
      <c r="AB293">
        <v>4030058</v>
      </c>
      <c r="AC293">
        <v>4024873</v>
      </c>
      <c r="AD293">
        <v>4017340</v>
      </c>
      <c r="AE293">
        <v>4007581</v>
      </c>
      <c r="AF293">
        <v>3995752</v>
      </c>
      <c r="AG293">
        <v>3982045</v>
      </c>
      <c r="AH293">
        <v>3966685</v>
      </c>
      <c r="AI293">
        <v>3949934</v>
      </c>
      <c r="AJ293">
        <v>3932086</v>
      </c>
      <c r="AK293">
        <v>3913470</v>
      </c>
      <c r="AL293">
        <v>3894452</v>
      </c>
      <c r="AM293">
        <v>3875429</v>
      </c>
      <c r="AN293">
        <v>3856836</v>
      </c>
      <c r="AO293">
        <v>3839139</v>
      </c>
      <c r="AP293">
        <v>3822841</v>
      </c>
      <c r="AQ293">
        <v>3808480</v>
      </c>
      <c r="AR293">
        <v>3796626</v>
      </c>
      <c r="AS293">
        <v>3787886</v>
      </c>
      <c r="AT293">
        <v>3782901</v>
      </c>
      <c r="AU293">
        <v>3782346</v>
      </c>
      <c r="AV293">
        <v>3786930</v>
      </c>
    </row>
    <row r="294" spans="1:48">
      <c r="A294" t="s">
        <v>774</v>
      </c>
      <c r="B294" t="s">
        <v>774</v>
      </c>
      <c r="C294" t="s">
        <v>358</v>
      </c>
      <c r="D294" s="37">
        <v>3312770.23472987</v>
      </c>
      <c r="E294" s="37">
        <v>3326830.01579758</v>
      </c>
      <c r="F294" s="37">
        <v>3340744.15039568</v>
      </c>
      <c r="G294" s="37">
        <v>3475404</v>
      </c>
      <c r="H294">
        <v>3494130</v>
      </c>
      <c r="I294">
        <v>3514226</v>
      </c>
      <c r="J294">
        <v>3535271</v>
      </c>
      <c r="K294">
        <v>3556868</v>
      </c>
      <c r="L294">
        <v>3578646</v>
      </c>
      <c r="M294">
        <v>3600261</v>
      </c>
      <c r="N294">
        <v>3621395</v>
      </c>
      <c r="O294">
        <v>3641757</v>
      </c>
      <c r="P294">
        <v>3661082</v>
      </c>
      <c r="Q294">
        <v>3679130</v>
      </c>
      <c r="R294">
        <v>3695689</v>
      </c>
      <c r="S294">
        <v>3710571</v>
      </c>
      <c r="T294">
        <v>3723617</v>
      </c>
      <c r="U294">
        <v>3734691</v>
      </c>
      <c r="V294">
        <v>3743688</v>
      </c>
      <c r="W294">
        <v>3750523</v>
      </c>
      <c r="X294">
        <v>3755143</v>
      </c>
      <c r="Y294">
        <v>3757518</v>
      </c>
      <c r="Z294">
        <v>3757645</v>
      </c>
      <c r="AA294">
        <v>3755547</v>
      </c>
      <c r="AB294">
        <v>3751273</v>
      </c>
      <c r="AC294">
        <v>3744900</v>
      </c>
      <c r="AD294">
        <v>3736530</v>
      </c>
      <c r="AE294">
        <v>3726290</v>
      </c>
      <c r="AF294">
        <v>3714336</v>
      </c>
      <c r="AG294">
        <v>3700847</v>
      </c>
      <c r="AH294">
        <v>3686031</v>
      </c>
      <c r="AI294">
        <v>3670122</v>
      </c>
      <c r="AJ294">
        <v>3653377</v>
      </c>
      <c r="AK294">
        <v>3636084</v>
      </c>
      <c r="AL294">
        <v>3618553</v>
      </c>
      <c r="AM294">
        <v>3601124</v>
      </c>
      <c r="AN294">
        <v>3584160</v>
      </c>
      <c r="AO294">
        <v>3568053</v>
      </c>
      <c r="AP294">
        <v>3553218</v>
      </c>
      <c r="AQ294">
        <v>3540099</v>
      </c>
      <c r="AR294">
        <v>3529166</v>
      </c>
      <c r="AS294">
        <v>3520914</v>
      </c>
      <c r="AT294">
        <v>3515864</v>
      </c>
      <c r="AU294">
        <v>3514566</v>
      </c>
      <c r="AV294">
        <v>3517592</v>
      </c>
    </row>
    <row r="295" spans="1:48">
      <c r="A295" t="s">
        <v>775</v>
      </c>
      <c r="B295" t="s">
        <v>776</v>
      </c>
      <c r="C295" t="s">
        <v>358</v>
      </c>
      <c r="D295" s="37">
        <v>6737942.2623768</v>
      </c>
      <c r="E295" s="37">
        <v>6780534.78128249</v>
      </c>
      <c r="F295" s="37">
        <v>6820034.08504319</v>
      </c>
      <c r="G295" s="37">
        <v>8388967</v>
      </c>
      <c r="H295">
        <v>8459386</v>
      </c>
      <c r="I295">
        <v>8522601</v>
      </c>
      <c r="J295">
        <v>8578923</v>
      </c>
      <c r="K295">
        <v>8628656</v>
      </c>
      <c r="L295">
        <v>8672095</v>
      </c>
      <c r="M295">
        <v>8709528</v>
      </c>
      <c r="N295">
        <v>8741233</v>
      </c>
      <c r="O295">
        <v>8767483</v>
      </c>
      <c r="P295">
        <v>8788541</v>
      </c>
      <c r="Q295">
        <v>8804663</v>
      </c>
      <c r="R295">
        <v>8816096</v>
      </c>
      <c r="S295">
        <v>8823081</v>
      </c>
      <c r="T295">
        <v>8825849</v>
      </c>
      <c r="U295">
        <v>8824624</v>
      </c>
      <c r="V295">
        <v>8819623</v>
      </c>
      <c r="W295">
        <v>8811053</v>
      </c>
      <c r="X295">
        <v>8799116</v>
      </c>
      <c r="Y295">
        <v>8784003</v>
      </c>
      <c r="Z295">
        <v>8765898</v>
      </c>
      <c r="AA295">
        <v>8744979</v>
      </c>
      <c r="AB295">
        <v>8721414</v>
      </c>
      <c r="AC295">
        <v>8695363</v>
      </c>
      <c r="AD295">
        <v>8666980</v>
      </c>
      <c r="AE295">
        <v>8636409</v>
      </c>
      <c r="AF295">
        <v>8603787</v>
      </c>
      <c r="AG295">
        <v>8569243</v>
      </c>
      <c r="AH295">
        <v>8532898</v>
      </c>
      <c r="AI295">
        <v>8494866</v>
      </c>
      <c r="AJ295">
        <v>8455251</v>
      </c>
      <c r="AK295">
        <v>8414151</v>
      </c>
      <c r="AL295">
        <v>8371656</v>
      </c>
      <c r="AM295">
        <v>8327847</v>
      </c>
      <c r="AN295">
        <v>8282797</v>
      </c>
      <c r="AO295">
        <v>8236572</v>
      </c>
      <c r="AP295">
        <v>8189230</v>
      </c>
      <c r="AQ295">
        <v>8140821</v>
      </c>
      <c r="AR295">
        <v>8091387</v>
      </c>
      <c r="AS295">
        <v>8040961</v>
      </c>
      <c r="AT295">
        <v>7989570</v>
      </c>
      <c r="AU295">
        <v>7937232</v>
      </c>
      <c r="AV295">
        <v>7883956</v>
      </c>
    </row>
    <row r="296" spans="1:48">
      <c r="A296" t="s">
        <v>777</v>
      </c>
      <c r="B296" t="s">
        <v>778</v>
      </c>
      <c r="C296" t="s">
        <v>358</v>
      </c>
      <c r="D296" s="37">
        <v>6067717.87258156</v>
      </c>
      <c r="E296" s="37">
        <v>6099478.70742053</v>
      </c>
      <c r="F296" s="37">
        <v>6130538.44829772</v>
      </c>
      <c r="G296" s="37">
        <v>5733278</v>
      </c>
      <c r="H296">
        <v>5765367</v>
      </c>
      <c r="I296">
        <v>5801225</v>
      </c>
      <c r="J296">
        <v>5840034</v>
      </c>
      <c r="K296">
        <v>5881026</v>
      </c>
      <c r="L296">
        <v>5923474</v>
      </c>
      <c r="M296">
        <v>5966701</v>
      </c>
      <c r="N296">
        <v>6010073</v>
      </c>
      <c r="O296">
        <v>6053002</v>
      </c>
      <c r="P296">
        <v>6094946</v>
      </c>
      <c r="Q296">
        <v>6135409</v>
      </c>
      <c r="R296">
        <v>6173941</v>
      </c>
      <c r="S296">
        <v>6210136</v>
      </c>
      <c r="T296">
        <v>6243634</v>
      </c>
      <c r="U296">
        <v>6274123</v>
      </c>
      <c r="V296">
        <v>6301334</v>
      </c>
      <c r="W296">
        <v>6325045</v>
      </c>
      <c r="X296">
        <v>6345078</v>
      </c>
      <c r="Y296">
        <v>6361304</v>
      </c>
      <c r="Z296">
        <v>6373636</v>
      </c>
      <c r="AA296">
        <v>6382035</v>
      </c>
      <c r="AB296">
        <v>6386506</v>
      </c>
      <c r="AC296">
        <v>6387102</v>
      </c>
      <c r="AD296">
        <v>6383919</v>
      </c>
      <c r="AE296">
        <v>6377100</v>
      </c>
      <c r="AF296">
        <v>6366834</v>
      </c>
      <c r="AG296">
        <v>6353355</v>
      </c>
      <c r="AH296">
        <v>6336942</v>
      </c>
      <c r="AI296">
        <v>6317922</v>
      </c>
      <c r="AJ296">
        <v>6296665</v>
      </c>
      <c r="AK296">
        <v>6273588</v>
      </c>
      <c r="AL296">
        <v>6249154</v>
      </c>
      <c r="AM296">
        <v>6223870</v>
      </c>
      <c r="AN296">
        <v>6198291</v>
      </c>
      <c r="AO296">
        <v>6173016</v>
      </c>
      <c r="AP296">
        <v>6148690</v>
      </c>
      <c r="AQ296">
        <v>6126004</v>
      </c>
      <c r="AR296">
        <v>6105694</v>
      </c>
      <c r="AS296">
        <v>6088542</v>
      </c>
      <c r="AT296">
        <v>6075376</v>
      </c>
      <c r="AU296">
        <v>6067069</v>
      </c>
      <c r="AV296">
        <v>6064541</v>
      </c>
    </row>
    <row r="297" spans="1:48">
      <c r="A297" t="s">
        <v>779</v>
      </c>
      <c r="B297" t="s">
        <v>780</v>
      </c>
      <c r="C297" t="s">
        <v>358</v>
      </c>
      <c r="D297" s="37">
        <v>2385759.80759651</v>
      </c>
      <c r="E297" s="37">
        <v>2398069.43616445</v>
      </c>
      <c r="F297" s="37">
        <v>2409780.36544374</v>
      </c>
      <c r="G297" s="37">
        <v>2234051</v>
      </c>
      <c r="H297">
        <v>2249310</v>
      </c>
      <c r="I297">
        <v>2264000</v>
      </c>
      <c r="J297">
        <v>2278032</v>
      </c>
      <c r="K297">
        <v>2291324</v>
      </c>
      <c r="L297">
        <v>2303802</v>
      </c>
      <c r="M297">
        <v>2315399</v>
      </c>
      <c r="N297">
        <v>2326053</v>
      </c>
      <c r="O297">
        <v>2335711</v>
      </c>
      <c r="P297">
        <v>2344324</v>
      </c>
      <c r="Q297">
        <v>2351852</v>
      </c>
      <c r="R297">
        <v>2358262</v>
      </c>
      <c r="S297">
        <v>2363526</v>
      </c>
      <c r="T297">
        <v>2367625</v>
      </c>
      <c r="U297">
        <v>2370545</v>
      </c>
      <c r="V297">
        <v>2372279</v>
      </c>
      <c r="W297">
        <v>2372828</v>
      </c>
      <c r="X297">
        <v>2372198</v>
      </c>
      <c r="Y297">
        <v>2370404</v>
      </c>
      <c r="Z297">
        <v>2367467</v>
      </c>
      <c r="AA297">
        <v>2363413</v>
      </c>
      <c r="AB297">
        <v>2358277</v>
      </c>
      <c r="AC297">
        <v>2352101</v>
      </c>
      <c r="AD297">
        <v>2344931</v>
      </c>
      <c r="AE297">
        <v>2336823</v>
      </c>
      <c r="AF297">
        <v>2327838</v>
      </c>
      <c r="AG297">
        <v>2318044</v>
      </c>
      <c r="AH297">
        <v>2307516</v>
      </c>
      <c r="AI297">
        <v>2296337</v>
      </c>
      <c r="AJ297">
        <v>2284595</v>
      </c>
      <c r="AK297">
        <v>2272386</v>
      </c>
      <c r="AL297">
        <v>2259811</v>
      </c>
      <c r="AM297">
        <v>2246980</v>
      </c>
      <c r="AN297">
        <v>2234008</v>
      </c>
      <c r="AO297">
        <v>2221019</v>
      </c>
      <c r="AP297">
        <v>2208143</v>
      </c>
      <c r="AQ297">
        <v>2195514</v>
      </c>
      <c r="AR297">
        <v>2183276</v>
      </c>
      <c r="AS297">
        <v>2171580</v>
      </c>
      <c r="AT297">
        <v>2160582</v>
      </c>
      <c r="AU297">
        <v>2150445</v>
      </c>
      <c r="AV297">
        <v>2141340</v>
      </c>
    </row>
    <row r="298" spans="1:48">
      <c r="A298" t="s">
        <v>781</v>
      </c>
      <c r="B298" t="s">
        <v>782</v>
      </c>
      <c r="C298" t="s">
        <v>358</v>
      </c>
      <c r="D298" s="37">
        <v>2585605.73607646</v>
      </c>
      <c r="E298" s="37">
        <v>2597400.33589242</v>
      </c>
      <c r="F298" s="37">
        <v>2608724.43684675</v>
      </c>
      <c r="G298" s="37">
        <v>2417493</v>
      </c>
      <c r="H298">
        <v>2430980</v>
      </c>
      <c r="I298">
        <v>2444740</v>
      </c>
      <c r="J298">
        <v>2458575</v>
      </c>
      <c r="K298">
        <v>2472300</v>
      </c>
      <c r="L298">
        <v>2485743</v>
      </c>
      <c r="M298">
        <v>2498745</v>
      </c>
      <c r="N298">
        <v>2511157</v>
      </c>
      <c r="O298">
        <v>2522847</v>
      </c>
      <c r="P298">
        <v>2533691</v>
      </c>
      <c r="Q298">
        <v>2543582</v>
      </c>
      <c r="R298">
        <v>2552421</v>
      </c>
      <c r="S298">
        <v>2560126</v>
      </c>
      <c r="T298">
        <v>2566625</v>
      </c>
      <c r="U298">
        <v>2571858</v>
      </c>
      <c r="V298">
        <v>2575780</v>
      </c>
      <c r="W298">
        <v>2578358</v>
      </c>
      <c r="X298">
        <v>2579569</v>
      </c>
      <c r="Y298">
        <v>2579406</v>
      </c>
      <c r="Z298">
        <v>2577874</v>
      </c>
      <c r="AA298">
        <v>2574988</v>
      </c>
      <c r="AB298">
        <v>2570778</v>
      </c>
      <c r="AC298">
        <v>2565286</v>
      </c>
      <c r="AD298">
        <v>2558567</v>
      </c>
      <c r="AE298">
        <v>2550688</v>
      </c>
      <c r="AF298">
        <v>2541729</v>
      </c>
      <c r="AG298">
        <v>2531782</v>
      </c>
      <c r="AH298">
        <v>2520952</v>
      </c>
      <c r="AI298">
        <v>2509358</v>
      </c>
      <c r="AJ298">
        <v>2497128</v>
      </c>
      <c r="AK298">
        <v>2484406</v>
      </c>
      <c r="AL298">
        <v>2471348</v>
      </c>
      <c r="AM298">
        <v>2458121</v>
      </c>
      <c r="AN298">
        <v>2444906</v>
      </c>
      <c r="AO298">
        <v>2431896</v>
      </c>
      <c r="AP298">
        <v>2419297</v>
      </c>
      <c r="AQ298">
        <v>2407328</v>
      </c>
      <c r="AR298">
        <v>2396220</v>
      </c>
      <c r="AS298">
        <v>2386216</v>
      </c>
      <c r="AT298">
        <v>2377572</v>
      </c>
      <c r="AU298">
        <v>2370558</v>
      </c>
      <c r="AV298">
        <v>2365454</v>
      </c>
    </row>
    <row r="299" spans="1:48">
      <c r="A299" t="s">
        <v>783</v>
      </c>
      <c r="B299" t="s">
        <v>784</v>
      </c>
      <c r="C299" t="s">
        <v>358</v>
      </c>
      <c r="D299" s="37">
        <v>5420730.48913959</v>
      </c>
      <c r="E299" s="37">
        <v>5458744.19074401</v>
      </c>
      <c r="F299" s="37">
        <v>5497217.12961428</v>
      </c>
      <c r="G299" s="37">
        <v>5044987</v>
      </c>
      <c r="H299">
        <v>5092298</v>
      </c>
      <c r="I299">
        <v>5142085</v>
      </c>
      <c r="J299">
        <v>5193678</v>
      </c>
      <c r="K299">
        <v>5246450</v>
      </c>
      <c r="L299">
        <v>5299809</v>
      </c>
      <c r="M299">
        <v>5353205</v>
      </c>
      <c r="N299">
        <v>5406125</v>
      </c>
      <c r="O299">
        <v>5458096</v>
      </c>
      <c r="P299">
        <v>5508684</v>
      </c>
      <c r="Q299">
        <v>5557494</v>
      </c>
      <c r="R299">
        <v>5604168</v>
      </c>
      <c r="S299">
        <v>5648390</v>
      </c>
      <c r="T299">
        <v>5689882</v>
      </c>
      <c r="U299">
        <v>5728404</v>
      </c>
      <c r="V299">
        <v>5763757</v>
      </c>
      <c r="W299">
        <v>5795777</v>
      </c>
      <c r="X299">
        <v>5824344</v>
      </c>
      <c r="Y299">
        <v>5849374</v>
      </c>
      <c r="Z299">
        <v>5870823</v>
      </c>
      <c r="AA299">
        <v>5888685</v>
      </c>
      <c r="AB299">
        <v>5902993</v>
      </c>
      <c r="AC299">
        <v>5913821</v>
      </c>
      <c r="AD299">
        <v>5921281</v>
      </c>
      <c r="AE299">
        <v>5925521</v>
      </c>
      <c r="AF299">
        <v>5926734</v>
      </c>
      <c r="AG299">
        <v>5925146</v>
      </c>
      <c r="AH299">
        <v>5921025</v>
      </c>
      <c r="AI299">
        <v>5914679</v>
      </c>
      <c r="AJ299">
        <v>5906453</v>
      </c>
      <c r="AK299">
        <v>5896730</v>
      </c>
      <c r="AL299">
        <v>5885936</v>
      </c>
      <c r="AM299">
        <v>5874531</v>
      </c>
      <c r="AN299">
        <v>5863019</v>
      </c>
      <c r="AO299">
        <v>5851939</v>
      </c>
      <c r="AP299">
        <v>5841870</v>
      </c>
      <c r="AQ299">
        <v>5833432</v>
      </c>
      <c r="AR299">
        <v>5827283</v>
      </c>
      <c r="AS299">
        <v>5824117</v>
      </c>
      <c r="AT299">
        <v>5824671</v>
      </c>
      <c r="AU299">
        <v>5829720</v>
      </c>
      <c r="AV299">
        <v>5840077</v>
      </c>
    </row>
    <row r="300" spans="1:48">
      <c r="A300" t="s">
        <v>785</v>
      </c>
      <c r="B300" t="s">
        <v>786</v>
      </c>
      <c r="C300" t="s">
        <v>358</v>
      </c>
      <c r="D300" s="37">
        <v>1300692.93343024</v>
      </c>
      <c r="E300" s="37">
        <v>1309364.67538043</v>
      </c>
      <c r="F300" s="37">
        <v>1317665.03056976</v>
      </c>
      <c r="G300" s="37">
        <v>1242418</v>
      </c>
      <c r="H300">
        <v>1253798</v>
      </c>
      <c r="I300">
        <v>1264471</v>
      </c>
      <c r="J300">
        <v>1274431</v>
      </c>
      <c r="K300">
        <v>1283674</v>
      </c>
      <c r="L300">
        <v>1292196</v>
      </c>
      <c r="M300">
        <v>1299998</v>
      </c>
      <c r="N300">
        <v>1307079</v>
      </c>
      <c r="O300">
        <v>1313442</v>
      </c>
      <c r="P300">
        <v>1319090</v>
      </c>
      <c r="Q300">
        <v>1324030</v>
      </c>
      <c r="R300">
        <v>1328268</v>
      </c>
      <c r="S300">
        <v>1331813</v>
      </c>
      <c r="T300">
        <v>1334675</v>
      </c>
      <c r="U300">
        <v>1336867</v>
      </c>
      <c r="V300">
        <v>1338402</v>
      </c>
      <c r="W300">
        <v>1339296</v>
      </c>
      <c r="X300">
        <v>1339565</v>
      </c>
      <c r="Y300">
        <v>1339228</v>
      </c>
      <c r="Z300">
        <v>1338305</v>
      </c>
      <c r="AA300">
        <v>1336819</v>
      </c>
      <c r="AB300">
        <v>1334792</v>
      </c>
      <c r="AC300">
        <v>1332250</v>
      </c>
      <c r="AD300">
        <v>1329220</v>
      </c>
      <c r="AE300">
        <v>1325729</v>
      </c>
      <c r="AF300">
        <v>1321809</v>
      </c>
      <c r="AG300">
        <v>1317490</v>
      </c>
      <c r="AH300">
        <v>1312807</v>
      </c>
      <c r="AI300">
        <v>1307793</v>
      </c>
      <c r="AJ300">
        <v>1302487</v>
      </c>
      <c r="AK300">
        <v>1296925</v>
      </c>
      <c r="AL300">
        <v>1291147</v>
      </c>
      <c r="AM300">
        <v>1285196</v>
      </c>
      <c r="AN300">
        <v>1279114</v>
      </c>
      <c r="AO300">
        <v>1272947</v>
      </c>
      <c r="AP300">
        <v>1266740</v>
      </c>
      <c r="AQ300">
        <v>1260542</v>
      </c>
      <c r="AR300">
        <v>1254402</v>
      </c>
      <c r="AS300">
        <v>1248371</v>
      </c>
      <c r="AT300">
        <v>1242504</v>
      </c>
      <c r="AU300">
        <v>1236853</v>
      </c>
      <c r="AV300">
        <v>1231476</v>
      </c>
    </row>
    <row r="301" spans="1:48">
      <c r="A301" t="s">
        <v>787</v>
      </c>
      <c r="B301" t="s">
        <v>788</v>
      </c>
      <c r="C301" t="s">
        <v>358</v>
      </c>
      <c r="D301" s="37">
        <v>2673812.4011441</v>
      </c>
      <c r="E301" s="37">
        <v>2691231.93553907</v>
      </c>
      <c r="F301" s="37">
        <v>2707374.41235282</v>
      </c>
      <c r="G301" s="37">
        <v>2386658</v>
      </c>
      <c r="H301">
        <v>2404792</v>
      </c>
      <c r="I301">
        <v>2421771</v>
      </c>
      <c r="J301">
        <v>2437589</v>
      </c>
      <c r="K301">
        <v>2452242</v>
      </c>
      <c r="L301">
        <v>2465727</v>
      </c>
      <c r="M301">
        <v>2478044</v>
      </c>
      <c r="N301">
        <v>2489196</v>
      </c>
      <c r="O301">
        <v>2499186</v>
      </c>
      <c r="P301">
        <v>2508019</v>
      </c>
      <c r="Q301">
        <v>2515703</v>
      </c>
      <c r="R301">
        <v>2522249</v>
      </c>
      <c r="S301">
        <v>2527667</v>
      </c>
      <c r="T301">
        <v>2531972</v>
      </c>
      <c r="U301">
        <v>2535178</v>
      </c>
      <c r="V301">
        <v>2537304</v>
      </c>
      <c r="W301">
        <v>2538369</v>
      </c>
      <c r="X301">
        <v>2538394</v>
      </c>
      <c r="Y301">
        <v>2537404</v>
      </c>
      <c r="Z301">
        <v>2535422</v>
      </c>
      <c r="AA301">
        <v>2532478</v>
      </c>
      <c r="AB301">
        <v>2528600</v>
      </c>
      <c r="AC301">
        <v>2523820</v>
      </c>
      <c r="AD301">
        <v>2518171</v>
      </c>
      <c r="AE301">
        <v>2511688</v>
      </c>
      <c r="AF301">
        <v>2504408</v>
      </c>
      <c r="AG301">
        <v>2496372</v>
      </c>
      <c r="AH301">
        <v>2487620</v>
      </c>
      <c r="AI301">
        <v>2478195</v>
      </c>
      <c r="AJ301">
        <v>2468143</v>
      </c>
      <c r="AK301">
        <v>2457511</v>
      </c>
      <c r="AL301">
        <v>2446348</v>
      </c>
      <c r="AM301">
        <v>2434704</v>
      </c>
      <c r="AN301">
        <v>2422634</v>
      </c>
      <c r="AO301">
        <v>2410192</v>
      </c>
      <c r="AP301">
        <v>2397435</v>
      </c>
      <c r="AQ301">
        <v>2384422</v>
      </c>
      <c r="AR301">
        <v>2371215</v>
      </c>
      <c r="AS301">
        <v>2357875</v>
      </c>
      <c r="AT301">
        <v>2344469</v>
      </c>
      <c r="AU301">
        <v>2331062</v>
      </c>
      <c r="AV301">
        <v>2317725</v>
      </c>
    </row>
    <row r="302" spans="1:48">
      <c r="A302" t="s">
        <v>789</v>
      </c>
      <c r="B302" t="s">
        <v>790</v>
      </c>
      <c r="C302" t="s">
        <v>358</v>
      </c>
      <c r="D302" s="37">
        <v>2551602.41239512</v>
      </c>
      <c r="E302" s="37">
        <v>2568962.24116322</v>
      </c>
      <c r="F302" s="37">
        <v>2585406.7904526</v>
      </c>
      <c r="G302" s="37">
        <v>2239293</v>
      </c>
      <c r="H302">
        <v>2257841</v>
      </c>
      <c r="I302">
        <v>2275739</v>
      </c>
      <c r="J302">
        <v>2292925</v>
      </c>
      <c r="K302">
        <v>2309339</v>
      </c>
      <c r="L302">
        <v>2324930</v>
      </c>
      <c r="M302">
        <v>2339646</v>
      </c>
      <c r="N302">
        <v>2353446</v>
      </c>
      <c r="O302">
        <v>2366290</v>
      </c>
      <c r="P302">
        <v>2378144</v>
      </c>
      <c r="Q302">
        <v>2388979</v>
      </c>
      <c r="R302">
        <v>2398771</v>
      </c>
      <c r="S302">
        <v>2407501</v>
      </c>
      <c r="T302">
        <v>2415153</v>
      </c>
      <c r="U302">
        <v>2421719</v>
      </c>
      <c r="V302">
        <v>2427194</v>
      </c>
      <c r="W302">
        <v>2431578</v>
      </c>
      <c r="X302">
        <v>2434876</v>
      </c>
      <c r="Y302">
        <v>2437098</v>
      </c>
      <c r="Z302">
        <v>2438259</v>
      </c>
      <c r="AA302">
        <v>2438379</v>
      </c>
      <c r="AB302">
        <v>2437483</v>
      </c>
      <c r="AC302">
        <v>2435600</v>
      </c>
      <c r="AD302">
        <v>2432764</v>
      </c>
      <c r="AE302">
        <v>2429016</v>
      </c>
      <c r="AF302">
        <v>2424398</v>
      </c>
      <c r="AG302">
        <v>2418961</v>
      </c>
      <c r="AH302">
        <v>2412758</v>
      </c>
      <c r="AI302">
        <v>2405848</v>
      </c>
      <c r="AJ302">
        <v>2398295</v>
      </c>
      <c r="AK302">
        <v>2390168</v>
      </c>
      <c r="AL302">
        <v>2381540</v>
      </c>
      <c r="AM302">
        <v>2372489</v>
      </c>
      <c r="AN302">
        <v>2363100</v>
      </c>
      <c r="AO302">
        <v>2353459</v>
      </c>
      <c r="AP302">
        <v>2343661</v>
      </c>
      <c r="AQ302">
        <v>2333804</v>
      </c>
      <c r="AR302">
        <v>2323989</v>
      </c>
      <c r="AS302">
        <v>2314326</v>
      </c>
      <c r="AT302">
        <v>2304926</v>
      </c>
      <c r="AU302">
        <v>2295908</v>
      </c>
      <c r="AV302">
        <v>2287393</v>
      </c>
    </row>
    <row r="303" spans="1:48">
      <c r="A303" t="s">
        <v>791</v>
      </c>
      <c r="B303" t="s">
        <v>792</v>
      </c>
      <c r="C303" t="s">
        <v>358</v>
      </c>
      <c r="D303" s="37">
        <v>2782207.94719967</v>
      </c>
      <c r="E303" s="37">
        <v>2796496.44713721</v>
      </c>
      <c r="F303" s="37">
        <v>2809962.73145193</v>
      </c>
      <c r="G303" s="37">
        <v>2400395</v>
      </c>
      <c r="H303">
        <v>2416565</v>
      </c>
      <c r="I303">
        <v>2431829</v>
      </c>
      <c r="J303">
        <v>2446121</v>
      </c>
      <c r="K303">
        <v>2459380</v>
      </c>
      <c r="L303">
        <v>2471552</v>
      </c>
      <c r="M303">
        <v>2482590</v>
      </c>
      <c r="N303">
        <v>2492452</v>
      </c>
      <c r="O303">
        <v>2501102</v>
      </c>
      <c r="P303">
        <v>2508511</v>
      </c>
      <c r="Q303">
        <v>2514655</v>
      </c>
      <c r="R303">
        <v>2519518</v>
      </c>
      <c r="S303">
        <v>2523087</v>
      </c>
      <c r="T303">
        <v>2525359</v>
      </c>
      <c r="U303">
        <v>2526334</v>
      </c>
      <c r="V303">
        <v>2526021</v>
      </c>
      <c r="W303">
        <v>2524431</v>
      </c>
      <c r="X303">
        <v>2521586</v>
      </c>
      <c r="Y303">
        <v>2517510</v>
      </c>
      <c r="Z303">
        <v>2512236</v>
      </c>
      <c r="AA303">
        <v>2505802</v>
      </c>
      <c r="AB303">
        <v>2498252</v>
      </c>
      <c r="AC303">
        <v>2489637</v>
      </c>
      <c r="AD303">
        <v>2480012</v>
      </c>
      <c r="AE303">
        <v>2469440</v>
      </c>
      <c r="AF303">
        <v>2457991</v>
      </c>
      <c r="AG303">
        <v>2445739</v>
      </c>
      <c r="AH303">
        <v>2432765</v>
      </c>
      <c r="AI303">
        <v>2419157</v>
      </c>
      <c r="AJ303">
        <v>2405007</v>
      </c>
      <c r="AK303">
        <v>2390415</v>
      </c>
      <c r="AL303">
        <v>2375488</v>
      </c>
      <c r="AM303">
        <v>2360335</v>
      </c>
      <c r="AN303">
        <v>2345076</v>
      </c>
      <c r="AO303">
        <v>2329834</v>
      </c>
      <c r="AP303">
        <v>2314740</v>
      </c>
      <c r="AQ303">
        <v>2299930</v>
      </c>
      <c r="AR303">
        <v>2285546</v>
      </c>
      <c r="AS303">
        <v>2271737</v>
      </c>
      <c r="AT303">
        <v>2258657</v>
      </c>
      <c r="AU303">
        <v>2246468</v>
      </c>
      <c r="AV303">
        <v>2235336</v>
      </c>
    </row>
    <row r="304" spans="1:48">
      <c r="A304" t="s">
        <v>793</v>
      </c>
      <c r="B304" t="s">
        <v>794</v>
      </c>
      <c r="C304" t="s">
        <v>358</v>
      </c>
      <c r="D304" s="37">
        <v>4698157.84565583</v>
      </c>
      <c r="E304" s="37">
        <v>4724436.53056218</v>
      </c>
      <c r="F304" s="37">
        <v>4749212.42669426</v>
      </c>
      <c r="G304" s="37">
        <v>4451889</v>
      </c>
      <c r="H304">
        <v>4478110</v>
      </c>
      <c r="I304">
        <v>4505313</v>
      </c>
      <c r="J304">
        <v>4533120</v>
      </c>
      <c r="K304">
        <v>4561172</v>
      </c>
      <c r="L304">
        <v>4589132</v>
      </c>
      <c r="M304">
        <v>4616686</v>
      </c>
      <c r="N304">
        <v>4643541</v>
      </c>
      <c r="O304">
        <v>4669428</v>
      </c>
      <c r="P304">
        <v>4694099</v>
      </c>
      <c r="Q304">
        <v>4717327</v>
      </c>
      <c r="R304">
        <v>4738909</v>
      </c>
      <c r="S304">
        <v>4758663</v>
      </c>
      <c r="T304">
        <v>4776429</v>
      </c>
      <c r="U304">
        <v>4792070</v>
      </c>
      <c r="V304">
        <v>4805470</v>
      </c>
      <c r="W304">
        <v>4816536</v>
      </c>
      <c r="X304">
        <v>4825197</v>
      </c>
      <c r="Y304">
        <v>4831404</v>
      </c>
      <c r="Z304">
        <v>4835129</v>
      </c>
      <c r="AA304">
        <v>4836367</v>
      </c>
      <c r="AB304">
        <v>4835136</v>
      </c>
      <c r="AC304">
        <v>4831475</v>
      </c>
      <c r="AD304">
        <v>4825445</v>
      </c>
      <c r="AE304">
        <v>4817129</v>
      </c>
      <c r="AF304">
        <v>4806633</v>
      </c>
      <c r="AG304">
        <v>4794085</v>
      </c>
      <c r="AH304">
        <v>4779634</v>
      </c>
      <c r="AI304">
        <v>4763452</v>
      </c>
      <c r="AJ304">
        <v>4745733</v>
      </c>
      <c r="AK304">
        <v>4726693</v>
      </c>
      <c r="AL304">
        <v>4706570</v>
      </c>
      <c r="AM304">
        <v>4685624</v>
      </c>
      <c r="AN304">
        <v>4664137</v>
      </c>
      <c r="AO304">
        <v>4642414</v>
      </c>
      <c r="AP304">
        <v>4620781</v>
      </c>
      <c r="AQ304">
        <v>4599587</v>
      </c>
      <c r="AR304">
        <v>4579202</v>
      </c>
      <c r="AS304">
        <v>4560019</v>
      </c>
      <c r="AT304">
        <v>4542454</v>
      </c>
      <c r="AU304">
        <v>4526942</v>
      </c>
      <c r="AV304">
        <v>4513943</v>
      </c>
    </row>
    <row r="305" spans="1:48">
      <c r="A305" t="s">
        <v>795</v>
      </c>
      <c r="B305" t="s">
        <v>796</v>
      </c>
      <c r="C305" t="s">
        <v>358</v>
      </c>
      <c r="D305" s="37">
        <v>3677538.10752768</v>
      </c>
      <c r="E305" s="37">
        <v>3699614.36207124</v>
      </c>
      <c r="F305" s="37">
        <v>3720748.26208094</v>
      </c>
      <c r="G305" s="37">
        <v>3481538</v>
      </c>
      <c r="H305">
        <v>3502975</v>
      </c>
      <c r="I305">
        <v>3526053</v>
      </c>
      <c r="J305">
        <v>3550381</v>
      </c>
      <c r="K305">
        <v>3575593</v>
      </c>
      <c r="L305">
        <v>3601342</v>
      </c>
      <c r="M305">
        <v>3627305</v>
      </c>
      <c r="N305">
        <v>3653177</v>
      </c>
      <c r="O305">
        <v>3678678</v>
      </c>
      <c r="P305">
        <v>3703546</v>
      </c>
      <c r="Q305">
        <v>3727543</v>
      </c>
      <c r="R305">
        <v>3750451</v>
      </c>
      <c r="S305">
        <v>3772074</v>
      </c>
      <c r="T305">
        <v>3792238</v>
      </c>
      <c r="U305">
        <v>3810788</v>
      </c>
      <c r="V305">
        <v>3827593</v>
      </c>
      <c r="W305">
        <v>3842543</v>
      </c>
      <c r="X305">
        <v>3855548</v>
      </c>
      <c r="Y305">
        <v>3866541</v>
      </c>
      <c r="Z305">
        <v>3875476</v>
      </c>
      <c r="AA305">
        <v>3882327</v>
      </c>
      <c r="AB305">
        <v>3887090</v>
      </c>
      <c r="AC305">
        <v>3889785</v>
      </c>
      <c r="AD305">
        <v>3890450</v>
      </c>
      <c r="AE305">
        <v>3889146</v>
      </c>
      <c r="AF305">
        <v>3885955</v>
      </c>
      <c r="AG305">
        <v>3880981</v>
      </c>
      <c r="AH305">
        <v>3874348</v>
      </c>
      <c r="AI305">
        <v>3866203</v>
      </c>
      <c r="AJ305">
        <v>3856714</v>
      </c>
      <c r="AK305">
        <v>3846070</v>
      </c>
      <c r="AL305">
        <v>3834481</v>
      </c>
      <c r="AM305">
        <v>3822180</v>
      </c>
      <c r="AN305">
        <v>3809419</v>
      </c>
      <c r="AO305">
        <v>3796475</v>
      </c>
      <c r="AP305">
        <v>3783642</v>
      </c>
      <c r="AQ305">
        <v>3771238</v>
      </c>
      <c r="AR305">
        <v>3759603</v>
      </c>
      <c r="AS305">
        <v>3749097</v>
      </c>
      <c r="AT305">
        <v>3740101</v>
      </c>
      <c r="AU305">
        <v>3733019</v>
      </c>
      <c r="AV305">
        <v>3728276</v>
      </c>
    </row>
    <row r="306" spans="1:48">
      <c r="A306" t="s">
        <v>797</v>
      </c>
      <c r="B306" t="s">
        <v>798</v>
      </c>
      <c r="C306" t="s">
        <v>358</v>
      </c>
      <c r="D306" s="37">
        <v>1193922.86680849</v>
      </c>
      <c r="E306" s="37">
        <v>1202008.31288976</v>
      </c>
      <c r="F306" s="37">
        <v>1209557.40399922</v>
      </c>
      <c r="G306" s="37">
        <v>1290923</v>
      </c>
      <c r="H306">
        <v>1301331</v>
      </c>
      <c r="I306">
        <v>1311232</v>
      </c>
      <c r="J306">
        <v>1320601</v>
      </c>
      <c r="K306">
        <v>1329417</v>
      </c>
      <c r="L306">
        <v>1337659</v>
      </c>
      <c r="M306">
        <v>1345310</v>
      </c>
      <c r="N306">
        <v>1352354</v>
      </c>
      <c r="O306">
        <v>1358778</v>
      </c>
      <c r="P306">
        <v>1364570</v>
      </c>
      <c r="Q306">
        <v>1369723</v>
      </c>
      <c r="R306">
        <v>1374228</v>
      </c>
      <c r="S306">
        <v>1378082</v>
      </c>
      <c r="T306">
        <v>1381282</v>
      </c>
      <c r="U306">
        <v>1383828</v>
      </c>
      <c r="V306">
        <v>1385722</v>
      </c>
      <c r="W306">
        <v>1386968</v>
      </c>
      <c r="X306">
        <v>1387572</v>
      </c>
      <c r="Y306">
        <v>1387543</v>
      </c>
      <c r="Z306">
        <v>1386891</v>
      </c>
      <c r="AA306">
        <v>1385630</v>
      </c>
      <c r="AB306">
        <v>1383775</v>
      </c>
      <c r="AC306">
        <v>1381343</v>
      </c>
      <c r="AD306">
        <v>1378353</v>
      </c>
      <c r="AE306">
        <v>1374827</v>
      </c>
      <c r="AF306">
        <v>1370790</v>
      </c>
      <c r="AG306">
        <v>1366266</v>
      </c>
      <c r="AH306">
        <v>1361284</v>
      </c>
      <c r="AI306">
        <v>1355875</v>
      </c>
      <c r="AJ306">
        <v>1350072</v>
      </c>
      <c r="AK306">
        <v>1343908</v>
      </c>
      <c r="AL306">
        <v>1337422</v>
      </c>
      <c r="AM306">
        <v>1330652</v>
      </c>
      <c r="AN306">
        <v>1323639</v>
      </c>
      <c r="AO306">
        <v>1316427</v>
      </c>
      <c r="AP306">
        <v>1309063</v>
      </c>
      <c r="AQ306">
        <v>1301593</v>
      </c>
      <c r="AR306">
        <v>1294068</v>
      </c>
      <c r="AS306">
        <v>1286540</v>
      </c>
      <c r="AT306">
        <v>1279063</v>
      </c>
      <c r="AU306">
        <v>1271696</v>
      </c>
      <c r="AV306">
        <v>1264495</v>
      </c>
    </row>
    <row r="307" spans="1:48">
      <c r="A307" t="s">
        <v>799</v>
      </c>
      <c r="B307" t="s">
        <v>800</v>
      </c>
      <c r="C307" t="s">
        <v>358</v>
      </c>
      <c r="D307" s="37">
        <v>3585840.83817897</v>
      </c>
      <c r="E307" s="37">
        <v>3603917.89660704</v>
      </c>
      <c r="F307" s="37">
        <v>3620939.92438033</v>
      </c>
      <c r="G307" s="37">
        <v>3317758</v>
      </c>
      <c r="H307">
        <v>3337303</v>
      </c>
      <c r="I307">
        <v>3356632</v>
      </c>
      <c r="J307">
        <v>3375550</v>
      </c>
      <c r="K307">
        <v>3393876</v>
      </c>
      <c r="L307">
        <v>3411441</v>
      </c>
      <c r="M307">
        <v>3428090</v>
      </c>
      <c r="N307">
        <v>3443679</v>
      </c>
      <c r="O307">
        <v>3458079</v>
      </c>
      <c r="P307">
        <v>3471173</v>
      </c>
      <c r="Q307">
        <v>3482857</v>
      </c>
      <c r="R307">
        <v>3493040</v>
      </c>
      <c r="S307">
        <v>3501645</v>
      </c>
      <c r="T307">
        <v>3508606</v>
      </c>
      <c r="U307">
        <v>3513871</v>
      </c>
      <c r="V307">
        <v>3517401</v>
      </c>
      <c r="W307">
        <v>3519170</v>
      </c>
      <c r="X307">
        <v>3519166</v>
      </c>
      <c r="Y307">
        <v>3517387</v>
      </c>
      <c r="Z307">
        <v>3513848</v>
      </c>
      <c r="AA307">
        <v>3508573</v>
      </c>
      <c r="AB307">
        <v>3501602</v>
      </c>
      <c r="AC307">
        <v>3492985</v>
      </c>
      <c r="AD307">
        <v>3482789</v>
      </c>
      <c r="AE307">
        <v>3471091</v>
      </c>
      <c r="AF307">
        <v>3457980</v>
      </c>
      <c r="AG307">
        <v>3443562</v>
      </c>
      <c r="AH307">
        <v>3427952</v>
      </c>
      <c r="AI307">
        <v>3411281</v>
      </c>
      <c r="AJ307">
        <v>3393690</v>
      </c>
      <c r="AK307">
        <v>3375335</v>
      </c>
      <c r="AL307">
        <v>3356385</v>
      </c>
      <c r="AM307">
        <v>3337021</v>
      </c>
      <c r="AN307">
        <v>3317438</v>
      </c>
      <c r="AO307">
        <v>3297842</v>
      </c>
      <c r="AP307">
        <v>3278455</v>
      </c>
      <c r="AQ307">
        <v>3259509</v>
      </c>
      <c r="AR307">
        <v>3241251</v>
      </c>
      <c r="AS307">
        <v>3223941</v>
      </c>
      <c r="AT307">
        <v>3207849</v>
      </c>
      <c r="AU307">
        <v>3193263</v>
      </c>
      <c r="AV307">
        <v>3180479</v>
      </c>
    </row>
    <row r="308" spans="1:48">
      <c r="A308" t="s">
        <v>801</v>
      </c>
      <c r="B308" t="s">
        <v>802</v>
      </c>
      <c r="C308" t="s">
        <v>358</v>
      </c>
      <c r="D308" s="37">
        <v>1275080.57291841</v>
      </c>
      <c r="E308" s="37">
        <v>1283794.80462018</v>
      </c>
      <c r="F308" s="37">
        <v>1292025.73890444</v>
      </c>
      <c r="G308" s="37">
        <v>1305541</v>
      </c>
      <c r="H308">
        <v>1315638</v>
      </c>
      <c r="I308">
        <v>1325626</v>
      </c>
      <c r="J308">
        <v>1335438</v>
      </c>
      <c r="K308">
        <v>1345010</v>
      </c>
      <c r="L308">
        <v>1354282</v>
      </c>
      <c r="M308">
        <v>1363199</v>
      </c>
      <c r="N308">
        <v>1371710</v>
      </c>
      <c r="O308">
        <v>1379768</v>
      </c>
      <c r="P308">
        <v>1387332</v>
      </c>
      <c r="Q308">
        <v>1394362</v>
      </c>
      <c r="R308">
        <v>1400826</v>
      </c>
      <c r="S308">
        <v>1406694</v>
      </c>
      <c r="T308">
        <v>1411940</v>
      </c>
      <c r="U308">
        <v>1416545</v>
      </c>
      <c r="V308">
        <v>1420491</v>
      </c>
      <c r="W308">
        <v>1423767</v>
      </c>
      <c r="X308">
        <v>1426364</v>
      </c>
      <c r="Y308">
        <v>1428280</v>
      </c>
      <c r="Z308">
        <v>1429514</v>
      </c>
      <c r="AA308">
        <v>1430072</v>
      </c>
      <c r="AB308">
        <v>1429963</v>
      </c>
      <c r="AC308">
        <v>1429201</v>
      </c>
      <c r="AD308">
        <v>1427804</v>
      </c>
      <c r="AE308">
        <v>1425794</v>
      </c>
      <c r="AF308">
        <v>1423198</v>
      </c>
      <c r="AG308">
        <v>1420047</v>
      </c>
      <c r="AH308">
        <v>1416375</v>
      </c>
      <c r="AI308">
        <v>1412222</v>
      </c>
      <c r="AJ308">
        <v>1407633</v>
      </c>
      <c r="AK308">
        <v>1402655</v>
      </c>
      <c r="AL308">
        <v>1397341</v>
      </c>
      <c r="AM308">
        <v>1391748</v>
      </c>
      <c r="AN308">
        <v>1385936</v>
      </c>
      <c r="AO308">
        <v>1379970</v>
      </c>
      <c r="AP308">
        <v>1373922</v>
      </c>
      <c r="AQ308">
        <v>1367864</v>
      </c>
      <c r="AR308">
        <v>1361874</v>
      </c>
      <c r="AS308">
        <v>1356036</v>
      </c>
      <c r="AT308">
        <v>1350436</v>
      </c>
      <c r="AU308">
        <v>1345166</v>
      </c>
      <c r="AV308">
        <v>1340321</v>
      </c>
    </row>
    <row r="309" spans="1:48">
      <c r="A309" t="s">
        <v>803</v>
      </c>
      <c r="B309" t="s">
        <v>804</v>
      </c>
      <c r="C309" t="s">
        <v>358</v>
      </c>
      <c r="D309" s="37">
        <v>563305.88098488</v>
      </c>
      <c r="E309" s="37">
        <v>567372.593510557</v>
      </c>
      <c r="F309" s="37">
        <v>571244.056899227</v>
      </c>
      <c r="G309" s="37">
        <v>548146</v>
      </c>
      <c r="H309">
        <v>552662</v>
      </c>
      <c r="I309">
        <v>557176</v>
      </c>
      <c r="J309">
        <v>561655</v>
      </c>
      <c r="K309">
        <v>566070</v>
      </c>
      <c r="L309">
        <v>570391</v>
      </c>
      <c r="M309">
        <v>574591</v>
      </c>
      <c r="N309">
        <v>578645</v>
      </c>
      <c r="O309">
        <v>582532</v>
      </c>
      <c r="P309">
        <v>586229</v>
      </c>
      <c r="Q309">
        <v>589717</v>
      </c>
      <c r="R309">
        <v>592980</v>
      </c>
      <c r="S309">
        <v>596003</v>
      </c>
      <c r="T309">
        <v>598771</v>
      </c>
      <c r="U309">
        <v>601275</v>
      </c>
      <c r="V309">
        <v>603504</v>
      </c>
      <c r="W309">
        <v>605452</v>
      </c>
      <c r="X309">
        <v>607112</v>
      </c>
      <c r="Y309">
        <v>608482</v>
      </c>
      <c r="Z309">
        <v>609560</v>
      </c>
      <c r="AA309">
        <v>610346</v>
      </c>
      <c r="AB309">
        <v>610843</v>
      </c>
      <c r="AC309">
        <v>611056</v>
      </c>
      <c r="AD309">
        <v>610989</v>
      </c>
      <c r="AE309">
        <v>610652</v>
      </c>
      <c r="AF309">
        <v>610055</v>
      </c>
      <c r="AG309">
        <v>609210</v>
      </c>
      <c r="AH309">
        <v>608131</v>
      </c>
      <c r="AI309">
        <v>606833</v>
      </c>
      <c r="AJ309">
        <v>605336</v>
      </c>
      <c r="AK309">
        <v>603658</v>
      </c>
      <c r="AL309">
        <v>601822</v>
      </c>
      <c r="AM309">
        <v>599852</v>
      </c>
      <c r="AN309">
        <v>597772</v>
      </c>
      <c r="AO309">
        <v>595612</v>
      </c>
      <c r="AP309">
        <v>593400</v>
      </c>
      <c r="AQ309">
        <v>591168</v>
      </c>
      <c r="AR309">
        <v>588950</v>
      </c>
      <c r="AS309">
        <v>586781</v>
      </c>
      <c r="AT309">
        <v>584698</v>
      </c>
      <c r="AU309">
        <v>582741</v>
      </c>
      <c r="AV309">
        <v>580951</v>
      </c>
    </row>
    <row r="310" spans="1:48">
      <c r="A310" t="s">
        <v>805</v>
      </c>
      <c r="B310" t="s">
        <v>806</v>
      </c>
      <c r="C310" t="s">
        <v>358</v>
      </c>
      <c r="D310" s="37">
        <v>423178.004325676</v>
      </c>
      <c r="E310" s="37">
        <v>426590.302081524</v>
      </c>
      <c r="F310" s="37">
        <v>429834.273023571</v>
      </c>
      <c r="G310" s="37">
        <v>383410</v>
      </c>
      <c r="H310">
        <v>387491</v>
      </c>
      <c r="I310">
        <v>391291</v>
      </c>
      <c r="J310">
        <v>394817</v>
      </c>
      <c r="K310">
        <v>398077</v>
      </c>
      <c r="L310">
        <v>401078</v>
      </c>
      <c r="M310">
        <v>403828</v>
      </c>
      <c r="N310">
        <v>406335</v>
      </c>
      <c r="O310">
        <v>408604</v>
      </c>
      <c r="P310">
        <v>410644</v>
      </c>
      <c r="Q310">
        <v>412462</v>
      </c>
      <c r="R310">
        <v>414064</v>
      </c>
      <c r="S310">
        <v>415458</v>
      </c>
      <c r="T310">
        <v>416650</v>
      </c>
      <c r="U310">
        <v>417648</v>
      </c>
      <c r="V310">
        <v>418458</v>
      </c>
      <c r="W310">
        <v>419086</v>
      </c>
      <c r="X310">
        <v>419540</v>
      </c>
      <c r="Y310">
        <v>419825</v>
      </c>
      <c r="Z310">
        <v>419948</v>
      </c>
      <c r="AA310">
        <v>419916</v>
      </c>
      <c r="AB310">
        <v>419734</v>
      </c>
      <c r="AC310">
        <v>419409</v>
      </c>
      <c r="AD310">
        <v>418947</v>
      </c>
      <c r="AE310">
        <v>418354</v>
      </c>
      <c r="AF310">
        <v>417636</v>
      </c>
      <c r="AG310">
        <v>416799</v>
      </c>
      <c r="AH310">
        <v>415849</v>
      </c>
      <c r="AI310">
        <v>414790</v>
      </c>
      <c r="AJ310">
        <v>413630</v>
      </c>
      <c r="AK310">
        <v>412373</v>
      </c>
      <c r="AL310">
        <v>411025</v>
      </c>
      <c r="AM310">
        <v>409591</v>
      </c>
      <c r="AN310">
        <v>408078</v>
      </c>
      <c r="AO310">
        <v>406489</v>
      </c>
      <c r="AP310">
        <v>404830</v>
      </c>
      <c r="AQ310">
        <v>403107</v>
      </c>
      <c r="AR310">
        <v>401324</v>
      </c>
      <c r="AS310">
        <v>399486</v>
      </c>
      <c r="AT310">
        <v>397598</v>
      </c>
      <c r="AU310">
        <v>395665</v>
      </c>
      <c r="AV310">
        <v>393692</v>
      </c>
    </row>
    <row r="311" spans="1:48">
      <c r="A311" t="s">
        <v>807</v>
      </c>
      <c r="B311" t="s">
        <v>808</v>
      </c>
      <c r="C311" t="s">
        <v>14</v>
      </c>
      <c r="D311" s="37">
        <v>596867.003276797</v>
      </c>
      <c r="E311" s="37">
        <v>602345.406498175</v>
      </c>
      <c r="F311" s="37">
        <v>607552.652781592</v>
      </c>
      <c r="G311" s="37">
        <v>857369</v>
      </c>
      <c r="H311">
        <v>867877</v>
      </c>
      <c r="I311">
        <v>877567</v>
      </c>
      <c r="J311">
        <v>886480</v>
      </c>
      <c r="K311">
        <v>894650</v>
      </c>
      <c r="L311">
        <v>902113</v>
      </c>
      <c r="M311">
        <v>908904</v>
      </c>
      <c r="N311">
        <v>915054</v>
      </c>
      <c r="O311">
        <v>920596</v>
      </c>
      <c r="P311">
        <v>925558</v>
      </c>
      <c r="Q311">
        <v>929970</v>
      </c>
      <c r="R311">
        <v>933858</v>
      </c>
      <c r="S311">
        <v>937250</v>
      </c>
      <c r="T311">
        <v>940168</v>
      </c>
      <c r="U311">
        <v>942637</v>
      </c>
      <c r="V311">
        <v>944679</v>
      </c>
      <c r="W311">
        <v>946314</v>
      </c>
      <c r="X311">
        <v>947561</v>
      </c>
      <c r="Y311">
        <v>948439</v>
      </c>
      <c r="Z311">
        <v>948964</v>
      </c>
      <c r="AA311">
        <v>949151</v>
      </c>
      <c r="AB311">
        <v>949015</v>
      </c>
      <c r="AC311">
        <v>948568</v>
      </c>
      <c r="AD311">
        <v>947822</v>
      </c>
      <c r="AE311">
        <v>946785</v>
      </c>
      <c r="AF311">
        <v>945469</v>
      </c>
      <c r="AG311">
        <v>943878</v>
      </c>
      <c r="AH311">
        <v>942021</v>
      </c>
      <c r="AI311">
        <v>939900</v>
      </c>
      <c r="AJ311">
        <v>937521</v>
      </c>
      <c r="AK311">
        <v>934884</v>
      </c>
      <c r="AL311">
        <v>931991</v>
      </c>
      <c r="AM311">
        <v>928841</v>
      </c>
      <c r="AN311">
        <v>925431</v>
      </c>
      <c r="AO311">
        <v>921760</v>
      </c>
      <c r="AP311">
        <v>917822</v>
      </c>
      <c r="AQ311">
        <v>913611</v>
      </c>
      <c r="AR311">
        <v>909120</v>
      </c>
      <c r="AS311">
        <v>904341</v>
      </c>
      <c r="AT311">
        <v>899264</v>
      </c>
      <c r="AU311">
        <v>893877</v>
      </c>
      <c r="AV311">
        <v>888168</v>
      </c>
    </row>
    <row r="312" spans="1:48">
      <c r="A312" t="s">
        <v>809</v>
      </c>
      <c r="B312" t="s">
        <v>810</v>
      </c>
      <c r="C312" t="s">
        <v>14</v>
      </c>
      <c r="D312" s="37">
        <v>742566.689285762</v>
      </c>
      <c r="E312" s="37">
        <v>748436.909708653</v>
      </c>
      <c r="F312" s="37">
        <v>754172.700870571</v>
      </c>
      <c r="G312" s="37">
        <v>790981</v>
      </c>
      <c r="H312">
        <v>798177</v>
      </c>
      <c r="I312">
        <v>805686</v>
      </c>
      <c r="J312">
        <v>813423</v>
      </c>
      <c r="K312">
        <v>821307</v>
      </c>
      <c r="L312">
        <v>829264</v>
      </c>
      <c r="M312">
        <v>837223</v>
      </c>
      <c r="N312">
        <v>845119</v>
      </c>
      <c r="O312">
        <v>852888</v>
      </c>
      <c r="P312">
        <v>860476</v>
      </c>
      <c r="Q312">
        <v>867830</v>
      </c>
      <c r="R312">
        <v>874903</v>
      </c>
      <c r="S312">
        <v>881653</v>
      </c>
      <c r="T312">
        <v>888040</v>
      </c>
      <c r="U312">
        <v>894033</v>
      </c>
      <c r="V312">
        <v>899602</v>
      </c>
      <c r="W312">
        <v>904723</v>
      </c>
      <c r="X312">
        <v>909378</v>
      </c>
      <c r="Y312">
        <v>913551</v>
      </c>
      <c r="Z312">
        <v>917234</v>
      </c>
      <c r="AA312">
        <v>920419</v>
      </c>
      <c r="AB312">
        <v>923108</v>
      </c>
      <c r="AC312">
        <v>925303</v>
      </c>
      <c r="AD312">
        <v>927014</v>
      </c>
      <c r="AE312">
        <v>928255</v>
      </c>
      <c r="AF312">
        <v>929042</v>
      </c>
      <c r="AG312">
        <v>929399</v>
      </c>
      <c r="AH312">
        <v>929354</v>
      </c>
      <c r="AI312">
        <v>928939</v>
      </c>
      <c r="AJ312">
        <v>928189</v>
      </c>
      <c r="AK312">
        <v>927148</v>
      </c>
      <c r="AL312">
        <v>925860</v>
      </c>
      <c r="AM312">
        <v>924377</v>
      </c>
      <c r="AN312">
        <v>922753</v>
      </c>
      <c r="AO312">
        <v>921050</v>
      </c>
      <c r="AP312">
        <v>919332</v>
      </c>
      <c r="AQ312">
        <v>917669</v>
      </c>
      <c r="AR312">
        <v>916133</v>
      </c>
      <c r="AS312">
        <v>914806</v>
      </c>
      <c r="AT312">
        <v>913768</v>
      </c>
      <c r="AU312">
        <v>913110</v>
      </c>
      <c r="AV312">
        <v>912924</v>
      </c>
    </row>
    <row r="313" spans="1:48">
      <c r="A313" t="s">
        <v>811</v>
      </c>
      <c r="B313" t="s">
        <v>812</v>
      </c>
      <c r="C313" t="s">
        <v>14</v>
      </c>
      <c r="D313" s="37">
        <v>693394.067956045</v>
      </c>
      <c r="E313" s="37">
        <v>698802.389362453</v>
      </c>
      <c r="F313" s="37">
        <v>704104.283921398</v>
      </c>
      <c r="G313" s="37">
        <v>754276</v>
      </c>
      <c r="H313">
        <v>760964</v>
      </c>
      <c r="I313">
        <v>768041</v>
      </c>
      <c r="J313">
        <v>775420</v>
      </c>
      <c r="K313">
        <v>783020</v>
      </c>
      <c r="L313">
        <v>790764</v>
      </c>
      <c r="M313">
        <v>798578</v>
      </c>
      <c r="N313">
        <v>806396</v>
      </c>
      <c r="O313">
        <v>814152</v>
      </c>
      <c r="P313">
        <v>821789</v>
      </c>
      <c r="Q313">
        <v>829253</v>
      </c>
      <c r="R313">
        <v>836493</v>
      </c>
      <c r="S313">
        <v>843464</v>
      </c>
      <c r="T313">
        <v>850127</v>
      </c>
      <c r="U313">
        <v>856445</v>
      </c>
      <c r="V313">
        <v>862386</v>
      </c>
      <c r="W313">
        <v>867925</v>
      </c>
      <c r="X313">
        <v>873039</v>
      </c>
      <c r="Y313">
        <v>877711</v>
      </c>
      <c r="Z313">
        <v>881928</v>
      </c>
      <c r="AA313">
        <v>885681</v>
      </c>
      <c r="AB313">
        <v>888967</v>
      </c>
      <c r="AC313">
        <v>891786</v>
      </c>
      <c r="AD313">
        <v>894145</v>
      </c>
      <c r="AE313">
        <v>896053</v>
      </c>
      <c r="AF313">
        <v>897525</v>
      </c>
      <c r="AG313">
        <v>898580</v>
      </c>
      <c r="AH313">
        <v>899243</v>
      </c>
      <c r="AI313">
        <v>899541</v>
      </c>
      <c r="AJ313">
        <v>899507</v>
      </c>
      <c r="AK313">
        <v>899180</v>
      </c>
      <c r="AL313">
        <v>898602</v>
      </c>
      <c r="AM313">
        <v>897819</v>
      </c>
      <c r="AN313">
        <v>896883</v>
      </c>
      <c r="AO313">
        <v>895850</v>
      </c>
      <c r="AP313">
        <v>894781</v>
      </c>
      <c r="AQ313">
        <v>893740</v>
      </c>
      <c r="AR313">
        <v>892799</v>
      </c>
      <c r="AS313">
        <v>892030</v>
      </c>
      <c r="AT313">
        <v>891514</v>
      </c>
      <c r="AU313">
        <v>891334</v>
      </c>
      <c r="AV313">
        <v>891577</v>
      </c>
    </row>
    <row r="314" spans="1:48">
      <c r="A314" t="s">
        <v>813</v>
      </c>
      <c r="B314" t="s">
        <v>814</v>
      </c>
      <c r="C314" t="s">
        <v>14</v>
      </c>
      <c r="D314" s="37">
        <v>207489.564729791</v>
      </c>
      <c r="E314" s="37">
        <v>209360.585827219</v>
      </c>
      <c r="F314" s="37">
        <v>211175.555538368</v>
      </c>
      <c r="G314" s="37">
        <v>236212</v>
      </c>
      <c r="H314">
        <v>238893</v>
      </c>
      <c r="I314">
        <v>241530</v>
      </c>
      <c r="J314">
        <v>244114</v>
      </c>
      <c r="K314">
        <v>246635</v>
      </c>
      <c r="L314">
        <v>249083</v>
      </c>
      <c r="M314">
        <v>251451</v>
      </c>
      <c r="N314">
        <v>253731</v>
      </c>
      <c r="O314">
        <v>255916</v>
      </c>
      <c r="P314">
        <v>257999</v>
      </c>
      <c r="Q314">
        <v>259976</v>
      </c>
      <c r="R314">
        <v>261840</v>
      </c>
      <c r="S314">
        <v>263588</v>
      </c>
      <c r="T314">
        <v>265215</v>
      </c>
      <c r="U314">
        <v>266719</v>
      </c>
      <c r="V314">
        <v>268097</v>
      </c>
      <c r="W314">
        <v>269347</v>
      </c>
      <c r="X314">
        <v>270468</v>
      </c>
      <c r="Y314">
        <v>271460</v>
      </c>
      <c r="Z314">
        <v>272322</v>
      </c>
      <c r="AA314">
        <v>273055</v>
      </c>
      <c r="AB314">
        <v>273661</v>
      </c>
      <c r="AC314">
        <v>274141</v>
      </c>
      <c r="AD314">
        <v>274499</v>
      </c>
      <c r="AE314">
        <v>274738</v>
      </c>
      <c r="AF314">
        <v>274860</v>
      </c>
      <c r="AG314">
        <v>274872</v>
      </c>
      <c r="AH314">
        <v>274779</v>
      </c>
      <c r="AI314">
        <v>274585</v>
      </c>
      <c r="AJ314">
        <v>274299</v>
      </c>
      <c r="AK314">
        <v>273926</v>
      </c>
      <c r="AL314">
        <v>273475</v>
      </c>
      <c r="AM314">
        <v>272953</v>
      </c>
      <c r="AN314">
        <v>272372</v>
      </c>
      <c r="AO314">
        <v>271739</v>
      </c>
      <c r="AP314">
        <v>271065</v>
      </c>
      <c r="AQ314">
        <v>270362</v>
      </c>
      <c r="AR314">
        <v>269640</v>
      </c>
      <c r="AS314">
        <v>268913</v>
      </c>
      <c r="AT314">
        <v>268193</v>
      </c>
      <c r="AU314">
        <v>267494</v>
      </c>
      <c r="AV314">
        <v>266830</v>
      </c>
    </row>
    <row r="315" spans="1:48">
      <c r="A315" t="s">
        <v>815</v>
      </c>
      <c r="B315" t="s">
        <v>816</v>
      </c>
      <c r="C315" t="s">
        <v>14</v>
      </c>
      <c r="D315" s="37">
        <v>346723.440396302</v>
      </c>
      <c r="E315" s="37">
        <v>349491.564769506</v>
      </c>
      <c r="F315" s="37">
        <v>352174.322266654</v>
      </c>
      <c r="G315" s="37">
        <v>350321</v>
      </c>
      <c r="H315">
        <v>353990</v>
      </c>
      <c r="I315">
        <v>357522</v>
      </c>
      <c r="J315">
        <v>360911</v>
      </c>
      <c r="K315">
        <v>364147</v>
      </c>
      <c r="L315">
        <v>367225</v>
      </c>
      <c r="M315">
        <v>370137</v>
      </c>
      <c r="N315">
        <v>372879</v>
      </c>
      <c r="O315">
        <v>375445</v>
      </c>
      <c r="P315">
        <v>377832</v>
      </c>
      <c r="Q315">
        <v>380036</v>
      </c>
      <c r="R315">
        <v>382055</v>
      </c>
      <c r="S315">
        <v>383887</v>
      </c>
      <c r="T315">
        <v>385531</v>
      </c>
      <c r="U315">
        <v>386986</v>
      </c>
      <c r="V315">
        <v>388253</v>
      </c>
      <c r="W315">
        <v>389334</v>
      </c>
      <c r="X315">
        <v>390229</v>
      </c>
      <c r="Y315">
        <v>390942</v>
      </c>
      <c r="Z315">
        <v>391475</v>
      </c>
      <c r="AA315">
        <v>391834</v>
      </c>
      <c r="AB315">
        <v>392022</v>
      </c>
      <c r="AC315">
        <v>392046</v>
      </c>
      <c r="AD315">
        <v>391911</v>
      </c>
      <c r="AE315">
        <v>391624</v>
      </c>
      <c r="AF315">
        <v>391194</v>
      </c>
      <c r="AG315">
        <v>390629</v>
      </c>
      <c r="AH315">
        <v>389938</v>
      </c>
      <c r="AI315">
        <v>389131</v>
      </c>
      <c r="AJ315">
        <v>388218</v>
      </c>
      <c r="AK315">
        <v>387212</v>
      </c>
      <c r="AL315">
        <v>386124</v>
      </c>
      <c r="AM315">
        <v>384967</v>
      </c>
      <c r="AN315">
        <v>383754</v>
      </c>
      <c r="AO315">
        <v>382501</v>
      </c>
      <c r="AP315">
        <v>381222</v>
      </c>
      <c r="AQ315">
        <v>379933</v>
      </c>
      <c r="AR315">
        <v>378650</v>
      </c>
      <c r="AS315">
        <v>377392</v>
      </c>
      <c r="AT315">
        <v>376175</v>
      </c>
      <c r="AU315">
        <v>375019</v>
      </c>
      <c r="AV315">
        <v>373943</v>
      </c>
    </row>
    <row r="316" spans="1:48">
      <c r="A316" t="s">
        <v>817</v>
      </c>
      <c r="B316" t="s">
        <v>818</v>
      </c>
      <c r="C316" t="s">
        <v>14</v>
      </c>
      <c r="D316" s="37">
        <v>491147.686299268</v>
      </c>
      <c r="E316" s="37">
        <v>495104.442127432</v>
      </c>
      <c r="F316" s="37">
        <v>498968.326843785</v>
      </c>
      <c r="G316" s="37">
        <v>501068</v>
      </c>
      <c r="H316">
        <v>504786</v>
      </c>
      <c r="I316">
        <v>509135</v>
      </c>
      <c r="J316">
        <v>514020</v>
      </c>
      <c r="K316">
        <v>519349</v>
      </c>
      <c r="L316">
        <v>525038</v>
      </c>
      <c r="M316">
        <v>531005</v>
      </c>
      <c r="N316">
        <v>537173</v>
      </c>
      <c r="O316">
        <v>543472</v>
      </c>
      <c r="P316">
        <v>549833</v>
      </c>
      <c r="Q316">
        <v>556195</v>
      </c>
      <c r="R316">
        <v>562500</v>
      </c>
      <c r="S316">
        <v>568695</v>
      </c>
      <c r="T316">
        <v>574731</v>
      </c>
      <c r="U316">
        <v>580565</v>
      </c>
      <c r="V316">
        <v>586158</v>
      </c>
      <c r="W316">
        <v>591476</v>
      </c>
      <c r="X316">
        <v>596489</v>
      </c>
      <c r="Y316">
        <v>601173</v>
      </c>
      <c r="Z316">
        <v>605506</v>
      </c>
      <c r="AA316">
        <v>609475</v>
      </c>
      <c r="AB316">
        <v>613067</v>
      </c>
      <c r="AC316">
        <v>616278</v>
      </c>
      <c r="AD316">
        <v>619104</v>
      </c>
      <c r="AE316">
        <v>621551</v>
      </c>
      <c r="AF316">
        <v>623625</v>
      </c>
      <c r="AG316">
        <v>625339</v>
      </c>
      <c r="AH316">
        <v>626711</v>
      </c>
      <c r="AI316">
        <v>627762</v>
      </c>
      <c r="AJ316">
        <v>628520</v>
      </c>
      <c r="AK316">
        <v>629016</v>
      </c>
      <c r="AL316">
        <v>629286</v>
      </c>
      <c r="AM316">
        <v>629370</v>
      </c>
      <c r="AN316">
        <v>629315</v>
      </c>
      <c r="AO316">
        <v>629170</v>
      </c>
      <c r="AP316">
        <v>628990</v>
      </c>
      <c r="AQ316">
        <v>628834</v>
      </c>
      <c r="AR316">
        <v>628768</v>
      </c>
      <c r="AS316">
        <v>628859</v>
      </c>
      <c r="AT316">
        <v>629182</v>
      </c>
      <c r="AU316">
        <v>629815</v>
      </c>
      <c r="AV316">
        <v>630840</v>
      </c>
    </row>
    <row r="317" spans="1:48">
      <c r="A317" t="s">
        <v>819</v>
      </c>
      <c r="B317" t="s">
        <v>820</v>
      </c>
      <c r="C317" t="s">
        <v>14</v>
      </c>
      <c r="D317" s="37">
        <v>101793.628481024</v>
      </c>
      <c r="E317" s="37">
        <v>102687.530611138</v>
      </c>
      <c r="F317" s="37">
        <v>103553.022344646</v>
      </c>
      <c r="G317" s="37">
        <v>122132</v>
      </c>
      <c r="H317">
        <v>123296</v>
      </c>
      <c r="I317">
        <v>124521</v>
      </c>
      <c r="J317">
        <v>125795</v>
      </c>
      <c r="K317">
        <v>127105</v>
      </c>
      <c r="L317">
        <v>128440</v>
      </c>
      <c r="M317">
        <v>129788</v>
      </c>
      <c r="N317">
        <v>131139</v>
      </c>
      <c r="O317">
        <v>132484</v>
      </c>
      <c r="P317">
        <v>133812</v>
      </c>
      <c r="Q317">
        <v>135116</v>
      </c>
      <c r="R317">
        <v>136388</v>
      </c>
      <c r="S317">
        <v>137621</v>
      </c>
      <c r="T317">
        <v>138808</v>
      </c>
      <c r="U317">
        <v>139943</v>
      </c>
      <c r="V317">
        <v>141022</v>
      </c>
      <c r="W317">
        <v>142039</v>
      </c>
      <c r="X317">
        <v>142991</v>
      </c>
      <c r="Y317">
        <v>143875</v>
      </c>
      <c r="Z317">
        <v>144687</v>
      </c>
      <c r="AA317">
        <v>145428</v>
      </c>
      <c r="AB317">
        <v>146094</v>
      </c>
      <c r="AC317">
        <v>146686</v>
      </c>
      <c r="AD317">
        <v>147203</v>
      </c>
      <c r="AE317">
        <v>147647</v>
      </c>
      <c r="AF317">
        <v>148019</v>
      </c>
      <c r="AG317">
        <v>148321</v>
      </c>
      <c r="AH317">
        <v>148555</v>
      </c>
      <c r="AI317">
        <v>148726</v>
      </c>
      <c r="AJ317">
        <v>148837</v>
      </c>
      <c r="AK317">
        <v>148893</v>
      </c>
      <c r="AL317">
        <v>148900</v>
      </c>
      <c r="AM317">
        <v>148863</v>
      </c>
      <c r="AN317">
        <v>148789</v>
      </c>
      <c r="AO317">
        <v>148685</v>
      </c>
      <c r="AP317">
        <v>148561</v>
      </c>
      <c r="AQ317">
        <v>148423</v>
      </c>
      <c r="AR317">
        <v>148283</v>
      </c>
      <c r="AS317">
        <v>148149</v>
      </c>
      <c r="AT317">
        <v>148032</v>
      </c>
      <c r="AU317">
        <v>147945</v>
      </c>
      <c r="AV317">
        <v>147898</v>
      </c>
    </row>
    <row r="318" spans="1:48">
      <c r="A318" t="s">
        <v>821</v>
      </c>
      <c r="B318" t="s">
        <v>822</v>
      </c>
      <c r="C318" t="s">
        <v>14</v>
      </c>
      <c r="D318" s="37">
        <v>8910168.26401923</v>
      </c>
      <c r="E318" s="37">
        <v>8978511.53433636</v>
      </c>
      <c r="F318" s="37">
        <v>9042636.72659498</v>
      </c>
      <c r="G318" s="37">
        <v>12798586</v>
      </c>
      <c r="H318">
        <v>12952097</v>
      </c>
      <c r="I318">
        <v>13084293</v>
      </c>
      <c r="J318">
        <v>13196698</v>
      </c>
      <c r="K318">
        <v>13290783</v>
      </c>
      <c r="L318">
        <v>13367958</v>
      </c>
      <c r="M318">
        <v>13429580</v>
      </c>
      <c r="N318">
        <v>13476945</v>
      </c>
      <c r="O318">
        <v>13511296</v>
      </c>
      <c r="P318">
        <v>13533816</v>
      </c>
      <c r="Q318">
        <v>13545632</v>
      </c>
      <c r="R318">
        <v>13547816</v>
      </c>
      <c r="S318">
        <v>13541379</v>
      </c>
      <c r="T318">
        <v>13527278</v>
      </c>
      <c r="U318">
        <v>13506413</v>
      </c>
      <c r="V318">
        <v>13479627</v>
      </c>
      <c r="W318">
        <v>13447705</v>
      </c>
      <c r="X318">
        <v>13411375</v>
      </c>
      <c r="Y318">
        <v>13371309</v>
      </c>
      <c r="Z318">
        <v>13328122</v>
      </c>
      <c r="AA318">
        <v>13282371</v>
      </c>
      <c r="AB318">
        <v>13234558</v>
      </c>
      <c r="AC318">
        <v>13185126</v>
      </c>
      <c r="AD318">
        <v>13134462</v>
      </c>
      <c r="AE318">
        <v>13082897</v>
      </c>
      <c r="AF318">
        <v>13030703</v>
      </c>
      <c r="AG318">
        <v>12978096</v>
      </c>
      <c r="AH318">
        <v>12925235</v>
      </c>
      <c r="AI318">
        <v>12872224</v>
      </c>
      <c r="AJ318">
        <v>12819106</v>
      </c>
      <c r="AK318">
        <v>12765871</v>
      </c>
      <c r="AL318">
        <v>12712449</v>
      </c>
      <c r="AM318">
        <v>12658716</v>
      </c>
      <c r="AN318">
        <v>12604488</v>
      </c>
      <c r="AO318">
        <v>12549526</v>
      </c>
      <c r="AP318">
        <v>12493534</v>
      </c>
      <c r="AQ318">
        <v>12436159</v>
      </c>
      <c r="AR318">
        <v>12376989</v>
      </c>
      <c r="AS318">
        <v>12315559</v>
      </c>
      <c r="AT318">
        <v>12251343</v>
      </c>
      <c r="AU318">
        <v>12183761</v>
      </c>
      <c r="AV318">
        <v>12112175</v>
      </c>
    </row>
    <row r="319" spans="1:48">
      <c r="A319" t="s">
        <v>823</v>
      </c>
      <c r="B319" t="s">
        <v>824</v>
      </c>
      <c r="C319" t="s">
        <v>14</v>
      </c>
      <c r="D319" s="37">
        <v>861769.191417831</v>
      </c>
      <c r="E319" s="37">
        <v>866175.832334671</v>
      </c>
      <c r="F319" s="37">
        <v>870310.910482308</v>
      </c>
      <c r="G319" s="37">
        <v>692388</v>
      </c>
      <c r="H319">
        <v>698279</v>
      </c>
      <c r="I319">
        <v>703375</v>
      </c>
      <c r="J319">
        <v>707709</v>
      </c>
      <c r="K319">
        <v>711314</v>
      </c>
      <c r="L319">
        <v>714221</v>
      </c>
      <c r="M319">
        <v>716462</v>
      </c>
      <c r="N319">
        <v>718068</v>
      </c>
      <c r="O319">
        <v>719072</v>
      </c>
      <c r="P319">
        <v>719502</v>
      </c>
      <c r="Q319">
        <v>719391</v>
      </c>
      <c r="R319">
        <v>718768</v>
      </c>
      <c r="S319">
        <v>717663</v>
      </c>
      <c r="T319">
        <v>716105</v>
      </c>
      <c r="U319">
        <v>714125</v>
      </c>
      <c r="V319">
        <v>711750</v>
      </c>
      <c r="W319">
        <v>709009</v>
      </c>
      <c r="X319">
        <v>705931</v>
      </c>
      <c r="Y319">
        <v>702544</v>
      </c>
      <c r="Z319">
        <v>698876</v>
      </c>
      <c r="AA319">
        <v>694953</v>
      </c>
      <c r="AB319">
        <v>690803</v>
      </c>
      <c r="AC319">
        <v>686453</v>
      </c>
      <c r="AD319">
        <v>681929</v>
      </c>
      <c r="AE319">
        <v>677257</v>
      </c>
      <c r="AF319">
        <v>672464</v>
      </c>
      <c r="AG319">
        <v>667574</v>
      </c>
      <c r="AH319">
        <v>662613</v>
      </c>
      <c r="AI319">
        <v>657605</v>
      </c>
      <c r="AJ319">
        <v>652576</v>
      </c>
      <c r="AK319">
        <v>647550</v>
      </c>
      <c r="AL319">
        <v>642550</v>
      </c>
      <c r="AM319">
        <v>637601</v>
      </c>
      <c r="AN319">
        <v>632725</v>
      </c>
      <c r="AO319">
        <v>627946</v>
      </c>
      <c r="AP319">
        <v>623287</v>
      </c>
      <c r="AQ319">
        <v>618769</v>
      </c>
      <c r="AR319">
        <v>614415</v>
      </c>
      <c r="AS319">
        <v>610247</v>
      </c>
      <c r="AT319">
        <v>606286</v>
      </c>
      <c r="AU319">
        <v>602554</v>
      </c>
      <c r="AV319">
        <v>599070</v>
      </c>
    </row>
    <row r="320" spans="1:48">
      <c r="A320" t="s">
        <v>825</v>
      </c>
      <c r="B320" t="s">
        <v>826</v>
      </c>
      <c r="C320" t="s">
        <v>14</v>
      </c>
      <c r="D320" s="37">
        <v>3847588.87589535</v>
      </c>
      <c r="E320" s="37">
        <v>3869578.34723089</v>
      </c>
      <c r="F320" s="37">
        <v>3890506.43435639</v>
      </c>
      <c r="G320" s="37">
        <v>3291628</v>
      </c>
      <c r="H320">
        <v>3321687</v>
      </c>
      <c r="I320">
        <v>3348218</v>
      </c>
      <c r="J320">
        <v>3371349</v>
      </c>
      <c r="K320">
        <v>3391207</v>
      </c>
      <c r="L320">
        <v>3407918</v>
      </c>
      <c r="M320">
        <v>3421610</v>
      </c>
      <c r="N320">
        <v>3432411</v>
      </c>
      <c r="O320">
        <v>3440446</v>
      </c>
      <c r="P320">
        <v>3445844</v>
      </c>
      <c r="Q320">
        <v>3448732</v>
      </c>
      <c r="R320">
        <v>3449237</v>
      </c>
      <c r="S320">
        <v>3447485</v>
      </c>
      <c r="T320">
        <v>3443605</v>
      </c>
      <c r="U320">
        <v>3437723</v>
      </c>
      <c r="V320">
        <v>3429966</v>
      </c>
      <c r="W320">
        <v>3420462</v>
      </c>
      <c r="X320">
        <v>3409338</v>
      </c>
      <c r="Y320">
        <v>3396720</v>
      </c>
      <c r="Z320">
        <v>3382737</v>
      </c>
      <c r="AA320">
        <v>3367516</v>
      </c>
      <c r="AB320">
        <v>3351182</v>
      </c>
      <c r="AC320">
        <v>3333865</v>
      </c>
      <c r="AD320">
        <v>3315690</v>
      </c>
      <c r="AE320">
        <v>3296786</v>
      </c>
      <c r="AF320">
        <v>3277279</v>
      </c>
      <c r="AG320">
        <v>3257296</v>
      </c>
      <c r="AH320">
        <v>3236965</v>
      </c>
      <c r="AI320">
        <v>3216412</v>
      </c>
      <c r="AJ320">
        <v>3195766</v>
      </c>
      <c r="AK320">
        <v>3175153</v>
      </c>
      <c r="AL320">
        <v>3154700</v>
      </c>
      <c r="AM320">
        <v>3134535</v>
      </c>
      <c r="AN320">
        <v>3114785</v>
      </c>
      <c r="AO320">
        <v>3095577</v>
      </c>
      <c r="AP320">
        <v>3077037</v>
      </c>
      <c r="AQ320">
        <v>3059295</v>
      </c>
      <c r="AR320">
        <v>3042476</v>
      </c>
      <c r="AS320">
        <v>3026707</v>
      </c>
      <c r="AT320">
        <v>3012117</v>
      </c>
      <c r="AU320">
        <v>2998832</v>
      </c>
      <c r="AV320">
        <v>2986979</v>
      </c>
    </row>
    <row r="321" spans="1:48">
      <c r="A321" t="s">
        <v>827</v>
      </c>
      <c r="B321" t="s">
        <v>828</v>
      </c>
      <c r="C321" t="s">
        <v>14</v>
      </c>
      <c r="D321" s="37">
        <v>5298293.35608122</v>
      </c>
      <c r="E321" s="37">
        <v>5332866.15116424</v>
      </c>
      <c r="F321" s="37">
        <v>5366046.68376543</v>
      </c>
      <c r="G321" s="37">
        <v>4169751</v>
      </c>
      <c r="H321">
        <v>4213498</v>
      </c>
      <c r="I321">
        <v>4252514</v>
      </c>
      <c r="J321">
        <v>4286997</v>
      </c>
      <c r="K321">
        <v>4317146</v>
      </c>
      <c r="L321">
        <v>4343156</v>
      </c>
      <c r="M321">
        <v>4365219</v>
      </c>
      <c r="N321">
        <v>4383526</v>
      </c>
      <c r="O321">
        <v>4398265</v>
      </c>
      <c r="P321">
        <v>4409621</v>
      </c>
      <c r="Q321">
        <v>4417778</v>
      </c>
      <c r="R321">
        <v>4422916</v>
      </c>
      <c r="S321">
        <v>4425214</v>
      </c>
      <c r="T321">
        <v>4424848</v>
      </c>
      <c r="U321">
        <v>4421992</v>
      </c>
      <c r="V321">
        <v>4416818</v>
      </c>
      <c r="W321">
        <v>4409494</v>
      </c>
      <c r="X321">
        <v>4400186</v>
      </c>
      <c r="Y321">
        <v>4389060</v>
      </c>
      <c r="Z321">
        <v>4376277</v>
      </c>
      <c r="AA321">
        <v>4361996</v>
      </c>
      <c r="AB321">
        <v>4346375</v>
      </c>
      <c r="AC321">
        <v>4329569</v>
      </c>
      <c r="AD321">
        <v>4311729</v>
      </c>
      <c r="AE321">
        <v>4293007</v>
      </c>
      <c r="AF321">
        <v>4273549</v>
      </c>
      <c r="AG321">
        <v>4253500</v>
      </c>
      <c r="AH321">
        <v>4233005</v>
      </c>
      <c r="AI321">
        <v>4212202</v>
      </c>
      <c r="AJ321">
        <v>4191231</v>
      </c>
      <c r="AK321">
        <v>4170227</v>
      </c>
      <c r="AL321">
        <v>4149324</v>
      </c>
      <c r="AM321">
        <v>4128652</v>
      </c>
      <c r="AN321">
        <v>4108341</v>
      </c>
      <c r="AO321">
        <v>4088516</v>
      </c>
      <c r="AP321">
        <v>4069301</v>
      </c>
      <c r="AQ321">
        <v>4050819</v>
      </c>
      <c r="AR321">
        <v>4033188</v>
      </c>
      <c r="AS321">
        <v>4016524</v>
      </c>
      <c r="AT321">
        <v>4000943</v>
      </c>
      <c r="AU321">
        <v>3986557</v>
      </c>
      <c r="AV321">
        <v>3973474</v>
      </c>
    </row>
    <row r="322" spans="1:48">
      <c r="A322" t="s">
        <v>829</v>
      </c>
      <c r="B322" t="s">
        <v>830</v>
      </c>
      <c r="C322" t="s">
        <v>14</v>
      </c>
      <c r="D322" s="37">
        <v>5462729.34425214</v>
      </c>
      <c r="E322" s="37">
        <v>5492993.58603476</v>
      </c>
      <c r="F322" s="37">
        <v>5521827.83206964</v>
      </c>
      <c r="G322" s="37">
        <v>4645759</v>
      </c>
      <c r="H322">
        <v>4688435</v>
      </c>
      <c r="I322">
        <v>4725821</v>
      </c>
      <c r="J322">
        <v>4758130</v>
      </c>
      <c r="K322">
        <v>4785572</v>
      </c>
      <c r="L322">
        <v>4808354</v>
      </c>
      <c r="M322">
        <v>4826685</v>
      </c>
      <c r="N322">
        <v>4840769</v>
      </c>
      <c r="O322">
        <v>4850813</v>
      </c>
      <c r="P322">
        <v>4857019</v>
      </c>
      <c r="Q322">
        <v>4859589</v>
      </c>
      <c r="R322">
        <v>4858725</v>
      </c>
      <c r="S322">
        <v>4854624</v>
      </c>
      <c r="T322">
        <v>4847486</v>
      </c>
      <c r="U322">
        <v>4837508</v>
      </c>
      <c r="V322">
        <v>4824883</v>
      </c>
      <c r="W322">
        <v>4809808</v>
      </c>
      <c r="X322">
        <v>4792474</v>
      </c>
      <c r="Y322">
        <v>4773073</v>
      </c>
      <c r="Z322">
        <v>4751794</v>
      </c>
      <c r="AA322">
        <v>4728828</v>
      </c>
      <c r="AB322">
        <v>4704361</v>
      </c>
      <c r="AC322">
        <v>4678580</v>
      </c>
      <c r="AD322">
        <v>4651669</v>
      </c>
      <c r="AE322">
        <v>4623811</v>
      </c>
      <c r="AF322">
        <v>4595190</v>
      </c>
      <c r="AG322">
        <v>4565986</v>
      </c>
      <c r="AH322">
        <v>4536378</v>
      </c>
      <c r="AI322">
        <v>4506545</v>
      </c>
      <c r="AJ322">
        <v>4476663</v>
      </c>
      <c r="AK322">
        <v>4446909</v>
      </c>
      <c r="AL322">
        <v>4417456</v>
      </c>
      <c r="AM322">
        <v>4388477</v>
      </c>
      <c r="AN322">
        <v>4360145</v>
      </c>
      <c r="AO322">
        <v>4332629</v>
      </c>
      <c r="AP322">
        <v>4306098</v>
      </c>
      <c r="AQ322">
        <v>4280720</v>
      </c>
      <c r="AR322">
        <v>4256662</v>
      </c>
      <c r="AS322">
        <v>4234088</v>
      </c>
      <c r="AT322">
        <v>4213162</v>
      </c>
      <c r="AU322">
        <v>4194046</v>
      </c>
      <c r="AV322">
        <v>4176902</v>
      </c>
    </row>
    <row r="323" spans="1:48">
      <c r="A323" t="s">
        <v>831</v>
      </c>
      <c r="B323" t="s">
        <v>832</v>
      </c>
      <c r="C323" t="s">
        <v>14</v>
      </c>
      <c r="D323" s="37">
        <v>2310236.7446198</v>
      </c>
      <c r="E323" s="37">
        <v>2328949.08007061</v>
      </c>
      <c r="F323" s="37">
        <v>2346776.80001236</v>
      </c>
      <c r="G323" s="37">
        <v>2256558</v>
      </c>
      <c r="H323">
        <v>2282486</v>
      </c>
      <c r="I323">
        <v>2306356</v>
      </c>
      <c r="J323">
        <v>2328237</v>
      </c>
      <c r="K323">
        <v>2348194</v>
      </c>
      <c r="L323">
        <v>2366296</v>
      </c>
      <c r="M323">
        <v>2382607</v>
      </c>
      <c r="N323">
        <v>2397193</v>
      </c>
      <c r="O323">
        <v>2410121</v>
      </c>
      <c r="P323">
        <v>2421453</v>
      </c>
      <c r="Q323">
        <v>2431255</v>
      </c>
      <c r="R323">
        <v>2439589</v>
      </c>
      <c r="S323">
        <v>2446519</v>
      </c>
      <c r="T323">
        <v>2452107</v>
      </c>
      <c r="U323">
        <v>2456416</v>
      </c>
      <c r="V323">
        <v>2459507</v>
      </c>
      <c r="W323">
        <v>2461440</v>
      </c>
      <c r="X323">
        <v>2462276</v>
      </c>
      <c r="Y323">
        <v>2462076</v>
      </c>
      <c r="Z323">
        <v>2460898</v>
      </c>
      <c r="AA323">
        <v>2458802</v>
      </c>
      <c r="AB323">
        <v>2455846</v>
      </c>
      <c r="AC323">
        <v>2452087</v>
      </c>
      <c r="AD323">
        <v>2447584</v>
      </c>
      <c r="AE323">
        <v>2442392</v>
      </c>
      <c r="AF323">
        <v>2436570</v>
      </c>
      <c r="AG323">
        <v>2430171</v>
      </c>
      <c r="AH323">
        <v>2423252</v>
      </c>
      <c r="AI323">
        <v>2415867</v>
      </c>
      <c r="AJ323">
        <v>2408070</v>
      </c>
      <c r="AK323">
        <v>2399916</v>
      </c>
      <c r="AL323">
        <v>2391458</v>
      </c>
      <c r="AM323">
        <v>2382748</v>
      </c>
      <c r="AN323">
        <v>2373839</v>
      </c>
      <c r="AO323">
        <v>2364782</v>
      </c>
      <c r="AP323">
        <v>2355629</v>
      </c>
      <c r="AQ323">
        <v>2346429</v>
      </c>
      <c r="AR323">
        <v>2337234</v>
      </c>
      <c r="AS323">
        <v>2328093</v>
      </c>
      <c r="AT323">
        <v>2319056</v>
      </c>
      <c r="AU323">
        <v>2310170</v>
      </c>
      <c r="AV323">
        <v>2301484</v>
      </c>
    </row>
    <row r="324" spans="1:48">
      <c r="A324" t="s">
        <v>833</v>
      </c>
      <c r="B324" t="s">
        <v>834</v>
      </c>
      <c r="C324" t="s">
        <v>14</v>
      </c>
      <c r="D324" s="37">
        <v>3499611.54213185</v>
      </c>
      <c r="E324" s="37">
        <v>3511174.15655919</v>
      </c>
      <c r="F324" s="37">
        <v>3521550.60989723</v>
      </c>
      <c r="G324" s="37">
        <v>3196382</v>
      </c>
      <c r="H324">
        <v>3211204</v>
      </c>
      <c r="I324">
        <v>3224075</v>
      </c>
      <c r="J324">
        <v>3234989</v>
      </c>
      <c r="K324">
        <v>3243944</v>
      </c>
      <c r="L324">
        <v>3250946</v>
      </c>
      <c r="M324">
        <v>3256004</v>
      </c>
      <c r="N324">
        <v>3259136</v>
      </c>
      <c r="O324">
        <v>3260363</v>
      </c>
      <c r="P324">
        <v>3259712</v>
      </c>
      <c r="Q324">
        <v>3257217</v>
      </c>
      <c r="R324">
        <v>3252916</v>
      </c>
      <c r="S324">
        <v>3246854</v>
      </c>
      <c r="T324">
        <v>3239081</v>
      </c>
      <c r="U324">
        <v>3229654</v>
      </c>
      <c r="V324">
        <v>3218632</v>
      </c>
      <c r="W324">
        <v>3206084</v>
      </c>
      <c r="X324">
        <v>3192082</v>
      </c>
      <c r="Y324">
        <v>3176705</v>
      </c>
      <c r="Z324">
        <v>3160037</v>
      </c>
      <c r="AA324">
        <v>3142168</v>
      </c>
      <c r="AB324">
        <v>3123193</v>
      </c>
      <c r="AC324">
        <v>3103214</v>
      </c>
      <c r="AD324">
        <v>3082336</v>
      </c>
      <c r="AE324">
        <v>3060674</v>
      </c>
      <c r="AF324">
        <v>3038344</v>
      </c>
      <c r="AG324">
        <v>3015470</v>
      </c>
      <c r="AH324">
        <v>2992183</v>
      </c>
      <c r="AI324">
        <v>2968617</v>
      </c>
      <c r="AJ324">
        <v>2944913</v>
      </c>
      <c r="AK324">
        <v>2921217</v>
      </c>
      <c r="AL324">
        <v>2897683</v>
      </c>
      <c r="AM324">
        <v>2874466</v>
      </c>
      <c r="AN324">
        <v>2851732</v>
      </c>
      <c r="AO324">
        <v>2829648</v>
      </c>
      <c r="AP324">
        <v>2808390</v>
      </c>
      <c r="AQ324">
        <v>2788139</v>
      </c>
      <c r="AR324">
        <v>2769080</v>
      </c>
      <c r="AS324">
        <v>2751405</v>
      </c>
      <c r="AT324">
        <v>2735312</v>
      </c>
      <c r="AU324">
        <v>2721003</v>
      </c>
      <c r="AV324">
        <v>2708689</v>
      </c>
    </row>
    <row r="325" spans="1:48">
      <c r="A325" t="s">
        <v>835</v>
      </c>
      <c r="B325" t="s">
        <v>836</v>
      </c>
      <c r="C325" t="s">
        <v>14</v>
      </c>
      <c r="D325" s="37">
        <v>3524934.00430589</v>
      </c>
      <c r="E325" s="37">
        <v>3552520.96323486</v>
      </c>
      <c r="F325" s="37">
        <v>3578928.28660877</v>
      </c>
      <c r="G325" s="37">
        <v>3582544</v>
      </c>
      <c r="H325">
        <v>3624543</v>
      </c>
      <c r="I325">
        <v>3662749</v>
      </c>
      <c r="J325">
        <v>3697324</v>
      </c>
      <c r="K325">
        <v>3728430</v>
      </c>
      <c r="L325">
        <v>3756224</v>
      </c>
      <c r="M325">
        <v>3780861</v>
      </c>
      <c r="N325">
        <v>3802492</v>
      </c>
      <c r="O325">
        <v>3821265</v>
      </c>
      <c r="P325">
        <v>3837325</v>
      </c>
      <c r="Q325">
        <v>3850816</v>
      </c>
      <c r="R325">
        <v>3861875</v>
      </c>
      <c r="S325">
        <v>3870639</v>
      </c>
      <c r="T325">
        <v>3877242</v>
      </c>
      <c r="U325">
        <v>3881812</v>
      </c>
      <c r="V325">
        <v>3884477</v>
      </c>
      <c r="W325">
        <v>3885361</v>
      </c>
      <c r="X325">
        <v>3884585</v>
      </c>
      <c r="Y325">
        <v>3882266</v>
      </c>
      <c r="Z325">
        <v>3878519</v>
      </c>
      <c r="AA325">
        <v>3873456</v>
      </c>
      <c r="AB325">
        <v>3867185</v>
      </c>
      <c r="AC325">
        <v>3859812</v>
      </c>
      <c r="AD325">
        <v>3851439</v>
      </c>
      <c r="AE325">
        <v>3842166</v>
      </c>
      <c r="AF325">
        <v>3832089</v>
      </c>
      <c r="AG325">
        <v>3821301</v>
      </c>
      <c r="AH325">
        <v>3809892</v>
      </c>
      <c r="AI325">
        <v>3797951</v>
      </c>
      <c r="AJ325">
        <v>3785560</v>
      </c>
      <c r="AK325">
        <v>3772801</v>
      </c>
      <c r="AL325">
        <v>3759752</v>
      </c>
      <c r="AM325">
        <v>3746488</v>
      </c>
      <c r="AN325">
        <v>3733080</v>
      </c>
      <c r="AO325">
        <v>3719598</v>
      </c>
      <c r="AP325">
        <v>3706108</v>
      </c>
      <c r="AQ325">
        <v>3692671</v>
      </c>
      <c r="AR325">
        <v>3679349</v>
      </c>
      <c r="AS325">
        <v>3666196</v>
      </c>
      <c r="AT325">
        <v>3653268</v>
      </c>
      <c r="AU325">
        <v>3640614</v>
      </c>
      <c r="AV325">
        <v>3628281</v>
      </c>
    </row>
    <row r="326" spans="1:48">
      <c r="A326" t="s">
        <v>837</v>
      </c>
      <c r="B326" t="s">
        <v>838</v>
      </c>
      <c r="C326" t="s">
        <v>14</v>
      </c>
      <c r="D326" s="37">
        <v>2718091.85718361</v>
      </c>
      <c r="E326" s="37">
        <v>2731798.38468122</v>
      </c>
      <c r="F326" s="37">
        <v>2744738.78779094</v>
      </c>
      <c r="G326" s="37">
        <v>2475296</v>
      </c>
      <c r="H326">
        <v>2493256</v>
      </c>
      <c r="I326">
        <v>2509673</v>
      </c>
      <c r="J326">
        <v>2524536</v>
      </c>
      <c r="K326">
        <v>2537837</v>
      </c>
      <c r="L326">
        <v>2549577</v>
      </c>
      <c r="M326">
        <v>2559757</v>
      </c>
      <c r="N326">
        <v>2568385</v>
      </c>
      <c r="O326">
        <v>2575473</v>
      </c>
      <c r="P326">
        <v>2581036</v>
      </c>
      <c r="Q326">
        <v>2585097</v>
      </c>
      <c r="R326">
        <v>2587681</v>
      </c>
      <c r="S326">
        <v>2588817</v>
      </c>
      <c r="T326">
        <v>2588540</v>
      </c>
      <c r="U326">
        <v>2586890</v>
      </c>
      <c r="V326">
        <v>2583910</v>
      </c>
      <c r="W326">
        <v>2579649</v>
      </c>
      <c r="X326">
        <v>2574159</v>
      </c>
      <c r="Y326">
        <v>2567497</v>
      </c>
      <c r="Z326">
        <v>2559725</v>
      </c>
      <c r="AA326">
        <v>2550911</v>
      </c>
      <c r="AB326">
        <v>2541124</v>
      </c>
      <c r="AC326">
        <v>2530441</v>
      </c>
      <c r="AD326">
        <v>2518941</v>
      </c>
      <c r="AE326">
        <v>2506710</v>
      </c>
      <c r="AF326">
        <v>2493835</v>
      </c>
      <c r="AG326">
        <v>2480411</v>
      </c>
      <c r="AH326">
        <v>2466537</v>
      </c>
      <c r="AI326">
        <v>2452314</v>
      </c>
      <c r="AJ326">
        <v>2437851</v>
      </c>
      <c r="AK326">
        <v>2423259</v>
      </c>
      <c r="AL326">
        <v>2408655</v>
      </c>
      <c r="AM326">
        <v>2394159</v>
      </c>
      <c r="AN326">
        <v>2379897</v>
      </c>
      <c r="AO326">
        <v>2366000</v>
      </c>
      <c r="AP326">
        <v>2352601</v>
      </c>
      <c r="AQ326">
        <v>2339840</v>
      </c>
      <c r="AR326">
        <v>2327861</v>
      </c>
      <c r="AS326">
        <v>2316812</v>
      </c>
      <c r="AT326">
        <v>2306845</v>
      </c>
      <c r="AU326">
        <v>2298118</v>
      </c>
      <c r="AV326">
        <v>2290794</v>
      </c>
    </row>
    <row r="327" spans="1:48">
      <c r="A327" t="s">
        <v>839</v>
      </c>
      <c r="B327" t="s">
        <v>840</v>
      </c>
      <c r="C327" t="s">
        <v>14</v>
      </c>
      <c r="D327" s="37">
        <v>2440418.04245802</v>
      </c>
      <c r="E327" s="37">
        <v>2456849.2281389</v>
      </c>
      <c r="F327" s="37">
        <v>2472610.55663083</v>
      </c>
      <c r="G327" s="37">
        <v>2020105</v>
      </c>
      <c r="H327">
        <v>2041130</v>
      </c>
      <c r="I327">
        <v>2060091</v>
      </c>
      <c r="J327">
        <v>2077057</v>
      </c>
      <c r="K327">
        <v>2092097</v>
      </c>
      <c r="L327">
        <v>2105282</v>
      </c>
      <c r="M327">
        <v>2116681</v>
      </c>
      <c r="N327">
        <v>2126364</v>
      </c>
      <c r="O327">
        <v>2134401</v>
      </c>
      <c r="P327">
        <v>2140862</v>
      </c>
      <c r="Q327">
        <v>2145817</v>
      </c>
      <c r="R327">
        <v>2149335</v>
      </c>
      <c r="S327">
        <v>2151486</v>
      </c>
      <c r="T327">
        <v>2152341</v>
      </c>
      <c r="U327">
        <v>2151970</v>
      </c>
      <c r="V327">
        <v>2150442</v>
      </c>
      <c r="W327">
        <v>2147828</v>
      </c>
      <c r="X327">
        <v>2144197</v>
      </c>
      <c r="Y327">
        <v>2139621</v>
      </c>
      <c r="Z327">
        <v>2134168</v>
      </c>
      <c r="AA327">
        <v>2127909</v>
      </c>
      <c r="AB327">
        <v>2120914</v>
      </c>
      <c r="AC327">
        <v>2113254</v>
      </c>
      <c r="AD327">
        <v>2104998</v>
      </c>
      <c r="AE327">
        <v>2096217</v>
      </c>
      <c r="AF327">
        <v>2086981</v>
      </c>
      <c r="AG327">
        <v>2077361</v>
      </c>
      <c r="AH327">
        <v>2067427</v>
      </c>
      <c r="AI327">
        <v>2057249</v>
      </c>
      <c r="AJ327">
        <v>2046897</v>
      </c>
      <c r="AK327">
        <v>2036443</v>
      </c>
      <c r="AL327">
        <v>2025956</v>
      </c>
      <c r="AM327">
        <v>2015507</v>
      </c>
      <c r="AN327">
        <v>2005166</v>
      </c>
      <c r="AO327">
        <v>1995004</v>
      </c>
      <c r="AP327">
        <v>1985092</v>
      </c>
      <c r="AQ327">
        <v>1975500</v>
      </c>
      <c r="AR327">
        <v>1966298</v>
      </c>
      <c r="AS327">
        <v>1957558</v>
      </c>
      <c r="AT327">
        <v>1949350</v>
      </c>
      <c r="AU327">
        <v>1941744</v>
      </c>
      <c r="AV327">
        <v>1934811</v>
      </c>
    </row>
    <row r="328" spans="1:48">
      <c r="A328" t="s">
        <v>841</v>
      </c>
      <c r="B328" t="s">
        <v>842</v>
      </c>
      <c r="C328" t="s">
        <v>14</v>
      </c>
      <c r="D328" s="37">
        <v>3802281.53369188</v>
      </c>
      <c r="E328" s="37">
        <v>3830019.54654688</v>
      </c>
      <c r="F328" s="37">
        <v>3855879.78523432</v>
      </c>
      <c r="G328" s="37">
        <v>4311693</v>
      </c>
      <c r="H328">
        <v>4359210</v>
      </c>
      <c r="I328">
        <v>4400350</v>
      </c>
      <c r="J328">
        <v>4435536</v>
      </c>
      <c r="K328">
        <v>4465175</v>
      </c>
      <c r="L328">
        <v>4489661</v>
      </c>
      <c r="M328">
        <v>4509372</v>
      </c>
      <c r="N328">
        <v>4524671</v>
      </c>
      <c r="O328">
        <v>4535908</v>
      </c>
      <c r="P328">
        <v>4543415</v>
      </c>
      <c r="Q328">
        <v>4547511</v>
      </c>
      <c r="R328">
        <v>4548499</v>
      </c>
      <c r="S328">
        <v>4546669</v>
      </c>
      <c r="T328">
        <v>4542294</v>
      </c>
      <c r="U328">
        <v>4535633</v>
      </c>
      <c r="V328">
        <v>4526929</v>
      </c>
      <c r="W328">
        <v>4516413</v>
      </c>
      <c r="X328">
        <v>4504297</v>
      </c>
      <c r="Y328">
        <v>4490782</v>
      </c>
      <c r="Z328">
        <v>4476050</v>
      </c>
      <c r="AA328">
        <v>4460272</v>
      </c>
      <c r="AB328">
        <v>4443602</v>
      </c>
      <c r="AC328">
        <v>4426179</v>
      </c>
      <c r="AD328">
        <v>4408128</v>
      </c>
      <c r="AE328">
        <v>4389558</v>
      </c>
      <c r="AF328">
        <v>4370563</v>
      </c>
      <c r="AG328">
        <v>4351225</v>
      </c>
      <c r="AH328">
        <v>4331606</v>
      </c>
      <c r="AI328">
        <v>4311758</v>
      </c>
      <c r="AJ328">
        <v>4291714</v>
      </c>
      <c r="AK328">
        <v>4271496</v>
      </c>
      <c r="AL328">
        <v>4251107</v>
      </c>
      <c r="AM328">
        <v>4230539</v>
      </c>
      <c r="AN328">
        <v>4209765</v>
      </c>
      <c r="AO328">
        <v>4188748</v>
      </c>
      <c r="AP328">
        <v>4167431</v>
      </c>
      <c r="AQ328">
        <v>4145745</v>
      </c>
      <c r="AR328">
        <v>4123606</v>
      </c>
      <c r="AS328">
        <v>4100914</v>
      </c>
      <c r="AT328">
        <v>4077554</v>
      </c>
      <c r="AU328">
        <v>4053398</v>
      </c>
      <c r="AV328">
        <v>4028302</v>
      </c>
    </row>
    <row r="329" spans="1:48">
      <c r="A329" t="s">
        <v>843</v>
      </c>
      <c r="B329" t="s">
        <v>844</v>
      </c>
      <c r="C329" t="s">
        <v>14</v>
      </c>
      <c r="D329" s="37">
        <v>243328.481333304</v>
      </c>
      <c r="E329" s="37">
        <v>244864.536514414</v>
      </c>
      <c r="F329" s="37">
        <v>246263.72513685</v>
      </c>
      <c r="G329" s="37">
        <v>310145</v>
      </c>
      <c r="H329">
        <v>312653</v>
      </c>
      <c r="I329">
        <v>314849</v>
      </c>
      <c r="J329">
        <v>316747</v>
      </c>
      <c r="K329">
        <v>318361</v>
      </c>
      <c r="L329">
        <v>319704</v>
      </c>
      <c r="M329">
        <v>320789</v>
      </c>
      <c r="N329">
        <v>321629</v>
      </c>
      <c r="O329">
        <v>322236</v>
      </c>
      <c r="P329">
        <v>322623</v>
      </c>
      <c r="Q329">
        <v>322801</v>
      </c>
      <c r="R329">
        <v>322781</v>
      </c>
      <c r="S329">
        <v>322575</v>
      </c>
      <c r="T329">
        <v>322193</v>
      </c>
      <c r="U329">
        <v>321645</v>
      </c>
      <c r="V329">
        <v>320942</v>
      </c>
      <c r="W329">
        <v>320093</v>
      </c>
      <c r="X329">
        <v>319107</v>
      </c>
      <c r="Y329">
        <v>317995</v>
      </c>
      <c r="Z329">
        <v>316763</v>
      </c>
      <c r="AA329">
        <v>315421</v>
      </c>
      <c r="AB329">
        <v>313976</v>
      </c>
      <c r="AC329">
        <v>312437</v>
      </c>
      <c r="AD329">
        <v>310811</v>
      </c>
      <c r="AE329">
        <v>309104</v>
      </c>
      <c r="AF329">
        <v>307324</v>
      </c>
      <c r="AG329">
        <v>305476</v>
      </c>
      <c r="AH329">
        <v>303567</v>
      </c>
      <c r="AI329">
        <v>301602</v>
      </c>
      <c r="AJ329">
        <v>299587</v>
      </c>
      <c r="AK329">
        <v>297526</v>
      </c>
      <c r="AL329">
        <v>295425</v>
      </c>
      <c r="AM329">
        <v>293288</v>
      </c>
      <c r="AN329">
        <v>291118</v>
      </c>
      <c r="AO329">
        <v>288920</v>
      </c>
      <c r="AP329">
        <v>286696</v>
      </c>
      <c r="AQ329">
        <v>284450</v>
      </c>
      <c r="AR329">
        <v>282184</v>
      </c>
      <c r="AS329">
        <v>279901</v>
      </c>
      <c r="AT329">
        <v>277602</v>
      </c>
      <c r="AU329">
        <v>275290</v>
      </c>
      <c r="AV329">
        <v>272965</v>
      </c>
    </row>
    <row r="330" spans="1:48">
      <c r="A330" t="s">
        <v>845</v>
      </c>
      <c r="B330" t="s">
        <v>846</v>
      </c>
      <c r="C330" t="s">
        <v>14</v>
      </c>
      <c r="D330" s="37">
        <v>481794.102460358</v>
      </c>
      <c r="E330" s="37">
        <v>484219.575655851</v>
      </c>
      <c r="F330" s="37">
        <v>486454.542499575</v>
      </c>
      <c r="G330" s="37">
        <v>435207</v>
      </c>
      <c r="H330">
        <v>438011</v>
      </c>
      <c r="I330">
        <v>440597</v>
      </c>
      <c r="J330">
        <v>442956</v>
      </c>
      <c r="K330">
        <v>445079</v>
      </c>
      <c r="L330">
        <v>446959</v>
      </c>
      <c r="M330">
        <v>448591</v>
      </c>
      <c r="N330">
        <v>449969</v>
      </c>
      <c r="O330">
        <v>451089</v>
      </c>
      <c r="P330">
        <v>451950</v>
      </c>
      <c r="Q330">
        <v>452549</v>
      </c>
      <c r="R330">
        <v>452885</v>
      </c>
      <c r="S330">
        <v>452959</v>
      </c>
      <c r="T330">
        <v>452774</v>
      </c>
      <c r="U330">
        <v>452331</v>
      </c>
      <c r="V330">
        <v>451635</v>
      </c>
      <c r="W330">
        <v>450689</v>
      </c>
      <c r="X330">
        <v>449502</v>
      </c>
      <c r="Y330">
        <v>448078</v>
      </c>
      <c r="Z330">
        <v>446428</v>
      </c>
      <c r="AA330">
        <v>444559</v>
      </c>
      <c r="AB330">
        <v>442483</v>
      </c>
      <c r="AC330">
        <v>440210</v>
      </c>
      <c r="AD330">
        <v>437754</v>
      </c>
      <c r="AE330">
        <v>435128</v>
      </c>
      <c r="AF330">
        <v>432346</v>
      </c>
      <c r="AG330">
        <v>429425</v>
      </c>
      <c r="AH330">
        <v>426381</v>
      </c>
      <c r="AI330">
        <v>423233</v>
      </c>
      <c r="AJ330">
        <v>419999</v>
      </c>
      <c r="AK330">
        <v>416700</v>
      </c>
      <c r="AL330">
        <v>413357</v>
      </c>
      <c r="AM330">
        <v>409992</v>
      </c>
      <c r="AN330">
        <v>406630</v>
      </c>
      <c r="AO330">
        <v>403293</v>
      </c>
      <c r="AP330">
        <v>400009</v>
      </c>
      <c r="AQ330">
        <v>396803</v>
      </c>
      <c r="AR330">
        <v>393704</v>
      </c>
      <c r="AS330">
        <v>390741</v>
      </c>
      <c r="AT330">
        <v>387943</v>
      </c>
      <c r="AU330">
        <v>385341</v>
      </c>
      <c r="AV330">
        <v>382969</v>
      </c>
    </row>
    <row r="331" spans="1:48">
      <c r="A331" t="s">
        <v>847</v>
      </c>
      <c r="B331" t="s">
        <v>848</v>
      </c>
      <c r="C331" t="s">
        <v>14</v>
      </c>
      <c r="D331" s="37">
        <v>1764351.51740617</v>
      </c>
      <c r="E331" s="37">
        <v>1777082.18439572</v>
      </c>
      <c r="F331" s="37">
        <v>1789946.86278779</v>
      </c>
      <c r="G331" s="37">
        <v>1492358</v>
      </c>
      <c r="H331">
        <v>1512043</v>
      </c>
      <c r="I331">
        <v>1530216</v>
      </c>
      <c r="J331">
        <v>1546896</v>
      </c>
      <c r="K331">
        <v>1562103</v>
      </c>
      <c r="L331">
        <v>1575858</v>
      </c>
      <c r="M331">
        <v>1588188</v>
      </c>
      <c r="N331">
        <v>1599120</v>
      </c>
      <c r="O331">
        <v>1608685</v>
      </c>
      <c r="P331">
        <v>1616917</v>
      </c>
      <c r="Q331">
        <v>1623852</v>
      </c>
      <c r="R331">
        <v>1629529</v>
      </c>
      <c r="S331">
        <v>1633990</v>
      </c>
      <c r="T331">
        <v>1637278</v>
      </c>
      <c r="U331">
        <v>1639441</v>
      </c>
      <c r="V331">
        <v>1640529</v>
      </c>
      <c r="W331">
        <v>1640594</v>
      </c>
      <c r="X331">
        <v>1639692</v>
      </c>
      <c r="Y331">
        <v>1637880</v>
      </c>
      <c r="Z331">
        <v>1635219</v>
      </c>
      <c r="AA331">
        <v>1631772</v>
      </c>
      <c r="AB331">
        <v>1627606</v>
      </c>
      <c r="AC331">
        <v>1622789</v>
      </c>
      <c r="AD331">
        <v>1617392</v>
      </c>
      <c r="AE331">
        <v>1611491</v>
      </c>
      <c r="AF331">
        <v>1605161</v>
      </c>
      <c r="AG331">
        <v>1598483</v>
      </c>
      <c r="AH331">
        <v>1591538</v>
      </c>
      <c r="AI331">
        <v>1584413</v>
      </c>
      <c r="AJ331">
        <v>1577193</v>
      </c>
      <c r="AK331">
        <v>1569971</v>
      </c>
      <c r="AL331">
        <v>1562840</v>
      </c>
      <c r="AM331">
        <v>1555894</v>
      </c>
      <c r="AN331">
        <v>1549234</v>
      </c>
      <c r="AO331">
        <v>1542959</v>
      </c>
      <c r="AP331">
        <v>1537175</v>
      </c>
      <c r="AQ331">
        <v>1531988</v>
      </c>
      <c r="AR331">
        <v>1527507</v>
      </c>
      <c r="AS331">
        <v>1523845</v>
      </c>
      <c r="AT331">
        <v>1521116</v>
      </c>
      <c r="AU331">
        <v>1519439</v>
      </c>
      <c r="AV331">
        <v>1518934</v>
      </c>
    </row>
    <row r="332" spans="1:48">
      <c r="A332" t="s">
        <v>849</v>
      </c>
      <c r="B332" t="s">
        <v>850</v>
      </c>
      <c r="C332" t="s">
        <v>14</v>
      </c>
      <c r="D332" s="37">
        <v>3378140.09780318</v>
      </c>
      <c r="E332" s="37">
        <v>3399960.97204881</v>
      </c>
      <c r="F332" s="37">
        <v>3421660.76528164</v>
      </c>
      <c r="G332" s="37">
        <v>2955044</v>
      </c>
      <c r="H332">
        <v>2984502</v>
      </c>
      <c r="I332">
        <v>3013088</v>
      </c>
      <c r="J332">
        <v>3040647</v>
      </c>
      <c r="K332">
        <v>3067035</v>
      </c>
      <c r="L332">
        <v>3092121</v>
      </c>
      <c r="M332">
        <v>3115788</v>
      </c>
      <c r="N332">
        <v>3137931</v>
      </c>
      <c r="O332">
        <v>3158457</v>
      </c>
      <c r="P332">
        <v>3177289</v>
      </c>
      <c r="Q332">
        <v>3194360</v>
      </c>
      <c r="R332">
        <v>3209618</v>
      </c>
      <c r="S332">
        <v>3223022</v>
      </c>
      <c r="T332">
        <v>3234545</v>
      </c>
      <c r="U332">
        <v>3244173</v>
      </c>
      <c r="V332">
        <v>3251904</v>
      </c>
      <c r="W332">
        <v>3257751</v>
      </c>
      <c r="X332">
        <v>3261738</v>
      </c>
      <c r="Y332">
        <v>3263902</v>
      </c>
      <c r="Z332">
        <v>3264294</v>
      </c>
      <c r="AA332">
        <v>3262977</v>
      </c>
      <c r="AB332">
        <v>3260027</v>
      </c>
      <c r="AC332">
        <v>3255534</v>
      </c>
      <c r="AD332">
        <v>3249600</v>
      </c>
      <c r="AE332">
        <v>3242340</v>
      </c>
      <c r="AF332">
        <v>3233881</v>
      </c>
      <c r="AG332">
        <v>3224366</v>
      </c>
      <c r="AH332">
        <v>3213947</v>
      </c>
      <c r="AI332">
        <v>3202791</v>
      </c>
      <c r="AJ332">
        <v>3191079</v>
      </c>
      <c r="AK332">
        <v>3179003</v>
      </c>
      <c r="AL332">
        <v>3166767</v>
      </c>
      <c r="AM332">
        <v>3154592</v>
      </c>
      <c r="AN332">
        <v>3142708</v>
      </c>
      <c r="AO332">
        <v>3131360</v>
      </c>
      <c r="AP332">
        <v>3120805</v>
      </c>
      <c r="AQ332">
        <v>3111313</v>
      </c>
      <c r="AR332">
        <v>3103167</v>
      </c>
      <c r="AS332">
        <v>3096664</v>
      </c>
      <c r="AT332">
        <v>3092112</v>
      </c>
      <c r="AU332">
        <v>3089834</v>
      </c>
      <c r="AV332">
        <v>3090163</v>
      </c>
    </row>
    <row r="333" spans="1:48">
      <c r="A333" t="s">
        <v>851</v>
      </c>
      <c r="B333" t="s">
        <v>852</v>
      </c>
      <c r="C333" t="s">
        <v>14</v>
      </c>
      <c r="D333" s="37">
        <v>1882353.65474464</v>
      </c>
      <c r="E333" s="37">
        <v>1895180.82681105</v>
      </c>
      <c r="F333" s="37">
        <v>1907838.24386851</v>
      </c>
      <c r="G333" s="37">
        <v>1448492</v>
      </c>
      <c r="H333">
        <v>1464902</v>
      </c>
      <c r="I333">
        <v>1480098</v>
      </c>
      <c r="J333">
        <v>1494079</v>
      </c>
      <c r="K333">
        <v>1506847</v>
      </c>
      <c r="L333">
        <v>1518409</v>
      </c>
      <c r="M333">
        <v>1528773</v>
      </c>
      <c r="N333">
        <v>1537950</v>
      </c>
      <c r="O333">
        <v>1545956</v>
      </c>
      <c r="P333">
        <v>1552808</v>
      </c>
      <c r="Q333">
        <v>1558526</v>
      </c>
      <c r="R333">
        <v>1563135</v>
      </c>
      <c r="S333">
        <v>1566660</v>
      </c>
      <c r="T333">
        <v>1569133</v>
      </c>
      <c r="U333">
        <v>1570585</v>
      </c>
      <c r="V333">
        <v>1571053</v>
      </c>
      <c r="W333">
        <v>1570575</v>
      </c>
      <c r="X333">
        <v>1569193</v>
      </c>
      <c r="Y333">
        <v>1566953</v>
      </c>
      <c r="Z333">
        <v>1563901</v>
      </c>
      <c r="AA333">
        <v>1560089</v>
      </c>
      <c r="AB333">
        <v>1555570</v>
      </c>
      <c r="AC333">
        <v>1550403</v>
      </c>
      <c r="AD333">
        <v>1544646</v>
      </c>
      <c r="AE333">
        <v>1538363</v>
      </c>
      <c r="AF333">
        <v>1531619</v>
      </c>
      <c r="AG333">
        <v>1524484</v>
      </c>
      <c r="AH333">
        <v>1517030</v>
      </c>
      <c r="AI333">
        <v>1509332</v>
      </c>
      <c r="AJ333">
        <v>1501467</v>
      </c>
      <c r="AK333">
        <v>1493518</v>
      </c>
      <c r="AL333">
        <v>1485568</v>
      </c>
      <c r="AM333">
        <v>1477704</v>
      </c>
      <c r="AN333">
        <v>1470017</v>
      </c>
      <c r="AO333">
        <v>1462599</v>
      </c>
      <c r="AP333">
        <v>1455547</v>
      </c>
      <c r="AQ333">
        <v>1448961</v>
      </c>
      <c r="AR333">
        <v>1442942</v>
      </c>
      <c r="AS333">
        <v>1437595</v>
      </c>
      <c r="AT333">
        <v>1433030</v>
      </c>
      <c r="AU333">
        <v>1429357</v>
      </c>
      <c r="AV333">
        <v>1426690</v>
      </c>
    </row>
    <row r="334" spans="1:48">
      <c r="A334" t="s">
        <v>853</v>
      </c>
      <c r="B334" t="s">
        <v>854</v>
      </c>
      <c r="C334" t="s">
        <v>14</v>
      </c>
      <c r="D334" s="37">
        <v>1246480.10884711</v>
      </c>
      <c r="E334" s="37">
        <v>1253401.28179116</v>
      </c>
      <c r="F334" s="37">
        <v>1259892.34468729</v>
      </c>
      <c r="G334" s="37">
        <v>1122656</v>
      </c>
      <c r="H334">
        <v>1130987</v>
      </c>
      <c r="I334">
        <v>1138658</v>
      </c>
      <c r="J334">
        <v>1145652</v>
      </c>
      <c r="K334">
        <v>1151953</v>
      </c>
      <c r="L334">
        <v>1157549</v>
      </c>
      <c r="M334">
        <v>1162432</v>
      </c>
      <c r="N334">
        <v>1166595</v>
      </c>
      <c r="O334">
        <v>1170034</v>
      </c>
      <c r="P334">
        <v>1172748</v>
      </c>
      <c r="Q334">
        <v>1174738</v>
      </c>
      <c r="R334">
        <v>1176009</v>
      </c>
      <c r="S334">
        <v>1176568</v>
      </c>
      <c r="T334">
        <v>1176425</v>
      </c>
      <c r="U334">
        <v>1175592</v>
      </c>
      <c r="V334">
        <v>1174085</v>
      </c>
      <c r="W334">
        <v>1171921</v>
      </c>
      <c r="X334">
        <v>1169122</v>
      </c>
      <c r="Y334">
        <v>1165710</v>
      </c>
      <c r="Z334">
        <v>1161712</v>
      </c>
      <c r="AA334">
        <v>1157156</v>
      </c>
      <c r="AB334">
        <v>1152075</v>
      </c>
      <c r="AC334">
        <v>1146503</v>
      </c>
      <c r="AD334">
        <v>1140476</v>
      </c>
      <c r="AE334">
        <v>1134035</v>
      </c>
      <c r="AF334">
        <v>1127222</v>
      </c>
      <c r="AG334">
        <v>1120083</v>
      </c>
      <c r="AH334">
        <v>1112664</v>
      </c>
      <c r="AI334">
        <v>1105018</v>
      </c>
      <c r="AJ334">
        <v>1097197</v>
      </c>
      <c r="AK334">
        <v>1089257</v>
      </c>
      <c r="AL334">
        <v>1081258</v>
      </c>
      <c r="AM334">
        <v>1073261</v>
      </c>
      <c r="AN334">
        <v>1065331</v>
      </c>
      <c r="AO334">
        <v>1057533</v>
      </c>
      <c r="AP334">
        <v>1049939</v>
      </c>
      <c r="AQ334">
        <v>1042621</v>
      </c>
      <c r="AR334">
        <v>1035653</v>
      </c>
      <c r="AS334">
        <v>1029114</v>
      </c>
      <c r="AT334">
        <v>1023085</v>
      </c>
      <c r="AU334">
        <v>1017649</v>
      </c>
      <c r="AV334">
        <v>1012892</v>
      </c>
    </row>
    <row r="335" spans="1:48">
      <c r="A335" t="s">
        <v>855</v>
      </c>
      <c r="B335" t="s">
        <v>856</v>
      </c>
      <c r="C335" t="s">
        <v>14</v>
      </c>
      <c r="D335" s="37">
        <v>2125773.10621514</v>
      </c>
      <c r="E335" s="37">
        <v>2137428.18624037</v>
      </c>
      <c r="F335" s="37">
        <v>2149073.41355897</v>
      </c>
      <c r="G335" s="37">
        <v>1832064</v>
      </c>
      <c r="H335">
        <v>1848518</v>
      </c>
      <c r="I335">
        <v>1864381</v>
      </c>
      <c r="J335">
        <v>1879551</v>
      </c>
      <c r="K335">
        <v>1893940</v>
      </c>
      <c r="L335">
        <v>1907464</v>
      </c>
      <c r="M335">
        <v>1920050</v>
      </c>
      <c r="N335">
        <v>1931632</v>
      </c>
      <c r="O335">
        <v>1942156</v>
      </c>
      <c r="P335">
        <v>1951572</v>
      </c>
      <c r="Q335">
        <v>1959842</v>
      </c>
      <c r="R335">
        <v>1966934</v>
      </c>
      <c r="S335">
        <v>1972828</v>
      </c>
      <c r="T335">
        <v>1977508</v>
      </c>
      <c r="U335">
        <v>1980972</v>
      </c>
      <c r="V335">
        <v>1983221</v>
      </c>
      <c r="W335">
        <v>1984269</v>
      </c>
      <c r="X335">
        <v>1984136</v>
      </c>
      <c r="Y335">
        <v>1982852</v>
      </c>
      <c r="Z335">
        <v>1980455</v>
      </c>
      <c r="AA335">
        <v>1976991</v>
      </c>
      <c r="AB335">
        <v>1972516</v>
      </c>
      <c r="AC335">
        <v>1967093</v>
      </c>
      <c r="AD335">
        <v>1960795</v>
      </c>
      <c r="AE335">
        <v>1953703</v>
      </c>
      <c r="AF335">
        <v>1945906</v>
      </c>
      <c r="AG335">
        <v>1937503</v>
      </c>
      <c r="AH335">
        <v>1928600</v>
      </c>
      <c r="AI335">
        <v>1919312</v>
      </c>
      <c r="AJ335">
        <v>1909764</v>
      </c>
      <c r="AK335">
        <v>1900087</v>
      </c>
      <c r="AL335">
        <v>1890423</v>
      </c>
      <c r="AM335">
        <v>1880922</v>
      </c>
      <c r="AN335">
        <v>1871741</v>
      </c>
      <c r="AO335">
        <v>1863048</v>
      </c>
      <c r="AP335">
        <v>1855018</v>
      </c>
      <c r="AQ335">
        <v>1847835</v>
      </c>
      <c r="AR335">
        <v>1841691</v>
      </c>
      <c r="AS335">
        <v>1836788</v>
      </c>
      <c r="AT335">
        <v>1833335</v>
      </c>
      <c r="AU335">
        <v>1831550</v>
      </c>
      <c r="AV335">
        <v>1831661</v>
      </c>
    </row>
    <row r="336" spans="1:48">
      <c r="A336" t="s">
        <v>857</v>
      </c>
      <c r="B336" t="s">
        <v>858</v>
      </c>
      <c r="C336" t="s">
        <v>14</v>
      </c>
      <c r="D336" s="37">
        <v>1139456.93940565</v>
      </c>
      <c r="E336" s="37">
        <v>1145923.81600433</v>
      </c>
      <c r="F336" s="37">
        <v>1152004.78072358</v>
      </c>
      <c r="G336" s="37">
        <v>1047479</v>
      </c>
      <c r="H336">
        <v>1055671</v>
      </c>
      <c r="I336">
        <v>1063202</v>
      </c>
      <c r="J336">
        <v>1070060</v>
      </c>
      <c r="K336">
        <v>1076237</v>
      </c>
      <c r="L336">
        <v>1081724</v>
      </c>
      <c r="M336">
        <v>1086516</v>
      </c>
      <c r="N336">
        <v>1090611</v>
      </c>
      <c r="O336">
        <v>1094009</v>
      </c>
      <c r="P336">
        <v>1096710</v>
      </c>
      <c r="Q336">
        <v>1098720</v>
      </c>
      <c r="R336">
        <v>1100044</v>
      </c>
      <c r="S336">
        <v>1100692</v>
      </c>
      <c r="T336">
        <v>1100675</v>
      </c>
      <c r="U336">
        <v>1100005</v>
      </c>
      <c r="V336">
        <v>1098699</v>
      </c>
      <c r="W336">
        <v>1096774</v>
      </c>
      <c r="X336">
        <v>1094251</v>
      </c>
      <c r="Y336">
        <v>1091152</v>
      </c>
      <c r="Z336">
        <v>1087503</v>
      </c>
      <c r="AA336">
        <v>1083329</v>
      </c>
      <c r="AB336">
        <v>1078660</v>
      </c>
      <c r="AC336">
        <v>1073529</v>
      </c>
      <c r="AD336">
        <v>1067969</v>
      </c>
      <c r="AE336">
        <v>1062017</v>
      </c>
      <c r="AF336">
        <v>1055710</v>
      </c>
      <c r="AG336">
        <v>1049091</v>
      </c>
      <c r="AH336">
        <v>1042202</v>
      </c>
      <c r="AI336">
        <v>1035088</v>
      </c>
      <c r="AJ336">
        <v>1027798</v>
      </c>
      <c r="AK336">
        <v>1020382</v>
      </c>
      <c r="AL336">
        <v>1012891</v>
      </c>
      <c r="AM336">
        <v>1005381</v>
      </c>
      <c r="AN336">
        <v>997908</v>
      </c>
      <c r="AO336">
        <v>990532</v>
      </c>
      <c r="AP336">
        <v>983315</v>
      </c>
      <c r="AQ336">
        <v>976320</v>
      </c>
      <c r="AR336">
        <v>969613</v>
      </c>
      <c r="AS336">
        <v>963262</v>
      </c>
      <c r="AT336">
        <v>957340</v>
      </c>
      <c r="AU336">
        <v>951917</v>
      </c>
      <c r="AV336">
        <v>947071</v>
      </c>
    </row>
    <row r="337" spans="1:48">
      <c r="A337" t="s">
        <v>859</v>
      </c>
      <c r="B337" t="s">
        <v>860</v>
      </c>
      <c r="C337" t="s">
        <v>14</v>
      </c>
      <c r="D337" s="37">
        <v>2288181.73565777</v>
      </c>
      <c r="E337" s="37">
        <v>2301407.23999022</v>
      </c>
      <c r="F337" s="37">
        <v>2314300.23197423</v>
      </c>
      <c r="G337" s="37">
        <v>2160976</v>
      </c>
      <c r="H337">
        <v>2179622</v>
      </c>
      <c r="I337">
        <v>2197483</v>
      </c>
      <c r="J337">
        <v>2214470</v>
      </c>
      <c r="K337">
        <v>2230502</v>
      </c>
      <c r="L337">
        <v>2245508</v>
      </c>
      <c r="M337">
        <v>2259422</v>
      </c>
      <c r="N337">
        <v>2272189</v>
      </c>
      <c r="O337">
        <v>2283762</v>
      </c>
      <c r="P337">
        <v>2294100</v>
      </c>
      <c r="Q337">
        <v>2303172</v>
      </c>
      <c r="R337">
        <v>2310956</v>
      </c>
      <c r="S337">
        <v>2317435</v>
      </c>
      <c r="T337">
        <v>2322603</v>
      </c>
      <c r="U337">
        <v>2326461</v>
      </c>
      <c r="V337">
        <v>2329019</v>
      </c>
      <c r="W337">
        <v>2330293</v>
      </c>
      <c r="X337">
        <v>2330311</v>
      </c>
      <c r="Y337">
        <v>2329105</v>
      </c>
      <c r="Z337">
        <v>2326718</v>
      </c>
      <c r="AA337">
        <v>2323199</v>
      </c>
      <c r="AB337">
        <v>2318608</v>
      </c>
      <c r="AC337">
        <v>2313011</v>
      </c>
      <c r="AD337">
        <v>2306483</v>
      </c>
      <c r="AE337">
        <v>2299105</v>
      </c>
      <c r="AF337">
        <v>2290971</v>
      </c>
      <c r="AG337">
        <v>2282178</v>
      </c>
      <c r="AH337">
        <v>2272834</v>
      </c>
      <c r="AI337">
        <v>2263054</v>
      </c>
      <c r="AJ337">
        <v>2252963</v>
      </c>
      <c r="AK337">
        <v>2242693</v>
      </c>
      <c r="AL337">
        <v>2232382</v>
      </c>
      <c r="AM337">
        <v>2222180</v>
      </c>
      <c r="AN337">
        <v>2212243</v>
      </c>
      <c r="AO337">
        <v>2202735</v>
      </c>
      <c r="AP337">
        <v>2193829</v>
      </c>
      <c r="AQ337">
        <v>2185707</v>
      </c>
      <c r="AR337">
        <v>2178556</v>
      </c>
      <c r="AS337">
        <v>2172574</v>
      </c>
      <c r="AT337">
        <v>2167967</v>
      </c>
      <c r="AU337">
        <v>2164948</v>
      </c>
      <c r="AV337">
        <v>2163739</v>
      </c>
    </row>
    <row r="338" spans="1:48">
      <c r="A338" t="s">
        <v>861</v>
      </c>
      <c r="B338" t="s">
        <v>862</v>
      </c>
      <c r="C338" t="s">
        <v>14</v>
      </c>
      <c r="D338" s="37">
        <v>2776797.32188331</v>
      </c>
      <c r="E338" s="37">
        <v>2792396.35017048</v>
      </c>
      <c r="F338" s="37">
        <v>2807910.31173543</v>
      </c>
      <c r="G338" s="37">
        <v>2500598</v>
      </c>
      <c r="H338">
        <v>2523979</v>
      </c>
      <c r="I338">
        <v>2546188</v>
      </c>
      <c r="J338">
        <v>2567129</v>
      </c>
      <c r="K338">
        <v>2586717</v>
      </c>
      <c r="L338">
        <v>2604874</v>
      </c>
      <c r="M338">
        <v>2621534</v>
      </c>
      <c r="N338">
        <v>2636640</v>
      </c>
      <c r="O338">
        <v>2650145</v>
      </c>
      <c r="P338">
        <v>2662013</v>
      </c>
      <c r="Q338">
        <v>2672214</v>
      </c>
      <c r="R338">
        <v>2680732</v>
      </c>
      <c r="S338">
        <v>2687559</v>
      </c>
      <c r="T338">
        <v>2692697</v>
      </c>
      <c r="U338">
        <v>2696156</v>
      </c>
      <c r="V338">
        <v>2697959</v>
      </c>
      <c r="W338">
        <v>2698137</v>
      </c>
      <c r="X338">
        <v>2696730</v>
      </c>
      <c r="Y338">
        <v>2693789</v>
      </c>
      <c r="Z338">
        <v>2689375</v>
      </c>
      <c r="AA338">
        <v>2683558</v>
      </c>
      <c r="AB338">
        <v>2676418</v>
      </c>
      <c r="AC338">
        <v>2668044</v>
      </c>
      <c r="AD338">
        <v>2658537</v>
      </c>
      <c r="AE338">
        <v>2648005</v>
      </c>
      <c r="AF338">
        <v>2636569</v>
      </c>
      <c r="AG338">
        <v>2624356</v>
      </c>
      <c r="AH338">
        <v>2611505</v>
      </c>
      <c r="AI338">
        <v>2598165</v>
      </c>
      <c r="AJ338">
        <v>2584495</v>
      </c>
      <c r="AK338">
        <v>2570661</v>
      </c>
      <c r="AL338">
        <v>2556842</v>
      </c>
      <c r="AM338">
        <v>2543225</v>
      </c>
      <c r="AN338">
        <v>2530008</v>
      </c>
      <c r="AO338">
        <v>2517398</v>
      </c>
      <c r="AP338">
        <v>2505612</v>
      </c>
      <c r="AQ338">
        <v>2494876</v>
      </c>
      <c r="AR338">
        <v>2485427</v>
      </c>
      <c r="AS338">
        <v>2477510</v>
      </c>
      <c r="AT338">
        <v>2471383</v>
      </c>
      <c r="AU338">
        <v>2467310</v>
      </c>
      <c r="AV338">
        <v>2465568</v>
      </c>
    </row>
    <row r="339" spans="1:48">
      <c r="A339" t="s">
        <v>863</v>
      </c>
      <c r="B339" t="s">
        <v>864</v>
      </c>
      <c r="C339" t="s">
        <v>14</v>
      </c>
      <c r="D339" s="37">
        <v>2663424.24641958</v>
      </c>
      <c r="E339" s="37">
        <v>2678880.79114782</v>
      </c>
      <c r="F339" s="37">
        <v>2693783.46425412</v>
      </c>
      <c r="G339" s="37">
        <v>2387693</v>
      </c>
      <c r="H339">
        <v>2407135</v>
      </c>
      <c r="I339">
        <v>2425870</v>
      </c>
      <c r="J339">
        <v>2443797</v>
      </c>
      <c r="K339">
        <v>2460825</v>
      </c>
      <c r="L339">
        <v>2476872</v>
      </c>
      <c r="M339">
        <v>2491862</v>
      </c>
      <c r="N339">
        <v>2505730</v>
      </c>
      <c r="O339">
        <v>2518416</v>
      </c>
      <c r="P339">
        <v>2529872</v>
      </c>
      <c r="Q339">
        <v>2540056</v>
      </c>
      <c r="R339">
        <v>2548934</v>
      </c>
      <c r="S339">
        <v>2556481</v>
      </c>
      <c r="T339">
        <v>2562681</v>
      </c>
      <c r="U339">
        <v>2567526</v>
      </c>
      <c r="V339">
        <v>2571015</v>
      </c>
      <c r="W339">
        <v>2573157</v>
      </c>
      <c r="X339">
        <v>2573968</v>
      </c>
      <c r="Y339">
        <v>2573473</v>
      </c>
      <c r="Z339">
        <v>2571705</v>
      </c>
      <c r="AA339">
        <v>2568705</v>
      </c>
      <c r="AB339">
        <v>2564523</v>
      </c>
      <c r="AC339">
        <v>2559218</v>
      </c>
      <c r="AD339">
        <v>2552854</v>
      </c>
      <c r="AE339">
        <v>2545507</v>
      </c>
      <c r="AF339">
        <v>2537260</v>
      </c>
      <c r="AG339">
        <v>2528204</v>
      </c>
      <c r="AH339">
        <v>2518437</v>
      </c>
      <c r="AI339">
        <v>2508069</v>
      </c>
      <c r="AJ339">
        <v>2497214</v>
      </c>
      <c r="AK339">
        <v>2485998</v>
      </c>
      <c r="AL339">
        <v>2474552</v>
      </c>
      <c r="AM339">
        <v>2463017</v>
      </c>
      <c r="AN339">
        <v>2451544</v>
      </c>
      <c r="AO339">
        <v>2440288</v>
      </c>
      <c r="AP339">
        <v>2429416</v>
      </c>
      <c r="AQ339">
        <v>2419103</v>
      </c>
      <c r="AR339">
        <v>2409529</v>
      </c>
      <c r="AS339">
        <v>2400886</v>
      </c>
      <c r="AT339">
        <v>2393373</v>
      </c>
      <c r="AU339">
        <v>2387197</v>
      </c>
      <c r="AV339">
        <v>2382573</v>
      </c>
    </row>
    <row r="340" spans="1:48">
      <c r="A340" t="s">
        <v>865</v>
      </c>
      <c r="B340" t="s">
        <v>865</v>
      </c>
      <c r="C340" t="s">
        <v>14</v>
      </c>
      <c r="D340" s="37">
        <v>2026906.55692704</v>
      </c>
      <c r="E340" s="37">
        <v>2040001.16301843</v>
      </c>
      <c r="F340" s="37">
        <v>2052793.19790114</v>
      </c>
      <c r="G340" s="37">
        <v>2091401</v>
      </c>
      <c r="H340">
        <v>2109641</v>
      </c>
      <c r="I340">
        <v>2127897</v>
      </c>
      <c r="J340">
        <v>2146014</v>
      </c>
      <c r="K340">
        <v>2163844</v>
      </c>
      <c r="L340">
        <v>2181254</v>
      </c>
      <c r="M340">
        <v>2198117</v>
      </c>
      <c r="N340">
        <v>2214320</v>
      </c>
      <c r="O340">
        <v>2229757</v>
      </c>
      <c r="P340">
        <v>2244336</v>
      </c>
      <c r="Q340">
        <v>2257972</v>
      </c>
      <c r="R340">
        <v>2270593</v>
      </c>
      <c r="S340">
        <v>2282136</v>
      </c>
      <c r="T340">
        <v>2292549</v>
      </c>
      <c r="U340">
        <v>2301789</v>
      </c>
      <c r="V340">
        <v>2309826</v>
      </c>
      <c r="W340">
        <v>2316638</v>
      </c>
      <c r="X340">
        <v>2322214</v>
      </c>
      <c r="Y340">
        <v>2326554</v>
      </c>
      <c r="Z340">
        <v>2329669</v>
      </c>
      <c r="AA340">
        <v>2331579</v>
      </c>
      <c r="AB340">
        <v>2332314</v>
      </c>
      <c r="AC340">
        <v>2331916</v>
      </c>
      <c r="AD340">
        <v>2330437</v>
      </c>
      <c r="AE340">
        <v>2327938</v>
      </c>
      <c r="AF340">
        <v>2324493</v>
      </c>
      <c r="AG340">
        <v>2320183</v>
      </c>
      <c r="AH340">
        <v>2315103</v>
      </c>
      <c r="AI340">
        <v>2309355</v>
      </c>
      <c r="AJ340">
        <v>2303054</v>
      </c>
      <c r="AK340">
        <v>2296324</v>
      </c>
      <c r="AL340">
        <v>2289301</v>
      </c>
      <c r="AM340">
        <v>2282128</v>
      </c>
      <c r="AN340">
        <v>2274963</v>
      </c>
      <c r="AO340">
        <v>2267970</v>
      </c>
      <c r="AP340">
        <v>2261326</v>
      </c>
      <c r="AQ340">
        <v>2255218</v>
      </c>
      <c r="AR340">
        <v>2249844</v>
      </c>
      <c r="AS340">
        <v>2245410</v>
      </c>
      <c r="AT340">
        <v>2242134</v>
      </c>
      <c r="AU340">
        <v>2240246</v>
      </c>
      <c r="AV340">
        <v>2239984</v>
      </c>
    </row>
    <row r="341" spans="1:48">
      <c r="A341" t="s">
        <v>866</v>
      </c>
      <c r="B341" t="s">
        <v>866</v>
      </c>
      <c r="C341" t="s">
        <v>14</v>
      </c>
      <c r="D341" s="37">
        <v>721801.781913395</v>
      </c>
      <c r="E341" s="37">
        <v>727014.293213215</v>
      </c>
      <c r="F341" s="37">
        <v>732088.120700945</v>
      </c>
      <c r="G341" s="37">
        <v>685296</v>
      </c>
      <c r="H341">
        <v>691775</v>
      </c>
      <c r="I341">
        <v>698232</v>
      </c>
      <c r="J341">
        <v>704618</v>
      </c>
      <c r="K341">
        <v>710889</v>
      </c>
      <c r="L341">
        <v>717005</v>
      </c>
      <c r="M341">
        <v>722926</v>
      </c>
      <c r="N341">
        <v>728619</v>
      </c>
      <c r="O341">
        <v>734050</v>
      </c>
      <c r="P341">
        <v>739192</v>
      </c>
      <c r="Q341">
        <v>744019</v>
      </c>
      <c r="R341">
        <v>748509</v>
      </c>
      <c r="S341">
        <v>752641</v>
      </c>
      <c r="T341">
        <v>756400</v>
      </c>
      <c r="U341">
        <v>759772</v>
      </c>
      <c r="V341">
        <v>762748</v>
      </c>
      <c r="W341">
        <v>765320</v>
      </c>
      <c r="X341">
        <v>767484</v>
      </c>
      <c r="Y341">
        <v>769241</v>
      </c>
      <c r="Z341">
        <v>770591</v>
      </c>
      <c r="AA341">
        <v>771542</v>
      </c>
      <c r="AB341">
        <v>772100</v>
      </c>
      <c r="AC341">
        <v>772279</v>
      </c>
      <c r="AD341">
        <v>772093</v>
      </c>
      <c r="AE341">
        <v>771559</v>
      </c>
      <c r="AF341">
        <v>770699</v>
      </c>
      <c r="AG341">
        <v>769537</v>
      </c>
      <c r="AH341">
        <v>768101</v>
      </c>
      <c r="AI341">
        <v>766420</v>
      </c>
      <c r="AJ341">
        <v>764528</v>
      </c>
      <c r="AK341">
        <v>762463</v>
      </c>
      <c r="AL341">
        <v>760262</v>
      </c>
      <c r="AM341">
        <v>757970</v>
      </c>
      <c r="AN341">
        <v>755633</v>
      </c>
      <c r="AO341">
        <v>753298</v>
      </c>
      <c r="AP341">
        <v>751019</v>
      </c>
      <c r="AQ341">
        <v>748851</v>
      </c>
      <c r="AR341">
        <v>746853</v>
      </c>
      <c r="AS341">
        <v>745084</v>
      </c>
      <c r="AT341">
        <v>743612</v>
      </c>
      <c r="AU341">
        <v>742502</v>
      </c>
      <c r="AV341">
        <v>741826</v>
      </c>
    </row>
    <row r="342" spans="1:48">
      <c r="A342" t="s">
        <v>867</v>
      </c>
      <c r="B342" t="s">
        <v>868</v>
      </c>
      <c r="C342" t="s">
        <v>14</v>
      </c>
      <c r="D342" s="37">
        <v>2303987.98563122</v>
      </c>
      <c r="E342" s="37">
        <v>2317942.69856841</v>
      </c>
      <c r="F342" s="37">
        <v>2331134.51175631</v>
      </c>
      <c r="G342" s="37">
        <v>2448699</v>
      </c>
      <c r="H342">
        <v>2467879</v>
      </c>
      <c r="I342">
        <v>2485816</v>
      </c>
      <c r="J342">
        <v>2502476</v>
      </c>
      <c r="K342">
        <v>2517832</v>
      </c>
      <c r="L342">
        <v>2531861</v>
      </c>
      <c r="M342">
        <v>2544543</v>
      </c>
      <c r="N342">
        <v>2555863</v>
      </c>
      <c r="O342">
        <v>2565811</v>
      </c>
      <c r="P342">
        <v>2574381</v>
      </c>
      <c r="Q342">
        <v>2581571</v>
      </c>
      <c r="R342">
        <v>2587383</v>
      </c>
      <c r="S342">
        <v>2591825</v>
      </c>
      <c r="T342">
        <v>2594909</v>
      </c>
      <c r="U342">
        <v>2596649</v>
      </c>
      <c r="V342">
        <v>2597066</v>
      </c>
      <c r="W342">
        <v>2596186</v>
      </c>
      <c r="X342">
        <v>2594035</v>
      </c>
      <c r="Y342">
        <v>2590649</v>
      </c>
      <c r="Z342">
        <v>2586065</v>
      </c>
      <c r="AA342">
        <v>2580324</v>
      </c>
      <c r="AB342">
        <v>2573474</v>
      </c>
      <c r="AC342">
        <v>2565565</v>
      </c>
      <c r="AD342">
        <v>2556652</v>
      </c>
      <c r="AE342">
        <v>2546795</v>
      </c>
      <c r="AF342">
        <v>2536058</v>
      </c>
      <c r="AG342">
        <v>2524509</v>
      </c>
      <c r="AH342">
        <v>2512222</v>
      </c>
      <c r="AI342">
        <v>2499273</v>
      </c>
      <c r="AJ342">
        <v>2485743</v>
      </c>
      <c r="AK342">
        <v>2471720</v>
      </c>
      <c r="AL342">
        <v>2457292</v>
      </c>
      <c r="AM342">
        <v>2442555</v>
      </c>
      <c r="AN342">
        <v>2427607</v>
      </c>
      <c r="AO342">
        <v>2412553</v>
      </c>
      <c r="AP342">
        <v>2397499</v>
      </c>
      <c r="AQ342">
        <v>2382559</v>
      </c>
      <c r="AR342">
        <v>2367848</v>
      </c>
      <c r="AS342">
        <v>2353488</v>
      </c>
      <c r="AT342">
        <v>2339604</v>
      </c>
      <c r="AU342">
        <v>2326325</v>
      </c>
      <c r="AV342">
        <v>2313786</v>
      </c>
    </row>
    <row r="343" spans="1:48">
      <c r="A343" t="s">
        <v>869</v>
      </c>
      <c r="B343" t="s">
        <v>870</v>
      </c>
      <c r="C343" t="s">
        <v>14</v>
      </c>
      <c r="D343" s="37">
        <v>1452781.93021985</v>
      </c>
      <c r="E343" s="37">
        <v>1461508.36717627</v>
      </c>
      <c r="F343" s="37">
        <v>1470028.30750819</v>
      </c>
      <c r="G343" s="37">
        <v>1349112</v>
      </c>
      <c r="H343">
        <v>1358427</v>
      </c>
      <c r="I343">
        <v>1368125</v>
      </c>
      <c r="J343">
        <v>1378064</v>
      </c>
      <c r="K343">
        <v>1388112</v>
      </c>
      <c r="L343">
        <v>1398143</v>
      </c>
      <c r="M343">
        <v>1408042</v>
      </c>
      <c r="N343">
        <v>1417701</v>
      </c>
      <c r="O343">
        <v>1427021</v>
      </c>
      <c r="P343">
        <v>1435913</v>
      </c>
      <c r="Q343">
        <v>1444293</v>
      </c>
      <c r="R343">
        <v>1452088</v>
      </c>
      <c r="S343">
        <v>1459234</v>
      </c>
      <c r="T343">
        <v>1465674</v>
      </c>
      <c r="U343">
        <v>1471358</v>
      </c>
      <c r="V343">
        <v>1476249</v>
      </c>
      <c r="W343">
        <v>1480315</v>
      </c>
      <c r="X343">
        <v>1483533</v>
      </c>
      <c r="Y343">
        <v>1485888</v>
      </c>
      <c r="Z343">
        <v>1487376</v>
      </c>
      <c r="AA343">
        <v>1487999</v>
      </c>
      <c r="AB343">
        <v>1487768</v>
      </c>
      <c r="AC343">
        <v>1486704</v>
      </c>
      <c r="AD343">
        <v>1484833</v>
      </c>
      <c r="AE343">
        <v>1482194</v>
      </c>
      <c r="AF343">
        <v>1478831</v>
      </c>
      <c r="AG343">
        <v>1474798</v>
      </c>
      <c r="AH343">
        <v>1470157</v>
      </c>
      <c r="AI343">
        <v>1464979</v>
      </c>
      <c r="AJ343">
        <v>1459342</v>
      </c>
      <c r="AK343">
        <v>1453335</v>
      </c>
      <c r="AL343">
        <v>1447054</v>
      </c>
      <c r="AM343">
        <v>1440602</v>
      </c>
      <c r="AN343">
        <v>1434094</v>
      </c>
      <c r="AO343">
        <v>1427650</v>
      </c>
      <c r="AP343">
        <v>1421401</v>
      </c>
      <c r="AQ343">
        <v>1415486</v>
      </c>
      <c r="AR343">
        <v>1410050</v>
      </c>
      <c r="AS343">
        <v>1405250</v>
      </c>
      <c r="AT343">
        <v>1401250</v>
      </c>
      <c r="AU343">
        <v>1398222</v>
      </c>
      <c r="AV343">
        <v>1396347</v>
      </c>
    </row>
    <row r="344" spans="1:48">
      <c r="A344" t="s">
        <v>871</v>
      </c>
      <c r="B344" t="s">
        <v>871</v>
      </c>
      <c r="C344" t="s">
        <v>14</v>
      </c>
      <c r="D344" s="37">
        <v>286369.623103916</v>
      </c>
      <c r="E344" s="37">
        <v>288541.42994405</v>
      </c>
      <c r="F344" s="37">
        <v>290680.734323518</v>
      </c>
      <c r="G344" s="37">
        <v>262734</v>
      </c>
      <c r="H344">
        <v>265316</v>
      </c>
      <c r="I344">
        <v>267890</v>
      </c>
      <c r="J344">
        <v>270437</v>
      </c>
      <c r="K344">
        <v>272937</v>
      </c>
      <c r="L344">
        <v>275373</v>
      </c>
      <c r="M344">
        <v>277729</v>
      </c>
      <c r="N344">
        <v>279989</v>
      </c>
      <c r="O344">
        <v>282139</v>
      </c>
      <c r="P344">
        <v>284168</v>
      </c>
      <c r="Q344">
        <v>286064</v>
      </c>
      <c r="R344">
        <v>287817</v>
      </c>
      <c r="S344">
        <v>289419</v>
      </c>
      <c r="T344">
        <v>290862</v>
      </c>
      <c r="U344">
        <v>292141</v>
      </c>
      <c r="V344">
        <v>293251</v>
      </c>
      <c r="W344">
        <v>294189</v>
      </c>
      <c r="X344">
        <v>294952</v>
      </c>
      <c r="Y344">
        <v>295539</v>
      </c>
      <c r="Z344">
        <v>295953</v>
      </c>
      <c r="AA344">
        <v>296193</v>
      </c>
      <c r="AB344">
        <v>296264</v>
      </c>
      <c r="AC344">
        <v>296169</v>
      </c>
      <c r="AD344">
        <v>295916</v>
      </c>
      <c r="AE344">
        <v>295509</v>
      </c>
      <c r="AF344">
        <v>294959</v>
      </c>
      <c r="AG344">
        <v>294275</v>
      </c>
      <c r="AH344">
        <v>293467</v>
      </c>
      <c r="AI344">
        <v>292548</v>
      </c>
      <c r="AJ344">
        <v>291531</v>
      </c>
      <c r="AK344">
        <v>290432</v>
      </c>
      <c r="AL344">
        <v>289266</v>
      </c>
      <c r="AM344">
        <v>288051</v>
      </c>
      <c r="AN344">
        <v>286805</v>
      </c>
      <c r="AO344">
        <v>285550</v>
      </c>
      <c r="AP344">
        <v>284305</v>
      </c>
      <c r="AQ344">
        <v>283093</v>
      </c>
      <c r="AR344">
        <v>281940</v>
      </c>
      <c r="AS344">
        <v>280869</v>
      </c>
      <c r="AT344">
        <v>279908</v>
      </c>
      <c r="AU344">
        <v>279084</v>
      </c>
      <c r="AV344">
        <v>278426</v>
      </c>
    </row>
    <row r="345" spans="1:48">
      <c r="A345" t="s">
        <v>872</v>
      </c>
      <c r="B345" t="s">
        <v>872</v>
      </c>
      <c r="C345" t="s">
        <v>14</v>
      </c>
      <c r="D345" s="37">
        <v>269305.284784463</v>
      </c>
      <c r="E345" s="37">
        <v>271419.885421823</v>
      </c>
      <c r="F345" s="37">
        <v>273529.924485177</v>
      </c>
      <c r="G345" s="37">
        <v>273551</v>
      </c>
      <c r="H345">
        <v>276202</v>
      </c>
      <c r="I345">
        <v>278991</v>
      </c>
      <c r="J345">
        <v>281883</v>
      </c>
      <c r="K345">
        <v>284847</v>
      </c>
      <c r="L345">
        <v>287851</v>
      </c>
      <c r="M345">
        <v>290868</v>
      </c>
      <c r="N345">
        <v>293869</v>
      </c>
      <c r="O345">
        <v>296831</v>
      </c>
      <c r="P345">
        <v>299731</v>
      </c>
      <c r="Q345">
        <v>302546</v>
      </c>
      <c r="R345">
        <v>305259</v>
      </c>
      <c r="S345">
        <v>307851</v>
      </c>
      <c r="T345">
        <v>310308</v>
      </c>
      <c r="U345">
        <v>312615</v>
      </c>
      <c r="V345">
        <v>314762</v>
      </c>
      <c r="W345">
        <v>316738</v>
      </c>
      <c r="X345">
        <v>318535</v>
      </c>
      <c r="Y345">
        <v>320149</v>
      </c>
      <c r="Z345">
        <v>321574</v>
      </c>
      <c r="AA345">
        <v>322808</v>
      </c>
      <c r="AB345">
        <v>323852</v>
      </c>
      <c r="AC345">
        <v>324706</v>
      </c>
      <c r="AD345">
        <v>325375</v>
      </c>
      <c r="AE345">
        <v>325863</v>
      </c>
      <c r="AF345">
        <v>326179</v>
      </c>
      <c r="AG345">
        <v>326331</v>
      </c>
      <c r="AH345">
        <v>326330</v>
      </c>
      <c r="AI345">
        <v>326190</v>
      </c>
      <c r="AJ345">
        <v>325925</v>
      </c>
      <c r="AK345">
        <v>325553</v>
      </c>
      <c r="AL345">
        <v>325090</v>
      </c>
      <c r="AM345">
        <v>324560</v>
      </c>
      <c r="AN345">
        <v>323983</v>
      </c>
      <c r="AO345">
        <v>323384</v>
      </c>
      <c r="AP345">
        <v>322790</v>
      </c>
      <c r="AQ345">
        <v>322228</v>
      </c>
      <c r="AR345">
        <v>321730</v>
      </c>
      <c r="AS345">
        <v>321325</v>
      </c>
      <c r="AT345">
        <v>321049</v>
      </c>
      <c r="AU345">
        <v>320937</v>
      </c>
      <c r="AV345">
        <v>321027</v>
      </c>
    </row>
    <row r="346" spans="1:48">
      <c r="A346" t="s">
        <v>873</v>
      </c>
      <c r="B346" t="s">
        <v>873</v>
      </c>
      <c r="C346" t="s">
        <v>14</v>
      </c>
      <c r="D346" s="37">
        <v>464529.405476872</v>
      </c>
      <c r="E346" s="37">
        <v>468035.85966489</v>
      </c>
      <c r="F346" s="37">
        <v>471470.21845208</v>
      </c>
      <c r="G346" s="37">
        <v>443159</v>
      </c>
      <c r="H346">
        <v>446981</v>
      </c>
      <c r="I346">
        <v>450990</v>
      </c>
      <c r="J346">
        <v>455135</v>
      </c>
      <c r="K346">
        <v>459368</v>
      </c>
      <c r="L346">
        <v>463644</v>
      </c>
      <c r="M346">
        <v>467919</v>
      </c>
      <c r="N346">
        <v>472155</v>
      </c>
      <c r="O346">
        <v>476315</v>
      </c>
      <c r="P346">
        <v>480364</v>
      </c>
      <c r="Q346">
        <v>484272</v>
      </c>
      <c r="R346">
        <v>488010</v>
      </c>
      <c r="S346">
        <v>491552</v>
      </c>
      <c r="T346">
        <v>494876</v>
      </c>
      <c r="U346">
        <v>497962</v>
      </c>
      <c r="V346">
        <v>500793</v>
      </c>
      <c r="W346">
        <v>503355</v>
      </c>
      <c r="X346">
        <v>505636</v>
      </c>
      <c r="Y346">
        <v>507628</v>
      </c>
      <c r="Z346">
        <v>509324</v>
      </c>
      <c r="AA346">
        <v>510722</v>
      </c>
      <c r="AB346">
        <v>511822</v>
      </c>
      <c r="AC346">
        <v>512627</v>
      </c>
      <c r="AD346">
        <v>513142</v>
      </c>
      <c r="AE346">
        <v>513374</v>
      </c>
      <c r="AF346">
        <v>513337</v>
      </c>
      <c r="AG346">
        <v>513043</v>
      </c>
      <c r="AH346">
        <v>512509</v>
      </c>
      <c r="AI346">
        <v>511755</v>
      </c>
      <c r="AJ346">
        <v>510804</v>
      </c>
      <c r="AK346">
        <v>509680</v>
      </c>
      <c r="AL346">
        <v>508412</v>
      </c>
      <c r="AM346">
        <v>507030</v>
      </c>
      <c r="AN346">
        <v>505569</v>
      </c>
      <c r="AO346">
        <v>504066</v>
      </c>
      <c r="AP346">
        <v>502558</v>
      </c>
      <c r="AQ346">
        <v>501089</v>
      </c>
      <c r="AR346">
        <v>499704</v>
      </c>
      <c r="AS346">
        <v>498451</v>
      </c>
      <c r="AT346">
        <v>497379</v>
      </c>
      <c r="AU346">
        <v>496543</v>
      </c>
      <c r="AV346">
        <v>496000</v>
      </c>
    </row>
    <row r="347" spans="1:48">
      <c r="A347" t="s">
        <v>874</v>
      </c>
      <c r="B347" t="s">
        <v>874</v>
      </c>
      <c r="C347" t="s">
        <v>14</v>
      </c>
      <c r="D347" s="37">
        <v>191859.456389074</v>
      </c>
      <c r="E347" s="37">
        <v>193355.989379245</v>
      </c>
      <c r="F347" s="37">
        <v>194825.722232002</v>
      </c>
      <c r="G347" s="37">
        <v>213880</v>
      </c>
      <c r="H347">
        <v>215565</v>
      </c>
      <c r="I347">
        <v>217457</v>
      </c>
      <c r="J347">
        <v>219522</v>
      </c>
      <c r="K347">
        <v>221725</v>
      </c>
      <c r="L347">
        <v>224033</v>
      </c>
      <c r="M347">
        <v>226417</v>
      </c>
      <c r="N347">
        <v>228846</v>
      </c>
      <c r="O347">
        <v>231295</v>
      </c>
      <c r="P347">
        <v>233737</v>
      </c>
      <c r="Q347">
        <v>236151</v>
      </c>
      <c r="R347">
        <v>238514</v>
      </c>
      <c r="S347">
        <v>240808</v>
      </c>
      <c r="T347">
        <v>243013</v>
      </c>
      <c r="U347">
        <v>245115</v>
      </c>
      <c r="V347">
        <v>247100</v>
      </c>
      <c r="W347">
        <v>248954</v>
      </c>
      <c r="X347">
        <v>250669</v>
      </c>
      <c r="Y347">
        <v>252235</v>
      </c>
      <c r="Z347">
        <v>253646</v>
      </c>
      <c r="AA347">
        <v>254897</v>
      </c>
      <c r="AB347">
        <v>255985</v>
      </c>
      <c r="AC347">
        <v>256909</v>
      </c>
      <c r="AD347">
        <v>257670</v>
      </c>
      <c r="AE347">
        <v>258270</v>
      </c>
      <c r="AF347">
        <v>258714</v>
      </c>
      <c r="AG347">
        <v>259008</v>
      </c>
      <c r="AH347">
        <v>259160</v>
      </c>
      <c r="AI347">
        <v>259180</v>
      </c>
      <c r="AJ347">
        <v>259080</v>
      </c>
      <c r="AK347">
        <v>258873</v>
      </c>
      <c r="AL347">
        <v>258576</v>
      </c>
      <c r="AM347">
        <v>258204</v>
      </c>
      <c r="AN347">
        <v>257778</v>
      </c>
      <c r="AO347">
        <v>257319</v>
      </c>
      <c r="AP347">
        <v>256849</v>
      </c>
      <c r="AQ347">
        <v>256393</v>
      </c>
      <c r="AR347">
        <v>255977</v>
      </c>
      <c r="AS347">
        <v>255631</v>
      </c>
      <c r="AT347">
        <v>255384</v>
      </c>
      <c r="AU347">
        <v>255268</v>
      </c>
      <c r="AV347">
        <v>255317</v>
      </c>
    </row>
    <row r="348" spans="1:48">
      <c r="A348" t="s">
        <v>875</v>
      </c>
      <c r="B348" t="s">
        <v>875</v>
      </c>
      <c r="C348" t="s">
        <v>14</v>
      </c>
      <c r="D348" s="37">
        <v>399758.971366435</v>
      </c>
      <c r="E348" s="37">
        <v>402540.073239128</v>
      </c>
      <c r="F348" s="37">
        <v>405245.91646436</v>
      </c>
      <c r="G348" s="37">
        <v>423156</v>
      </c>
      <c r="H348">
        <v>425184</v>
      </c>
      <c r="I348">
        <v>427948</v>
      </c>
      <c r="J348">
        <v>431345</v>
      </c>
      <c r="K348">
        <v>435278</v>
      </c>
      <c r="L348">
        <v>439653</v>
      </c>
      <c r="M348">
        <v>444385</v>
      </c>
      <c r="N348">
        <v>449390</v>
      </c>
      <c r="O348">
        <v>454591</v>
      </c>
      <c r="P348">
        <v>459915</v>
      </c>
      <c r="Q348">
        <v>465295</v>
      </c>
      <c r="R348">
        <v>470669</v>
      </c>
      <c r="S348">
        <v>475979</v>
      </c>
      <c r="T348">
        <v>481172</v>
      </c>
      <c r="U348">
        <v>486202</v>
      </c>
      <c r="V348">
        <v>491024</v>
      </c>
      <c r="W348">
        <v>495603</v>
      </c>
      <c r="X348">
        <v>499905</v>
      </c>
      <c r="Y348">
        <v>503903</v>
      </c>
      <c r="Z348">
        <v>507575</v>
      </c>
      <c r="AA348">
        <v>510902</v>
      </c>
      <c r="AB348">
        <v>513872</v>
      </c>
      <c r="AC348">
        <v>516478</v>
      </c>
      <c r="AD348">
        <v>518716</v>
      </c>
      <c r="AE348">
        <v>520591</v>
      </c>
      <c r="AF348">
        <v>522108</v>
      </c>
      <c r="AG348">
        <v>523280</v>
      </c>
      <c r="AH348">
        <v>524124</v>
      </c>
      <c r="AI348">
        <v>524664</v>
      </c>
      <c r="AJ348">
        <v>524925</v>
      </c>
      <c r="AK348">
        <v>524942</v>
      </c>
      <c r="AL348">
        <v>524750</v>
      </c>
      <c r="AM348">
        <v>524392</v>
      </c>
      <c r="AN348">
        <v>523915</v>
      </c>
      <c r="AO348">
        <v>523373</v>
      </c>
      <c r="AP348">
        <v>522821</v>
      </c>
      <c r="AQ348">
        <v>522323</v>
      </c>
      <c r="AR348">
        <v>521946</v>
      </c>
      <c r="AS348">
        <v>521761</v>
      </c>
      <c r="AT348">
        <v>521846</v>
      </c>
      <c r="AU348">
        <v>522284</v>
      </c>
      <c r="AV348">
        <v>523162</v>
      </c>
    </row>
    <row r="349" spans="1:48">
      <c r="A349" t="s">
        <v>876</v>
      </c>
      <c r="B349" t="s">
        <v>876</v>
      </c>
      <c r="C349" t="s">
        <v>14</v>
      </c>
      <c r="D349" s="37">
        <v>520150.694378937</v>
      </c>
      <c r="E349" s="37">
        <v>524872.568360617</v>
      </c>
      <c r="F349" s="37">
        <v>529415.203973836</v>
      </c>
      <c r="G349" s="37">
        <v>462569</v>
      </c>
      <c r="H349">
        <v>468210</v>
      </c>
      <c r="I349">
        <v>473509</v>
      </c>
      <c r="J349">
        <v>478467</v>
      </c>
      <c r="K349">
        <v>483088</v>
      </c>
      <c r="L349">
        <v>487373</v>
      </c>
      <c r="M349">
        <v>491325</v>
      </c>
      <c r="N349">
        <v>494947</v>
      </c>
      <c r="O349">
        <v>498242</v>
      </c>
      <c r="P349">
        <v>501215</v>
      </c>
      <c r="Q349">
        <v>503869</v>
      </c>
      <c r="R349">
        <v>506209</v>
      </c>
      <c r="S349">
        <v>508239</v>
      </c>
      <c r="T349">
        <v>509965</v>
      </c>
      <c r="U349">
        <v>511393</v>
      </c>
      <c r="V349">
        <v>512528</v>
      </c>
      <c r="W349">
        <v>513377</v>
      </c>
      <c r="X349">
        <v>513945</v>
      </c>
      <c r="Y349">
        <v>514241</v>
      </c>
      <c r="Z349">
        <v>514271</v>
      </c>
      <c r="AA349">
        <v>514043</v>
      </c>
      <c r="AB349">
        <v>513566</v>
      </c>
      <c r="AC349">
        <v>512847</v>
      </c>
      <c r="AD349">
        <v>511894</v>
      </c>
      <c r="AE349">
        <v>510719</v>
      </c>
      <c r="AF349">
        <v>509328</v>
      </c>
      <c r="AG349">
        <v>507734</v>
      </c>
      <c r="AH349">
        <v>505945</v>
      </c>
      <c r="AI349">
        <v>503972</v>
      </c>
      <c r="AJ349">
        <v>501825</v>
      </c>
      <c r="AK349">
        <v>499517</v>
      </c>
      <c r="AL349">
        <v>497059</v>
      </c>
      <c r="AM349">
        <v>494462</v>
      </c>
      <c r="AN349">
        <v>491740</v>
      </c>
      <c r="AO349">
        <v>488903</v>
      </c>
      <c r="AP349">
        <v>485966</v>
      </c>
      <c r="AQ349">
        <v>482942</v>
      </c>
      <c r="AR349">
        <v>479844</v>
      </c>
      <c r="AS349">
        <v>476686</v>
      </c>
      <c r="AT349">
        <v>473483</v>
      </c>
      <c r="AU349">
        <v>470250</v>
      </c>
      <c r="AV349">
        <v>467002</v>
      </c>
    </row>
    <row r="350" spans="1:48">
      <c r="A350" t="s">
        <v>877</v>
      </c>
      <c r="B350" t="s">
        <v>878</v>
      </c>
      <c r="C350" t="s">
        <v>14</v>
      </c>
      <c r="D350" s="37">
        <v>2107277.87557519</v>
      </c>
      <c r="E350" s="37">
        <v>2124536.5064036</v>
      </c>
      <c r="F350" s="37">
        <v>2140933.29776905</v>
      </c>
      <c r="G350" s="37">
        <v>2827726</v>
      </c>
      <c r="H350">
        <v>2858948</v>
      </c>
      <c r="I350">
        <v>2887523</v>
      </c>
      <c r="J350">
        <v>2913555</v>
      </c>
      <c r="K350">
        <v>2937146</v>
      </c>
      <c r="L350">
        <v>2958395</v>
      </c>
      <c r="M350">
        <v>2977399</v>
      </c>
      <c r="N350">
        <v>2994254</v>
      </c>
      <c r="O350">
        <v>3009051</v>
      </c>
      <c r="P350">
        <v>3021882</v>
      </c>
      <c r="Q350">
        <v>3032834</v>
      </c>
      <c r="R350">
        <v>3041995</v>
      </c>
      <c r="S350">
        <v>3049448</v>
      </c>
      <c r="T350">
        <v>3055275</v>
      </c>
      <c r="U350">
        <v>3059556</v>
      </c>
      <c r="V350">
        <v>3062368</v>
      </c>
      <c r="W350">
        <v>3063787</v>
      </c>
      <c r="X350">
        <v>3063885</v>
      </c>
      <c r="Y350">
        <v>3062733</v>
      </c>
      <c r="Z350">
        <v>3060401</v>
      </c>
      <c r="AA350">
        <v>3056954</v>
      </c>
      <c r="AB350">
        <v>3052458</v>
      </c>
      <c r="AC350">
        <v>3046974</v>
      </c>
      <c r="AD350">
        <v>3040563</v>
      </c>
      <c r="AE350">
        <v>3033281</v>
      </c>
      <c r="AF350">
        <v>3025186</v>
      </c>
      <c r="AG350">
        <v>3016329</v>
      </c>
      <c r="AH350">
        <v>3006764</v>
      </c>
      <c r="AI350">
        <v>2996538</v>
      </c>
      <c r="AJ350">
        <v>2985698</v>
      </c>
      <c r="AK350">
        <v>2974290</v>
      </c>
      <c r="AL350">
        <v>2962355</v>
      </c>
      <c r="AM350">
        <v>2949935</v>
      </c>
      <c r="AN350">
        <v>2937067</v>
      </c>
      <c r="AO350">
        <v>2923787</v>
      </c>
      <c r="AP350">
        <v>2910129</v>
      </c>
      <c r="AQ350">
        <v>2896125</v>
      </c>
      <c r="AR350">
        <v>2881803</v>
      </c>
      <c r="AS350">
        <v>2867193</v>
      </c>
      <c r="AT350">
        <v>2852317</v>
      </c>
      <c r="AU350">
        <v>2837200</v>
      </c>
      <c r="AV350">
        <v>2821862</v>
      </c>
    </row>
    <row r="351" spans="1:48">
      <c r="A351" t="s">
        <v>879</v>
      </c>
      <c r="B351" t="s">
        <v>880</v>
      </c>
      <c r="C351" t="s">
        <v>14</v>
      </c>
      <c r="D351" s="37">
        <v>754405.430129024</v>
      </c>
      <c r="E351" s="37">
        <v>758331.601731522</v>
      </c>
      <c r="F351" s="37">
        <v>761958.833235724</v>
      </c>
      <c r="G351" s="37">
        <v>746659</v>
      </c>
      <c r="H351">
        <v>751349</v>
      </c>
      <c r="I351">
        <v>755702</v>
      </c>
      <c r="J351">
        <v>759706</v>
      </c>
      <c r="K351">
        <v>763347</v>
      </c>
      <c r="L351">
        <v>766613</v>
      </c>
      <c r="M351">
        <v>769495</v>
      </c>
      <c r="N351">
        <v>771985</v>
      </c>
      <c r="O351">
        <v>774076</v>
      </c>
      <c r="P351">
        <v>775762</v>
      </c>
      <c r="Q351">
        <v>777041</v>
      </c>
      <c r="R351">
        <v>777911</v>
      </c>
      <c r="S351">
        <v>778371</v>
      </c>
      <c r="T351">
        <v>778424</v>
      </c>
      <c r="U351">
        <v>778071</v>
      </c>
      <c r="V351">
        <v>777318</v>
      </c>
      <c r="W351">
        <v>776172</v>
      </c>
      <c r="X351">
        <v>774639</v>
      </c>
      <c r="Y351">
        <v>772729</v>
      </c>
      <c r="Z351">
        <v>770454</v>
      </c>
      <c r="AA351">
        <v>767827</v>
      </c>
      <c r="AB351">
        <v>764860</v>
      </c>
      <c r="AC351">
        <v>761571</v>
      </c>
      <c r="AD351">
        <v>757978</v>
      </c>
      <c r="AE351">
        <v>754098</v>
      </c>
      <c r="AF351">
        <v>749953</v>
      </c>
      <c r="AG351">
        <v>745566</v>
      </c>
      <c r="AH351">
        <v>740959</v>
      </c>
      <c r="AI351">
        <v>736160</v>
      </c>
      <c r="AJ351">
        <v>731195</v>
      </c>
      <c r="AK351">
        <v>726092</v>
      </c>
      <c r="AL351">
        <v>720883</v>
      </c>
      <c r="AM351">
        <v>715599</v>
      </c>
      <c r="AN351">
        <v>710274</v>
      </c>
      <c r="AO351">
        <v>704943</v>
      </c>
      <c r="AP351">
        <v>699643</v>
      </c>
      <c r="AQ351">
        <v>694412</v>
      </c>
      <c r="AR351">
        <v>689291</v>
      </c>
      <c r="AS351">
        <v>684322</v>
      </c>
      <c r="AT351">
        <v>679547</v>
      </c>
      <c r="AU351">
        <v>675011</v>
      </c>
      <c r="AV351">
        <v>670762</v>
      </c>
    </row>
    <row r="352" spans="1:48">
      <c r="A352" t="s">
        <v>881</v>
      </c>
      <c r="B352" t="s">
        <v>882</v>
      </c>
      <c r="C352" t="s">
        <v>14</v>
      </c>
      <c r="D352" s="37">
        <v>1332746.01724584</v>
      </c>
      <c r="E352" s="37">
        <v>1342078.91754893</v>
      </c>
      <c r="F352" s="37">
        <v>1351258.214388</v>
      </c>
      <c r="G352" s="37">
        <v>1371716</v>
      </c>
      <c r="H352">
        <v>1382655</v>
      </c>
      <c r="I352">
        <v>1394258</v>
      </c>
      <c r="J352">
        <v>1406350</v>
      </c>
      <c r="K352">
        <v>1418765</v>
      </c>
      <c r="L352">
        <v>1431349</v>
      </c>
      <c r="M352">
        <v>1443954</v>
      </c>
      <c r="N352">
        <v>1456447</v>
      </c>
      <c r="O352">
        <v>1468701</v>
      </c>
      <c r="P352">
        <v>1480601</v>
      </c>
      <c r="Q352">
        <v>1492042</v>
      </c>
      <c r="R352">
        <v>1502929</v>
      </c>
      <c r="S352">
        <v>1513177</v>
      </c>
      <c r="T352">
        <v>1522709</v>
      </c>
      <c r="U352">
        <v>1531463</v>
      </c>
      <c r="V352">
        <v>1539381</v>
      </c>
      <c r="W352">
        <v>1546420</v>
      </c>
      <c r="X352">
        <v>1552544</v>
      </c>
      <c r="Y352">
        <v>1557729</v>
      </c>
      <c r="Z352">
        <v>1561959</v>
      </c>
      <c r="AA352">
        <v>1565231</v>
      </c>
      <c r="AB352">
        <v>1567549</v>
      </c>
      <c r="AC352">
        <v>1568929</v>
      </c>
      <c r="AD352">
        <v>1569396</v>
      </c>
      <c r="AE352">
        <v>1568986</v>
      </c>
      <c r="AF352">
        <v>1567744</v>
      </c>
      <c r="AG352">
        <v>1565725</v>
      </c>
      <c r="AH352">
        <v>1562997</v>
      </c>
      <c r="AI352">
        <v>1559633</v>
      </c>
      <c r="AJ352">
        <v>1555720</v>
      </c>
      <c r="AK352">
        <v>1551353</v>
      </c>
      <c r="AL352">
        <v>1546640</v>
      </c>
      <c r="AM352">
        <v>1541694</v>
      </c>
      <c r="AN352">
        <v>1536643</v>
      </c>
      <c r="AO352">
        <v>1531623</v>
      </c>
      <c r="AP352">
        <v>1526778</v>
      </c>
      <c r="AQ352">
        <v>1522267</v>
      </c>
      <c r="AR352">
        <v>1518254</v>
      </c>
      <c r="AS352">
        <v>1514916</v>
      </c>
      <c r="AT352">
        <v>1512440</v>
      </c>
      <c r="AU352">
        <v>1511021</v>
      </c>
      <c r="AV352">
        <v>1510866</v>
      </c>
    </row>
    <row r="353" spans="1:48">
      <c r="A353" t="s">
        <v>883</v>
      </c>
      <c r="B353" t="s">
        <v>884</v>
      </c>
      <c r="C353" t="s">
        <v>14</v>
      </c>
      <c r="D353" s="37">
        <v>1274907.30943591</v>
      </c>
      <c r="E353" s="37">
        <v>1282619.393882</v>
      </c>
      <c r="F353" s="37">
        <v>1290332.30227879</v>
      </c>
      <c r="G353" s="37">
        <v>1134833</v>
      </c>
      <c r="H353">
        <v>1142097</v>
      </c>
      <c r="I353">
        <v>1150422</v>
      </c>
      <c r="J353">
        <v>1159606</v>
      </c>
      <c r="K353">
        <v>1169457</v>
      </c>
      <c r="L353">
        <v>1179794</v>
      </c>
      <c r="M353">
        <v>1190450</v>
      </c>
      <c r="N353">
        <v>1201265</v>
      </c>
      <c r="O353">
        <v>1212093</v>
      </c>
      <c r="P353">
        <v>1222799</v>
      </c>
      <c r="Q353">
        <v>1233258</v>
      </c>
      <c r="R353">
        <v>1243357</v>
      </c>
      <c r="S353">
        <v>1252996</v>
      </c>
      <c r="T353">
        <v>1262083</v>
      </c>
      <c r="U353">
        <v>1270539</v>
      </c>
      <c r="V353">
        <v>1278297</v>
      </c>
      <c r="W353">
        <v>1285299</v>
      </c>
      <c r="X353">
        <v>1291500</v>
      </c>
      <c r="Y353">
        <v>1296867</v>
      </c>
      <c r="Z353">
        <v>1301376</v>
      </c>
      <c r="AA353">
        <v>1305015</v>
      </c>
      <c r="AB353">
        <v>1307785</v>
      </c>
      <c r="AC353">
        <v>1309695</v>
      </c>
      <c r="AD353">
        <v>1310768</v>
      </c>
      <c r="AE353">
        <v>1311038</v>
      </c>
      <c r="AF353">
        <v>1310548</v>
      </c>
      <c r="AG353">
        <v>1309355</v>
      </c>
      <c r="AH353">
        <v>1307526</v>
      </c>
      <c r="AI353">
        <v>1305139</v>
      </c>
      <c r="AJ353">
        <v>1302284</v>
      </c>
      <c r="AK353">
        <v>1299061</v>
      </c>
      <c r="AL353">
        <v>1295583</v>
      </c>
      <c r="AM353">
        <v>1291972</v>
      </c>
      <c r="AN353">
        <v>1288364</v>
      </c>
      <c r="AO353">
        <v>1284904</v>
      </c>
      <c r="AP353">
        <v>1281750</v>
      </c>
      <c r="AQ353">
        <v>1279069</v>
      </c>
      <c r="AR353">
        <v>1277041</v>
      </c>
      <c r="AS353">
        <v>1275857</v>
      </c>
      <c r="AT353">
        <v>1275720</v>
      </c>
      <c r="AU353">
        <v>1276841</v>
      </c>
      <c r="AV353">
        <v>1279447</v>
      </c>
    </row>
    <row r="354" spans="1:48">
      <c r="A354" t="s">
        <v>885</v>
      </c>
      <c r="B354" t="s">
        <v>886</v>
      </c>
      <c r="C354" t="s">
        <v>14</v>
      </c>
      <c r="D354" s="37">
        <v>1128826.17931158</v>
      </c>
      <c r="E354" s="37">
        <v>1136926.12982358</v>
      </c>
      <c r="F354" s="37">
        <v>1144964.83929842</v>
      </c>
      <c r="G354" s="37">
        <v>1057994</v>
      </c>
      <c r="H354">
        <v>1067297</v>
      </c>
      <c r="I354">
        <v>1076975</v>
      </c>
      <c r="J354">
        <v>1086906</v>
      </c>
      <c r="K354">
        <v>1096970</v>
      </c>
      <c r="L354">
        <v>1107059</v>
      </c>
      <c r="M354">
        <v>1117069</v>
      </c>
      <c r="N354">
        <v>1126906</v>
      </c>
      <c r="O354">
        <v>1136481</v>
      </c>
      <c r="P354">
        <v>1145715</v>
      </c>
      <c r="Q354">
        <v>1154534</v>
      </c>
      <c r="R354">
        <v>1162874</v>
      </c>
      <c r="S354">
        <v>1170676</v>
      </c>
      <c r="T354">
        <v>1177891</v>
      </c>
      <c r="U354">
        <v>1184474</v>
      </c>
      <c r="V354">
        <v>1190391</v>
      </c>
      <c r="W354">
        <v>1195614</v>
      </c>
      <c r="X354">
        <v>1200122</v>
      </c>
      <c r="Y354">
        <v>1203901</v>
      </c>
      <c r="Z354">
        <v>1206947</v>
      </c>
      <c r="AA354">
        <v>1209260</v>
      </c>
      <c r="AB354">
        <v>1210851</v>
      </c>
      <c r="AC354">
        <v>1211735</v>
      </c>
      <c r="AD354">
        <v>1211936</v>
      </c>
      <c r="AE354">
        <v>1211487</v>
      </c>
      <c r="AF354">
        <v>1210426</v>
      </c>
      <c r="AG354">
        <v>1208800</v>
      </c>
      <c r="AH354">
        <v>1206662</v>
      </c>
      <c r="AI354">
        <v>1204075</v>
      </c>
      <c r="AJ354">
        <v>1201106</v>
      </c>
      <c r="AK354">
        <v>1197831</v>
      </c>
      <c r="AL354">
        <v>1194336</v>
      </c>
      <c r="AM354">
        <v>1190710</v>
      </c>
      <c r="AN354">
        <v>1187052</v>
      </c>
      <c r="AO354">
        <v>1183469</v>
      </c>
      <c r="AP354">
        <v>1180073</v>
      </c>
      <c r="AQ354">
        <v>1176986</v>
      </c>
      <c r="AR354">
        <v>1174337</v>
      </c>
      <c r="AS354">
        <v>1172260</v>
      </c>
      <c r="AT354">
        <v>1170900</v>
      </c>
      <c r="AU354">
        <v>1170406</v>
      </c>
      <c r="AV354">
        <v>1170938</v>
      </c>
    </row>
    <row r="355" spans="1:48">
      <c r="A355" t="s">
        <v>887</v>
      </c>
      <c r="B355" t="s">
        <v>888</v>
      </c>
      <c r="C355" t="s">
        <v>14</v>
      </c>
      <c r="D355" s="37">
        <v>3284518.17615821</v>
      </c>
      <c r="E355" s="37">
        <v>3307775.67076134</v>
      </c>
      <c r="F355" s="37">
        <v>3329176.97721042</v>
      </c>
      <c r="G355" s="37">
        <v>4015917</v>
      </c>
      <c r="H355">
        <v>4054222</v>
      </c>
      <c r="I355">
        <v>4087866</v>
      </c>
      <c r="J355">
        <v>4117141</v>
      </c>
      <c r="K355">
        <v>4142326</v>
      </c>
      <c r="L355">
        <v>4163689</v>
      </c>
      <c r="M355">
        <v>4181487</v>
      </c>
      <c r="N355">
        <v>4195965</v>
      </c>
      <c r="O355">
        <v>4207358</v>
      </c>
      <c r="P355">
        <v>4215889</v>
      </c>
      <c r="Q355">
        <v>4221768</v>
      </c>
      <c r="R355">
        <v>4225196</v>
      </c>
      <c r="S355">
        <v>4226361</v>
      </c>
      <c r="T355">
        <v>4225441</v>
      </c>
      <c r="U355">
        <v>4222601</v>
      </c>
      <c r="V355">
        <v>4217995</v>
      </c>
      <c r="W355">
        <v>4211766</v>
      </c>
      <c r="X355">
        <v>4204047</v>
      </c>
      <c r="Y355">
        <v>4194957</v>
      </c>
      <c r="Z355">
        <v>4184605</v>
      </c>
      <c r="AA355">
        <v>4173088</v>
      </c>
      <c r="AB355">
        <v>4160493</v>
      </c>
      <c r="AC355">
        <v>4146895</v>
      </c>
      <c r="AD355">
        <v>4132355</v>
      </c>
      <c r="AE355">
        <v>4116927</v>
      </c>
      <c r="AF355">
        <v>4100651</v>
      </c>
      <c r="AG355">
        <v>4083556</v>
      </c>
      <c r="AH355">
        <v>4065659</v>
      </c>
      <c r="AI355">
        <v>4046967</v>
      </c>
      <c r="AJ355">
        <v>4027475</v>
      </c>
      <c r="AK355">
        <v>4007166</v>
      </c>
      <c r="AL355">
        <v>3986012</v>
      </c>
      <c r="AM355">
        <v>3963975</v>
      </c>
      <c r="AN355">
        <v>3941003</v>
      </c>
      <c r="AO355">
        <v>3917035</v>
      </c>
      <c r="AP355">
        <v>3891997</v>
      </c>
      <c r="AQ355">
        <v>3865804</v>
      </c>
      <c r="AR355">
        <v>3838360</v>
      </c>
      <c r="AS355">
        <v>3809557</v>
      </c>
      <c r="AT355">
        <v>3779277</v>
      </c>
      <c r="AU355">
        <v>3747389</v>
      </c>
      <c r="AV355">
        <v>3713751</v>
      </c>
    </row>
    <row r="356" spans="1:48">
      <c r="A356" t="s">
        <v>889</v>
      </c>
      <c r="B356" t="s">
        <v>890</v>
      </c>
      <c r="C356" t="s">
        <v>14</v>
      </c>
      <c r="D356" s="37">
        <v>409229.470364891</v>
      </c>
      <c r="E356" s="37">
        <v>411501.575627647</v>
      </c>
      <c r="F356" s="37">
        <v>413553.934314865</v>
      </c>
      <c r="G356" s="37">
        <v>486957</v>
      </c>
      <c r="H356">
        <v>490335</v>
      </c>
      <c r="I356">
        <v>493337</v>
      </c>
      <c r="J356">
        <v>495974</v>
      </c>
      <c r="K356">
        <v>498254</v>
      </c>
      <c r="L356">
        <v>500189</v>
      </c>
      <c r="M356">
        <v>501786</v>
      </c>
      <c r="N356">
        <v>503056</v>
      </c>
      <c r="O356">
        <v>504008</v>
      </c>
      <c r="P356">
        <v>504652</v>
      </c>
      <c r="Q356">
        <v>504997</v>
      </c>
      <c r="R356">
        <v>505054</v>
      </c>
      <c r="S356">
        <v>504830</v>
      </c>
      <c r="T356">
        <v>504337</v>
      </c>
      <c r="U356">
        <v>503583</v>
      </c>
      <c r="V356">
        <v>502579</v>
      </c>
      <c r="W356">
        <v>501333</v>
      </c>
      <c r="X356">
        <v>499855</v>
      </c>
      <c r="Y356">
        <v>498154</v>
      </c>
      <c r="Z356">
        <v>496241</v>
      </c>
      <c r="AA356">
        <v>494124</v>
      </c>
      <c r="AB356">
        <v>491813</v>
      </c>
      <c r="AC356">
        <v>489318</v>
      </c>
      <c r="AD356">
        <v>486647</v>
      </c>
      <c r="AE356">
        <v>483811</v>
      </c>
      <c r="AF356">
        <v>480819</v>
      </c>
      <c r="AG356">
        <v>477680</v>
      </c>
      <c r="AH356">
        <v>474403</v>
      </c>
      <c r="AI356">
        <v>470999</v>
      </c>
      <c r="AJ356">
        <v>467476</v>
      </c>
      <c r="AK356">
        <v>463844</v>
      </c>
      <c r="AL356">
        <v>460113</v>
      </c>
      <c r="AM356">
        <v>456291</v>
      </c>
      <c r="AN356">
        <v>452388</v>
      </c>
      <c r="AO356">
        <v>448413</v>
      </c>
      <c r="AP356">
        <v>444376</v>
      </c>
      <c r="AQ356">
        <v>440286</v>
      </c>
      <c r="AR356">
        <v>436153</v>
      </c>
      <c r="AS356">
        <v>431986</v>
      </c>
      <c r="AT356">
        <v>427793</v>
      </c>
      <c r="AU356">
        <v>423585</v>
      </c>
      <c r="AV356">
        <v>419371</v>
      </c>
    </row>
    <row r="357" spans="1:48">
      <c r="A357" t="s">
        <v>891</v>
      </c>
      <c r="B357" t="s">
        <v>892</v>
      </c>
      <c r="C357" t="s">
        <v>14</v>
      </c>
      <c r="D357" s="37">
        <v>659251.052175108</v>
      </c>
      <c r="E357" s="37">
        <v>663815.517293577</v>
      </c>
      <c r="F357" s="37">
        <v>668058.159146654</v>
      </c>
      <c r="G357" s="37">
        <v>689266</v>
      </c>
      <c r="H357">
        <v>693971</v>
      </c>
      <c r="I357">
        <v>698734</v>
      </c>
      <c r="J357">
        <v>703511</v>
      </c>
      <c r="K357">
        <v>708261</v>
      </c>
      <c r="L357">
        <v>712946</v>
      </c>
      <c r="M357">
        <v>717527</v>
      </c>
      <c r="N357">
        <v>721972</v>
      </c>
      <c r="O357">
        <v>726248</v>
      </c>
      <c r="P357">
        <v>730326</v>
      </c>
      <c r="Q357">
        <v>734179</v>
      </c>
      <c r="R357">
        <v>737783</v>
      </c>
      <c r="S357">
        <v>741116</v>
      </c>
      <c r="T357">
        <v>744157</v>
      </c>
      <c r="U357">
        <v>746891</v>
      </c>
      <c r="V357">
        <v>749302</v>
      </c>
      <c r="W357">
        <v>751378</v>
      </c>
      <c r="X357">
        <v>753109</v>
      </c>
      <c r="Y357">
        <v>754488</v>
      </c>
      <c r="Z357">
        <v>755509</v>
      </c>
      <c r="AA357">
        <v>756172</v>
      </c>
      <c r="AB357">
        <v>756474</v>
      </c>
      <c r="AC357">
        <v>756419</v>
      </c>
      <c r="AD357">
        <v>756012</v>
      </c>
      <c r="AE357">
        <v>755259</v>
      </c>
      <c r="AF357">
        <v>754171</v>
      </c>
      <c r="AG357">
        <v>752760</v>
      </c>
      <c r="AH357">
        <v>751039</v>
      </c>
      <c r="AI357">
        <v>749027</v>
      </c>
      <c r="AJ357">
        <v>746742</v>
      </c>
      <c r="AK357">
        <v>744207</v>
      </c>
      <c r="AL357">
        <v>741445</v>
      </c>
      <c r="AM357">
        <v>738484</v>
      </c>
      <c r="AN357">
        <v>735352</v>
      </c>
      <c r="AO357">
        <v>732082</v>
      </c>
      <c r="AP357">
        <v>728707</v>
      </c>
      <c r="AQ357">
        <v>725264</v>
      </c>
      <c r="AR357">
        <v>721792</v>
      </c>
      <c r="AS357">
        <v>718332</v>
      </c>
      <c r="AT357">
        <v>714928</v>
      </c>
      <c r="AU357">
        <v>711627</v>
      </c>
      <c r="AV357">
        <v>708476</v>
      </c>
    </row>
    <row r="358" spans="1:48">
      <c r="A358" t="s">
        <v>893</v>
      </c>
      <c r="B358" t="s">
        <v>894</v>
      </c>
      <c r="C358" t="s">
        <v>14</v>
      </c>
      <c r="D358" s="37">
        <v>594983.815187591</v>
      </c>
      <c r="E358" s="37">
        <v>597861.851884979</v>
      </c>
      <c r="F358" s="37">
        <v>600478.365047296</v>
      </c>
      <c r="G358" s="37">
        <v>669410</v>
      </c>
      <c r="H358">
        <v>673355</v>
      </c>
      <c r="I358">
        <v>676950</v>
      </c>
      <c r="J358">
        <v>680190</v>
      </c>
      <c r="K358">
        <v>683070</v>
      </c>
      <c r="L358">
        <v>685586</v>
      </c>
      <c r="M358">
        <v>687737</v>
      </c>
      <c r="N358">
        <v>689521</v>
      </c>
      <c r="O358">
        <v>690937</v>
      </c>
      <c r="P358">
        <v>691985</v>
      </c>
      <c r="Q358">
        <v>692668</v>
      </c>
      <c r="R358">
        <v>692987</v>
      </c>
      <c r="S358">
        <v>692946</v>
      </c>
      <c r="T358">
        <v>692550</v>
      </c>
      <c r="U358">
        <v>691802</v>
      </c>
      <c r="V358">
        <v>690711</v>
      </c>
      <c r="W358">
        <v>689283</v>
      </c>
      <c r="X358">
        <v>687525</v>
      </c>
      <c r="Y358">
        <v>685449</v>
      </c>
      <c r="Z358">
        <v>683062</v>
      </c>
      <c r="AA358">
        <v>680377</v>
      </c>
      <c r="AB358">
        <v>677406</v>
      </c>
      <c r="AC358">
        <v>674162</v>
      </c>
      <c r="AD358">
        <v>670658</v>
      </c>
      <c r="AE358">
        <v>666909</v>
      </c>
      <c r="AF358">
        <v>662933</v>
      </c>
      <c r="AG358">
        <v>658744</v>
      </c>
      <c r="AH358">
        <v>654362</v>
      </c>
      <c r="AI358">
        <v>649805</v>
      </c>
      <c r="AJ358">
        <v>645093</v>
      </c>
      <c r="AK358">
        <v>640247</v>
      </c>
      <c r="AL358">
        <v>635288</v>
      </c>
      <c r="AM358">
        <v>630239</v>
      </c>
      <c r="AN358">
        <v>625124</v>
      </c>
      <c r="AO358">
        <v>619967</v>
      </c>
      <c r="AP358">
        <v>614794</v>
      </c>
      <c r="AQ358">
        <v>609632</v>
      </c>
      <c r="AR358">
        <v>604508</v>
      </c>
      <c r="AS358">
        <v>599451</v>
      </c>
      <c r="AT358">
        <v>594489</v>
      </c>
      <c r="AU358">
        <v>589654</v>
      </c>
      <c r="AV358">
        <v>584977</v>
      </c>
    </row>
    <row r="359" spans="1:48">
      <c r="A359" t="s">
        <v>895</v>
      </c>
      <c r="B359" t="s">
        <v>895</v>
      </c>
      <c r="C359" t="s">
        <v>14</v>
      </c>
      <c r="D359" s="37">
        <v>1477431.28789222</v>
      </c>
      <c r="E359" s="37">
        <v>1483518.88381625</v>
      </c>
      <c r="F359" s="37">
        <v>1488988.56633778</v>
      </c>
      <c r="G359" s="37">
        <v>1605620</v>
      </c>
      <c r="H359">
        <v>1613511</v>
      </c>
      <c r="I359">
        <v>1620649</v>
      </c>
      <c r="J359">
        <v>1627010</v>
      </c>
      <c r="K359">
        <v>1632572</v>
      </c>
      <c r="L359">
        <v>1637316</v>
      </c>
      <c r="M359">
        <v>1641228</v>
      </c>
      <c r="N359">
        <v>1644295</v>
      </c>
      <c r="O359">
        <v>1646508</v>
      </c>
      <c r="P359">
        <v>1647860</v>
      </c>
      <c r="Q359">
        <v>1648349</v>
      </c>
      <c r="R359">
        <v>1647974</v>
      </c>
      <c r="S359">
        <v>1646738</v>
      </c>
      <c r="T359">
        <v>1644648</v>
      </c>
      <c r="U359">
        <v>1641711</v>
      </c>
      <c r="V359">
        <v>1637941</v>
      </c>
      <c r="W359">
        <v>1633353</v>
      </c>
      <c r="X359">
        <v>1627964</v>
      </c>
      <c r="Y359">
        <v>1621797</v>
      </c>
      <c r="Z359">
        <v>1614875</v>
      </c>
      <c r="AA359">
        <v>1607226</v>
      </c>
      <c r="AB359">
        <v>1598880</v>
      </c>
      <c r="AC359">
        <v>1589870</v>
      </c>
      <c r="AD359">
        <v>1580234</v>
      </c>
      <c r="AE359">
        <v>1570011</v>
      </c>
      <c r="AF359">
        <v>1559244</v>
      </c>
      <c r="AG359">
        <v>1547978</v>
      </c>
      <c r="AH359">
        <v>1536262</v>
      </c>
      <c r="AI359">
        <v>1524148</v>
      </c>
      <c r="AJ359">
        <v>1511691</v>
      </c>
      <c r="AK359">
        <v>1498949</v>
      </c>
      <c r="AL359">
        <v>1485983</v>
      </c>
      <c r="AM359">
        <v>1472856</v>
      </c>
      <c r="AN359">
        <v>1459637</v>
      </c>
      <c r="AO359">
        <v>1446395</v>
      </c>
      <c r="AP359">
        <v>1433203</v>
      </c>
      <c r="AQ359">
        <v>1420138</v>
      </c>
      <c r="AR359">
        <v>1407278</v>
      </c>
      <c r="AS359">
        <v>1394708</v>
      </c>
      <c r="AT359">
        <v>1382511</v>
      </c>
      <c r="AU359">
        <v>1370777</v>
      </c>
      <c r="AV359">
        <v>1359596</v>
      </c>
    </row>
    <row r="360" spans="1:48">
      <c r="A360" t="s">
        <v>896</v>
      </c>
      <c r="B360" t="s">
        <v>896</v>
      </c>
      <c r="C360" t="s">
        <v>14</v>
      </c>
      <c r="D360" s="37">
        <v>462607.622207928</v>
      </c>
      <c r="E360" s="37">
        <v>465070.105883104</v>
      </c>
      <c r="F360" s="37">
        <v>467350.700010407</v>
      </c>
      <c r="G360" s="37">
        <v>485264</v>
      </c>
      <c r="H360">
        <v>488183</v>
      </c>
      <c r="I360">
        <v>491004</v>
      </c>
      <c r="J360">
        <v>493704</v>
      </c>
      <c r="K360">
        <v>496264</v>
      </c>
      <c r="L360">
        <v>498663</v>
      </c>
      <c r="M360">
        <v>500885</v>
      </c>
      <c r="N360">
        <v>502913</v>
      </c>
      <c r="O360">
        <v>504732</v>
      </c>
      <c r="P360">
        <v>506331</v>
      </c>
      <c r="Q360">
        <v>507696</v>
      </c>
      <c r="R360">
        <v>508820</v>
      </c>
      <c r="S360">
        <v>509693</v>
      </c>
      <c r="T360">
        <v>510309</v>
      </c>
      <c r="U360">
        <v>510662</v>
      </c>
      <c r="V360">
        <v>510751</v>
      </c>
      <c r="W360">
        <v>510572</v>
      </c>
      <c r="X360">
        <v>510125</v>
      </c>
      <c r="Y360">
        <v>509412</v>
      </c>
      <c r="Z360">
        <v>508436</v>
      </c>
      <c r="AA360">
        <v>507200</v>
      </c>
      <c r="AB360">
        <v>505712</v>
      </c>
      <c r="AC360">
        <v>503977</v>
      </c>
      <c r="AD360">
        <v>502007</v>
      </c>
      <c r="AE360">
        <v>499811</v>
      </c>
      <c r="AF360">
        <v>497402</v>
      </c>
      <c r="AG360">
        <v>494793</v>
      </c>
      <c r="AH360">
        <v>492000</v>
      </c>
      <c r="AI360">
        <v>489041</v>
      </c>
      <c r="AJ360">
        <v>485933</v>
      </c>
      <c r="AK360">
        <v>482697</v>
      </c>
      <c r="AL360">
        <v>479355</v>
      </c>
      <c r="AM360">
        <v>475930</v>
      </c>
      <c r="AN360">
        <v>472447</v>
      </c>
      <c r="AO360">
        <v>468932</v>
      </c>
      <c r="AP360">
        <v>465413</v>
      </c>
      <c r="AQ360">
        <v>461921</v>
      </c>
      <c r="AR360">
        <v>458486</v>
      </c>
      <c r="AS360">
        <v>455141</v>
      </c>
      <c r="AT360">
        <v>451921</v>
      </c>
      <c r="AU360">
        <v>448861</v>
      </c>
      <c r="AV360">
        <v>445999</v>
      </c>
    </row>
    <row r="361" spans="1:48">
      <c r="A361" t="s">
        <v>897</v>
      </c>
      <c r="B361" t="s">
        <v>897</v>
      </c>
      <c r="C361" t="s">
        <v>14</v>
      </c>
      <c r="D361" s="37">
        <v>1342750.41860955</v>
      </c>
      <c r="E361" s="37">
        <v>1351258.4649543</v>
      </c>
      <c r="F361" s="37">
        <v>1359184.25903052</v>
      </c>
      <c r="G361" s="37">
        <v>1602088</v>
      </c>
      <c r="H361">
        <v>1613925</v>
      </c>
      <c r="I361">
        <v>1625249</v>
      </c>
      <c r="J361">
        <v>1636015</v>
      </c>
      <c r="K361">
        <v>1646182</v>
      </c>
      <c r="L361">
        <v>1655712</v>
      </c>
      <c r="M361">
        <v>1664570</v>
      </c>
      <c r="N361">
        <v>1672725</v>
      </c>
      <c r="O361">
        <v>1680149</v>
      </c>
      <c r="P361">
        <v>1686819</v>
      </c>
      <c r="Q361">
        <v>1692713</v>
      </c>
      <c r="R361">
        <v>1697814</v>
      </c>
      <c r="S361">
        <v>1702108</v>
      </c>
      <c r="T361">
        <v>1705585</v>
      </c>
      <c r="U361">
        <v>1708238</v>
      </c>
      <c r="V361">
        <v>1710063</v>
      </c>
      <c r="W361">
        <v>1711060</v>
      </c>
      <c r="X361">
        <v>1711233</v>
      </c>
      <c r="Y361">
        <v>1710589</v>
      </c>
      <c r="Z361">
        <v>1709138</v>
      </c>
      <c r="AA361">
        <v>1706893</v>
      </c>
      <c r="AB361">
        <v>1703872</v>
      </c>
      <c r="AC361">
        <v>1700096</v>
      </c>
      <c r="AD361">
        <v>1695588</v>
      </c>
      <c r="AE361">
        <v>1690377</v>
      </c>
      <c r="AF361">
        <v>1684493</v>
      </c>
      <c r="AG361">
        <v>1677971</v>
      </c>
      <c r="AH361">
        <v>1670849</v>
      </c>
      <c r="AI361">
        <v>1663168</v>
      </c>
      <c r="AJ361">
        <v>1654974</v>
      </c>
      <c r="AK361">
        <v>1646314</v>
      </c>
      <c r="AL361">
        <v>1637240</v>
      </c>
      <c r="AM361">
        <v>1627808</v>
      </c>
      <c r="AN361">
        <v>1618076</v>
      </c>
      <c r="AO361">
        <v>1608107</v>
      </c>
      <c r="AP361">
        <v>1597965</v>
      </c>
      <c r="AQ361">
        <v>1587721</v>
      </c>
      <c r="AR361">
        <v>1577446</v>
      </c>
      <c r="AS361">
        <v>1567217</v>
      </c>
      <c r="AT361">
        <v>1557113</v>
      </c>
      <c r="AU361">
        <v>1547217</v>
      </c>
      <c r="AV361">
        <v>1537616</v>
      </c>
    </row>
    <row r="362" spans="1:48">
      <c r="A362" t="s">
        <v>898</v>
      </c>
      <c r="B362" t="s">
        <v>898</v>
      </c>
      <c r="C362" t="s">
        <v>14</v>
      </c>
      <c r="D362" s="37">
        <v>2505550.77419421</v>
      </c>
      <c r="E362" s="37">
        <v>2524775.30563135</v>
      </c>
      <c r="F362" s="37">
        <v>2543232.60993886</v>
      </c>
      <c r="G362" s="37">
        <v>2690874</v>
      </c>
      <c r="H362">
        <v>2714341</v>
      </c>
      <c r="I362">
        <v>2738164</v>
      </c>
      <c r="J362">
        <v>2762144</v>
      </c>
      <c r="K362">
        <v>2786091</v>
      </c>
      <c r="L362">
        <v>2809827</v>
      </c>
      <c r="M362">
        <v>2833187</v>
      </c>
      <c r="N362">
        <v>2856014</v>
      </c>
      <c r="O362">
        <v>2878167</v>
      </c>
      <c r="P362">
        <v>2899511</v>
      </c>
      <c r="Q362">
        <v>2919928</v>
      </c>
      <c r="R362">
        <v>2939308</v>
      </c>
      <c r="S362">
        <v>2957552</v>
      </c>
      <c r="T362">
        <v>2974575</v>
      </c>
      <c r="U362">
        <v>2990302</v>
      </c>
      <c r="V362">
        <v>3004668</v>
      </c>
      <c r="W362">
        <v>3017623</v>
      </c>
      <c r="X362">
        <v>3029124</v>
      </c>
      <c r="Y362">
        <v>3039144</v>
      </c>
      <c r="Z362">
        <v>3047664</v>
      </c>
      <c r="AA362">
        <v>3054677</v>
      </c>
      <c r="AB362">
        <v>3060190</v>
      </c>
      <c r="AC362">
        <v>3064217</v>
      </c>
      <c r="AD362">
        <v>3066787</v>
      </c>
      <c r="AE362">
        <v>3067939</v>
      </c>
      <c r="AF362">
        <v>3067724</v>
      </c>
      <c r="AG362">
        <v>3066204</v>
      </c>
      <c r="AH362">
        <v>3063453</v>
      </c>
      <c r="AI362">
        <v>3059554</v>
      </c>
      <c r="AJ362">
        <v>3054606</v>
      </c>
      <c r="AK362">
        <v>3048715</v>
      </c>
      <c r="AL362">
        <v>3042001</v>
      </c>
      <c r="AM362">
        <v>3034594</v>
      </c>
      <c r="AN362">
        <v>3026637</v>
      </c>
      <c r="AO362">
        <v>3018282</v>
      </c>
      <c r="AP362">
        <v>3009696</v>
      </c>
      <c r="AQ362">
        <v>3001053</v>
      </c>
      <c r="AR362">
        <v>2992542</v>
      </c>
      <c r="AS362">
        <v>2984362</v>
      </c>
      <c r="AT362">
        <v>2976724</v>
      </c>
      <c r="AU362">
        <v>2969849</v>
      </c>
      <c r="AV362">
        <v>2963971</v>
      </c>
    </row>
    <row r="363" spans="1:48">
      <c r="A363" t="s">
        <v>899</v>
      </c>
      <c r="B363" t="s">
        <v>899</v>
      </c>
      <c r="C363" t="s">
        <v>14</v>
      </c>
      <c r="D363" s="37">
        <v>558870.705687545</v>
      </c>
      <c r="E363" s="37">
        <v>563135.701767158</v>
      </c>
      <c r="F363" s="37">
        <v>567206.997499399</v>
      </c>
      <c r="G363" s="37">
        <v>618280</v>
      </c>
      <c r="H363">
        <v>622206</v>
      </c>
      <c r="I363">
        <v>626784</v>
      </c>
      <c r="J363">
        <v>631914</v>
      </c>
      <c r="K363">
        <v>637497</v>
      </c>
      <c r="L363">
        <v>643444</v>
      </c>
      <c r="M363">
        <v>649668</v>
      </c>
      <c r="N363">
        <v>656086</v>
      </c>
      <c r="O363">
        <v>662623</v>
      </c>
      <c r="P363">
        <v>669207</v>
      </c>
      <c r="Q363">
        <v>675771</v>
      </c>
      <c r="R363">
        <v>682255</v>
      </c>
      <c r="S363">
        <v>688601</v>
      </c>
      <c r="T363">
        <v>694758</v>
      </c>
      <c r="U363">
        <v>700680</v>
      </c>
      <c r="V363">
        <v>706324</v>
      </c>
      <c r="W363">
        <v>711655</v>
      </c>
      <c r="X363">
        <v>716641</v>
      </c>
      <c r="Y363">
        <v>721254</v>
      </c>
      <c r="Z363">
        <v>725475</v>
      </c>
      <c r="AA363">
        <v>729285</v>
      </c>
      <c r="AB363">
        <v>732674</v>
      </c>
      <c r="AC363">
        <v>735634</v>
      </c>
      <c r="AD363">
        <v>738165</v>
      </c>
      <c r="AE363">
        <v>740269</v>
      </c>
      <c r="AF363">
        <v>741956</v>
      </c>
      <c r="AG363">
        <v>743237</v>
      </c>
      <c r="AH363">
        <v>744132</v>
      </c>
      <c r="AI363">
        <v>744664</v>
      </c>
      <c r="AJ363">
        <v>744861</v>
      </c>
      <c r="AK363">
        <v>744757</v>
      </c>
      <c r="AL363">
        <v>744390</v>
      </c>
      <c r="AM363">
        <v>743803</v>
      </c>
      <c r="AN363">
        <v>743044</v>
      </c>
      <c r="AO363">
        <v>742167</v>
      </c>
      <c r="AP363">
        <v>741230</v>
      </c>
      <c r="AQ363">
        <v>740296</v>
      </c>
      <c r="AR363">
        <v>739434</v>
      </c>
      <c r="AS363">
        <v>738717</v>
      </c>
      <c r="AT363">
        <v>738222</v>
      </c>
      <c r="AU363">
        <v>738034</v>
      </c>
      <c r="AV363">
        <v>738240</v>
      </c>
    </row>
    <row r="364" spans="1:48">
      <c r="A364" t="s">
        <v>900</v>
      </c>
      <c r="B364" t="s">
        <v>900</v>
      </c>
      <c r="C364" t="s">
        <v>14</v>
      </c>
      <c r="D364" s="37">
        <v>4212171.38488686</v>
      </c>
      <c r="E364" s="37">
        <v>4247975.58204006</v>
      </c>
      <c r="F364" s="37">
        <v>4283128.14887633</v>
      </c>
      <c r="G364" s="37">
        <v>4452733</v>
      </c>
      <c r="H364">
        <v>4496260</v>
      </c>
      <c r="I364">
        <v>4541882</v>
      </c>
      <c r="J364">
        <v>4589095</v>
      </c>
      <c r="K364">
        <v>4637419</v>
      </c>
      <c r="L364">
        <v>4686406</v>
      </c>
      <c r="M364">
        <v>4735633</v>
      </c>
      <c r="N364">
        <v>4784705</v>
      </c>
      <c r="O364">
        <v>4833254</v>
      </c>
      <c r="P364">
        <v>4880940</v>
      </c>
      <c r="Q364">
        <v>4927452</v>
      </c>
      <c r="R364">
        <v>4972504</v>
      </c>
      <c r="S364">
        <v>5015838</v>
      </c>
      <c r="T364">
        <v>5057226</v>
      </c>
      <c r="U364">
        <v>5096464</v>
      </c>
      <c r="V364">
        <v>5133379</v>
      </c>
      <c r="W364">
        <v>5167822</v>
      </c>
      <c r="X364">
        <v>5199674</v>
      </c>
      <c r="Y364">
        <v>5228844</v>
      </c>
      <c r="Z364">
        <v>5255266</v>
      </c>
      <c r="AA364">
        <v>5278903</v>
      </c>
      <c r="AB364">
        <v>5299745</v>
      </c>
      <c r="AC364">
        <v>5317812</v>
      </c>
      <c r="AD364">
        <v>5333147</v>
      </c>
      <c r="AE364">
        <v>5345825</v>
      </c>
      <c r="AF364">
        <v>5355945</v>
      </c>
      <c r="AG364">
        <v>5363636</v>
      </c>
      <c r="AH364">
        <v>5369054</v>
      </c>
      <c r="AI364">
        <v>5372381</v>
      </c>
      <c r="AJ364">
        <v>5373828</v>
      </c>
      <c r="AK364">
        <v>5373633</v>
      </c>
      <c r="AL364">
        <v>5372063</v>
      </c>
      <c r="AM364">
        <v>5369410</v>
      </c>
      <c r="AN364">
        <v>5365996</v>
      </c>
      <c r="AO364">
        <v>5362168</v>
      </c>
      <c r="AP364">
        <v>5358302</v>
      </c>
      <c r="AQ364">
        <v>5354802</v>
      </c>
      <c r="AR364">
        <v>5352099</v>
      </c>
      <c r="AS364">
        <v>5350650</v>
      </c>
      <c r="AT364">
        <v>5350943</v>
      </c>
      <c r="AU364">
        <v>5353490</v>
      </c>
      <c r="AV364">
        <v>5358833</v>
      </c>
    </row>
    <row r="365" spans="1:48">
      <c r="A365" t="s">
        <v>901</v>
      </c>
      <c r="B365" t="s">
        <v>901</v>
      </c>
      <c r="C365" t="s">
        <v>14</v>
      </c>
      <c r="D365" s="37">
        <v>2142243.49411125</v>
      </c>
      <c r="E365" s="37">
        <v>2161460.20225962</v>
      </c>
      <c r="F365" s="37">
        <v>2180195.93699744</v>
      </c>
      <c r="G365" s="37">
        <v>2479254</v>
      </c>
      <c r="H365">
        <v>2504659</v>
      </c>
      <c r="I365">
        <v>2530886</v>
      </c>
      <c r="J365">
        <v>2557700</v>
      </c>
      <c r="K365">
        <v>2584876</v>
      </c>
      <c r="L365">
        <v>2612203</v>
      </c>
      <c r="M365">
        <v>2639483</v>
      </c>
      <c r="N365">
        <v>2666532</v>
      </c>
      <c r="O365">
        <v>2693175</v>
      </c>
      <c r="P365">
        <v>2719254</v>
      </c>
      <c r="Q365">
        <v>2744622</v>
      </c>
      <c r="R365">
        <v>2769145</v>
      </c>
      <c r="S365">
        <v>2792702</v>
      </c>
      <c r="T365">
        <v>2815185</v>
      </c>
      <c r="U365">
        <v>2836497</v>
      </c>
      <c r="V365">
        <v>2856557</v>
      </c>
      <c r="W365">
        <v>2875295</v>
      </c>
      <c r="X365">
        <v>2892653</v>
      </c>
      <c r="Y365">
        <v>2908589</v>
      </c>
      <c r="Z365">
        <v>2923069</v>
      </c>
      <c r="AA365">
        <v>2936077</v>
      </c>
      <c r="AB365">
        <v>2947607</v>
      </c>
      <c r="AC365">
        <v>2957666</v>
      </c>
      <c r="AD365">
        <v>2966273</v>
      </c>
      <c r="AE365">
        <v>2973463</v>
      </c>
      <c r="AF365">
        <v>2979281</v>
      </c>
      <c r="AG365">
        <v>2983785</v>
      </c>
      <c r="AH365">
        <v>2987047</v>
      </c>
      <c r="AI365">
        <v>2989152</v>
      </c>
      <c r="AJ365">
        <v>2990196</v>
      </c>
      <c r="AK365">
        <v>2990289</v>
      </c>
      <c r="AL365">
        <v>2989555</v>
      </c>
      <c r="AM365">
        <v>2988130</v>
      </c>
      <c r="AN365">
        <v>2986161</v>
      </c>
      <c r="AO365">
        <v>2983810</v>
      </c>
      <c r="AP365">
        <v>2981252</v>
      </c>
      <c r="AQ365">
        <v>2978673</v>
      </c>
      <c r="AR365">
        <v>2976273</v>
      </c>
      <c r="AS365">
        <v>2974266</v>
      </c>
      <c r="AT365">
        <v>2972876</v>
      </c>
      <c r="AU365">
        <v>2972342</v>
      </c>
      <c r="AV365">
        <v>2972916</v>
      </c>
    </row>
    <row r="366" spans="1:48">
      <c r="A366" t="s">
        <v>902</v>
      </c>
      <c r="B366" t="s">
        <v>902</v>
      </c>
      <c r="C366" t="s">
        <v>14</v>
      </c>
      <c r="D366" s="37">
        <v>2610175.71887611</v>
      </c>
      <c r="E366" s="37">
        <v>2627605.45123437</v>
      </c>
      <c r="F366" s="37">
        <v>2644133.00006035</v>
      </c>
      <c r="G366" s="37">
        <v>2827455</v>
      </c>
      <c r="H366">
        <v>2848309</v>
      </c>
      <c r="I366">
        <v>2869390</v>
      </c>
      <c r="J366">
        <v>2890497</v>
      </c>
      <c r="K366">
        <v>2911441</v>
      </c>
      <c r="L366">
        <v>2932046</v>
      </c>
      <c r="M366">
        <v>2952146</v>
      </c>
      <c r="N366">
        <v>2971589</v>
      </c>
      <c r="O366">
        <v>2990233</v>
      </c>
      <c r="P366">
        <v>3007949</v>
      </c>
      <c r="Q366">
        <v>3024619</v>
      </c>
      <c r="R366">
        <v>3040137</v>
      </c>
      <c r="S366">
        <v>3054409</v>
      </c>
      <c r="T366">
        <v>3067352</v>
      </c>
      <c r="U366">
        <v>3078898</v>
      </c>
      <c r="V366">
        <v>3088986</v>
      </c>
      <c r="W366">
        <v>3097570</v>
      </c>
      <c r="X366">
        <v>3104616</v>
      </c>
      <c r="Y366">
        <v>3110100</v>
      </c>
      <c r="Z366">
        <v>3114010</v>
      </c>
      <c r="AA366">
        <v>3116348</v>
      </c>
      <c r="AB366">
        <v>3117125</v>
      </c>
      <c r="AC366">
        <v>3116366</v>
      </c>
      <c r="AD366">
        <v>3114106</v>
      </c>
      <c r="AE366">
        <v>3110394</v>
      </c>
      <c r="AF366">
        <v>3105289</v>
      </c>
      <c r="AG366">
        <v>3098862</v>
      </c>
      <c r="AH366">
        <v>3091197</v>
      </c>
      <c r="AI366">
        <v>3082389</v>
      </c>
      <c r="AJ366">
        <v>3072544</v>
      </c>
      <c r="AK366">
        <v>3061782</v>
      </c>
      <c r="AL366">
        <v>3050232</v>
      </c>
      <c r="AM366">
        <v>3038037</v>
      </c>
      <c r="AN366">
        <v>3025352</v>
      </c>
      <c r="AO366">
        <v>3012342</v>
      </c>
      <c r="AP366">
        <v>2999184</v>
      </c>
      <c r="AQ366">
        <v>2986070</v>
      </c>
      <c r="AR366">
        <v>2973199</v>
      </c>
      <c r="AS366">
        <v>2960785</v>
      </c>
      <c r="AT366">
        <v>2949054</v>
      </c>
      <c r="AU366">
        <v>2938242</v>
      </c>
      <c r="AV366">
        <v>2928597</v>
      </c>
    </row>
    <row r="367" spans="1:48">
      <c r="A367" t="s">
        <v>903</v>
      </c>
      <c r="B367" t="s">
        <v>904</v>
      </c>
      <c r="C367" t="s">
        <v>14</v>
      </c>
      <c r="D367" s="37">
        <v>1260675.01621909</v>
      </c>
      <c r="E367" s="37">
        <v>1265978.67542734</v>
      </c>
      <c r="F367" s="37">
        <v>1270822.48166143</v>
      </c>
      <c r="G367" s="37">
        <v>1132923</v>
      </c>
      <c r="H367">
        <v>1138586</v>
      </c>
      <c r="I367">
        <v>1143912</v>
      </c>
      <c r="J367">
        <v>1148859</v>
      </c>
      <c r="K367">
        <v>1153389</v>
      </c>
      <c r="L367">
        <v>1157468</v>
      </c>
      <c r="M367">
        <v>1161062</v>
      </c>
      <c r="N367">
        <v>1164145</v>
      </c>
      <c r="O367">
        <v>1166690</v>
      </c>
      <c r="P367">
        <v>1168678</v>
      </c>
      <c r="Q367">
        <v>1170089</v>
      </c>
      <c r="R367">
        <v>1170908</v>
      </c>
      <c r="S367">
        <v>1171125</v>
      </c>
      <c r="T367">
        <v>1170730</v>
      </c>
      <c r="U367">
        <v>1169721</v>
      </c>
      <c r="V367">
        <v>1168094</v>
      </c>
      <c r="W367">
        <v>1165852</v>
      </c>
      <c r="X367">
        <v>1163001</v>
      </c>
      <c r="Y367">
        <v>1159549</v>
      </c>
      <c r="Z367">
        <v>1155509</v>
      </c>
      <c r="AA367">
        <v>1150895</v>
      </c>
      <c r="AB367">
        <v>1145727</v>
      </c>
      <c r="AC367">
        <v>1140027</v>
      </c>
      <c r="AD367">
        <v>1133820</v>
      </c>
      <c r="AE367">
        <v>1127135</v>
      </c>
      <c r="AF367">
        <v>1120005</v>
      </c>
      <c r="AG367">
        <v>1112466</v>
      </c>
      <c r="AH367">
        <v>1104556</v>
      </c>
      <c r="AI367">
        <v>1096317</v>
      </c>
      <c r="AJ367">
        <v>1087796</v>
      </c>
      <c r="AK367">
        <v>1079041</v>
      </c>
      <c r="AL367">
        <v>1070106</v>
      </c>
      <c r="AM367">
        <v>1061045</v>
      </c>
      <c r="AN367">
        <v>1051919</v>
      </c>
      <c r="AO367">
        <v>1042789</v>
      </c>
      <c r="AP367">
        <v>1033722</v>
      </c>
      <c r="AQ367">
        <v>1024786</v>
      </c>
      <c r="AR367">
        <v>1016055</v>
      </c>
      <c r="AS367">
        <v>1007605</v>
      </c>
      <c r="AT367">
        <v>999515</v>
      </c>
      <c r="AU367">
        <v>991868</v>
      </c>
      <c r="AV367">
        <v>984749</v>
      </c>
    </row>
    <row r="368" spans="1:48">
      <c r="A368" t="s">
        <v>905</v>
      </c>
      <c r="B368" t="s">
        <v>906</v>
      </c>
      <c r="C368" t="s">
        <v>14</v>
      </c>
      <c r="D368" s="37">
        <v>636403.328458981</v>
      </c>
      <c r="E368" s="37">
        <v>640560.78439659</v>
      </c>
      <c r="F368" s="37">
        <v>644415.439391716</v>
      </c>
      <c r="G368" s="37">
        <v>664171</v>
      </c>
      <c r="H368">
        <v>668567</v>
      </c>
      <c r="I368">
        <v>672974</v>
      </c>
      <c r="J368">
        <v>677354</v>
      </c>
      <c r="K368">
        <v>681670</v>
      </c>
      <c r="L368">
        <v>685889</v>
      </c>
      <c r="M368">
        <v>689979</v>
      </c>
      <c r="N368">
        <v>693912</v>
      </c>
      <c r="O368">
        <v>697659</v>
      </c>
      <c r="P368">
        <v>701196</v>
      </c>
      <c r="Q368">
        <v>704501</v>
      </c>
      <c r="R368">
        <v>707552</v>
      </c>
      <c r="S368">
        <v>710332</v>
      </c>
      <c r="T368">
        <v>712823</v>
      </c>
      <c r="U368">
        <v>715012</v>
      </c>
      <c r="V368">
        <v>716887</v>
      </c>
      <c r="W368">
        <v>718439</v>
      </c>
      <c r="X368">
        <v>719659</v>
      </c>
      <c r="Y368">
        <v>720542</v>
      </c>
      <c r="Z368">
        <v>721085</v>
      </c>
      <c r="AA368">
        <v>721287</v>
      </c>
      <c r="AB368">
        <v>721149</v>
      </c>
      <c r="AC368">
        <v>720675</v>
      </c>
      <c r="AD368">
        <v>719870</v>
      </c>
      <c r="AE368">
        <v>718741</v>
      </c>
      <c r="AF368">
        <v>717299</v>
      </c>
      <c r="AG368">
        <v>715555</v>
      </c>
      <c r="AH368">
        <v>713524</v>
      </c>
      <c r="AI368">
        <v>711221</v>
      </c>
      <c r="AJ368">
        <v>708667</v>
      </c>
      <c r="AK368">
        <v>705881</v>
      </c>
      <c r="AL368">
        <v>702885</v>
      </c>
      <c r="AM368">
        <v>699706</v>
      </c>
      <c r="AN368">
        <v>696371</v>
      </c>
      <c r="AO368">
        <v>692908</v>
      </c>
      <c r="AP368">
        <v>689350</v>
      </c>
      <c r="AQ368">
        <v>685731</v>
      </c>
      <c r="AR368">
        <v>682085</v>
      </c>
      <c r="AS368">
        <v>678452</v>
      </c>
      <c r="AT368">
        <v>674871</v>
      </c>
      <c r="AU368">
        <v>671385</v>
      </c>
      <c r="AV368">
        <v>668040</v>
      </c>
    </row>
    <row r="369" spans="1:48">
      <c r="A369" t="s">
        <v>907</v>
      </c>
      <c r="B369" t="s">
        <v>908</v>
      </c>
      <c r="C369" t="s">
        <v>14</v>
      </c>
      <c r="D369" s="37">
        <v>400999.194814885</v>
      </c>
      <c r="E369" s="37">
        <v>403618.817322983</v>
      </c>
      <c r="F369" s="37">
        <v>406047.644263718</v>
      </c>
      <c r="G369" s="37">
        <v>687179</v>
      </c>
      <c r="H369">
        <v>691006</v>
      </c>
      <c r="I369">
        <v>694248</v>
      </c>
      <c r="J369">
        <v>696921</v>
      </c>
      <c r="K369">
        <v>699044</v>
      </c>
      <c r="L369">
        <v>700633</v>
      </c>
      <c r="M369">
        <v>701706</v>
      </c>
      <c r="N369">
        <v>702282</v>
      </c>
      <c r="O369">
        <v>702378</v>
      </c>
      <c r="P369">
        <v>702012</v>
      </c>
      <c r="Q369">
        <v>701204</v>
      </c>
      <c r="R369">
        <v>699971</v>
      </c>
      <c r="S369">
        <v>698333</v>
      </c>
      <c r="T369">
        <v>696307</v>
      </c>
      <c r="U369">
        <v>693914</v>
      </c>
      <c r="V369">
        <v>691173</v>
      </c>
      <c r="W369">
        <v>688103</v>
      </c>
      <c r="X369">
        <v>684723</v>
      </c>
      <c r="Y369">
        <v>681053</v>
      </c>
      <c r="Z369">
        <v>677114</v>
      </c>
      <c r="AA369">
        <v>672926</v>
      </c>
      <c r="AB369">
        <v>668508</v>
      </c>
      <c r="AC369">
        <v>663881</v>
      </c>
      <c r="AD369">
        <v>659066</v>
      </c>
      <c r="AE369">
        <v>654084</v>
      </c>
      <c r="AF369">
        <v>648955</v>
      </c>
      <c r="AG369">
        <v>643701</v>
      </c>
      <c r="AH369">
        <v>638342</v>
      </c>
      <c r="AI369">
        <v>632902</v>
      </c>
      <c r="AJ369">
        <v>627400</v>
      </c>
      <c r="AK369">
        <v>621860</v>
      </c>
      <c r="AL369">
        <v>616302</v>
      </c>
      <c r="AM369">
        <v>610750</v>
      </c>
      <c r="AN369">
        <v>605225</v>
      </c>
      <c r="AO369">
        <v>599750</v>
      </c>
      <c r="AP369">
        <v>594347</v>
      </c>
      <c r="AQ369">
        <v>589041</v>
      </c>
      <c r="AR369">
        <v>583852</v>
      </c>
      <c r="AS369">
        <v>578805</v>
      </c>
      <c r="AT369">
        <v>573924</v>
      </c>
      <c r="AU369">
        <v>569231</v>
      </c>
      <c r="AV369">
        <v>564750</v>
      </c>
    </row>
    <row r="370" spans="1:48">
      <c r="A370" t="s">
        <v>909</v>
      </c>
      <c r="B370" t="s">
        <v>910</v>
      </c>
      <c r="C370" t="s">
        <v>14</v>
      </c>
      <c r="D370" s="37">
        <v>167299.779820791</v>
      </c>
      <c r="E370" s="37">
        <v>168392.70537896</v>
      </c>
      <c r="F370" s="37">
        <v>169406.029639113</v>
      </c>
      <c r="G370" s="37">
        <v>405412</v>
      </c>
      <c r="H370">
        <v>408970</v>
      </c>
      <c r="I370">
        <v>412242</v>
      </c>
      <c r="J370">
        <v>415226</v>
      </c>
      <c r="K370">
        <v>417918</v>
      </c>
      <c r="L370">
        <v>420319</v>
      </c>
      <c r="M370">
        <v>422427</v>
      </c>
      <c r="N370">
        <v>424242</v>
      </c>
      <c r="O370">
        <v>425766</v>
      </c>
      <c r="P370">
        <v>427001</v>
      </c>
      <c r="Q370">
        <v>427949</v>
      </c>
      <c r="R370">
        <v>428614</v>
      </c>
      <c r="S370">
        <v>429000</v>
      </c>
      <c r="T370">
        <v>429111</v>
      </c>
      <c r="U370">
        <v>428954</v>
      </c>
      <c r="V370">
        <v>428536</v>
      </c>
      <c r="W370">
        <v>427863</v>
      </c>
      <c r="X370">
        <v>426944</v>
      </c>
      <c r="Y370">
        <v>425788</v>
      </c>
      <c r="Z370">
        <v>424404</v>
      </c>
      <c r="AA370">
        <v>422803</v>
      </c>
      <c r="AB370">
        <v>420997</v>
      </c>
      <c r="AC370">
        <v>418998</v>
      </c>
      <c r="AD370">
        <v>416817</v>
      </c>
      <c r="AE370">
        <v>414470</v>
      </c>
      <c r="AF370">
        <v>411970</v>
      </c>
      <c r="AG370">
        <v>409334</v>
      </c>
      <c r="AH370">
        <v>406576</v>
      </c>
      <c r="AI370">
        <v>403714</v>
      </c>
      <c r="AJ370">
        <v>400765</v>
      </c>
      <c r="AK370">
        <v>397749</v>
      </c>
      <c r="AL370">
        <v>394683</v>
      </c>
      <c r="AM370">
        <v>391589</v>
      </c>
      <c r="AN370">
        <v>388486</v>
      </c>
      <c r="AO370">
        <v>385397</v>
      </c>
      <c r="AP370">
        <v>382343</v>
      </c>
      <c r="AQ370">
        <v>379349</v>
      </c>
      <c r="AR370">
        <v>376438</v>
      </c>
      <c r="AS370">
        <v>373634</v>
      </c>
      <c r="AT370">
        <v>370964</v>
      </c>
      <c r="AU370">
        <v>368453</v>
      </c>
      <c r="AV370">
        <v>366129</v>
      </c>
    </row>
    <row r="371" spans="1:48">
      <c r="A371" t="s">
        <v>911</v>
      </c>
      <c r="B371" t="s">
        <v>912</v>
      </c>
      <c r="C371" t="s">
        <v>14</v>
      </c>
      <c r="D371" s="37">
        <v>150429.816588529</v>
      </c>
      <c r="E371" s="37">
        <v>151412.535103977</v>
      </c>
      <c r="F371" s="37">
        <v>152323.679056245</v>
      </c>
      <c r="G371" s="37">
        <v>267871</v>
      </c>
      <c r="H371">
        <v>270128</v>
      </c>
      <c r="I371">
        <v>272540</v>
      </c>
      <c r="J371">
        <v>275071</v>
      </c>
      <c r="K371">
        <v>277686</v>
      </c>
      <c r="L371">
        <v>280352</v>
      </c>
      <c r="M371">
        <v>283039</v>
      </c>
      <c r="N371">
        <v>285718</v>
      </c>
      <c r="O371">
        <v>288363</v>
      </c>
      <c r="P371">
        <v>290949</v>
      </c>
      <c r="Q371">
        <v>293453</v>
      </c>
      <c r="R371">
        <v>295856</v>
      </c>
      <c r="S371">
        <v>298138</v>
      </c>
      <c r="T371">
        <v>300284</v>
      </c>
      <c r="U371">
        <v>302278</v>
      </c>
      <c r="V371">
        <v>304109</v>
      </c>
      <c r="W371">
        <v>305766</v>
      </c>
      <c r="X371">
        <v>307240</v>
      </c>
      <c r="Y371">
        <v>308527</v>
      </c>
      <c r="Z371">
        <v>309620</v>
      </c>
      <c r="AA371">
        <v>310518</v>
      </c>
      <c r="AB371">
        <v>311221</v>
      </c>
      <c r="AC371">
        <v>311731</v>
      </c>
      <c r="AD371">
        <v>312051</v>
      </c>
      <c r="AE371">
        <v>312187</v>
      </c>
      <c r="AF371">
        <v>312148</v>
      </c>
      <c r="AG371">
        <v>311942</v>
      </c>
      <c r="AH371">
        <v>311583</v>
      </c>
      <c r="AI371">
        <v>311084</v>
      </c>
      <c r="AJ371">
        <v>310460</v>
      </c>
      <c r="AK371">
        <v>309731</v>
      </c>
      <c r="AL371">
        <v>308916</v>
      </c>
      <c r="AM371">
        <v>308037</v>
      </c>
      <c r="AN371">
        <v>307119</v>
      </c>
      <c r="AO371">
        <v>306186</v>
      </c>
      <c r="AP371">
        <v>305269</v>
      </c>
      <c r="AQ371">
        <v>304396</v>
      </c>
      <c r="AR371">
        <v>303601</v>
      </c>
      <c r="AS371">
        <v>302916</v>
      </c>
      <c r="AT371">
        <v>302379</v>
      </c>
      <c r="AU371">
        <v>302029</v>
      </c>
      <c r="AV371">
        <v>301904</v>
      </c>
    </row>
    <row r="372" spans="1:48">
      <c r="A372" t="s">
        <v>913</v>
      </c>
      <c r="B372" t="s">
        <v>914</v>
      </c>
      <c r="C372" t="s">
        <v>14</v>
      </c>
      <c r="D372" s="37">
        <v>94941.0136883163</v>
      </c>
      <c r="E372" s="37">
        <v>95561.2384159853</v>
      </c>
      <c r="F372" s="37">
        <v>96136.290173716</v>
      </c>
      <c r="G372" s="37">
        <v>369396</v>
      </c>
      <c r="H372">
        <v>371213</v>
      </c>
      <c r="I372">
        <v>372845</v>
      </c>
      <c r="J372">
        <v>374285</v>
      </c>
      <c r="K372">
        <v>375523</v>
      </c>
      <c r="L372">
        <v>376553</v>
      </c>
      <c r="M372">
        <v>377369</v>
      </c>
      <c r="N372">
        <v>377967</v>
      </c>
      <c r="O372">
        <v>378341</v>
      </c>
      <c r="P372">
        <v>378491</v>
      </c>
      <c r="Q372">
        <v>378413</v>
      </c>
      <c r="R372">
        <v>378108</v>
      </c>
      <c r="S372">
        <v>377576</v>
      </c>
      <c r="T372">
        <v>376818</v>
      </c>
      <c r="U372">
        <v>375837</v>
      </c>
      <c r="V372">
        <v>374637</v>
      </c>
      <c r="W372">
        <v>373223</v>
      </c>
      <c r="X372">
        <v>371600</v>
      </c>
      <c r="Y372">
        <v>369775</v>
      </c>
      <c r="Z372">
        <v>367756</v>
      </c>
      <c r="AA372">
        <v>365553</v>
      </c>
      <c r="AB372">
        <v>363174</v>
      </c>
      <c r="AC372">
        <v>360632</v>
      </c>
      <c r="AD372">
        <v>357939</v>
      </c>
      <c r="AE372">
        <v>355107</v>
      </c>
      <c r="AF372">
        <v>352151</v>
      </c>
      <c r="AG372">
        <v>349087</v>
      </c>
      <c r="AH372">
        <v>345931</v>
      </c>
      <c r="AI372">
        <v>342700</v>
      </c>
      <c r="AJ372">
        <v>339414</v>
      </c>
      <c r="AK372">
        <v>336091</v>
      </c>
      <c r="AL372">
        <v>332753</v>
      </c>
      <c r="AM372">
        <v>329420</v>
      </c>
      <c r="AN372">
        <v>326117</v>
      </c>
      <c r="AO372">
        <v>322867</v>
      </c>
      <c r="AP372">
        <v>319695</v>
      </c>
      <c r="AQ372">
        <v>316626</v>
      </c>
      <c r="AR372">
        <v>313689</v>
      </c>
      <c r="AS372">
        <v>310911</v>
      </c>
      <c r="AT372">
        <v>308322</v>
      </c>
      <c r="AU372">
        <v>305951</v>
      </c>
      <c r="AV372">
        <v>303830</v>
      </c>
    </row>
    <row r="373" spans="1:48">
      <c r="A373" t="s">
        <v>915</v>
      </c>
      <c r="B373" t="s">
        <v>916</v>
      </c>
      <c r="C373" t="s">
        <v>14</v>
      </c>
      <c r="D373" s="37">
        <v>80488.8816046504</v>
      </c>
      <c r="E373" s="37">
        <v>81014.6943459964</v>
      </c>
      <c r="F373" s="37">
        <v>81502.2104472725</v>
      </c>
      <c r="G373" s="37">
        <v>110754</v>
      </c>
      <c r="H373">
        <v>111128</v>
      </c>
      <c r="I373">
        <v>111460</v>
      </c>
      <c r="J373">
        <v>111748</v>
      </c>
      <c r="K373">
        <v>111988</v>
      </c>
      <c r="L373">
        <v>112176</v>
      </c>
      <c r="M373">
        <v>112311</v>
      </c>
      <c r="N373">
        <v>112389</v>
      </c>
      <c r="O373">
        <v>112410</v>
      </c>
      <c r="P373">
        <v>112371</v>
      </c>
      <c r="Q373">
        <v>112271</v>
      </c>
      <c r="R373">
        <v>112110</v>
      </c>
      <c r="S373">
        <v>111886</v>
      </c>
      <c r="T373">
        <v>111600</v>
      </c>
      <c r="U373">
        <v>111252</v>
      </c>
      <c r="V373">
        <v>110842</v>
      </c>
      <c r="W373">
        <v>110371</v>
      </c>
      <c r="X373">
        <v>109840</v>
      </c>
      <c r="Y373">
        <v>109252</v>
      </c>
      <c r="Z373">
        <v>108607</v>
      </c>
      <c r="AA373">
        <v>107908</v>
      </c>
      <c r="AB373">
        <v>107158</v>
      </c>
      <c r="AC373">
        <v>106359</v>
      </c>
      <c r="AD373">
        <v>105516</v>
      </c>
      <c r="AE373">
        <v>104630</v>
      </c>
      <c r="AF373">
        <v>103708</v>
      </c>
      <c r="AG373">
        <v>102752</v>
      </c>
      <c r="AH373">
        <v>101768</v>
      </c>
      <c r="AI373">
        <v>100761</v>
      </c>
      <c r="AJ373">
        <v>99735</v>
      </c>
      <c r="AK373">
        <v>98697</v>
      </c>
      <c r="AL373">
        <v>97654</v>
      </c>
      <c r="AM373">
        <v>96610</v>
      </c>
      <c r="AN373">
        <v>95574</v>
      </c>
      <c r="AO373">
        <v>94552</v>
      </c>
      <c r="AP373">
        <v>93551</v>
      </c>
      <c r="AQ373">
        <v>92580</v>
      </c>
      <c r="AR373">
        <v>91647</v>
      </c>
      <c r="AS373">
        <v>90760</v>
      </c>
      <c r="AT373">
        <v>89928</v>
      </c>
      <c r="AU373">
        <v>89161</v>
      </c>
      <c r="AV373">
        <v>88467</v>
      </c>
    </row>
    <row r="374" spans="1:48">
      <c r="A374" t="s">
        <v>917</v>
      </c>
      <c r="B374" t="s">
        <v>918</v>
      </c>
      <c r="C374" t="s">
        <v>14</v>
      </c>
      <c r="D374" s="37">
        <v>52745.0076046202</v>
      </c>
      <c r="E374" s="37">
        <v>53089.5768977696</v>
      </c>
      <c r="F374" s="37">
        <v>53409.0500965089</v>
      </c>
      <c r="G374" s="37">
        <v>230981</v>
      </c>
      <c r="H374">
        <v>231547</v>
      </c>
      <c r="I374">
        <v>231959</v>
      </c>
      <c r="J374">
        <v>232219</v>
      </c>
      <c r="K374">
        <v>232327</v>
      </c>
      <c r="L374">
        <v>232283</v>
      </c>
      <c r="M374">
        <v>232089</v>
      </c>
      <c r="N374">
        <v>231747</v>
      </c>
      <c r="O374">
        <v>231259</v>
      </c>
      <c r="P374">
        <v>230626</v>
      </c>
      <c r="Q374">
        <v>229853</v>
      </c>
      <c r="R374">
        <v>228941</v>
      </c>
      <c r="S374">
        <v>227895</v>
      </c>
      <c r="T374">
        <v>226718</v>
      </c>
      <c r="U374">
        <v>225415</v>
      </c>
      <c r="V374">
        <v>223990</v>
      </c>
      <c r="W374">
        <v>222449</v>
      </c>
      <c r="X374">
        <v>220797</v>
      </c>
      <c r="Y374">
        <v>219040</v>
      </c>
      <c r="Z374">
        <v>217184</v>
      </c>
      <c r="AA374">
        <v>215236</v>
      </c>
      <c r="AB374">
        <v>213203</v>
      </c>
      <c r="AC374">
        <v>211091</v>
      </c>
      <c r="AD374">
        <v>208910</v>
      </c>
      <c r="AE374">
        <v>206667</v>
      </c>
      <c r="AF374">
        <v>204370</v>
      </c>
      <c r="AG374">
        <v>202028</v>
      </c>
      <c r="AH374">
        <v>199652</v>
      </c>
      <c r="AI374">
        <v>197250</v>
      </c>
      <c r="AJ374">
        <v>194832</v>
      </c>
      <c r="AK374">
        <v>192410</v>
      </c>
      <c r="AL374">
        <v>189993</v>
      </c>
      <c r="AM374">
        <v>187594</v>
      </c>
      <c r="AN374">
        <v>185223</v>
      </c>
      <c r="AO374">
        <v>182893</v>
      </c>
      <c r="AP374">
        <v>180616</v>
      </c>
      <c r="AQ374">
        <v>178404</v>
      </c>
      <c r="AR374">
        <v>176272</v>
      </c>
      <c r="AS374">
        <v>174232</v>
      </c>
      <c r="AT374">
        <v>172298</v>
      </c>
      <c r="AU374">
        <v>170485</v>
      </c>
      <c r="AV374">
        <v>168807</v>
      </c>
    </row>
    <row r="375" spans="1:48">
      <c r="A375" t="s">
        <v>919</v>
      </c>
      <c r="B375" t="s">
        <v>920</v>
      </c>
      <c r="C375" t="s">
        <v>14</v>
      </c>
      <c r="D375" s="37">
        <v>56753.6281825713</v>
      </c>
      <c r="E375" s="37">
        <v>57124.3847420001</v>
      </c>
      <c r="F375" s="37">
        <v>57468.1379038436</v>
      </c>
      <c r="G375" s="37">
        <v>132388</v>
      </c>
      <c r="H375">
        <v>133171</v>
      </c>
      <c r="I375">
        <v>133896</v>
      </c>
      <c r="J375">
        <v>134560</v>
      </c>
      <c r="K375">
        <v>135156</v>
      </c>
      <c r="L375">
        <v>135680</v>
      </c>
      <c r="M375">
        <v>136128</v>
      </c>
      <c r="N375">
        <v>136496</v>
      </c>
      <c r="O375">
        <v>136782</v>
      </c>
      <c r="P375">
        <v>136984</v>
      </c>
      <c r="Q375">
        <v>137098</v>
      </c>
      <c r="R375">
        <v>137124</v>
      </c>
      <c r="S375">
        <v>137062</v>
      </c>
      <c r="T375">
        <v>136909</v>
      </c>
      <c r="U375">
        <v>136667</v>
      </c>
      <c r="V375">
        <v>136337</v>
      </c>
      <c r="W375">
        <v>135919</v>
      </c>
      <c r="X375">
        <v>135415</v>
      </c>
      <c r="Y375">
        <v>134827</v>
      </c>
      <c r="Z375">
        <v>134158</v>
      </c>
      <c r="AA375">
        <v>133411</v>
      </c>
      <c r="AB375">
        <v>132590</v>
      </c>
      <c r="AC375">
        <v>131699</v>
      </c>
      <c r="AD375">
        <v>130743</v>
      </c>
      <c r="AE375">
        <v>129727</v>
      </c>
      <c r="AF375">
        <v>128657</v>
      </c>
      <c r="AG375">
        <v>127539</v>
      </c>
      <c r="AH375">
        <v>126380</v>
      </c>
      <c r="AI375">
        <v>125188</v>
      </c>
      <c r="AJ375">
        <v>123969</v>
      </c>
      <c r="AK375">
        <v>122734</v>
      </c>
      <c r="AL375">
        <v>121489</v>
      </c>
      <c r="AM375">
        <v>120246</v>
      </c>
      <c r="AN375">
        <v>119013</v>
      </c>
      <c r="AO375">
        <v>117801</v>
      </c>
      <c r="AP375">
        <v>116622</v>
      </c>
      <c r="AQ375">
        <v>115486</v>
      </c>
      <c r="AR375">
        <v>114405</v>
      </c>
      <c r="AS375">
        <v>113392</v>
      </c>
      <c r="AT375">
        <v>112461</v>
      </c>
      <c r="AU375">
        <v>111624</v>
      </c>
      <c r="AV375">
        <v>110895</v>
      </c>
    </row>
    <row r="376" spans="1:48">
      <c r="A376" t="s">
        <v>921</v>
      </c>
      <c r="B376" t="s">
        <v>922</v>
      </c>
      <c r="C376" t="s">
        <v>14</v>
      </c>
      <c r="D376" s="37">
        <v>79117.5114069303</v>
      </c>
      <c r="E376" s="37">
        <v>79634.3653466544</v>
      </c>
      <c r="F376" s="37">
        <v>80113.5751447633</v>
      </c>
      <c r="G376" s="37">
        <v>255927</v>
      </c>
      <c r="H376">
        <v>256541</v>
      </c>
      <c r="I376">
        <v>257115</v>
      </c>
      <c r="J376">
        <v>257634</v>
      </c>
      <c r="K376">
        <v>258086</v>
      </c>
      <c r="L376">
        <v>258458</v>
      </c>
      <c r="M376">
        <v>258740</v>
      </c>
      <c r="N376">
        <v>258922</v>
      </c>
      <c r="O376">
        <v>258996</v>
      </c>
      <c r="P376">
        <v>258953</v>
      </c>
      <c r="Q376">
        <v>258787</v>
      </c>
      <c r="R376">
        <v>258493</v>
      </c>
      <c r="S376">
        <v>258067</v>
      </c>
      <c r="T376">
        <v>257503</v>
      </c>
      <c r="U376">
        <v>256801</v>
      </c>
      <c r="V376">
        <v>255959</v>
      </c>
      <c r="W376">
        <v>254976</v>
      </c>
      <c r="X376">
        <v>253854</v>
      </c>
      <c r="Y376">
        <v>252593</v>
      </c>
      <c r="Z376">
        <v>251198</v>
      </c>
      <c r="AA376">
        <v>249671</v>
      </c>
      <c r="AB376">
        <v>248018</v>
      </c>
      <c r="AC376">
        <v>246244</v>
      </c>
      <c r="AD376">
        <v>244357</v>
      </c>
      <c r="AE376">
        <v>242365</v>
      </c>
      <c r="AF376">
        <v>240277</v>
      </c>
      <c r="AG376">
        <v>238103</v>
      </c>
      <c r="AH376">
        <v>235854</v>
      </c>
      <c r="AI376">
        <v>233542</v>
      </c>
      <c r="AJ376">
        <v>231181</v>
      </c>
      <c r="AK376">
        <v>228786</v>
      </c>
      <c r="AL376">
        <v>226371</v>
      </c>
      <c r="AM376">
        <v>223953</v>
      </c>
      <c r="AN376">
        <v>221549</v>
      </c>
      <c r="AO376">
        <v>219179</v>
      </c>
      <c r="AP376">
        <v>216861</v>
      </c>
      <c r="AQ376">
        <v>214617</v>
      </c>
      <c r="AR376">
        <v>212468</v>
      </c>
      <c r="AS376">
        <v>210436</v>
      </c>
      <c r="AT376">
        <v>208546</v>
      </c>
      <c r="AU376">
        <v>206822</v>
      </c>
      <c r="AV376">
        <v>205291</v>
      </c>
    </row>
    <row r="377" spans="1:48">
      <c r="A377" t="s">
        <v>923</v>
      </c>
      <c r="B377" t="s">
        <v>924</v>
      </c>
      <c r="C377" t="s">
        <v>14</v>
      </c>
      <c r="D377" s="37">
        <v>50107.7572243892</v>
      </c>
      <c r="E377" s="37">
        <v>50435.0980528811</v>
      </c>
      <c r="F377" s="37">
        <v>50738.5975916834</v>
      </c>
      <c r="G377" s="37">
        <v>72333</v>
      </c>
      <c r="H377">
        <v>73023</v>
      </c>
      <c r="I377">
        <v>73769</v>
      </c>
      <c r="J377">
        <v>74561</v>
      </c>
      <c r="K377">
        <v>75388</v>
      </c>
      <c r="L377">
        <v>76240</v>
      </c>
      <c r="M377">
        <v>77107</v>
      </c>
      <c r="N377">
        <v>77982</v>
      </c>
      <c r="O377">
        <v>78855</v>
      </c>
      <c r="P377">
        <v>79720</v>
      </c>
      <c r="Q377">
        <v>80569</v>
      </c>
      <c r="R377">
        <v>81395</v>
      </c>
      <c r="S377">
        <v>82194</v>
      </c>
      <c r="T377">
        <v>82960</v>
      </c>
      <c r="U377">
        <v>83688</v>
      </c>
      <c r="V377">
        <v>84373</v>
      </c>
      <c r="W377">
        <v>85013</v>
      </c>
      <c r="X377">
        <v>85604</v>
      </c>
      <c r="Y377">
        <v>86145</v>
      </c>
      <c r="Z377">
        <v>86632</v>
      </c>
      <c r="AA377">
        <v>87066</v>
      </c>
      <c r="AB377">
        <v>87445</v>
      </c>
      <c r="AC377">
        <v>87769</v>
      </c>
      <c r="AD377">
        <v>88038</v>
      </c>
      <c r="AE377">
        <v>88255</v>
      </c>
      <c r="AF377">
        <v>88419</v>
      </c>
      <c r="AG377">
        <v>88535</v>
      </c>
      <c r="AH377">
        <v>88604</v>
      </c>
      <c r="AI377">
        <v>88629</v>
      </c>
      <c r="AJ377">
        <v>88616</v>
      </c>
      <c r="AK377">
        <v>88567</v>
      </c>
      <c r="AL377">
        <v>88489</v>
      </c>
      <c r="AM377">
        <v>88387</v>
      </c>
      <c r="AN377">
        <v>88268</v>
      </c>
      <c r="AO377">
        <v>88137</v>
      </c>
      <c r="AP377">
        <v>88003</v>
      </c>
      <c r="AQ377">
        <v>87874</v>
      </c>
      <c r="AR377">
        <v>87757</v>
      </c>
      <c r="AS377">
        <v>87663</v>
      </c>
      <c r="AT377">
        <v>87600</v>
      </c>
      <c r="AU377">
        <v>87580</v>
      </c>
      <c r="AV377">
        <v>87613</v>
      </c>
    </row>
    <row r="378" spans="1:48">
      <c r="A378" t="s">
        <v>925</v>
      </c>
      <c r="B378" t="s">
        <v>926</v>
      </c>
      <c r="C378" t="s">
        <v>14</v>
      </c>
      <c r="D378" s="37">
        <v>84392.0121673923</v>
      </c>
      <c r="E378" s="37">
        <v>84943.3230364314</v>
      </c>
      <c r="F378" s="37">
        <v>85454.4801544142</v>
      </c>
      <c r="G378" s="37">
        <v>247189</v>
      </c>
      <c r="H378">
        <v>248110</v>
      </c>
      <c r="I378">
        <v>248922</v>
      </c>
      <c r="J378">
        <v>249616</v>
      </c>
      <c r="K378">
        <v>250186</v>
      </c>
      <c r="L378">
        <v>250624</v>
      </c>
      <c r="M378">
        <v>250926</v>
      </c>
      <c r="N378">
        <v>251084</v>
      </c>
      <c r="O378">
        <v>251097</v>
      </c>
      <c r="P378">
        <v>250960</v>
      </c>
      <c r="Q378">
        <v>250671</v>
      </c>
      <c r="R378">
        <v>250228</v>
      </c>
      <c r="S378">
        <v>249630</v>
      </c>
      <c r="T378">
        <v>248878</v>
      </c>
      <c r="U378">
        <v>247972</v>
      </c>
      <c r="V378">
        <v>246914</v>
      </c>
      <c r="W378">
        <v>245707</v>
      </c>
      <c r="X378">
        <v>244354</v>
      </c>
      <c r="Y378">
        <v>242859</v>
      </c>
      <c r="Z378">
        <v>241228</v>
      </c>
      <c r="AA378">
        <v>239465</v>
      </c>
      <c r="AB378">
        <v>237579</v>
      </c>
      <c r="AC378">
        <v>235577</v>
      </c>
      <c r="AD378">
        <v>233467</v>
      </c>
      <c r="AE378">
        <v>231258</v>
      </c>
      <c r="AF378">
        <v>228960</v>
      </c>
      <c r="AG378">
        <v>226586</v>
      </c>
      <c r="AH378">
        <v>224145</v>
      </c>
      <c r="AI378">
        <v>221651</v>
      </c>
      <c r="AJ378">
        <v>219118</v>
      </c>
      <c r="AK378">
        <v>216559</v>
      </c>
      <c r="AL378">
        <v>213991</v>
      </c>
      <c r="AM378">
        <v>211428</v>
      </c>
      <c r="AN378">
        <v>208888</v>
      </c>
      <c r="AO378">
        <v>206389</v>
      </c>
      <c r="AP378">
        <v>203948</v>
      </c>
      <c r="AQ378">
        <v>201586</v>
      </c>
      <c r="AR378">
        <v>199322</v>
      </c>
      <c r="AS378">
        <v>197178</v>
      </c>
      <c r="AT378">
        <v>195175</v>
      </c>
      <c r="AU378">
        <v>193336</v>
      </c>
      <c r="AV378">
        <v>191685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86"/>
  <sheetViews>
    <sheetView workbookViewId="0">
      <selection activeCell="A1" sqref="A1"/>
    </sheetView>
  </sheetViews>
  <sheetFormatPr defaultColWidth="9" defaultRowHeight="13.5"/>
  <cols>
    <col min="1" max="1" width="36.6333333333333" style="3" customWidth="1"/>
    <col min="2" max="15" width="13.8833333333333" style="3" customWidth="1"/>
    <col min="16" max="46" width="14.3833333333333" customWidth="1"/>
  </cols>
  <sheetData>
    <row r="2" ht="15" spans="1:44">
      <c r="A2" s="39" t="s">
        <v>927</v>
      </c>
      <c r="B2" s="40"/>
    </row>
    <row r="3" s="5" customFormat="1" spans="1:44">
      <c r="A3" s="41"/>
      <c r="B3" s="41">
        <v>2018</v>
      </c>
      <c r="C3" s="41">
        <v>2019</v>
      </c>
      <c r="D3" s="41">
        <v>2020</v>
      </c>
      <c r="E3" s="41">
        <v>2021</v>
      </c>
      <c r="F3" s="41">
        <v>2022</v>
      </c>
      <c r="G3" s="41">
        <v>2023</v>
      </c>
      <c r="H3" s="41">
        <v>2024</v>
      </c>
      <c r="I3" s="41">
        <v>2025</v>
      </c>
      <c r="J3" s="41">
        <v>2026</v>
      </c>
      <c r="K3" s="41">
        <v>2027</v>
      </c>
      <c r="L3" s="41">
        <v>2028</v>
      </c>
      <c r="M3" s="41">
        <v>2029</v>
      </c>
      <c r="N3" s="41">
        <v>2030</v>
      </c>
      <c r="O3" s="41">
        <v>2031</v>
      </c>
      <c r="P3" s="41">
        <v>2032</v>
      </c>
      <c r="Q3" s="41">
        <v>2033</v>
      </c>
      <c r="R3" s="41">
        <v>2034</v>
      </c>
      <c r="S3" s="41">
        <v>2035</v>
      </c>
      <c r="T3" s="41">
        <v>2036</v>
      </c>
      <c r="U3" s="41">
        <v>2037</v>
      </c>
      <c r="V3" s="41">
        <v>2038</v>
      </c>
      <c r="W3" s="41">
        <v>2039</v>
      </c>
      <c r="X3" s="41">
        <v>2040</v>
      </c>
      <c r="Y3" s="41">
        <v>2041</v>
      </c>
      <c r="Z3" s="41">
        <v>2042</v>
      </c>
      <c r="AA3" s="41">
        <v>2043</v>
      </c>
      <c r="AB3" s="41">
        <v>2044</v>
      </c>
      <c r="AC3" s="41">
        <v>2045</v>
      </c>
      <c r="AD3" s="41">
        <v>2046</v>
      </c>
      <c r="AE3" s="41">
        <v>2047</v>
      </c>
      <c r="AF3" s="41">
        <v>2048</v>
      </c>
      <c r="AG3" s="41">
        <v>2049</v>
      </c>
      <c r="AH3" s="41">
        <v>2050</v>
      </c>
      <c r="AI3" s="41">
        <v>2051</v>
      </c>
      <c r="AJ3" s="41">
        <v>2052</v>
      </c>
      <c r="AK3" s="41">
        <v>2053</v>
      </c>
      <c r="AL3" s="41">
        <v>2054</v>
      </c>
      <c r="AM3" s="41">
        <v>2055</v>
      </c>
      <c r="AN3" s="41">
        <v>2056</v>
      </c>
      <c r="AO3" s="41">
        <v>2057</v>
      </c>
      <c r="AP3" s="41">
        <v>2058</v>
      </c>
      <c r="AQ3" s="41">
        <v>2059</v>
      </c>
      <c r="AR3" s="41">
        <v>2060</v>
      </c>
    </row>
    <row r="4" s="6" customFormat="1" spans="1:44">
      <c r="A4" s="42" t="s">
        <v>928</v>
      </c>
      <c r="B4" s="43">
        <f>D44*人口变化预测!D4/10000</f>
        <v>2968187.27448997</v>
      </c>
      <c r="C4" s="43">
        <f>E44*人口变化预测!E4/10000</f>
        <v>3046751.30959087</v>
      </c>
      <c r="D4" s="43">
        <f>F44*人口变化预测!F4/10000</f>
        <v>3149052.1379644</v>
      </c>
      <c r="E4" s="43">
        <f>G44*人口变化预测!G4/10000</f>
        <v>3203579.06722599</v>
      </c>
      <c r="F4" s="43">
        <f>H44*人口变化预测!H4/10000</f>
        <v>3256894.88945395</v>
      </c>
      <c r="G4" s="43">
        <f>I44*人口变化预测!I4/10000</f>
        <v>3308972.63581177</v>
      </c>
      <c r="H4" s="43">
        <f>J44*人口变化预测!J4/10000</f>
        <v>3359787.88918251</v>
      </c>
      <c r="I4" s="43">
        <f>K44*人口变化预测!K4/10000</f>
        <v>3409319.17312887</v>
      </c>
      <c r="J4" s="43">
        <f>L44*人口变化预测!L4/10000</f>
        <v>3457547.76877055</v>
      </c>
      <c r="K4" s="43">
        <f>M44*人口变化预测!M4/10000</f>
        <v>3504458.2670139</v>
      </c>
      <c r="L4" s="43">
        <f>N44*人口变化预测!N4/10000</f>
        <v>3550038.39561227</v>
      </c>
      <c r="M4" s="43">
        <f>O44*人口变化预测!O4/10000</f>
        <v>3594279.39408105</v>
      </c>
      <c r="N4" s="43">
        <f>P44*人口变化预测!P4/10000</f>
        <v>3637176.14660276</v>
      </c>
      <c r="O4" s="43">
        <f>Q44*人口变化预测!Q4/10000</f>
        <v>3678727.28232756</v>
      </c>
      <c r="P4" s="43">
        <f>R44*人口变化预测!R4/10000</f>
        <v>3718935.58519022</v>
      </c>
      <c r="Q4" s="43">
        <f>S44*人口变化预测!S4/10000</f>
        <v>3757807.89344524</v>
      </c>
      <c r="R4" s="43">
        <f>T44*人口变化预测!T4/10000</f>
        <v>3795355.55813069</v>
      </c>
      <c r="S4" s="43">
        <f>U44*人口变化预测!U4/10000</f>
        <v>3831594.49255696</v>
      </c>
      <c r="T4" s="43">
        <f>V44*人口变化预测!V4/10000</f>
        <v>3866545.45573183</v>
      </c>
      <c r="U4" s="43">
        <f>W44*人口变化预测!W4/10000</f>
        <v>3900234.33333527</v>
      </c>
      <c r="V4" s="43">
        <f>X44*人口变化预测!X4/10000</f>
        <v>3932692.15895058</v>
      </c>
      <c r="W4" s="43">
        <f>Y44*人口变化预测!Y4/10000</f>
        <v>3963955.56277192</v>
      </c>
      <c r="X4" s="43">
        <f>Z44*人口变化预测!Z4/10000</f>
        <v>3994066.94591029</v>
      </c>
      <c r="Y4" s="43">
        <f>AA44*人口变化预测!AA4/10000</f>
        <v>4023074.74656156</v>
      </c>
      <c r="Z4" s="43">
        <f>AB44*人口变化预测!AB4/10000</f>
        <v>4051033.57923165</v>
      </c>
      <c r="AA4" s="43">
        <f>AC44*人口变化预测!AC4/10000</f>
        <v>4078004.59032919</v>
      </c>
      <c r="AB4" s="43">
        <f>AD44*人口变化预测!AD4/10000</f>
        <v>4104055.85617892</v>
      </c>
      <c r="AC4" s="43">
        <f>AE44*人口变化预测!AE4/10000</f>
        <v>4129262.41287353</v>
      </c>
      <c r="AD4" s="43">
        <f>AF44*人口变化预测!AF4/10000</f>
        <v>4153706.60725056</v>
      </c>
      <c r="AE4" s="43">
        <f>AG44*人口变化预测!AG4/10000</f>
        <v>4177478.662394</v>
      </c>
      <c r="AF4" s="43">
        <f>AH44*人口变化预测!AH4/10000</f>
        <v>4200676.57505947</v>
      </c>
      <c r="AG4" s="43">
        <f>AI44*人口变化预测!AI4/10000</f>
        <v>4223406.64487687</v>
      </c>
      <c r="AH4" s="43">
        <f>AJ44*人口变化预测!AJ4/10000</f>
        <v>4245783.88844772</v>
      </c>
      <c r="AI4" s="43">
        <f>AK44*人口变化预测!AK4/10000</f>
        <v>4267932.04351916</v>
      </c>
      <c r="AJ4" s="43">
        <f>AL44*人口变化预测!AL4/10000</f>
        <v>4289984.36033431</v>
      </c>
      <c r="AK4" s="43">
        <f>AM44*人口变化预测!AM4/10000</f>
        <v>4312083.42134678</v>
      </c>
      <c r="AL4" s="43">
        <f>AN44*人口变化预测!AN4/10000</f>
        <v>4334382.01812934</v>
      </c>
      <c r="AM4" s="43">
        <f>AO44*人口变化预测!AO4/10000</f>
        <v>4357043.19185637</v>
      </c>
      <c r="AN4" s="43">
        <f>AP44*人口变化预测!AP4/10000</f>
        <v>4380240.67440019</v>
      </c>
      <c r="AO4" s="43">
        <f>AQ44*人口变化预测!AQ4/10000</f>
        <v>4404159.29100626</v>
      </c>
      <c r="AP4" s="43">
        <f>AR44*人口变化预测!AR4/10000</f>
        <v>4428995.37442421</v>
      </c>
      <c r="AQ4" s="43">
        <f>AS44*人口变化预测!AS4/10000</f>
        <v>4454957.28864648</v>
      </c>
      <c r="AR4" s="43">
        <f>AT44*人口变化预测!AT4/10000</f>
        <v>4482265.55135531</v>
      </c>
    </row>
    <row r="5" s="6" customFormat="1" spans="1:44">
      <c r="A5" s="42" t="s">
        <v>929</v>
      </c>
      <c r="B5" s="43">
        <f>$B4*0.71%</f>
        <v>21074.1296488788</v>
      </c>
      <c r="C5" s="43">
        <f t="shared" ref="C5:AR5" si="0">$B4*0.71%</f>
        <v>21074.1296488788</v>
      </c>
      <c r="D5" s="43">
        <f t="shared" si="0"/>
        <v>21074.1296488788</v>
      </c>
      <c r="E5" s="43">
        <f t="shared" si="0"/>
        <v>21074.1296488788</v>
      </c>
      <c r="F5" s="43">
        <f t="shared" si="0"/>
        <v>21074.1296488788</v>
      </c>
      <c r="G5" s="43">
        <f t="shared" si="0"/>
        <v>21074.1296488788</v>
      </c>
      <c r="H5" s="43">
        <f t="shared" si="0"/>
        <v>21074.1296488788</v>
      </c>
      <c r="I5" s="43">
        <f t="shared" si="0"/>
        <v>21074.1296488788</v>
      </c>
      <c r="J5" s="43">
        <f t="shared" si="0"/>
        <v>21074.1296488788</v>
      </c>
      <c r="K5" s="43">
        <f t="shared" si="0"/>
        <v>21074.1296488788</v>
      </c>
      <c r="L5" s="43">
        <f t="shared" si="0"/>
        <v>21074.1296488788</v>
      </c>
      <c r="M5" s="43">
        <f t="shared" si="0"/>
        <v>21074.1296488788</v>
      </c>
      <c r="N5" s="43">
        <f t="shared" si="0"/>
        <v>21074.1296488788</v>
      </c>
      <c r="O5" s="43">
        <f t="shared" si="0"/>
        <v>21074.1296488788</v>
      </c>
      <c r="P5" s="43">
        <f t="shared" si="0"/>
        <v>21074.1296488788</v>
      </c>
      <c r="Q5" s="43">
        <f t="shared" si="0"/>
        <v>21074.1296488788</v>
      </c>
      <c r="R5" s="43">
        <f t="shared" si="0"/>
        <v>21074.1296488788</v>
      </c>
      <c r="S5" s="43">
        <f t="shared" si="0"/>
        <v>21074.1296488788</v>
      </c>
      <c r="T5" s="43">
        <f t="shared" si="0"/>
        <v>21074.1296488788</v>
      </c>
      <c r="U5" s="43">
        <f t="shared" si="0"/>
        <v>21074.1296488788</v>
      </c>
      <c r="V5" s="43">
        <f t="shared" si="0"/>
        <v>21074.1296488788</v>
      </c>
      <c r="W5" s="43">
        <f t="shared" si="0"/>
        <v>21074.1296488788</v>
      </c>
      <c r="X5" s="43">
        <f t="shared" si="0"/>
        <v>21074.1296488788</v>
      </c>
      <c r="Y5" s="43">
        <f t="shared" si="0"/>
        <v>21074.1296488788</v>
      </c>
      <c r="Z5" s="43">
        <f t="shared" si="0"/>
        <v>21074.1296488788</v>
      </c>
      <c r="AA5" s="43">
        <f t="shared" si="0"/>
        <v>21074.1296488788</v>
      </c>
      <c r="AB5" s="43">
        <f t="shared" si="0"/>
        <v>21074.1296488788</v>
      </c>
      <c r="AC5" s="43">
        <f t="shared" si="0"/>
        <v>21074.1296488788</v>
      </c>
      <c r="AD5" s="43">
        <f t="shared" si="0"/>
        <v>21074.1296488788</v>
      </c>
      <c r="AE5" s="43">
        <f t="shared" si="0"/>
        <v>21074.1296488788</v>
      </c>
      <c r="AF5" s="43">
        <f t="shared" si="0"/>
        <v>21074.1296488788</v>
      </c>
      <c r="AG5" s="43">
        <f t="shared" si="0"/>
        <v>21074.1296488788</v>
      </c>
      <c r="AH5" s="43">
        <f t="shared" si="0"/>
        <v>21074.1296488788</v>
      </c>
      <c r="AI5" s="43">
        <f t="shared" si="0"/>
        <v>21074.1296488788</v>
      </c>
      <c r="AJ5" s="43">
        <f t="shared" si="0"/>
        <v>21074.1296488788</v>
      </c>
      <c r="AK5" s="43">
        <f t="shared" si="0"/>
        <v>21074.1296488788</v>
      </c>
      <c r="AL5" s="43">
        <f t="shared" si="0"/>
        <v>21074.1296488788</v>
      </c>
      <c r="AM5" s="43">
        <f t="shared" si="0"/>
        <v>21074.1296488788</v>
      </c>
      <c r="AN5" s="43">
        <f t="shared" si="0"/>
        <v>21074.1296488788</v>
      </c>
      <c r="AO5" s="43">
        <f t="shared" si="0"/>
        <v>21074.1296488788</v>
      </c>
      <c r="AP5" s="43">
        <f t="shared" si="0"/>
        <v>21074.1296488788</v>
      </c>
      <c r="AQ5" s="43">
        <f t="shared" si="0"/>
        <v>21074.1296488788</v>
      </c>
      <c r="AR5" s="43">
        <f t="shared" si="0"/>
        <v>21074.1296488788</v>
      </c>
    </row>
    <row r="6" s="6" customFormat="1" spans="1:44">
      <c r="A6" s="42" t="s">
        <v>930</v>
      </c>
      <c r="B6" s="43"/>
      <c r="C6" s="43">
        <f>IF(B4-C4-B5&gt;0,B4-C4-B5,0)</f>
        <v>0</v>
      </c>
      <c r="D6" s="43">
        <f>IF(C4-D4-C5&gt;0,C4-D4-C5,0)</f>
        <v>0</v>
      </c>
      <c r="E6" s="43">
        <f t="shared" ref="E6:AR6" si="1">IF(D4-E4-D5&gt;0,D4-E4-D5,0)</f>
        <v>0</v>
      </c>
      <c r="F6" s="43">
        <f t="shared" si="1"/>
        <v>0</v>
      </c>
      <c r="G6" s="43">
        <f t="shared" si="1"/>
        <v>0</v>
      </c>
      <c r="H6" s="43">
        <f t="shared" si="1"/>
        <v>0</v>
      </c>
      <c r="I6" s="43">
        <f t="shared" si="1"/>
        <v>0</v>
      </c>
      <c r="J6" s="43">
        <f t="shared" si="1"/>
        <v>0</v>
      </c>
      <c r="K6" s="43">
        <f t="shared" si="1"/>
        <v>0</v>
      </c>
      <c r="L6" s="43">
        <f t="shared" si="1"/>
        <v>0</v>
      </c>
      <c r="M6" s="43">
        <f t="shared" si="1"/>
        <v>0</v>
      </c>
      <c r="N6" s="43">
        <f t="shared" si="1"/>
        <v>0</v>
      </c>
      <c r="O6" s="43">
        <f t="shared" si="1"/>
        <v>0</v>
      </c>
      <c r="P6" s="43">
        <f t="shared" si="1"/>
        <v>0</v>
      </c>
      <c r="Q6" s="43">
        <f t="shared" si="1"/>
        <v>0</v>
      </c>
      <c r="R6" s="43">
        <f t="shared" si="1"/>
        <v>0</v>
      </c>
      <c r="S6" s="43">
        <f t="shared" si="1"/>
        <v>0</v>
      </c>
      <c r="T6" s="43">
        <f t="shared" si="1"/>
        <v>0</v>
      </c>
      <c r="U6" s="43">
        <f t="shared" si="1"/>
        <v>0</v>
      </c>
      <c r="V6" s="43">
        <f t="shared" si="1"/>
        <v>0</v>
      </c>
      <c r="W6" s="43">
        <f t="shared" si="1"/>
        <v>0</v>
      </c>
      <c r="X6" s="43">
        <f t="shared" si="1"/>
        <v>0</v>
      </c>
      <c r="Y6" s="43">
        <f t="shared" si="1"/>
        <v>0</v>
      </c>
      <c r="Z6" s="43">
        <f t="shared" si="1"/>
        <v>0</v>
      </c>
      <c r="AA6" s="43">
        <f t="shared" si="1"/>
        <v>0</v>
      </c>
      <c r="AB6" s="43">
        <f t="shared" si="1"/>
        <v>0</v>
      </c>
      <c r="AC6" s="43">
        <f t="shared" si="1"/>
        <v>0</v>
      </c>
      <c r="AD6" s="43">
        <f t="shared" si="1"/>
        <v>0</v>
      </c>
      <c r="AE6" s="43">
        <f t="shared" si="1"/>
        <v>0</v>
      </c>
      <c r="AF6" s="43">
        <f t="shared" si="1"/>
        <v>0</v>
      </c>
      <c r="AG6" s="43">
        <f t="shared" si="1"/>
        <v>0</v>
      </c>
      <c r="AH6" s="43">
        <f t="shared" si="1"/>
        <v>0</v>
      </c>
      <c r="AI6" s="43">
        <f t="shared" si="1"/>
        <v>0</v>
      </c>
      <c r="AJ6" s="43">
        <f t="shared" si="1"/>
        <v>0</v>
      </c>
      <c r="AK6" s="43">
        <f t="shared" si="1"/>
        <v>0</v>
      </c>
      <c r="AL6" s="43">
        <f t="shared" si="1"/>
        <v>0</v>
      </c>
      <c r="AM6" s="43">
        <f t="shared" si="1"/>
        <v>0</v>
      </c>
      <c r="AN6" s="43">
        <f t="shared" si="1"/>
        <v>0</v>
      </c>
      <c r="AO6" s="43">
        <f t="shared" si="1"/>
        <v>0</v>
      </c>
      <c r="AP6" s="43">
        <f t="shared" si="1"/>
        <v>0</v>
      </c>
      <c r="AQ6" s="43">
        <f t="shared" si="1"/>
        <v>0</v>
      </c>
      <c r="AR6" s="43">
        <f t="shared" si="1"/>
        <v>0</v>
      </c>
    </row>
    <row r="7" s="6" customFormat="1" spans="1:44">
      <c r="A7" s="42" t="s">
        <v>931</v>
      </c>
      <c r="B7" s="43"/>
      <c r="C7" s="43">
        <f t="shared" ref="C7:AR7" si="2">IF(C4-B4+B5&gt;0,C4-B4+B5,0)</f>
        <v>99638.164749784</v>
      </c>
      <c r="D7" s="43">
        <f t="shared" si="2"/>
        <v>123374.958022411</v>
      </c>
      <c r="E7" s="43">
        <f t="shared" si="2"/>
        <v>75601.0589104631</v>
      </c>
      <c r="F7" s="43">
        <f t="shared" si="2"/>
        <v>74389.9518768439</v>
      </c>
      <c r="G7" s="43">
        <f t="shared" si="2"/>
        <v>73151.8760066927</v>
      </c>
      <c r="H7" s="43">
        <f t="shared" si="2"/>
        <v>71889.3830196248</v>
      </c>
      <c r="I7" s="43">
        <f t="shared" si="2"/>
        <v>70605.4135952392</v>
      </c>
      <c r="J7" s="43">
        <f t="shared" si="2"/>
        <v>69302.7252905551</v>
      </c>
      <c r="K7" s="43">
        <f t="shared" si="2"/>
        <v>67984.627892227</v>
      </c>
      <c r="L7" s="43">
        <f t="shared" si="2"/>
        <v>66654.2582472545</v>
      </c>
      <c r="M7" s="43">
        <f t="shared" si="2"/>
        <v>65315.1281176569</v>
      </c>
      <c r="N7" s="43">
        <f t="shared" si="2"/>
        <v>63970.882170585</v>
      </c>
      <c r="O7" s="43">
        <f t="shared" si="2"/>
        <v>62625.2653736845</v>
      </c>
      <c r="P7" s="43">
        <f t="shared" si="2"/>
        <v>61282.4325115304</v>
      </c>
      <c r="Q7" s="43">
        <f t="shared" si="2"/>
        <v>59946.4379039035</v>
      </c>
      <c r="R7" s="43">
        <f t="shared" si="2"/>
        <v>58621.7943343251</v>
      </c>
      <c r="S7" s="43">
        <f t="shared" si="2"/>
        <v>57313.0640751529</v>
      </c>
      <c r="T7" s="43">
        <f t="shared" si="2"/>
        <v>56025.0928237443</v>
      </c>
      <c r="U7" s="43">
        <f t="shared" si="2"/>
        <v>54763.0072523226</v>
      </c>
      <c r="V7" s="43">
        <f t="shared" si="2"/>
        <v>53531.955264187</v>
      </c>
      <c r="W7" s="43">
        <f t="shared" si="2"/>
        <v>52337.5334702186</v>
      </c>
      <c r="X7" s="43">
        <f t="shared" si="2"/>
        <v>51185.512787249</v>
      </c>
      <c r="Y7" s="43">
        <f t="shared" si="2"/>
        <v>50081.9303001455</v>
      </c>
      <c r="Z7" s="43">
        <f t="shared" si="2"/>
        <v>49032.9623189751</v>
      </c>
      <c r="AA7" s="43">
        <f t="shared" si="2"/>
        <v>48045.1407464212</v>
      </c>
      <c r="AB7" s="43">
        <f t="shared" si="2"/>
        <v>47125.3954986083</v>
      </c>
      <c r="AC7" s="43">
        <f t="shared" si="2"/>
        <v>46280.686343486</v>
      </c>
      <c r="AD7" s="43">
        <f t="shared" si="2"/>
        <v>45518.3240259067</v>
      </c>
      <c r="AE7" s="43">
        <f t="shared" si="2"/>
        <v>44846.1847923184</v>
      </c>
      <c r="AF7" s="43">
        <f t="shared" si="2"/>
        <v>44272.0423143544</v>
      </c>
      <c r="AG7" s="43">
        <f t="shared" si="2"/>
        <v>43804.1994662709</v>
      </c>
      <c r="AH7" s="43">
        <f t="shared" si="2"/>
        <v>43451.3732197281</v>
      </c>
      <c r="AI7" s="43">
        <f t="shared" si="2"/>
        <v>43222.2847203245</v>
      </c>
      <c r="AJ7" s="43">
        <f t="shared" si="2"/>
        <v>43126.4464640241</v>
      </c>
      <c r="AK7" s="43">
        <f t="shared" si="2"/>
        <v>43173.1906613554</v>
      </c>
      <c r="AL7" s="43">
        <f t="shared" si="2"/>
        <v>43372.7264314374</v>
      </c>
      <c r="AM7" s="43">
        <f t="shared" si="2"/>
        <v>43735.3033759031</v>
      </c>
      <c r="AN7" s="43">
        <f t="shared" si="2"/>
        <v>44271.6121927058</v>
      </c>
      <c r="AO7" s="43">
        <f t="shared" si="2"/>
        <v>44992.7462549476</v>
      </c>
      <c r="AP7" s="43">
        <f t="shared" si="2"/>
        <v>45910.2130668215</v>
      </c>
      <c r="AQ7" s="43">
        <f t="shared" si="2"/>
        <v>47036.0438711574</v>
      </c>
      <c r="AR7" s="43">
        <f t="shared" si="2"/>
        <v>48382.3923577048</v>
      </c>
    </row>
    <row r="8" s="6" customFormat="1" spans="1:44">
      <c r="A8" s="42" t="s">
        <v>932</v>
      </c>
      <c r="B8" s="43">
        <v>0</v>
      </c>
      <c r="C8" s="43">
        <f>SUM($C7:C7)</f>
        <v>99638.164749784</v>
      </c>
      <c r="D8" s="43">
        <f>SUM($C7:D7)</f>
        <v>223013.122772195</v>
      </c>
      <c r="E8" s="43">
        <f>SUM($C7:E7)</f>
        <v>298614.181682658</v>
      </c>
      <c r="F8" s="43">
        <f>SUM($C7:F7)</f>
        <v>373004.133559501</v>
      </c>
      <c r="G8" s="43">
        <f>SUM($C7:G7)</f>
        <v>446156.009566194</v>
      </c>
      <c r="H8" s="43">
        <f>SUM($C7:H7)</f>
        <v>518045.392585819</v>
      </c>
      <c r="I8" s="43">
        <f>SUM($C7:I7)</f>
        <v>588650.806181058</v>
      </c>
      <c r="J8" s="43">
        <f>SUM($C7:J7)</f>
        <v>657953.531471613</v>
      </c>
      <c r="K8" s="43">
        <f>SUM($C7:K7)</f>
        <v>725938.15936384</v>
      </c>
      <c r="L8" s="43">
        <f>SUM($C7:L7)</f>
        <v>792592.417611095</v>
      </c>
      <c r="M8" s="43">
        <f>SUM($C7:M7)</f>
        <v>857907.545728751</v>
      </c>
      <c r="N8" s="43">
        <f>SUM($C7:N7)</f>
        <v>921878.427899336</v>
      </c>
      <c r="O8" s="43">
        <f>SUM($C7:O7)</f>
        <v>984503.693273021</v>
      </c>
      <c r="P8" s="43">
        <f>SUM($C7:P7)</f>
        <v>1045786.12578455</v>
      </c>
      <c r="Q8" s="43">
        <f>SUM($C7:Q7)</f>
        <v>1105732.56368845</v>
      </c>
      <c r="R8" s="43">
        <f>SUM($C7:R7)</f>
        <v>1164354.35802278</v>
      </c>
      <c r="S8" s="43">
        <f>SUM($C7:S7)</f>
        <v>1221667.42209793</v>
      </c>
      <c r="T8" s="43">
        <f>SUM($C7:T7)</f>
        <v>1277692.51492168</v>
      </c>
      <c r="U8" s="43">
        <f>SUM($C7:U7)</f>
        <v>1332455.522174</v>
      </c>
      <c r="V8" s="43">
        <f>SUM($C7:V7)</f>
        <v>1385987.47743819</v>
      </c>
      <c r="W8" s="43">
        <f>SUM($C7:W7)</f>
        <v>1438325.0109084</v>
      </c>
      <c r="X8" s="43">
        <f>SUM($C7:X7)</f>
        <v>1489510.52369565</v>
      </c>
      <c r="Y8" s="43">
        <f>SUM($C7:Y7)</f>
        <v>1539592.4539958</v>
      </c>
      <c r="Z8" s="43">
        <f>SUM($C7:Z7)</f>
        <v>1588625.41631477</v>
      </c>
      <c r="AA8" s="43">
        <f>SUM($C7:AA7)</f>
        <v>1636670.5570612</v>
      </c>
      <c r="AB8" s="43">
        <f>SUM($C7:AB7)</f>
        <v>1683795.9525598</v>
      </c>
      <c r="AC8" s="43">
        <f>SUM($C7:AC7)</f>
        <v>1730076.63890329</v>
      </c>
      <c r="AD8" s="43">
        <f>SUM($C7:AD7)</f>
        <v>1775594.9629292</v>
      </c>
      <c r="AE8" s="43">
        <f>SUM($C7:AE7)</f>
        <v>1820441.14772151</v>
      </c>
      <c r="AF8" s="43">
        <f>SUM($C7:AF7)</f>
        <v>1864713.19003587</v>
      </c>
      <c r="AG8" s="43">
        <f>SUM($C7:AG7)</f>
        <v>1908517.38950214</v>
      </c>
      <c r="AH8" s="43">
        <f>SUM($C7:AH7)</f>
        <v>1951968.76272187</v>
      </c>
      <c r="AI8" s="43">
        <f>SUM($C7:AI7)</f>
        <v>1995191.04744219</v>
      </c>
      <c r="AJ8" s="43">
        <f>SUM($C7:AJ7)</f>
        <v>2038317.49390622</v>
      </c>
      <c r="AK8" s="43">
        <f>SUM($C7:AK7)</f>
        <v>2081490.68456757</v>
      </c>
      <c r="AL8" s="43">
        <f>SUM($C7:AL7)</f>
        <v>2124863.41099901</v>
      </c>
      <c r="AM8" s="43">
        <f>SUM($C7:AM7)</f>
        <v>2168598.71437491</v>
      </c>
      <c r="AN8" s="43">
        <f>SUM($C7:AN7)</f>
        <v>2212870.32656762</v>
      </c>
      <c r="AO8" s="43">
        <f>SUM($C7:AO7)</f>
        <v>2257863.07282257</v>
      </c>
      <c r="AP8" s="43">
        <f>SUM($C7:AP7)</f>
        <v>2303773.28588939</v>
      </c>
      <c r="AQ8" s="43">
        <f>SUM($C7:AQ7)</f>
        <v>2350809.32976054</v>
      </c>
      <c r="AR8" s="43">
        <f>SUM($C7:AR7)</f>
        <v>2399191.72211825</v>
      </c>
    </row>
    <row r="9" s="6" customFormat="1" spans="1:44">
      <c r="A9" s="42" t="s">
        <v>933</v>
      </c>
      <c r="B9" s="43">
        <f>B4</f>
        <v>2968187.27448997</v>
      </c>
      <c r="C9" s="43">
        <f>$B4-SUM($B5:B5)-SUM($B6:B6)</f>
        <v>2947113.14484109</v>
      </c>
      <c r="D9" s="43">
        <f>$B4-SUM($B5:C5)-SUM($B6:C6)</f>
        <v>2926039.01519221</v>
      </c>
      <c r="E9" s="43">
        <f>$B4-SUM($B5:D5)-SUM($B6:D6)</f>
        <v>2904964.88554333</v>
      </c>
      <c r="F9" s="43">
        <f>$B4-SUM($B5:E5)-SUM($B6:E6)</f>
        <v>2883890.75589445</v>
      </c>
      <c r="G9" s="43">
        <f>$B4-SUM($B5:F5)-SUM($B6:F6)</f>
        <v>2862816.62624557</v>
      </c>
      <c r="H9" s="43">
        <f>$B4-SUM($B5:G5)-SUM($B6:G6)</f>
        <v>2841742.49659669</v>
      </c>
      <c r="I9" s="43">
        <f>$B4-SUM($B5:H5)-SUM($B6:H6)</f>
        <v>2820668.36694782</v>
      </c>
      <c r="J9" s="43">
        <f>$B4-SUM($B5:I5)-SUM($B6:I6)</f>
        <v>2799594.23729894</v>
      </c>
      <c r="K9" s="43">
        <f>$B4-SUM($B5:J5)-SUM($B6:J6)</f>
        <v>2778520.10765006</v>
      </c>
      <c r="L9" s="43">
        <f>$B4-SUM($B5:K5)-SUM($B6:K6)</f>
        <v>2757445.97800118</v>
      </c>
      <c r="M9" s="43">
        <f>$B4-SUM($B5:L5)-SUM($B6:L6)</f>
        <v>2736371.8483523</v>
      </c>
      <c r="N9" s="43">
        <f>$B4-SUM($B5:M5)-SUM($B6:M6)</f>
        <v>2715297.71870342</v>
      </c>
      <c r="O9" s="43">
        <f>$B4-SUM($B5:N5)-SUM($B6:N6)</f>
        <v>2694223.58905454</v>
      </c>
      <c r="P9" s="43">
        <f>$B4-SUM($B5:O5)-SUM($B6:O6)</f>
        <v>2673149.45940566</v>
      </c>
      <c r="Q9" s="43">
        <f>$B4-SUM($B5:P5)-SUM($B6:P6)</f>
        <v>2652075.32975679</v>
      </c>
      <c r="R9" s="43">
        <f>$B4-SUM($B5:Q5)-SUM($B6:Q6)</f>
        <v>2631001.20010791</v>
      </c>
      <c r="S9" s="43">
        <f>$B4-SUM($B5:R5)-SUM($B6:R6)</f>
        <v>2609927.07045903</v>
      </c>
      <c r="T9" s="43">
        <f>$B4-SUM($B5:S5)-SUM($B6:S6)</f>
        <v>2588852.94081015</v>
      </c>
      <c r="U9" s="43">
        <f>$B4-SUM($B5:T5)-SUM($B6:T6)</f>
        <v>2567778.81116127</v>
      </c>
      <c r="V9" s="43">
        <f>$B4-SUM($B5:U5)-SUM($B6:U6)</f>
        <v>2546704.68151239</v>
      </c>
      <c r="W9" s="43">
        <f>$B4-SUM($B5:V5)-SUM($B6:V6)</f>
        <v>2525630.55186351</v>
      </c>
      <c r="X9" s="43">
        <f>$B4-SUM($B5:W5)-SUM($B6:W6)</f>
        <v>2504556.42221463</v>
      </c>
      <c r="Y9" s="43">
        <f>$B4-SUM($B5:X5)-SUM($B6:X6)</f>
        <v>2483482.29256576</v>
      </c>
      <c r="Z9" s="43">
        <f>$B4-SUM($B5:Y5)-SUM($B6:Y6)</f>
        <v>2462408.16291688</v>
      </c>
      <c r="AA9" s="43">
        <f>$B4-SUM($B5:Z5)-SUM($B6:Z6)</f>
        <v>2441334.033268</v>
      </c>
      <c r="AB9" s="43">
        <f>$B4-SUM($B5:AA5)-SUM($B6:AA6)</f>
        <v>2420259.90361912</v>
      </c>
      <c r="AC9" s="43">
        <f>$B4-SUM($B5:AB5)-SUM($B6:AB6)</f>
        <v>2399185.77397024</v>
      </c>
      <c r="AD9" s="43">
        <f>$B4-SUM($B5:AC5)-SUM($B6:AC6)</f>
        <v>2378111.64432136</v>
      </c>
      <c r="AE9" s="43">
        <f>$B4-SUM($B5:AD5)-SUM($B6:AD6)</f>
        <v>2357037.51467248</v>
      </c>
      <c r="AF9" s="43">
        <f>$B4-SUM($B5:AE5)-SUM($B6:AE6)</f>
        <v>2335963.3850236</v>
      </c>
      <c r="AG9" s="43">
        <f>$B4-SUM($B5:AF5)-SUM($B6:AF6)</f>
        <v>2314889.25537472</v>
      </c>
      <c r="AH9" s="43">
        <f>$B4-SUM($B5:AG5)-SUM($B6:AG6)</f>
        <v>2293815.12572585</v>
      </c>
      <c r="AI9" s="43">
        <f>$B4-SUM($B5:AH5)-SUM($B6:AH6)</f>
        <v>2272740.99607697</v>
      </c>
      <c r="AJ9" s="43">
        <f>$B4-SUM($B5:AI5)-SUM($B6:AI6)</f>
        <v>2251666.86642809</v>
      </c>
      <c r="AK9" s="43">
        <f>$B4-SUM($B5:AJ5)-SUM($B6:AJ6)</f>
        <v>2230592.73677921</v>
      </c>
      <c r="AL9" s="43">
        <f>$B4-SUM($B5:AK5)-SUM($B6:AK6)</f>
        <v>2209518.60713033</v>
      </c>
      <c r="AM9" s="43">
        <f>$B4-SUM($B5:AL5)-SUM($B6:AL6)</f>
        <v>2188444.47748145</v>
      </c>
      <c r="AN9" s="43">
        <f>$B4-SUM($B5:AM5)-SUM($B6:AM6)</f>
        <v>2167370.34783257</v>
      </c>
      <c r="AO9" s="43">
        <f>$B4-SUM($B5:AN5)-SUM($B6:AN6)</f>
        <v>2146296.21818369</v>
      </c>
      <c r="AP9" s="43">
        <f>$B4-SUM($B5:AO5)-SUM($B6:AO6)</f>
        <v>2125222.08853482</v>
      </c>
      <c r="AQ9" s="43">
        <f>$B4-SUM($B5:AP5)-SUM($B6:AP6)</f>
        <v>2104147.95888594</v>
      </c>
      <c r="AR9" s="43">
        <f>$B4-SUM($B5:AQ5)-SUM($B6:AQ6)</f>
        <v>2083073.82923706</v>
      </c>
    </row>
    <row r="10" s="6" customFormat="1" spans="1:44">
      <c r="A10" s="44"/>
      <c r="B10" s="43"/>
      <c r="C10" s="43"/>
      <c r="D10" s="43"/>
      <c r="E10" s="43"/>
      <c r="F10" s="43"/>
      <c r="G10" s="43"/>
      <c r="H10" s="43"/>
      <c r="I10" s="43"/>
      <c r="J10" s="43"/>
      <c r="K10" s="43"/>
      <c r="L10" s="43"/>
      <c r="M10" s="43"/>
      <c r="N10" s="43"/>
      <c r="O10" s="43"/>
      <c r="P10" s="43"/>
      <c r="Q10" s="43"/>
      <c r="R10" s="43"/>
      <c r="S10" s="43"/>
      <c r="T10" s="43"/>
      <c r="U10" s="43"/>
      <c r="V10" s="43"/>
      <c r="W10" s="43"/>
      <c r="X10" s="43"/>
      <c r="Y10" s="43"/>
      <c r="Z10" s="43"/>
      <c r="AA10" s="43"/>
      <c r="AB10" s="43"/>
      <c r="AC10" s="43"/>
      <c r="AD10" s="43"/>
      <c r="AE10" s="43"/>
      <c r="AF10" s="43"/>
      <c r="AG10" s="43"/>
      <c r="AH10" s="43"/>
      <c r="AI10" s="43"/>
      <c r="AJ10" s="43"/>
      <c r="AK10" s="43"/>
      <c r="AL10" s="43"/>
      <c r="AM10" s="43"/>
      <c r="AN10" s="43"/>
      <c r="AO10" s="43"/>
      <c r="AP10" s="43"/>
      <c r="AQ10" s="43"/>
      <c r="AR10" s="43"/>
    </row>
    <row r="11" s="5" customFormat="1" spans="1:44">
      <c r="A11" s="42"/>
      <c r="B11" s="41">
        <v>2018</v>
      </c>
      <c r="C11" s="41">
        <v>2019</v>
      </c>
      <c r="D11" s="41">
        <v>2020</v>
      </c>
      <c r="E11" s="41">
        <v>2021</v>
      </c>
      <c r="F11" s="41">
        <v>2022</v>
      </c>
      <c r="G11" s="41">
        <v>2023</v>
      </c>
      <c r="H11" s="41">
        <v>2024</v>
      </c>
      <c r="I11" s="41">
        <v>2025</v>
      </c>
      <c r="J11" s="41">
        <v>2026</v>
      </c>
      <c r="K11" s="41">
        <v>2027</v>
      </c>
      <c r="L11" s="41">
        <v>2028</v>
      </c>
      <c r="M11" s="41">
        <v>2029</v>
      </c>
      <c r="N11" s="41">
        <v>2030</v>
      </c>
      <c r="O11" s="41">
        <v>2031</v>
      </c>
      <c r="P11" s="41">
        <v>2032</v>
      </c>
      <c r="Q11" s="41">
        <v>2033</v>
      </c>
      <c r="R11" s="41">
        <v>2034</v>
      </c>
      <c r="S11" s="41">
        <v>2035</v>
      </c>
      <c r="T11" s="41">
        <v>2036</v>
      </c>
      <c r="U11" s="41">
        <v>2037</v>
      </c>
      <c r="V11" s="41">
        <v>2038</v>
      </c>
      <c r="W11" s="41">
        <v>2039</v>
      </c>
      <c r="X11" s="41">
        <v>2040</v>
      </c>
      <c r="Y11" s="41">
        <v>2041</v>
      </c>
      <c r="Z11" s="41">
        <v>2042</v>
      </c>
      <c r="AA11" s="41">
        <v>2043</v>
      </c>
      <c r="AB11" s="41">
        <v>2044</v>
      </c>
      <c r="AC11" s="41">
        <v>2045</v>
      </c>
      <c r="AD11" s="41">
        <v>2046</v>
      </c>
      <c r="AE11" s="41">
        <v>2047</v>
      </c>
      <c r="AF11" s="41">
        <v>2048</v>
      </c>
      <c r="AG11" s="41">
        <v>2049</v>
      </c>
      <c r="AH11" s="41">
        <v>2050</v>
      </c>
      <c r="AI11" s="41">
        <v>2051</v>
      </c>
      <c r="AJ11" s="41">
        <v>2052</v>
      </c>
      <c r="AK11" s="41">
        <v>2053</v>
      </c>
      <c r="AL11" s="41">
        <v>2054</v>
      </c>
      <c r="AM11" s="41">
        <v>2055</v>
      </c>
      <c r="AN11" s="41">
        <v>2056</v>
      </c>
      <c r="AO11" s="41">
        <v>2057</v>
      </c>
      <c r="AP11" s="41">
        <v>2058</v>
      </c>
      <c r="AQ11" s="41">
        <v>2059</v>
      </c>
      <c r="AR11" s="41">
        <v>2060</v>
      </c>
    </row>
    <row r="12" s="6" customFormat="1" spans="1:44">
      <c r="A12" s="42" t="s">
        <v>934</v>
      </c>
      <c r="B12" s="43">
        <f>D45*人口变化预测!D5/10000</f>
        <v>2082627.36632886</v>
      </c>
      <c r="C12" s="43">
        <f>E45*人口变化预测!E5/10000</f>
        <v>2024080.51291513</v>
      </c>
      <c r="D12" s="43">
        <f>F45*人口变化预测!F5/10000</f>
        <v>1976972.9493053</v>
      </c>
      <c r="E12" s="43">
        <f>G45*人口变化预测!G5/10000</f>
        <v>1979995.40998198</v>
      </c>
      <c r="F12" s="43">
        <f>H45*人口变化预测!H5/10000</f>
        <v>1981396.46807297</v>
      </c>
      <c r="G12" s="43">
        <f>I45*人口变化预测!I5/10000</f>
        <v>1981202.89156394</v>
      </c>
      <c r="H12" s="43">
        <f>J45*人口变化预测!J5/10000</f>
        <v>1979443.53211567</v>
      </c>
      <c r="I12" s="43">
        <f>K45*人口变化预测!K5/10000</f>
        <v>1976149.41860745</v>
      </c>
      <c r="J12" s="43">
        <f>L45*人口变化预测!L5/10000</f>
        <v>1971353.50456709</v>
      </c>
      <c r="K12" s="43">
        <f>M45*人口变化预测!M5/10000</f>
        <v>1965090.84074425</v>
      </c>
      <c r="L12" s="43">
        <f>N45*人口变化预测!N5/10000</f>
        <v>1957398.31908562</v>
      </c>
      <c r="M12" s="43">
        <f>O45*人口变化预测!O5/10000</f>
        <v>1948314.72602554</v>
      </c>
      <c r="N12" s="43">
        <f>P45*人口变化预测!P5/10000</f>
        <v>1937880.64851061</v>
      </c>
      <c r="O12" s="43">
        <f>Q45*人口变化预测!Q5/10000</f>
        <v>1926138.35837835</v>
      </c>
      <c r="P12" s="43">
        <f>R45*人口变化预测!R5/10000</f>
        <v>1913131.8532854</v>
      </c>
      <c r="Q12" s="43">
        <f>S45*人口变化预测!S5/10000</f>
        <v>1898906.62026191</v>
      </c>
      <c r="R12" s="43">
        <f>T45*人口变化预测!T5/10000</f>
        <v>1883509.68525501</v>
      </c>
      <c r="S12" s="43">
        <f>U45*人口变化预测!U5/10000</f>
        <v>1866989.44165768</v>
      </c>
      <c r="T12" s="43">
        <f>V45*人口变化预测!V5/10000</f>
        <v>1849395.59141352</v>
      </c>
      <c r="U12" s="43">
        <f>W45*人口变化预测!W5/10000</f>
        <v>1830779.07316359</v>
      </c>
      <c r="V12" s="43">
        <f>X45*人口变化预测!X5/10000</f>
        <v>1811191.85934412</v>
      </c>
      <c r="W12" s="43">
        <f>Y45*人口变化预测!Y5/10000</f>
        <v>1790686.94893757</v>
      </c>
      <c r="X12" s="43">
        <f>Z45*人口变化预测!Z5/10000</f>
        <v>1769318.21872773</v>
      </c>
      <c r="Y12" s="43">
        <f>AA45*人口变化预测!AA5/10000</f>
        <v>1747140.30925786</v>
      </c>
      <c r="Z12" s="43">
        <f>AB45*人口变化预测!AB5/10000</f>
        <v>1724208.4469229</v>
      </c>
      <c r="AA12" s="43">
        <f>AC45*人口变化预测!AC5/10000</f>
        <v>1700578.35322906</v>
      </c>
      <c r="AB12" s="43">
        <f>AD45*人口变化预测!AD5/10000</f>
        <v>1676306.15729134</v>
      </c>
      <c r="AC12" s="43">
        <f>AE45*人口变化预测!AE5/10000</f>
        <v>1651448.14513627</v>
      </c>
      <c r="AD12" s="43">
        <f>AF45*人口变化预测!AF5/10000</f>
        <v>1626060.63780364</v>
      </c>
      <c r="AE12" s="43">
        <f>AG45*人口变化预测!AG5/10000</f>
        <v>1600199.93845882</v>
      </c>
      <c r="AF12" s="43">
        <f>AH45*人口变化预测!AH5/10000</f>
        <v>1573922.00553611</v>
      </c>
      <c r="AG12" s="43">
        <f>AI45*人口变化预测!AI5/10000</f>
        <v>1547282.36754769</v>
      </c>
      <c r="AH12" s="43">
        <f>AJ45*人口变化预测!AJ5/10000</f>
        <v>1520335.975338</v>
      </c>
      <c r="AI12" s="43">
        <f>AK45*人口变化预测!AK5/10000</f>
        <v>1493136.89572263</v>
      </c>
      <c r="AJ12" s="43">
        <f>AL45*人口变化预测!AL5/10000</f>
        <v>1465738.27933628</v>
      </c>
      <c r="AK12" s="43">
        <f>AM45*人口变化预测!AM5/10000</f>
        <v>1438191.97116218</v>
      </c>
      <c r="AL12" s="43">
        <f>AN45*人口变化预测!AN5/10000</f>
        <v>1410548.47972324</v>
      </c>
      <c r="AM12" s="43">
        <f>AO45*人口变化预测!AO5/10000</f>
        <v>1382856.64411965</v>
      </c>
      <c r="AN12" s="43">
        <f>AP45*人口变化预测!AP5/10000</f>
        <v>1355163.42924189</v>
      </c>
      <c r="AO12" s="43">
        <f>AQ45*人口变化预测!AQ5/10000</f>
        <v>1327513.6944616</v>
      </c>
      <c r="AP12" s="43">
        <f>AR45*人口变化预测!AR5/10000</f>
        <v>1299949.95289846</v>
      </c>
      <c r="AQ12" s="43">
        <f>AS45*人口变化预测!AS5/10000</f>
        <v>1272512.14895743</v>
      </c>
      <c r="AR12" s="43">
        <f>AT45*人口变化预测!AT5/10000</f>
        <v>1245237.30649275</v>
      </c>
    </row>
    <row r="13" s="6" customFormat="1" spans="1:44">
      <c r="A13" s="42" t="s">
        <v>929</v>
      </c>
      <c r="B13" s="43">
        <f>$B12*0.71%</f>
        <v>14786.6543009349</v>
      </c>
      <c r="C13" s="43">
        <f t="shared" ref="C13:AR13" si="3">$B12*0.71%</f>
        <v>14786.6543009349</v>
      </c>
      <c r="D13" s="43">
        <f t="shared" si="3"/>
        <v>14786.6543009349</v>
      </c>
      <c r="E13" s="43">
        <f t="shared" si="3"/>
        <v>14786.6543009349</v>
      </c>
      <c r="F13" s="43">
        <f t="shared" si="3"/>
        <v>14786.6543009349</v>
      </c>
      <c r="G13" s="43">
        <f t="shared" si="3"/>
        <v>14786.6543009349</v>
      </c>
      <c r="H13" s="43">
        <f t="shared" si="3"/>
        <v>14786.6543009349</v>
      </c>
      <c r="I13" s="43">
        <f t="shared" si="3"/>
        <v>14786.6543009349</v>
      </c>
      <c r="J13" s="43">
        <f t="shared" si="3"/>
        <v>14786.6543009349</v>
      </c>
      <c r="K13" s="43">
        <f t="shared" si="3"/>
        <v>14786.6543009349</v>
      </c>
      <c r="L13" s="43">
        <f t="shared" si="3"/>
        <v>14786.6543009349</v>
      </c>
      <c r="M13" s="43">
        <f t="shared" si="3"/>
        <v>14786.6543009349</v>
      </c>
      <c r="N13" s="43">
        <f t="shared" si="3"/>
        <v>14786.6543009349</v>
      </c>
      <c r="O13" s="43">
        <f t="shared" si="3"/>
        <v>14786.6543009349</v>
      </c>
      <c r="P13" s="43">
        <f t="shared" si="3"/>
        <v>14786.6543009349</v>
      </c>
      <c r="Q13" s="43">
        <f t="shared" si="3"/>
        <v>14786.6543009349</v>
      </c>
      <c r="R13" s="43">
        <f t="shared" si="3"/>
        <v>14786.6543009349</v>
      </c>
      <c r="S13" s="43">
        <f t="shared" si="3"/>
        <v>14786.6543009349</v>
      </c>
      <c r="T13" s="43">
        <f t="shared" si="3"/>
        <v>14786.6543009349</v>
      </c>
      <c r="U13" s="43">
        <f t="shared" si="3"/>
        <v>14786.6543009349</v>
      </c>
      <c r="V13" s="43">
        <f t="shared" si="3"/>
        <v>14786.6543009349</v>
      </c>
      <c r="W13" s="43">
        <f t="shared" si="3"/>
        <v>14786.6543009349</v>
      </c>
      <c r="X13" s="43">
        <f t="shared" si="3"/>
        <v>14786.6543009349</v>
      </c>
      <c r="Y13" s="43">
        <f t="shared" si="3"/>
        <v>14786.6543009349</v>
      </c>
      <c r="Z13" s="43">
        <f t="shared" si="3"/>
        <v>14786.6543009349</v>
      </c>
      <c r="AA13" s="43">
        <f t="shared" si="3"/>
        <v>14786.6543009349</v>
      </c>
      <c r="AB13" s="43">
        <f t="shared" si="3"/>
        <v>14786.6543009349</v>
      </c>
      <c r="AC13" s="43">
        <f t="shared" si="3"/>
        <v>14786.6543009349</v>
      </c>
      <c r="AD13" s="43">
        <f t="shared" si="3"/>
        <v>14786.6543009349</v>
      </c>
      <c r="AE13" s="43">
        <f t="shared" si="3"/>
        <v>14786.6543009349</v>
      </c>
      <c r="AF13" s="43">
        <f t="shared" si="3"/>
        <v>14786.6543009349</v>
      </c>
      <c r="AG13" s="43">
        <f t="shared" si="3"/>
        <v>14786.6543009349</v>
      </c>
      <c r="AH13" s="43">
        <f t="shared" si="3"/>
        <v>14786.6543009349</v>
      </c>
      <c r="AI13" s="43">
        <f t="shared" si="3"/>
        <v>14786.6543009349</v>
      </c>
      <c r="AJ13" s="43">
        <f t="shared" si="3"/>
        <v>14786.6543009349</v>
      </c>
      <c r="AK13" s="43">
        <f t="shared" si="3"/>
        <v>14786.6543009349</v>
      </c>
      <c r="AL13" s="43">
        <f t="shared" si="3"/>
        <v>14786.6543009349</v>
      </c>
      <c r="AM13" s="43">
        <f t="shared" si="3"/>
        <v>14786.6543009349</v>
      </c>
      <c r="AN13" s="43">
        <f t="shared" si="3"/>
        <v>14786.6543009349</v>
      </c>
      <c r="AO13" s="43">
        <f t="shared" si="3"/>
        <v>14786.6543009349</v>
      </c>
      <c r="AP13" s="43">
        <f t="shared" si="3"/>
        <v>14786.6543009349</v>
      </c>
      <c r="AQ13" s="43">
        <f t="shared" si="3"/>
        <v>14786.6543009349</v>
      </c>
      <c r="AR13" s="43">
        <f t="shared" si="3"/>
        <v>14786.6543009349</v>
      </c>
    </row>
    <row r="14" s="6" customFormat="1" spans="1:44">
      <c r="A14" s="42" t="s">
        <v>930</v>
      </c>
      <c r="B14" s="43"/>
      <c r="C14" s="43">
        <f>IF(B12-C12-B13&gt;0,B12-C12-B13,0)</f>
        <v>43760.1991127953</v>
      </c>
      <c r="D14" s="43">
        <f>IF(C12-D12-C13&gt;0,C12-D12-C13,0)</f>
        <v>32320.9093088957</v>
      </c>
      <c r="E14" s="43">
        <f t="shared" ref="E14:AR14" si="4">IF(D12-E12-D13&gt;0,D12-E12-D13,0)</f>
        <v>0</v>
      </c>
      <c r="F14" s="43">
        <f t="shared" si="4"/>
        <v>0</v>
      </c>
      <c r="G14" s="43">
        <f t="shared" si="4"/>
        <v>0</v>
      </c>
      <c r="H14" s="43">
        <f t="shared" si="4"/>
        <v>0</v>
      </c>
      <c r="I14" s="43">
        <f t="shared" si="4"/>
        <v>0</v>
      </c>
      <c r="J14" s="43">
        <f t="shared" si="4"/>
        <v>0</v>
      </c>
      <c r="K14" s="43">
        <f t="shared" si="4"/>
        <v>0</v>
      </c>
      <c r="L14" s="43">
        <f t="shared" si="4"/>
        <v>0</v>
      </c>
      <c r="M14" s="43">
        <f t="shared" si="4"/>
        <v>0</v>
      </c>
      <c r="N14" s="43">
        <f t="shared" si="4"/>
        <v>0</v>
      </c>
      <c r="O14" s="43">
        <f t="shared" si="4"/>
        <v>0</v>
      </c>
      <c r="P14" s="43">
        <f t="shared" si="4"/>
        <v>0</v>
      </c>
      <c r="Q14" s="43">
        <f t="shared" si="4"/>
        <v>0</v>
      </c>
      <c r="R14" s="43">
        <f t="shared" si="4"/>
        <v>610.280705964158</v>
      </c>
      <c r="S14" s="43">
        <f t="shared" si="4"/>
        <v>1733.58929639516</v>
      </c>
      <c r="T14" s="43">
        <f t="shared" si="4"/>
        <v>2807.19594322467</v>
      </c>
      <c r="U14" s="43">
        <f t="shared" si="4"/>
        <v>3829.86394899079</v>
      </c>
      <c r="V14" s="43">
        <f t="shared" si="4"/>
        <v>4800.55951853605</v>
      </c>
      <c r="W14" s="43">
        <f t="shared" si="4"/>
        <v>5718.25610561689</v>
      </c>
      <c r="X14" s="43">
        <f t="shared" si="4"/>
        <v>6582.0759089023</v>
      </c>
      <c r="Y14" s="43">
        <f t="shared" si="4"/>
        <v>7391.25516893944</v>
      </c>
      <c r="Z14" s="43">
        <f t="shared" si="4"/>
        <v>8145.20803402105</v>
      </c>
      <c r="AA14" s="43">
        <f t="shared" si="4"/>
        <v>8843.43939290751</v>
      </c>
      <c r="AB14" s="43">
        <f t="shared" si="4"/>
        <v>9485.54163678872</v>
      </c>
      <c r="AC14" s="43">
        <f t="shared" si="4"/>
        <v>10071.3578541323</v>
      </c>
      <c r="AD14" s="43">
        <f t="shared" si="4"/>
        <v>10600.8530316925</v>
      </c>
      <c r="AE14" s="43">
        <f t="shared" si="4"/>
        <v>11074.0450438936</v>
      </c>
      <c r="AF14" s="43">
        <f t="shared" si="4"/>
        <v>11491.2786217732</v>
      </c>
      <c r="AG14" s="43">
        <f t="shared" si="4"/>
        <v>11852.9836874837</v>
      </c>
      <c r="AH14" s="43">
        <f t="shared" si="4"/>
        <v>12159.7379087538</v>
      </c>
      <c r="AI14" s="43">
        <f t="shared" si="4"/>
        <v>12412.4253144364</v>
      </c>
      <c r="AJ14" s="43">
        <f t="shared" si="4"/>
        <v>12611.9620854146</v>
      </c>
      <c r="AK14" s="43">
        <f t="shared" si="4"/>
        <v>12759.6538731642</v>
      </c>
      <c r="AL14" s="43">
        <f t="shared" si="4"/>
        <v>12856.8371380029</v>
      </c>
      <c r="AM14" s="43">
        <f t="shared" si="4"/>
        <v>12905.1813026559</v>
      </c>
      <c r="AN14" s="43">
        <f t="shared" si="4"/>
        <v>12906.5605768242</v>
      </c>
      <c r="AO14" s="43">
        <f t="shared" si="4"/>
        <v>12863.0804793569</v>
      </c>
      <c r="AP14" s="43">
        <f t="shared" si="4"/>
        <v>12777.0872622104</v>
      </c>
      <c r="AQ14" s="43">
        <f t="shared" si="4"/>
        <v>12651.1496400928</v>
      </c>
      <c r="AR14" s="43">
        <f t="shared" si="4"/>
        <v>12488.1881637445</v>
      </c>
    </row>
    <row r="15" s="6" customFormat="1" spans="1:44">
      <c r="A15" s="42" t="s">
        <v>931</v>
      </c>
      <c r="B15" s="43"/>
      <c r="C15" s="43">
        <f t="shared" ref="C15:AR15" si="5">IF(C12-B12+B13&gt;0,C12-B12+B13,0)</f>
        <v>0</v>
      </c>
      <c r="D15" s="43">
        <f t="shared" si="5"/>
        <v>0</v>
      </c>
      <c r="E15" s="43">
        <f t="shared" si="5"/>
        <v>17809.1149776162</v>
      </c>
      <c r="F15" s="43">
        <f t="shared" si="5"/>
        <v>16187.7123919246</v>
      </c>
      <c r="G15" s="43">
        <f t="shared" si="5"/>
        <v>14593.0777919032</v>
      </c>
      <c r="H15" s="43">
        <f t="shared" si="5"/>
        <v>13027.2948526712</v>
      </c>
      <c r="I15" s="43">
        <f t="shared" si="5"/>
        <v>11492.5407927109</v>
      </c>
      <c r="J15" s="43">
        <f t="shared" si="5"/>
        <v>9990.74026057221</v>
      </c>
      <c r="K15" s="43">
        <f t="shared" si="5"/>
        <v>8523.99047809493</v>
      </c>
      <c r="L15" s="43">
        <f t="shared" si="5"/>
        <v>7094.13264230665</v>
      </c>
      <c r="M15" s="43">
        <f t="shared" si="5"/>
        <v>5703.06124085494</v>
      </c>
      <c r="N15" s="43">
        <f t="shared" si="5"/>
        <v>4352.57678600078</v>
      </c>
      <c r="O15" s="43">
        <f t="shared" si="5"/>
        <v>3044.36416867798</v>
      </c>
      <c r="P15" s="43">
        <f t="shared" si="5"/>
        <v>1780.14920798925</v>
      </c>
      <c r="Q15" s="43">
        <f t="shared" si="5"/>
        <v>561.421277441119</v>
      </c>
      <c r="R15" s="43">
        <f t="shared" si="5"/>
        <v>0</v>
      </c>
      <c r="S15" s="43">
        <f t="shared" si="5"/>
        <v>0</v>
      </c>
      <c r="T15" s="43">
        <f t="shared" si="5"/>
        <v>0</v>
      </c>
      <c r="U15" s="43">
        <f t="shared" si="5"/>
        <v>0</v>
      </c>
      <c r="V15" s="43">
        <f t="shared" si="5"/>
        <v>0</v>
      </c>
      <c r="W15" s="43">
        <f t="shared" si="5"/>
        <v>0</v>
      </c>
      <c r="X15" s="43">
        <f t="shared" si="5"/>
        <v>0</v>
      </c>
      <c r="Y15" s="43">
        <f t="shared" si="5"/>
        <v>0</v>
      </c>
      <c r="Z15" s="43">
        <f t="shared" si="5"/>
        <v>0</v>
      </c>
      <c r="AA15" s="43">
        <f t="shared" si="5"/>
        <v>0</v>
      </c>
      <c r="AB15" s="43">
        <f t="shared" si="5"/>
        <v>0</v>
      </c>
      <c r="AC15" s="43">
        <f t="shared" si="5"/>
        <v>0</v>
      </c>
      <c r="AD15" s="43">
        <f t="shared" si="5"/>
        <v>0</v>
      </c>
      <c r="AE15" s="43">
        <f t="shared" si="5"/>
        <v>0</v>
      </c>
      <c r="AF15" s="43">
        <f t="shared" si="5"/>
        <v>0</v>
      </c>
      <c r="AG15" s="43">
        <f t="shared" si="5"/>
        <v>0</v>
      </c>
      <c r="AH15" s="43">
        <f t="shared" si="5"/>
        <v>0</v>
      </c>
      <c r="AI15" s="43">
        <f t="shared" si="5"/>
        <v>0</v>
      </c>
      <c r="AJ15" s="43">
        <f t="shared" si="5"/>
        <v>0</v>
      </c>
      <c r="AK15" s="43">
        <f t="shared" si="5"/>
        <v>0</v>
      </c>
      <c r="AL15" s="43">
        <f t="shared" si="5"/>
        <v>0</v>
      </c>
      <c r="AM15" s="43">
        <f t="shared" si="5"/>
        <v>0</v>
      </c>
      <c r="AN15" s="43">
        <f t="shared" si="5"/>
        <v>0</v>
      </c>
      <c r="AO15" s="43">
        <f t="shared" si="5"/>
        <v>0</v>
      </c>
      <c r="AP15" s="43">
        <f t="shared" si="5"/>
        <v>0</v>
      </c>
      <c r="AQ15" s="43">
        <f t="shared" si="5"/>
        <v>0</v>
      </c>
      <c r="AR15" s="43">
        <f t="shared" si="5"/>
        <v>0</v>
      </c>
    </row>
    <row r="16" s="6" customFormat="1" spans="1:44">
      <c r="A16" s="42" t="s">
        <v>932</v>
      </c>
      <c r="B16" s="43">
        <v>0</v>
      </c>
      <c r="C16" s="43">
        <f>SUM($C15:C15)</f>
        <v>0</v>
      </c>
      <c r="D16" s="43">
        <f>SUM($C15:D15)</f>
        <v>0</v>
      </c>
      <c r="E16" s="43">
        <f>SUM($C15:E15)</f>
        <v>17809.1149776162</v>
      </c>
      <c r="F16" s="43">
        <f>SUM($C15:F15)</f>
        <v>33996.8273695408</v>
      </c>
      <c r="G16" s="43">
        <f>SUM($C15:G15)</f>
        <v>48589.905161444</v>
      </c>
      <c r="H16" s="43">
        <f>SUM($C15:H15)</f>
        <v>61617.2000141152</v>
      </c>
      <c r="I16" s="43">
        <f>SUM($C15:I15)</f>
        <v>73109.7408068261</v>
      </c>
      <c r="J16" s="43">
        <f>SUM($C15:J15)</f>
        <v>83100.4810673983</v>
      </c>
      <c r="K16" s="43">
        <f>SUM($C15:K15)</f>
        <v>91624.4715454932</v>
      </c>
      <c r="L16" s="43">
        <f>SUM($C15:L15)</f>
        <v>98718.6041877999</v>
      </c>
      <c r="M16" s="43">
        <f>SUM($C15:M15)</f>
        <v>104421.665428655</v>
      </c>
      <c r="N16" s="43">
        <f>SUM($C15:N15)</f>
        <v>108774.242214656</v>
      </c>
      <c r="O16" s="43">
        <f>SUM($C15:O15)</f>
        <v>111818.606383334</v>
      </c>
      <c r="P16" s="43">
        <f>SUM($C15:P15)</f>
        <v>113598.755591323</v>
      </c>
      <c r="Q16" s="43">
        <f>SUM($C15:Q15)</f>
        <v>114160.176868764</v>
      </c>
      <c r="R16" s="43">
        <f>SUM($C15:R15)</f>
        <v>114160.176868764</v>
      </c>
      <c r="S16" s="43">
        <f>SUM($C15:S15)</f>
        <v>114160.176868764</v>
      </c>
      <c r="T16" s="43">
        <f>SUM($C15:T15)</f>
        <v>114160.176868764</v>
      </c>
      <c r="U16" s="43">
        <f>SUM($C15:U15)</f>
        <v>114160.176868764</v>
      </c>
      <c r="V16" s="43">
        <f>SUM($C15:V15)</f>
        <v>114160.176868764</v>
      </c>
      <c r="W16" s="43">
        <f>SUM($C15:W15)</f>
        <v>114160.176868764</v>
      </c>
      <c r="X16" s="43">
        <f>SUM($C15:X15)</f>
        <v>114160.176868764</v>
      </c>
      <c r="Y16" s="43">
        <f>SUM($C15:Y15)</f>
        <v>114160.176868764</v>
      </c>
      <c r="Z16" s="43">
        <f>SUM($C15:Z15)</f>
        <v>114160.176868764</v>
      </c>
      <c r="AA16" s="43">
        <f>SUM($C15:AA15)</f>
        <v>114160.176868764</v>
      </c>
      <c r="AB16" s="43">
        <f>SUM($C15:AB15)</f>
        <v>114160.176868764</v>
      </c>
      <c r="AC16" s="43">
        <f>SUM($C15:AC15)</f>
        <v>114160.176868764</v>
      </c>
      <c r="AD16" s="43">
        <f>SUM($C15:AD15)</f>
        <v>114160.176868764</v>
      </c>
      <c r="AE16" s="43">
        <f>SUM($C15:AE15)</f>
        <v>114160.176868764</v>
      </c>
      <c r="AF16" s="43">
        <f>SUM($C15:AF15)</f>
        <v>114160.176868764</v>
      </c>
      <c r="AG16" s="43">
        <f>SUM($C15:AG15)</f>
        <v>114160.176868764</v>
      </c>
      <c r="AH16" s="43">
        <f>SUM($C15:AH15)</f>
        <v>114160.176868764</v>
      </c>
      <c r="AI16" s="43">
        <f>SUM($C15:AI15)</f>
        <v>114160.176868764</v>
      </c>
      <c r="AJ16" s="43">
        <f>SUM($C15:AJ15)</f>
        <v>114160.176868764</v>
      </c>
      <c r="AK16" s="43">
        <f>SUM($C15:AK15)</f>
        <v>114160.176868764</v>
      </c>
      <c r="AL16" s="43">
        <f>SUM($C15:AL15)</f>
        <v>114160.176868764</v>
      </c>
      <c r="AM16" s="43">
        <f>SUM($C15:AM15)</f>
        <v>114160.176868764</v>
      </c>
      <c r="AN16" s="43">
        <f>SUM($C15:AN15)</f>
        <v>114160.176868764</v>
      </c>
      <c r="AO16" s="43">
        <f>SUM($C15:AO15)</f>
        <v>114160.176868764</v>
      </c>
      <c r="AP16" s="43">
        <f>SUM($C15:AP15)</f>
        <v>114160.176868764</v>
      </c>
      <c r="AQ16" s="43">
        <f>SUM($C15:AQ15)</f>
        <v>114160.176868764</v>
      </c>
      <c r="AR16" s="43">
        <f>SUM($C15:AR15)</f>
        <v>114160.176868764</v>
      </c>
    </row>
    <row r="17" s="6" customFormat="1" spans="1:44">
      <c r="A17" s="42" t="s">
        <v>933</v>
      </c>
      <c r="B17" s="43">
        <f>B12</f>
        <v>2082627.36632886</v>
      </c>
      <c r="C17" s="43">
        <f>$B12-SUM($B13:B13)-SUM($B14:B14)</f>
        <v>2067840.71202792</v>
      </c>
      <c r="D17" s="43">
        <f>$B12-SUM($B13:C13)-SUM($B14:C14)</f>
        <v>2009293.85861419</v>
      </c>
      <c r="E17" s="43">
        <f>$B12-SUM($B13:D13)-SUM($B14:D14)</f>
        <v>1962186.29500436</v>
      </c>
      <c r="F17" s="43">
        <f>$B12-SUM($B13:E13)-SUM($B14:E14)</f>
        <v>1947399.64070343</v>
      </c>
      <c r="G17" s="43">
        <f>$B12-SUM($B13:F13)-SUM($B14:F14)</f>
        <v>1932612.98640249</v>
      </c>
      <c r="H17" s="43">
        <f>$B12-SUM($B13:G13)-SUM($B14:G14)</f>
        <v>1917826.33210156</v>
      </c>
      <c r="I17" s="43">
        <f>$B12-SUM($B13:H13)-SUM($B14:H14)</f>
        <v>1903039.67780062</v>
      </c>
      <c r="J17" s="43">
        <f>$B12-SUM($B13:I13)-SUM($B14:I14)</f>
        <v>1888253.02349969</v>
      </c>
      <c r="K17" s="43">
        <f>$B12-SUM($B13:J13)-SUM($B14:J14)</f>
        <v>1873466.36919875</v>
      </c>
      <c r="L17" s="43">
        <f>$B12-SUM($B13:K13)-SUM($B14:K14)</f>
        <v>1858679.71489782</v>
      </c>
      <c r="M17" s="43">
        <f>$B12-SUM($B13:L13)-SUM($B14:L14)</f>
        <v>1843893.06059688</v>
      </c>
      <c r="N17" s="43">
        <f>$B12-SUM($B13:M13)-SUM($B14:M14)</f>
        <v>1829106.40629595</v>
      </c>
      <c r="O17" s="43">
        <f>$B12-SUM($B13:N13)-SUM($B14:N14)</f>
        <v>1814319.75199501</v>
      </c>
      <c r="P17" s="43">
        <f>$B12-SUM($B13:O13)-SUM($B14:O14)</f>
        <v>1799533.09769408</v>
      </c>
      <c r="Q17" s="43">
        <f>$B12-SUM($B13:P13)-SUM($B14:P14)</f>
        <v>1784746.44339315</v>
      </c>
      <c r="R17" s="43">
        <f>$B12-SUM($B13:Q13)-SUM($B14:Q14)</f>
        <v>1769959.78909221</v>
      </c>
      <c r="S17" s="43">
        <f>$B12-SUM($B13:R13)-SUM($B14:R14)</f>
        <v>1754562.85408531</v>
      </c>
      <c r="T17" s="43">
        <f>$B12-SUM($B13:S13)-SUM($B14:S14)</f>
        <v>1738042.61048798</v>
      </c>
      <c r="U17" s="43">
        <f>$B12-SUM($B13:T13)-SUM($B14:T14)</f>
        <v>1720448.76024382</v>
      </c>
      <c r="V17" s="43">
        <f>$B12-SUM($B13:U13)-SUM($B14:U14)</f>
        <v>1701832.2419939</v>
      </c>
      <c r="W17" s="43">
        <f>$B12-SUM($B13:V13)-SUM($B14:V14)</f>
        <v>1682245.02817443</v>
      </c>
      <c r="X17" s="43">
        <f>$B12-SUM($B13:W13)-SUM($B14:W14)</f>
        <v>1661740.11776787</v>
      </c>
      <c r="Y17" s="43">
        <f>$B12-SUM($B13:X13)-SUM($B14:X14)</f>
        <v>1640371.38755804</v>
      </c>
      <c r="Z17" s="43">
        <f>$B12-SUM($B13:Y13)-SUM($B14:Y14)</f>
        <v>1618193.47808816</v>
      </c>
      <c r="AA17" s="43">
        <f>$B12-SUM($B13:Z13)-SUM($B14:Z14)</f>
        <v>1595261.61575321</v>
      </c>
      <c r="AB17" s="43">
        <f>$B12-SUM($B13:AA13)-SUM($B14:AA14)</f>
        <v>1571631.52205936</v>
      </c>
      <c r="AC17" s="43">
        <f>$B12-SUM($B13:AB13)-SUM($B14:AB14)</f>
        <v>1547359.32612164</v>
      </c>
      <c r="AD17" s="43">
        <f>$B12-SUM($B13:AC13)-SUM($B14:AC14)</f>
        <v>1522501.31396657</v>
      </c>
      <c r="AE17" s="43">
        <f>$B12-SUM($B13:AD13)-SUM($B14:AD14)</f>
        <v>1497113.80663394</v>
      </c>
      <c r="AF17" s="43">
        <f>$B12-SUM($B13:AE13)-SUM($B14:AE14)</f>
        <v>1471253.10728912</v>
      </c>
      <c r="AG17" s="43">
        <f>$B12-SUM($B13:AF13)-SUM($B14:AF14)</f>
        <v>1444975.17436641</v>
      </c>
      <c r="AH17" s="43">
        <f>$B12-SUM($B13:AG13)-SUM($B14:AG14)</f>
        <v>1418335.53637799</v>
      </c>
      <c r="AI17" s="43">
        <f>$B12-SUM($B13:AH13)-SUM($B14:AH14)</f>
        <v>1391389.1441683</v>
      </c>
      <c r="AJ17" s="43">
        <f>$B12-SUM($B13:AI13)-SUM($B14:AI14)</f>
        <v>1364190.06455293</v>
      </c>
      <c r="AK17" s="43">
        <f>$B12-SUM($B13:AJ13)-SUM($B14:AJ14)</f>
        <v>1336791.44816658</v>
      </c>
      <c r="AL17" s="43">
        <f>$B12-SUM($B13:AK13)-SUM($B14:AK14)</f>
        <v>1309245.13999248</v>
      </c>
      <c r="AM17" s="43">
        <f>$B12-SUM($B13:AL13)-SUM($B14:AL14)</f>
        <v>1281601.64855354</v>
      </c>
      <c r="AN17" s="43">
        <f>$B12-SUM($B13:AM13)-SUM($B14:AM14)</f>
        <v>1253909.81294995</v>
      </c>
      <c r="AO17" s="43">
        <f>$B12-SUM($B13:AN13)-SUM($B14:AN14)</f>
        <v>1226216.59807219</v>
      </c>
      <c r="AP17" s="43">
        <f>$B12-SUM($B13:AO13)-SUM($B14:AO14)</f>
        <v>1198566.8632919</v>
      </c>
      <c r="AQ17" s="43">
        <f>$B12-SUM($B13:AP13)-SUM($B14:AP14)</f>
        <v>1171003.12172876</v>
      </c>
      <c r="AR17" s="43">
        <f>$B12-SUM($B13:AQ13)-SUM($B14:AQ14)</f>
        <v>1143565.31778773</v>
      </c>
    </row>
    <row r="18" s="6" customFormat="1" spans="1:44">
      <c r="A18" s="45"/>
      <c r="B18" s="43"/>
      <c r="C18" s="43"/>
      <c r="D18" s="43"/>
      <c r="E18" s="43"/>
      <c r="F18" s="43"/>
      <c r="G18" s="43"/>
      <c r="H18" s="43"/>
      <c r="I18" s="43"/>
      <c r="J18" s="43"/>
      <c r="K18" s="43"/>
      <c r="L18" s="43"/>
      <c r="M18" s="43"/>
      <c r="N18" s="43"/>
      <c r="O18" s="43"/>
      <c r="P18" s="43"/>
      <c r="Q18" s="43"/>
      <c r="R18" s="43"/>
      <c r="S18" s="43"/>
      <c r="T18" s="43"/>
      <c r="U18" s="43"/>
      <c r="V18" s="43"/>
      <c r="W18" s="43"/>
      <c r="X18" s="43"/>
      <c r="Y18" s="43"/>
      <c r="Z18" s="43"/>
      <c r="AA18" s="43"/>
      <c r="AB18" s="43"/>
      <c r="AC18" s="43"/>
      <c r="AD18" s="43"/>
      <c r="AE18" s="43"/>
      <c r="AF18" s="43"/>
      <c r="AG18" s="43"/>
      <c r="AH18" s="43"/>
      <c r="AI18" s="43"/>
      <c r="AJ18" s="43"/>
      <c r="AK18" s="43"/>
      <c r="AL18" s="43"/>
      <c r="AM18" s="43"/>
      <c r="AN18" s="43"/>
      <c r="AO18" s="43"/>
      <c r="AP18" s="43"/>
      <c r="AQ18" s="43"/>
      <c r="AR18" s="43"/>
    </row>
    <row r="19" s="5" customFormat="1" spans="1:44">
      <c r="A19" s="42"/>
      <c r="B19" s="41">
        <v>2018</v>
      </c>
      <c r="C19" s="41">
        <v>2019</v>
      </c>
      <c r="D19" s="41">
        <v>2020</v>
      </c>
      <c r="E19" s="41">
        <v>2021</v>
      </c>
      <c r="F19" s="41">
        <v>2022</v>
      </c>
      <c r="G19" s="41">
        <v>2023</v>
      </c>
      <c r="H19" s="41">
        <v>2024</v>
      </c>
      <c r="I19" s="41">
        <v>2025</v>
      </c>
      <c r="J19" s="41">
        <v>2026</v>
      </c>
      <c r="K19" s="41">
        <v>2027</v>
      </c>
      <c r="L19" s="41">
        <v>2028</v>
      </c>
      <c r="M19" s="41">
        <v>2029</v>
      </c>
      <c r="N19" s="41">
        <v>2030</v>
      </c>
      <c r="O19" s="41">
        <v>2031</v>
      </c>
      <c r="P19" s="41">
        <v>2032</v>
      </c>
      <c r="Q19" s="41">
        <v>2033</v>
      </c>
      <c r="R19" s="41">
        <v>2034</v>
      </c>
      <c r="S19" s="41">
        <v>2035</v>
      </c>
      <c r="T19" s="41">
        <v>2036</v>
      </c>
      <c r="U19" s="41">
        <v>2037</v>
      </c>
      <c r="V19" s="41">
        <v>2038</v>
      </c>
      <c r="W19" s="41">
        <v>2039</v>
      </c>
      <c r="X19" s="41">
        <v>2040</v>
      </c>
      <c r="Y19" s="41">
        <v>2041</v>
      </c>
      <c r="Z19" s="41">
        <v>2042</v>
      </c>
      <c r="AA19" s="41">
        <v>2043</v>
      </c>
      <c r="AB19" s="41">
        <v>2044</v>
      </c>
      <c r="AC19" s="41">
        <v>2045</v>
      </c>
      <c r="AD19" s="41">
        <v>2046</v>
      </c>
      <c r="AE19" s="41">
        <v>2047</v>
      </c>
      <c r="AF19" s="41">
        <v>2048</v>
      </c>
      <c r="AG19" s="41">
        <v>2049</v>
      </c>
      <c r="AH19" s="41">
        <v>2050</v>
      </c>
      <c r="AI19" s="41">
        <v>2051</v>
      </c>
      <c r="AJ19" s="41">
        <v>2052</v>
      </c>
      <c r="AK19" s="41">
        <v>2053</v>
      </c>
      <c r="AL19" s="41">
        <v>2054</v>
      </c>
      <c r="AM19" s="41">
        <v>2055</v>
      </c>
      <c r="AN19" s="41">
        <v>2056</v>
      </c>
      <c r="AO19" s="41">
        <v>2057</v>
      </c>
      <c r="AP19" s="41">
        <v>2058</v>
      </c>
      <c r="AQ19" s="41">
        <v>2059</v>
      </c>
      <c r="AR19" s="41">
        <v>2060</v>
      </c>
    </row>
    <row r="20" s="6" customFormat="1" spans="1:44">
      <c r="A20" s="42" t="s">
        <v>935</v>
      </c>
      <c r="B20" s="43">
        <f>D46*人口变化预测!D4/10000</f>
        <v>1223992.83949216</v>
      </c>
      <c r="C20" s="43">
        <f>E46*人口变化预测!E4/10000</f>
        <v>1256390.32910866</v>
      </c>
      <c r="D20" s="43">
        <f>F46*人口变化预测!F4/10000</f>
        <v>1298576.17178762</v>
      </c>
      <c r="E20" s="43">
        <f>G46*人口变化预测!G4/10000</f>
        <v>1321061.46830151</v>
      </c>
      <c r="F20" s="43">
        <f>H46*人口变化预测!H4/10000</f>
        <v>1343047.34001504</v>
      </c>
      <c r="G20" s="43">
        <f>I46*人口变化预测!I4/10000</f>
        <v>1364522.66577588</v>
      </c>
      <c r="H20" s="43">
        <f>J46*人口变化预测!J4/10000</f>
        <v>1385477.37668558</v>
      </c>
      <c r="I20" s="43">
        <f>K46*人口变化预测!K4/10000</f>
        <v>1405902.61649516</v>
      </c>
      <c r="J20" s="43">
        <f>L46*人口变化预测!L4/10000</f>
        <v>1425790.66609079</v>
      </c>
      <c r="K20" s="43">
        <f>M46*人口变化预测!M4/10000</f>
        <v>1445135.17121698</v>
      </c>
      <c r="L20" s="43">
        <f>N46*人口变化预测!N4/10000</f>
        <v>1463931.07116137</v>
      </c>
      <c r="M20" s="43">
        <f>O46*人口变化预测!O4/10000</f>
        <v>1482174.75335864</v>
      </c>
      <c r="N20" s="43">
        <f>P46*人口变化预测!P4/10000</f>
        <v>1499864.10819662</v>
      </c>
      <c r="O20" s="43">
        <f>Q46*人口变化预测!Q4/10000</f>
        <v>1516998.57037731</v>
      </c>
      <c r="P20" s="43">
        <f>R46*人口变化预测!R4/10000</f>
        <v>1533579.28791322</v>
      </c>
      <c r="Q20" s="43">
        <f>S46*人口变化预测!S4/10000</f>
        <v>1549609.08069874</v>
      </c>
      <c r="R20" s="43">
        <f>T46*人口变化预测!T4/10000</f>
        <v>1565092.62956697</v>
      </c>
      <c r="S20" s="43">
        <f>U46*人口变化预测!U4/10000</f>
        <v>1580036.49669753</v>
      </c>
      <c r="T20" s="43">
        <f>V46*人口变化预测!V4/10000</f>
        <v>1594449.2424926</v>
      </c>
      <c r="U20" s="43">
        <f>W46*人口变化预测!W4/10000</f>
        <v>1608341.54144272</v>
      </c>
      <c r="V20" s="43">
        <f>X46*人口变化预测!X4/10000</f>
        <v>1621726.19088181</v>
      </c>
      <c r="W20" s="43">
        <f>Y46*人口变化预测!Y4/10000</f>
        <v>1634618.29602098</v>
      </c>
      <c r="X20" s="43">
        <f>Z46*人口变化预测!Z4/10000</f>
        <v>1647035.34182713</v>
      </c>
      <c r="Y20" s="43">
        <f>AA46*人口变化预测!AA4/10000</f>
        <v>1658997.3027828</v>
      </c>
      <c r="Z20" s="43">
        <f>AB46*人口变化预测!AB4/10000</f>
        <v>1670526.70029854</v>
      </c>
      <c r="AA20" s="43">
        <f>AC46*人口变化预测!AC4/10000</f>
        <v>1681648.7493488</v>
      </c>
      <c r="AB20" s="43">
        <f>AD46*人口变化预测!AD4/10000</f>
        <v>1692391.52260096</v>
      </c>
      <c r="AC20" s="43">
        <f>AE46*人口变化预测!AE4/10000</f>
        <v>1702785.96272528</v>
      </c>
      <c r="AD20" s="43">
        <f>AF46*人口变化预测!AF4/10000</f>
        <v>1712866.02712747</v>
      </c>
      <c r="AE20" s="43">
        <f>AG46*人口变化预测!AG4/10000</f>
        <v>1722668.92114486</v>
      </c>
      <c r="AF20" s="43">
        <f>AH46*人口变化预测!AH4/10000</f>
        <v>1732235.05574753</v>
      </c>
      <c r="AG20" s="43">
        <f>AI46*人口变化预测!AI4/10000</f>
        <v>1741608.2657659</v>
      </c>
      <c r="AH20" s="43">
        <f>AJ46*人口变化预测!AJ4/10000</f>
        <v>1750835.98065225</v>
      </c>
      <c r="AI20" s="43">
        <f>AK46*人口变化预测!AK4/10000</f>
        <v>1759969.22620195</v>
      </c>
      <c r="AJ20" s="43">
        <f>AL46*人口变化预测!AL4/10000</f>
        <v>1769062.95088298</v>
      </c>
      <c r="AK20" s="43">
        <f>AM46*人口变化预测!AM4/10000</f>
        <v>1778175.95149155</v>
      </c>
      <c r="AL20" s="43">
        <f>AN46*人口变化预测!AN4/10000</f>
        <v>1787371.23476331</v>
      </c>
      <c r="AM20" s="43">
        <f>AO46*人口变化预测!AO4/10000</f>
        <v>1796716.03406717</v>
      </c>
      <c r="AN20" s="43">
        <f>AP46*人口变化预测!AP4/10000</f>
        <v>1806281.99130037</v>
      </c>
      <c r="AO20" s="43">
        <f>AQ46*人口变化预测!AQ4/10000</f>
        <v>1816145.32293985</v>
      </c>
      <c r="AP20" s="43">
        <f>AR46*人口变化预测!AR4/10000</f>
        <v>1826386.9908177</v>
      </c>
      <c r="AQ20" s="43">
        <f>AS46*人口变化预测!AS4/10000</f>
        <v>1837092.9180955</v>
      </c>
      <c r="AR20" s="43">
        <f>AT46*人口变化预测!AT4/10000</f>
        <v>1848354.03975782</v>
      </c>
    </row>
    <row r="21" s="6" customFormat="1" spans="1:44">
      <c r="A21" s="42" t="s">
        <v>929</v>
      </c>
      <c r="B21" s="43">
        <f>$B20*0.71%</f>
        <v>8690.34916039433</v>
      </c>
      <c r="C21" s="43">
        <f t="shared" ref="C21:AR21" si="6">$B20*0.71%</f>
        <v>8690.34916039433</v>
      </c>
      <c r="D21" s="43">
        <f t="shared" si="6"/>
        <v>8690.34916039433</v>
      </c>
      <c r="E21" s="43">
        <f t="shared" si="6"/>
        <v>8690.34916039433</v>
      </c>
      <c r="F21" s="43">
        <f t="shared" si="6"/>
        <v>8690.34916039433</v>
      </c>
      <c r="G21" s="43">
        <f t="shared" si="6"/>
        <v>8690.34916039433</v>
      </c>
      <c r="H21" s="43">
        <f t="shared" si="6"/>
        <v>8690.34916039433</v>
      </c>
      <c r="I21" s="43">
        <f t="shared" si="6"/>
        <v>8690.34916039433</v>
      </c>
      <c r="J21" s="43">
        <f t="shared" si="6"/>
        <v>8690.34916039433</v>
      </c>
      <c r="K21" s="43">
        <f t="shared" si="6"/>
        <v>8690.34916039433</v>
      </c>
      <c r="L21" s="43">
        <f t="shared" si="6"/>
        <v>8690.34916039433</v>
      </c>
      <c r="M21" s="43">
        <f t="shared" si="6"/>
        <v>8690.34916039433</v>
      </c>
      <c r="N21" s="43">
        <f t="shared" si="6"/>
        <v>8690.34916039433</v>
      </c>
      <c r="O21" s="43">
        <f t="shared" si="6"/>
        <v>8690.34916039433</v>
      </c>
      <c r="P21" s="43">
        <f t="shared" si="6"/>
        <v>8690.34916039433</v>
      </c>
      <c r="Q21" s="43">
        <f t="shared" si="6"/>
        <v>8690.34916039433</v>
      </c>
      <c r="R21" s="43">
        <f t="shared" si="6"/>
        <v>8690.34916039433</v>
      </c>
      <c r="S21" s="43">
        <f t="shared" si="6"/>
        <v>8690.34916039433</v>
      </c>
      <c r="T21" s="43">
        <f t="shared" si="6"/>
        <v>8690.34916039433</v>
      </c>
      <c r="U21" s="43">
        <f t="shared" si="6"/>
        <v>8690.34916039433</v>
      </c>
      <c r="V21" s="43">
        <f t="shared" si="6"/>
        <v>8690.34916039433</v>
      </c>
      <c r="W21" s="43">
        <f t="shared" si="6"/>
        <v>8690.34916039433</v>
      </c>
      <c r="X21" s="43">
        <f t="shared" si="6"/>
        <v>8690.34916039433</v>
      </c>
      <c r="Y21" s="43">
        <f t="shared" si="6"/>
        <v>8690.34916039433</v>
      </c>
      <c r="Z21" s="43">
        <f t="shared" si="6"/>
        <v>8690.34916039433</v>
      </c>
      <c r="AA21" s="43">
        <f t="shared" si="6"/>
        <v>8690.34916039433</v>
      </c>
      <c r="AB21" s="43">
        <f t="shared" si="6"/>
        <v>8690.34916039433</v>
      </c>
      <c r="AC21" s="43">
        <f t="shared" si="6"/>
        <v>8690.34916039433</v>
      </c>
      <c r="AD21" s="43">
        <f t="shared" si="6"/>
        <v>8690.34916039433</v>
      </c>
      <c r="AE21" s="43">
        <f t="shared" si="6"/>
        <v>8690.34916039433</v>
      </c>
      <c r="AF21" s="43">
        <f t="shared" si="6"/>
        <v>8690.34916039433</v>
      </c>
      <c r="AG21" s="43">
        <f t="shared" si="6"/>
        <v>8690.34916039433</v>
      </c>
      <c r="AH21" s="43">
        <f t="shared" si="6"/>
        <v>8690.34916039433</v>
      </c>
      <c r="AI21" s="43">
        <f t="shared" si="6"/>
        <v>8690.34916039433</v>
      </c>
      <c r="AJ21" s="43">
        <f t="shared" si="6"/>
        <v>8690.34916039433</v>
      </c>
      <c r="AK21" s="43">
        <f t="shared" si="6"/>
        <v>8690.34916039433</v>
      </c>
      <c r="AL21" s="43">
        <f t="shared" si="6"/>
        <v>8690.34916039433</v>
      </c>
      <c r="AM21" s="43">
        <f t="shared" si="6"/>
        <v>8690.34916039433</v>
      </c>
      <c r="AN21" s="43">
        <f t="shared" si="6"/>
        <v>8690.34916039433</v>
      </c>
      <c r="AO21" s="43">
        <f t="shared" si="6"/>
        <v>8690.34916039433</v>
      </c>
      <c r="AP21" s="43">
        <f t="shared" si="6"/>
        <v>8690.34916039433</v>
      </c>
      <c r="AQ21" s="43">
        <f t="shared" si="6"/>
        <v>8690.34916039433</v>
      </c>
      <c r="AR21" s="43">
        <f t="shared" si="6"/>
        <v>8690.34916039433</v>
      </c>
    </row>
    <row r="22" s="6" customFormat="1" spans="1:44">
      <c r="A22" s="42" t="s">
        <v>930</v>
      </c>
      <c r="B22" s="43"/>
      <c r="C22" s="43">
        <f>IF(B20-C20-B21&gt;0,B20-C20-B21,0)</f>
        <v>0</v>
      </c>
      <c r="D22" s="43">
        <f>IF(C20-D20-C21&gt;0,C20-D20-C21,0)</f>
        <v>0</v>
      </c>
      <c r="E22" s="43">
        <f t="shared" ref="E22:AR22" si="7">IF(D20-E20-D21&gt;0,D20-E20-D21,0)</f>
        <v>0</v>
      </c>
      <c r="F22" s="43">
        <f t="shared" si="7"/>
        <v>0</v>
      </c>
      <c r="G22" s="43">
        <f t="shared" si="7"/>
        <v>0</v>
      </c>
      <c r="H22" s="43">
        <f t="shared" si="7"/>
        <v>0</v>
      </c>
      <c r="I22" s="43">
        <f t="shared" si="7"/>
        <v>0</v>
      </c>
      <c r="J22" s="43">
        <f t="shared" si="7"/>
        <v>0</v>
      </c>
      <c r="K22" s="43">
        <f t="shared" si="7"/>
        <v>0</v>
      </c>
      <c r="L22" s="43">
        <f t="shared" si="7"/>
        <v>0</v>
      </c>
      <c r="M22" s="43">
        <f t="shared" si="7"/>
        <v>0</v>
      </c>
      <c r="N22" s="43">
        <f t="shared" si="7"/>
        <v>0</v>
      </c>
      <c r="O22" s="43">
        <f t="shared" si="7"/>
        <v>0</v>
      </c>
      <c r="P22" s="43">
        <f t="shared" si="7"/>
        <v>0</v>
      </c>
      <c r="Q22" s="43">
        <f t="shared" si="7"/>
        <v>0</v>
      </c>
      <c r="R22" s="43">
        <f t="shared" si="7"/>
        <v>0</v>
      </c>
      <c r="S22" s="43">
        <f t="shared" si="7"/>
        <v>0</v>
      </c>
      <c r="T22" s="43">
        <f t="shared" si="7"/>
        <v>0</v>
      </c>
      <c r="U22" s="43">
        <f t="shared" si="7"/>
        <v>0</v>
      </c>
      <c r="V22" s="43">
        <f t="shared" si="7"/>
        <v>0</v>
      </c>
      <c r="W22" s="43">
        <f t="shared" si="7"/>
        <v>0</v>
      </c>
      <c r="X22" s="43">
        <f t="shared" si="7"/>
        <v>0</v>
      </c>
      <c r="Y22" s="43">
        <f t="shared" si="7"/>
        <v>0</v>
      </c>
      <c r="Z22" s="43">
        <f t="shared" si="7"/>
        <v>0</v>
      </c>
      <c r="AA22" s="43">
        <f t="shared" si="7"/>
        <v>0</v>
      </c>
      <c r="AB22" s="43">
        <f t="shared" si="7"/>
        <v>0</v>
      </c>
      <c r="AC22" s="43">
        <f t="shared" si="7"/>
        <v>0</v>
      </c>
      <c r="AD22" s="43">
        <f t="shared" si="7"/>
        <v>0</v>
      </c>
      <c r="AE22" s="43">
        <f t="shared" si="7"/>
        <v>0</v>
      </c>
      <c r="AF22" s="43">
        <f t="shared" si="7"/>
        <v>0</v>
      </c>
      <c r="AG22" s="43">
        <f t="shared" si="7"/>
        <v>0</v>
      </c>
      <c r="AH22" s="43">
        <f t="shared" si="7"/>
        <v>0</v>
      </c>
      <c r="AI22" s="43">
        <f t="shared" si="7"/>
        <v>0</v>
      </c>
      <c r="AJ22" s="43">
        <f t="shared" si="7"/>
        <v>0</v>
      </c>
      <c r="AK22" s="43">
        <f t="shared" si="7"/>
        <v>0</v>
      </c>
      <c r="AL22" s="43">
        <f t="shared" si="7"/>
        <v>0</v>
      </c>
      <c r="AM22" s="43">
        <f t="shared" si="7"/>
        <v>0</v>
      </c>
      <c r="AN22" s="43">
        <f t="shared" si="7"/>
        <v>0</v>
      </c>
      <c r="AO22" s="43">
        <f t="shared" si="7"/>
        <v>0</v>
      </c>
      <c r="AP22" s="43">
        <f t="shared" si="7"/>
        <v>0</v>
      </c>
      <c r="AQ22" s="43">
        <f t="shared" si="7"/>
        <v>0</v>
      </c>
      <c r="AR22" s="43">
        <f t="shared" si="7"/>
        <v>0</v>
      </c>
    </row>
    <row r="23" s="6" customFormat="1" spans="1:44">
      <c r="A23" s="42" t="s">
        <v>931</v>
      </c>
      <c r="B23" s="43"/>
      <c r="C23" s="43">
        <f t="shared" ref="C23:AR23" si="8">IF(C20-B20+B21&gt;0,C20-B20+B21,0)</f>
        <v>41087.8387768955</v>
      </c>
      <c r="D23" s="43">
        <f t="shared" si="8"/>
        <v>50876.1918393526</v>
      </c>
      <c r="E23" s="43">
        <f t="shared" si="8"/>
        <v>31175.6456742882</v>
      </c>
      <c r="F23" s="43">
        <f t="shared" si="8"/>
        <v>30676.2208739237</v>
      </c>
      <c r="G23" s="43">
        <f t="shared" si="8"/>
        <v>30165.6749212345</v>
      </c>
      <c r="H23" s="43">
        <f t="shared" si="8"/>
        <v>29645.0600700895</v>
      </c>
      <c r="I23" s="43">
        <f t="shared" si="8"/>
        <v>29115.5889699733</v>
      </c>
      <c r="J23" s="43">
        <f t="shared" si="8"/>
        <v>28578.3987560246</v>
      </c>
      <c r="K23" s="43">
        <f t="shared" si="8"/>
        <v>28034.8542865859</v>
      </c>
      <c r="L23" s="43">
        <f t="shared" si="8"/>
        <v>27486.2491047906</v>
      </c>
      <c r="M23" s="43">
        <f t="shared" si="8"/>
        <v>26934.0313576613</v>
      </c>
      <c r="N23" s="43">
        <f t="shared" si="8"/>
        <v>26379.7039983765</v>
      </c>
      <c r="O23" s="43">
        <f t="shared" si="8"/>
        <v>25824.8113410761</v>
      </c>
      <c r="P23" s="43">
        <f t="shared" si="8"/>
        <v>25271.0666963103</v>
      </c>
      <c r="Q23" s="43">
        <f t="shared" si="8"/>
        <v>24720.1419459108</v>
      </c>
      <c r="R23" s="43">
        <f t="shared" si="8"/>
        <v>24173.8980286295</v>
      </c>
      <c r="S23" s="43">
        <f t="shared" si="8"/>
        <v>23634.2162909502</v>
      </c>
      <c r="T23" s="43">
        <f t="shared" si="8"/>
        <v>23103.0949554659</v>
      </c>
      <c r="U23" s="43">
        <f t="shared" si="8"/>
        <v>22582.64811051</v>
      </c>
      <c r="V23" s="43">
        <f t="shared" si="8"/>
        <v>22074.9985994861</v>
      </c>
      <c r="W23" s="43">
        <f t="shared" si="8"/>
        <v>21582.4542995644</v>
      </c>
      <c r="X23" s="43">
        <f t="shared" si="8"/>
        <v>21107.3949665434</v>
      </c>
      <c r="Y23" s="43">
        <f t="shared" si="8"/>
        <v>20652.3101160644</v>
      </c>
      <c r="Z23" s="43">
        <f t="shared" si="8"/>
        <v>20219.7466761353</v>
      </c>
      <c r="AA23" s="43">
        <f t="shared" si="8"/>
        <v>19812.398210661</v>
      </c>
      <c r="AB23" s="43">
        <f t="shared" si="8"/>
        <v>19433.1224125488</v>
      </c>
      <c r="AC23" s="43">
        <f t="shared" si="8"/>
        <v>19084.7892847137</v>
      </c>
      <c r="AD23" s="43">
        <f t="shared" si="8"/>
        <v>18770.4135625897</v>
      </c>
      <c r="AE23" s="43">
        <f t="shared" si="8"/>
        <v>18493.2431777817</v>
      </c>
      <c r="AF23" s="43">
        <f t="shared" si="8"/>
        <v>18256.4837630658</v>
      </c>
      <c r="AG23" s="43">
        <f t="shared" si="8"/>
        <v>18063.5591787628</v>
      </c>
      <c r="AH23" s="43">
        <f t="shared" si="8"/>
        <v>17918.0640467461</v>
      </c>
      <c r="AI23" s="43">
        <f t="shared" si="8"/>
        <v>17823.594710095</v>
      </c>
      <c r="AJ23" s="43">
        <f t="shared" si="8"/>
        <v>17784.0738414248</v>
      </c>
      <c r="AK23" s="43">
        <f t="shared" si="8"/>
        <v>17803.3497689626</v>
      </c>
      <c r="AL23" s="43">
        <f t="shared" si="8"/>
        <v>17885.6324321564</v>
      </c>
      <c r="AM23" s="43">
        <f t="shared" si="8"/>
        <v>18035.1484642498</v>
      </c>
      <c r="AN23" s="43">
        <f t="shared" si="8"/>
        <v>18256.3063935905</v>
      </c>
      <c r="AO23" s="43">
        <f t="shared" si="8"/>
        <v>18553.6807998765</v>
      </c>
      <c r="AP23" s="43">
        <f t="shared" si="8"/>
        <v>18932.0170382463</v>
      </c>
      <c r="AQ23" s="43">
        <f t="shared" si="8"/>
        <v>19396.2764381931</v>
      </c>
      <c r="AR23" s="43">
        <f t="shared" si="8"/>
        <v>19951.4708227119</v>
      </c>
    </row>
    <row r="24" s="6" customFormat="1" spans="1:44">
      <c r="A24" s="42" t="s">
        <v>932</v>
      </c>
      <c r="B24" s="43">
        <v>0</v>
      </c>
      <c r="C24" s="43">
        <f>SUM($C23:C23)</f>
        <v>41087.8387768955</v>
      </c>
      <c r="D24" s="43">
        <f>SUM($C23:D23)</f>
        <v>91964.0306162481</v>
      </c>
      <c r="E24" s="43">
        <f>SUM($C23:E23)</f>
        <v>123139.676290536</v>
      </c>
      <c r="F24" s="43">
        <f>SUM($C23:F23)</f>
        <v>153815.89716446</v>
      </c>
      <c r="G24" s="43">
        <f>SUM($C23:G23)</f>
        <v>183981.572085695</v>
      </c>
      <c r="H24" s="43">
        <f>SUM($C23:H23)</f>
        <v>213626.632155784</v>
      </c>
      <c r="I24" s="43">
        <f>SUM($C23:I23)</f>
        <v>242742.221125757</v>
      </c>
      <c r="J24" s="43">
        <f>SUM($C23:J23)</f>
        <v>271320.619881782</v>
      </c>
      <c r="K24" s="43">
        <f>SUM($C23:K23)</f>
        <v>299355.474168368</v>
      </c>
      <c r="L24" s="43">
        <f>SUM($C23:L23)</f>
        <v>326841.723273158</v>
      </c>
      <c r="M24" s="43">
        <f>SUM($C23:M23)</f>
        <v>353775.75463082</v>
      </c>
      <c r="N24" s="43">
        <f>SUM($C23:N23)</f>
        <v>380155.458629196</v>
      </c>
      <c r="O24" s="43">
        <f>SUM($C23:O23)</f>
        <v>405980.269970272</v>
      </c>
      <c r="P24" s="43">
        <f>SUM($C23:P23)</f>
        <v>431251.336666583</v>
      </c>
      <c r="Q24" s="43">
        <f>SUM($C23:Q23)</f>
        <v>455971.478612493</v>
      </c>
      <c r="R24" s="43">
        <f>SUM($C23:R23)</f>
        <v>480145.376641123</v>
      </c>
      <c r="S24" s="43">
        <f>SUM($C23:S23)</f>
        <v>503779.592932073</v>
      </c>
      <c r="T24" s="43">
        <f>SUM($C23:T23)</f>
        <v>526882.687887539</v>
      </c>
      <c r="U24" s="43">
        <f>SUM($C23:U23)</f>
        <v>549465.335998049</v>
      </c>
      <c r="V24" s="43">
        <f>SUM($C23:V23)</f>
        <v>571540.334597535</v>
      </c>
      <c r="W24" s="43">
        <f>SUM($C23:W23)</f>
        <v>593122.7888971</v>
      </c>
      <c r="X24" s="43">
        <f>SUM($C23:X23)</f>
        <v>614230.183863643</v>
      </c>
      <c r="Y24" s="43">
        <f>SUM($C23:Y23)</f>
        <v>634882.493979707</v>
      </c>
      <c r="Z24" s="43">
        <f>SUM($C23:Z23)</f>
        <v>655102.240655842</v>
      </c>
      <c r="AA24" s="43">
        <f>SUM($C23:AA23)</f>
        <v>674914.638866503</v>
      </c>
      <c r="AB24" s="43">
        <f>SUM($C23:AB23)</f>
        <v>694347.761279052</v>
      </c>
      <c r="AC24" s="43">
        <f>SUM($C23:AC23)</f>
        <v>713432.550563766</v>
      </c>
      <c r="AD24" s="43">
        <f>SUM($C23:AD23)</f>
        <v>732202.964126355</v>
      </c>
      <c r="AE24" s="43">
        <f>SUM($C23:AE23)</f>
        <v>750696.207304137</v>
      </c>
      <c r="AF24" s="43">
        <f>SUM($C23:AF23)</f>
        <v>768952.691067203</v>
      </c>
      <c r="AG24" s="43">
        <f>SUM($C23:AG23)</f>
        <v>787016.250245966</v>
      </c>
      <c r="AH24" s="43">
        <f>SUM($C23:AH23)</f>
        <v>804934.314292712</v>
      </c>
      <c r="AI24" s="43">
        <f>SUM($C23:AI23)</f>
        <v>822757.909002807</v>
      </c>
      <c r="AJ24" s="43">
        <f>SUM($C23:AJ23)</f>
        <v>840541.982844231</v>
      </c>
      <c r="AK24" s="43">
        <f>SUM($C23:AK23)</f>
        <v>858345.332613194</v>
      </c>
      <c r="AL24" s="43">
        <f>SUM($C23:AL23)</f>
        <v>876230.96504535</v>
      </c>
      <c r="AM24" s="43">
        <f>SUM($C23:AM23)</f>
        <v>894266.1135096</v>
      </c>
      <c r="AN24" s="43">
        <f>SUM($C23:AN23)</f>
        <v>912522.419903191</v>
      </c>
      <c r="AO24" s="43">
        <f>SUM($C23:AO23)</f>
        <v>931076.100703067</v>
      </c>
      <c r="AP24" s="43">
        <f>SUM($C23:AP23)</f>
        <v>950008.117741313</v>
      </c>
      <c r="AQ24" s="43">
        <f>SUM($C23:AQ23)</f>
        <v>969404.394179506</v>
      </c>
      <c r="AR24" s="43">
        <f>SUM($C23:AR23)</f>
        <v>989355.865002218</v>
      </c>
    </row>
    <row r="25" s="6" customFormat="1" spans="1:44">
      <c r="A25" s="42" t="s">
        <v>933</v>
      </c>
      <c r="B25" s="43">
        <f>B20</f>
        <v>1223992.83949216</v>
      </c>
      <c r="C25" s="43">
        <f>$B20-SUM($B21:B21)-SUM($B22:B22)</f>
        <v>1215302.49033176</v>
      </c>
      <c r="D25" s="43">
        <f>$B20-SUM($B21:C21)-SUM($B22:C22)</f>
        <v>1206612.14117137</v>
      </c>
      <c r="E25" s="43">
        <f>$B20-SUM($B21:D21)-SUM($B22:D22)</f>
        <v>1197921.79201098</v>
      </c>
      <c r="F25" s="43">
        <f>$B20-SUM($B21:E21)-SUM($B22:E22)</f>
        <v>1189231.44285058</v>
      </c>
      <c r="G25" s="43">
        <f>$B20-SUM($B21:F21)-SUM($B22:F22)</f>
        <v>1180541.09369019</v>
      </c>
      <c r="H25" s="43">
        <f>$B20-SUM($B21:G21)-SUM($B22:G22)</f>
        <v>1171850.74452979</v>
      </c>
      <c r="I25" s="43">
        <f>$B20-SUM($B21:H21)-SUM($B22:H22)</f>
        <v>1163160.3953694</v>
      </c>
      <c r="J25" s="43">
        <f>$B20-SUM($B21:I21)-SUM($B22:I22)</f>
        <v>1154470.046209</v>
      </c>
      <c r="K25" s="43">
        <f>$B20-SUM($B21:J21)-SUM($B22:J22)</f>
        <v>1145779.69704861</v>
      </c>
      <c r="L25" s="43">
        <f>$B20-SUM($B21:K21)-SUM($B22:K22)</f>
        <v>1137089.34788822</v>
      </c>
      <c r="M25" s="43">
        <f>$B20-SUM($B21:L21)-SUM($B22:L22)</f>
        <v>1128398.99872782</v>
      </c>
      <c r="N25" s="43">
        <f>$B20-SUM($B21:M21)-SUM($B22:M22)</f>
        <v>1119708.64956743</v>
      </c>
      <c r="O25" s="43">
        <f>$B20-SUM($B21:N21)-SUM($B22:N22)</f>
        <v>1111018.30040703</v>
      </c>
      <c r="P25" s="43">
        <f>$B20-SUM($B21:O21)-SUM($B22:O22)</f>
        <v>1102327.95124664</v>
      </c>
      <c r="Q25" s="43">
        <f>$B20-SUM($B21:P21)-SUM($B22:P22)</f>
        <v>1093637.60208624</v>
      </c>
      <c r="R25" s="43">
        <f>$B20-SUM($B21:Q21)-SUM($B22:Q22)</f>
        <v>1084947.25292585</v>
      </c>
      <c r="S25" s="43">
        <f>$B20-SUM($B21:R21)-SUM($B22:R22)</f>
        <v>1076256.90376546</v>
      </c>
      <c r="T25" s="43">
        <f>$B20-SUM($B21:S21)-SUM($B22:S22)</f>
        <v>1067566.55460506</v>
      </c>
      <c r="U25" s="43">
        <f>$B20-SUM($B21:T21)-SUM($B22:T22)</f>
        <v>1058876.20544467</v>
      </c>
      <c r="V25" s="43">
        <f>$B20-SUM($B21:U21)-SUM($B22:U22)</f>
        <v>1050185.85628427</v>
      </c>
      <c r="W25" s="43">
        <f>$B20-SUM($B21:V21)-SUM($B22:V22)</f>
        <v>1041495.50712388</v>
      </c>
      <c r="X25" s="43">
        <f>$B20-SUM($B21:W21)-SUM($B22:W22)</f>
        <v>1032805.15796348</v>
      </c>
      <c r="Y25" s="43">
        <f>$B20-SUM($B21:X21)-SUM($B22:X22)</f>
        <v>1024114.80880309</v>
      </c>
      <c r="Z25" s="43">
        <f>$B20-SUM($B21:Y21)-SUM($B22:Y22)</f>
        <v>1015424.4596427</v>
      </c>
      <c r="AA25" s="43">
        <f>$B20-SUM($B21:Z21)-SUM($B22:Z22)</f>
        <v>1006734.1104823</v>
      </c>
      <c r="AB25" s="43">
        <f>$B20-SUM($B21:AA21)-SUM($B22:AA22)</f>
        <v>998043.761321907</v>
      </c>
      <c r="AC25" s="43">
        <f>$B20-SUM($B21:AB21)-SUM($B22:AB22)</f>
        <v>989353.412161512</v>
      </c>
      <c r="AD25" s="43">
        <f>$B20-SUM($B21:AC21)-SUM($B22:AC22)</f>
        <v>980663.063001118</v>
      </c>
      <c r="AE25" s="43">
        <f>$B20-SUM($B21:AD21)-SUM($B22:AD22)</f>
        <v>971972.713840723</v>
      </c>
      <c r="AF25" s="43">
        <f>$B20-SUM($B21:AE21)-SUM($B22:AE22)</f>
        <v>963282.364680329</v>
      </c>
      <c r="AG25" s="43">
        <f>$B20-SUM($B21:AF21)-SUM($B22:AF22)</f>
        <v>954592.015519935</v>
      </c>
      <c r="AH25" s="43">
        <f>$B20-SUM($B21:AG21)-SUM($B22:AG22)</f>
        <v>945901.666359541</v>
      </c>
      <c r="AI25" s="43">
        <f>$B20-SUM($B21:AH21)-SUM($B22:AH22)</f>
        <v>937211.317199146</v>
      </c>
      <c r="AJ25" s="43">
        <f>$B20-SUM($B21:AI21)-SUM($B22:AI22)</f>
        <v>928520.968038752</v>
      </c>
      <c r="AK25" s="43">
        <f>$B20-SUM($B21:AJ21)-SUM($B22:AJ22)</f>
        <v>919830.618878358</v>
      </c>
      <c r="AL25" s="43">
        <f>$B20-SUM($B21:AK21)-SUM($B22:AK22)</f>
        <v>911140.269717963</v>
      </c>
      <c r="AM25" s="43">
        <f>$B20-SUM($B21:AL21)-SUM($B22:AL22)</f>
        <v>902449.920557569</v>
      </c>
      <c r="AN25" s="43">
        <f>$B20-SUM($B21:AM21)-SUM($B22:AM22)</f>
        <v>893759.571397174</v>
      </c>
      <c r="AO25" s="43">
        <f>$B20-SUM($B21:AN21)-SUM($B22:AN22)</f>
        <v>885069.22223678</v>
      </c>
      <c r="AP25" s="43">
        <f>$B20-SUM($B21:AO21)-SUM($B22:AO22)</f>
        <v>876378.873076386</v>
      </c>
      <c r="AQ25" s="43">
        <f>$B20-SUM($B21:AP21)-SUM($B22:AP22)</f>
        <v>867688.523915991</v>
      </c>
      <c r="AR25" s="43">
        <f>$B20-SUM($B21:AQ21)-SUM($B22:AQ22)</f>
        <v>858998.174755597</v>
      </c>
    </row>
    <row r="26" s="6" customFormat="1" spans="1:44">
      <c r="A26" s="45"/>
      <c r="B26" s="43"/>
      <c r="C26" s="43"/>
      <c r="D26" s="43"/>
      <c r="E26" s="43"/>
      <c r="F26" s="43"/>
      <c r="G26" s="43"/>
      <c r="H26" s="43"/>
      <c r="I26" s="43"/>
      <c r="J26" s="43"/>
      <c r="K26" s="43"/>
      <c r="L26" s="43"/>
      <c r="M26" s="43"/>
      <c r="N26" s="43"/>
      <c r="O26" s="43"/>
      <c r="P26" s="43"/>
      <c r="Q26" s="43"/>
      <c r="R26" s="43"/>
      <c r="S26" s="43"/>
      <c r="T26" s="43"/>
      <c r="U26" s="43"/>
      <c r="V26" s="43"/>
      <c r="W26" s="43"/>
      <c r="X26" s="43"/>
      <c r="Y26" s="43"/>
      <c r="Z26" s="43"/>
      <c r="AA26" s="43"/>
      <c r="AB26" s="43"/>
      <c r="AC26" s="43"/>
      <c r="AD26" s="43"/>
      <c r="AE26" s="43"/>
      <c r="AF26" s="43"/>
      <c r="AG26" s="43"/>
      <c r="AH26" s="43"/>
      <c r="AI26" s="43"/>
      <c r="AJ26" s="43"/>
      <c r="AK26" s="43"/>
      <c r="AL26" s="43"/>
      <c r="AM26" s="43"/>
      <c r="AN26" s="43"/>
      <c r="AO26" s="43"/>
      <c r="AP26" s="43"/>
      <c r="AQ26" s="43"/>
      <c r="AR26" s="43"/>
    </row>
    <row r="27" s="5" customFormat="1" spans="1:44">
      <c r="A27" s="42"/>
      <c r="B27" s="41">
        <v>2018</v>
      </c>
      <c r="C27" s="41">
        <v>2019</v>
      </c>
      <c r="D27" s="41">
        <v>2020</v>
      </c>
      <c r="E27" s="41">
        <v>2021</v>
      </c>
      <c r="F27" s="41">
        <v>2022</v>
      </c>
      <c r="G27" s="41">
        <v>2023</v>
      </c>
      <c r="H27" s="41">
        <v>2024</v>
      </c>
      <c r="I27" s="41">
        <v>2025</v>
      </c>
      <c r="J27" s="41">
        <v>2026</v>
      </c>
      <c r="K27" s="41">
        <v>2027</v>
      </c>
      <c r="L27" s="41">
        <v>2028</v>
      </c>
      <c r="M27" s="41">
        <v>2029</v>
      </c>
      <c r="N27" s="41">
        <v>2030</v>
      </c>
      <c r="O27" s="41">
        <v>2031</v>
      </c>
      <c r="P27" s="41">
        <v>2032</v>
      </c>
      <c r="Q27" s="41">
        <v>2033</v>
      </c>
      <c r="R27" s="41">
        <v>2034</v>
      </c>
      <c r="S27" s="41">
        <v>2035</v>
      </c>
      <c r="T27" s="41">
        <v>2036</v>
      </c>
      <c r="U27" s="41">
        <v>2037</v>
      </c>
      <c r="V27" s="41">
        <v>2038</v>
      </c>
      <c r="W27" s="41">
        <v>2039</v>
      </c>
      <c r="X27" s="41">
        <v>2040</v>
      </c>
      <c r="Y27" s="41">
        <v>2041</v>
      </c>
      <c r="Z27" s="41">
        <v>2042</v>
      </c>
      <c r="AA27" s="41">
        <v>2043</v>
      </c>
      <c r="AB27" s="41">
        <v>2044</v>
      </c>
      <c r="AC27" s="41">
        <v>2045</v>
      </c>
      <c r="AD27" s="41">
        <v>2046</v>
      </c>
      <c r="AE27" s="41">
        <v>2047</v>
      </c>
      <c r="AF27" s="41">
        <v>2048</v>
      </c>
      <c r="AG27" s="41">
        <v>2049</v>
      </c>
      <c r="AH27" s="41">
        <v>2050</v>
      </c>
      <c r="AI27" s="41">
        <v>2051</v>
      </c>
      <c r="AJ27" s="41">
        <v>2052</v>
      </c>
      <c r="AK27" s="41">
        <v>2053</v>
      </c>
      <c r="AL27" s="41">
        <v>2054</v>
      </c>
      <c r="AM27" s="41">
        <v>2055</v>
      </c>
      <c r="AN27" s="41">
        <v>2056</v>
      </c>
      <c r="AO27" s="41">
        <v>2057</v>
      </c>
      <c r="AP27" s="41">
        <v>2058</v>
      </c>
      <c r="AQ27" s="41">
        <v>2059</v>
      </c>
      <c r="AR27" s="41">
        <v>2060</v>
      </c>
    </row>
    <row r="28" s="6" customFormat="1" spans="1:44">
      <c r="A28" s="42" t="s">
        <v>936</v>
      </c>
      <c r="B28" s="43">
        <f>D44*人口变化预测!D7/10000</f>
        <v>1256822.95740443</v>
      </c>
      <c r="C28" s="43">
        <f>E44*人口变化预测!E7/10000</f>
        <v>1246529.79934848</v>
      </c>
      <c r="D28" s="43">
        <f>F44*人口变化预测!F7/10000</f>
        <v>1288214.22074701</v>
      </c>
      <c r="E28" s="43">
        <f>G44*人口变化预测!G7/10000</f>
        <v>1310261.54003324</v>
      </c>
      <c r="F28" s="43">
        <f>H44*人口变化预测!H7/10000</f>
        <v>1331729.8459648</v>
      </c>
      <c r="G28" s="43">
        <f>I44*人口变化预测!I7/10000</f>
        <v>1352615.60011211</v>
      </c>
      <c r="H28" s="43">
        <f>J44*人口变化预测!J7/10000</f>
        <v>1372916.15247055</v>
      </c>
      <c r="I28" s="43">
        <f>K44*人口变化预测!K7/10000</f>
        <v>1392629.97990803</v>
      </c>
      <c r="J28" s="43">
        <f>L44*人口变化预测!L7/10000</f>
        <v>1411756.50551552</v>
      </c>
      <c r="K28" s="43">
        <f>M44*人口变化预测!M7/10000</f>
        <v>1430296.29396202</v>
      </c>
      <c r="L28" s="43">
        <f>N44*人口变化预测!N7/10000</f>
        <v>1448251.05618126</v>
      </c>
      <c r="M28" s="43">
        <f>O44*人口变化预测!O7/10000</f>
        <v>1465623.69181177</v>
      </c>
      <c r="N28" s="43">
        <f>P44*人口变化预测!P7/10000</f>
        <v>1482418.35239132</v>
      </c>
      <c r="O28" s="43">
        <f>Q44*人口变化预测!Q7/10000</f>
        <v>1498640.48667223</v>
      </c>
      <c r="P28" s="43">
        <f>R44*人口变化预测!R7/10000</f>
        <v>1514296.95280051</v>
      </c>
      <c r="Q28" s="43">
        <f>S44*人口变化预测!S7/10000</f>
        <v>1529395.96404874</v>
      </c>
      <c r="R28" s="43">
        <f>T44*人口变化预测!T7/10000</f>
        <v>1543947.27747989</v>
      </c>
      <c r="S28" s="43">
        <f>U44*人口变化预测!U7/10000</f>
        <v>1557962.19379235</v>
      </c>
      <c r="T28" s="43">
        <f>V44*人口变化预测!V7/10000</f>
        <v>1571453.5839328</v>
      </c>
      <c r="U28" s="43">
        <f>W44*人口变化预测!W7/10000</f>
        <v>1584436.04075413</v>
      </c>
      <c r="V28" s="43">
        <f>X44*人口变化预测!X7/10000</f>
        <v>1596925.85710424</v>
      </c>
      <c r="W28" s="43">
        <f>Y44*人口变化预测!Y7/10000</f>
        <v>1608941.15015558</v>
      </c>
      <c r="X28" s="43">
        <f>Z44*人口变化预测!Z7/10000</f>
        <v>1620501.93882995</v>
      </c>
      <c r="Y28" s="43">
        <f>AA44*人口变化预测!AA7/10000</f>
        <v>1631630.2263566</v>
      </c>
      <c r="Z28" s="43">
        <f>AB44*人口变化预测!AB7/10000</f>
        <v>1642349.97549829</v>
      </c>
      <c r="AA28" s="43">
        <f>AC44*人口变化预测!AC7/10000</f>
        <v>1652687.30726217</v>
      </c>
      <c r="AB28" s="43">
        <f>AD44*人口变化预测!AD7/10000</f>
        <v>1662670.528251</v>
      </c>
      <c r="AC28" s="43">
        <f>AE44*人口变化预测!AE7/10000</f>
        <v>1672330.22949111</v>
      </c>
      <c r="AD28" s="43">
        <f>AF44*人口变化预测!AF7/10000</f>
        <v>1681699.26801738</v>
      </c>
      <c r="AE28" s="43">
        <f>AG44*人口变化预测!AG7/10000</f>
        <v>1690813.08590621</v>
      </c>
      <c r="AF28" s="43">
        <f>AH44*人口变化预测!AH7/10000</f>
        <v>1699709.54509153</v>
      </c>
      <c r="AG28" s="43">
        <f>AI44*人口变化预测!AI7/10000</f>
        <v>1708429.1730389</v>
      </c>
      <c r="AH28" s="43">
        <f>AJ44*人口变化预测!AJ7/10000</f>
        <v>1717015.22765601</v>
      </c>
      <c r="AI28" s="43">
        <f>AK44*人口变化预测!AK7/10000</f>
        <v>1725513.66046465</v>
      </c>
      <c r="AJ28" s="43">
        <f>AL44*人口变化预测!AL7/10000</f>
        <v>1733973.51563018</v>
      </c>
      <c r="AK28" s="43">
        <f>AM44*人口变化预测!AM7/10000</f>
        <v>1742446.68277002</v>
      </c>
      <c r="AL28" s="43">
        <f>AN44*人口变化预测!AN7/10000</f>
        <v>1750988.24757266</v>
      </c>
      <c r="AM28" s="43">
        <f>AO44*人口变化预测!AO7/10000</f>
        <v>1759656.51830352</v>
      </c>
      <c r="AN28" s="43">
        <f>AP44*人口变化预测!AP7/10000</f>
        <v>1768513.04328779</v>
      </c>
      <c r="AO28" s="43">
        <f>AQ44*人口变化预测!AQ7/10000</f>
        <v>1777622.89299908</v>
      </c>
      <c r="AP28" s="43">
        <f>AR44*人口变化预测!AR7/10000</f>
        <v>1787054.62546389</v>
      </c>
      <c r="AQ28" s="43">
        <f>AS44*人口变化预测!AS7/10000</f>
        <v>1796880.59255383</v>
      </c>
      <c r="AR28" s="43">
        <f>AT44*人口变化预测!AT7/10000</f>
        <v>1807176.80097479</v>
      </c>
    </row>
    <row r="29" s="6" customFormat="1" spans="1:44">
      <c r="A29" s="42" t="s">
        <v>929</v>
      </c>
      <c r="B29" s="43">
        <f t="shared" ref="B29:AJ29" si="9">$B28*0.71%</f>
        <v>8923.44299757145</v>
      </c>
      <c r="C29" s="43">
        <f t="shared" si="9"/>
        <v>8923.44299757145</v>
      </c>
      <c r="D29" s="43">
        <f t="shared" si="9"/>
        <v>8923.44299757145</v>
      </c>
      <c r="E29" s="43">
        <f t="shared" si="9"/>
        <v>8923.44299757145</v>
      </c>
      <c r="F29" s="43">
        <f t="shared" si="9"/>
        <v>8923.44299757145</v>
      </c>
      <c r="G29" s="43">
        <f t="shared" si="9"/>
        <v>8923.44299757145</v>
      </c>
      <c r="H29" s="43">
        <f t="shared" si="9"/>
        <v>8923.44299757145</v>
      </c>
      <c r="I29" s="43">
        <f t="shared" si="9"/>
        <v>8923.44299757145</v>
      </c>
      <c r="J29" s="43">
        <f t="shared" si="9"/>
        <v>8923.44299757145</v>
      </c>
      <c r="K29" s="43">
        <f t="shared" si="9"/>
        <v>8923.44299757145</v>
      </c>
      <c r="L29" s="43">
        <f t="shared" si="9"/>
        <v>8923.44299757145</v>
      </c>
      <c r="M29" s="43">
        <f t="shared" si="9"/>
        <v>8923.44299757145</v>
      </c>
      <c r="N29" s="43">
        <f t="shared" si="9"/>
        <v>8923.44299757145</v>
      </c>
      <c r="O29" s="43">
        <f t="shared" si="9"/>
        <v>8923.44299757145</v>
      </c>
      <c r="P29" s="43">
        <f t="shared" si="9"/>
        <v>8923.44299757145</v>
      </c>
      <c r="Q29" s="43">
        <f t="shared" si="9"/>
        <v>8923.44299757145</v>
      </c>
      <c r="R29" s="43">
        <f t="shared" si="9"/>
        <v>8923.44299757145</v>
      </c>
      <c r="S29" s="43">
        <f t="shared" si="9"/>
        <v>8923.44299757145</v>
      </c>
      <c r="T29" s="43">
        <f t="shared" si="9"/>
        <v>8923.44299757145</v>
      </c>
      <c r="U29" s="43">
        <f t="shared" si="9"/>
        <v>8923.44299757145</v>
      </c>
      <c r="V29" s="43">
        <f t="shared" si="9"/>
        <v>8923.44299757145</v>
      </c>
      <c r="W29" s="43">
        <f t="shared" si="9"/>
        <v>8923.44299757145</v>
      </c>
      <c r="X29" s="43">
        <f t="shared" si="9"/>
        <v>8923.44299757145</v>
      </c>
      <c r="Y29" s="43">
        <f t="shared" si="9"/>
        <v>8923.44299757145</v>
      </c>
      <c r="Z29" s="43">
        <f t="shared" si="9"/>
        <v>8923.44299757145</v>
      </c>
      <c r="AA29" s="43">
        <f t="shared" si="9"/>
        <v>8923.44299757145</v>
      </c>
      <c r="AB29" s="43">
        <f t="shared" si="9"/>
        <v>8923.44299757145</v>
      </c>
      <c r="AC29" s="43">
        <f t="shared" si="9"/>
        <v>8923.44299757145</v>
      </c>
      <c r="AD29" s="43">
        <f t="shared" si="9"/>
        <v>8923.44299757145</v>
      </c>
      <c r="AE29" s="43">
        <f t="shared" si="9"/>
        <v>8923.44299757145</v>
      </c>
      <c r="AF29" s="43">
        <f t="shared" si="9"/>
        <v>8923.44299757145</v>
      </c>
      <c r="AG29" s="43">
        <f t="shared" si="9"/>
        <v>8923.44299757145</v>
      </c>
      <c r="AH29" s="43">
        <f t="shared" si="9"/>
        <v>8923.44299757145</v>
      </c>
      <c r="AI29" s="43">
        <f t="shared" si="9"/>
        <v>8923.44299757145</v>
      </c>
      <c r="AJ29" s="43">
        <f t="shared" si="9"/>
        <v>8923.44299757145</v>
      </c>
      <c r="AK29" s="43">
        <f t="shared" ref="AK29:AR29" si="10">$B28*0.71%</f>
        <v>8923.44299757145</v>
      </c>
      <c r="AL29" s="43">
        <f t="shared" si="10"/>
        <v>8923.44299757145</v>
      </c>
      <c r="AM29" s="43">
        <f t="shared" si="10"/>
        <v>8923.44299757145</v>
      </c>
      <c r="AN29" s="43">
        <f t="shared" si="10"/>
        <v>8923.44299757145</v>
      </c>
      <c r="AO29" s="43">
        <f t="shared" si="10"/>
        <v>8923.44299757145</v>
      </c>
      <c r="AP29" s="43">
        <f t="shared" si="10"/>
        <v>8923.44299757145</v>
      </c>
      <c r="AQ29" s="43">
        <f t="shared" si="10"/>
        <v>8923.44299757145</v>
      </c>
      <c r="AR29" s="43">
        <f t="shared" si="10"/>
        <v>8923.44299757145</v>
      </c>
    </row>
    <row r="30" s="6" customFormat="1" spans="1:44">
      <c r="A30" s="42" t="s">
        <v>937</v>
      </c>
      <c r="B30" s="43"/>
      <c r="C30" s="43">
        <f>IF(B28-C28-B29&gt;0,B28-C28-B29,0)</f>
        <v>1369.71505838177</v>
      </c>
      <c r="D30" s="43">
        <f>IF(C28-D28-C29&gt;0,C28-D28-C29,0)</f>
        <v>0</v>
      </c>
      <c r="E30" s="43">
        <f t="shared" ref="E30:AR30" si="11">IF(D28-E28-D29&gt;0,D28-E28-D29,0)</f>
        <v>0</v>
      </c>
      <c r="F30" s="43">
        <f t="shared" si="11"/>
        <v>0</v>
      </c>
      <c r="G30" s="43">
        <f t="shared" si="11"/>
        <v>0</v>
      </c>
      <c r="H30" s="43">
        <f t="shared" si="11"/>
        <v>0</v>
      </c>
      <c r="I30" s="43">
        <f t="shared" si="11"/>
        <v>0</v>
      </c>
      <c r="J30" s="43">
        <f t="shared" si="11"/>
        <v>0</v>
      </c>
      <c r="K30" s="43">
        <f t="shared" si="11"/>
        <v>0</v>
      </c>
      <c r="L30" s="43">
        <f t="shared" si="11"/>
        <v>0</v>
      </c>
      <c r="M30" s="43">
        <f t="shared" si="11"/>
        <v>0</v>
      </c>
      <c r="N30" s="43">
        <f t="shared" si="11"/>
        <v>0</v>
      </c>
      <c r="O30" s="43">
        <f t="shared" si="11"/>
        <v>0</v>
      </c>
      <c r="P30" s="43">
        <f t="shared" si="11"/>
        <v>0</v>
      </c>
      <c r="Q30" s="43">
        <f t="shared" si="11"/>
        <v>0</v>
      </c>
      <c r="R30" s="43">
        <f t="shared" si="11"/>
        <v>0</v>
      </c>
      <c r="S30" s="43">
        <f t="shared" si="11"/>
        <v>0</v>
      </c>
      <c r="T30" s="43">
        <f t="shared" si="11"/>
        <v>0</v>
      </c>
      <c r="U30" s="43">
        <f t="shared" si="11"/>
        <v>0</v>
      </c>
      <c r="V30" s="43">
        <f t="shared" si="11"/>
        <v>0</v>
      </c>
      <c r="W30" s="43">
        <f t="shared" si="11"/>
        <v>0</v>
      </c>
      <c r="X30" s="43">
        <f t="shared" si="11"/>
        <v>0</v>
      </c>
      <c r="Y30" s="43">
        <f t="shared" si="11"/>
        <v>0</v>
      </c>
      <c r="Z30" s="43">
        <f t="shared" si="11"/>
        <v>0</v>
      </c>
      <c r="AA30" s="43">
        <f t="shared" si="11"/>
        <v>0</v>
      </c>
      <c r="AB30" s="43">
        <f t="shared" si="11"/>
        <v>0</v>
      </c>
      <c r="AC30" s="43">
        <f t="shared" si="11"/>
        <v>0</v>
      </c>
      <c r="AD30" s="43">
        <f t="shared" si="11"/>
        <v>0</v>
      </c>
      <c r="AE30" s="43">
        <f t="shared" si="11"/>
        <v>0</v>
      </c>
      <c r="AF30" s="43">
        <f t="shared" si="11"/>
        <v>0</v>
      </c>
      <c r="AG30" s="43">
        <f t="shared" si="11"/>
        <v>0</v>
      </c>
      <c r="AH30" s="43">
        <f t="shared" si="11"/>
        <v>0</v>
      </c>
      <c r="AI30" s="43">
        <f t="shared" si="11"/>
        <v>0</v>
      </c>
      <c r="AJ30" s="43">
        <f t="shared" si="11"/>
        <v>0</v>
      </c>
      <c r="AK30" s="43">
        <f t="shared" si="11"/>
        <v>0</v>
      </c>
      <c r="AL30" s="43">
        <f t="shared" si="11"/>
        <v>0</v>
      </c>
      <c r="AM30" s="43">
        <f t="shared" si="11"/>
        <v>0</v>
      </c>
      <c r="AN30" s="43">
        <f t="shared" si="11"/>
        <v>0</v>
      </c>
      <c r="AO30" s="43">
        <f t="shared" si="11"/>
        <v>0</v>
      </c>
      <c r="AP30" s="43">
        <f t="shared" si="11"/>
        <v>0</v>
      </c>
      <c r="AQ30" s="43">
        <f t="shared" si="11"/>
        <v>0</v>
      </c>
      <c r="AR30" s="43">
        <f t="shared" si="11"/>
        <v>0</v>
      </c>
    </row>
    <row r="31" s="6" customFormat="1" spans="1:44">
      <c r="A31" s="42" t="s">
        <v>931</v>
      </c>
      <c r="B31" s="43"/>
      <c r="C31" s="43">
        <f t="shared" ref="C31:AR31" si="12">IF(C28-B28+B29&gt;0,C28-B28+B29,0)</f>
        <v>0</v>
      </c>
      <c r="D31" s="43">
        <f t="shared" si="12"/>
        <v>50607.8643961064</v>
      </c>
      <c r="E31" s="43">
        <f t="shared" si="12"/>
        <v>30970.7622838026</v>
      </c>
      <c r="F31" s="43">
        <f t="shared" si="12"/>
        <v>30391.7489291298</v>
      </c>
      <c r="G31" s="43">
        <f t="shared" si="12"/>
        <v>29809.1971448824</v>
      </c>
      <c r="H31" s="43">
        <f t="shared" si="12"/>
        <v>29223.9953560053</v>
      </c>
      <c r="I31" s="43">
        <f t="shared" si="12"/>
        <v>28637.2704350526</v>
      </c>
      <c r="J31" s="43">
        <f t="shared" si="12"/>
        <v>28049.9686050666</v>
      </c>
      <c r="K31" s="43">
        <f t="shared" si="12"/>
        <v>27463.2314440733</v>
      </c>
      <c r="L31" s="43">
        <f t="shared" si="12"/>
        <v>26878.2052168116</v>
      </c>
      <c r="M31" s="43">
        <f t="shared" si="12"/>
        <v>26296.0786280785</v>
      </c>
      <c r="N31" s="43">
        <f t="shared" si="12"/>
        <v>25718.1035771169</v>
      </c>
      <c r="O31" s="43">
        <f t="shared" si="12"/>
        <v>25145.5772784845</v>
      </c>
      <c r="P31" s="43">
        <f t="shared" si="12"/>
        <v>24579.909125849</v>
      </c>
      <c r="Q31" s="43">
        <f t="shared" si="12"/>
        <v>24022.4542458008</v>
      </c>
      <c r="R31" s="43">
        <f t="shared" si="12"/>
        <v>23474.7564287229</v>
      </c>
      <c r="S31" s="43">
        <f t="shared" si="12"/>
        <v>22938.3593100297</v>
      </c>
      <c r="T31" s="43">
        <f t="shared" si="12"/>
        <v>22414.8331380295</v>
      </c>
      <c r="U31" s="43">
        <f t="shared" si="12"/>
        <v>21905.8998188999</v>
      </c>
      <c r="V31" s="43">
        <f t="shared" si="12"/>
        <v>21413.2593476816</v>
      </c>
      <c r="W31" s="43">
        <f t="shared" si="12"/>
        <v>20938.7360489074</v>
      </c>
      <c r="X31" s="43">
        <f t="shared" si="12"/>
        <v>20484.2316719393</v>
      </c>
      <c r="Y31" s="43">
        <f t="shared" si="12"/>
        <v>20051.7305242297</v>
      </c>
      <c r="Z31" s="43">
        <f t="shared" si="12"/>
        <v>19643.1921392597</v>
      </c>
      <c r="AA31" s="43">
        <f t="shared" si="12"/>
        <v>19260.7747614467</v>
      </c>
      <c r="AB31" s="43">
        <f t="shared" si="12"/>
        <v>18906.6639864025</v>
      </c>
      <c r="AC31" s="43">
        <f t="shared" si="12"/>
        <v>18583.1442376842</v>
      </c>
      <c r="AD31" s="43">
        <f t="shared" si="12"/>
        <v>18292.4815238408</v>
      </c>
      <c r="AE31" s="43">
        <f t="shared" si="12"/>
        <v>18037.2608864011</v>
      </c>
      <c r="AF31" s="43">
        <f t="shared" si="12"/>
        <v>17819.9021828891</v>
      </c>
      <c r="AG31" s="43">
        <f t="shared" si="12"/>
        <v>17643.0709449457</v>
      </c>
      <c r="AH31" s="43">
        <f t="shared" si="12"/>
        <v>17509.497614676</v>
      </c>
      <c r="AI31" s="43">
        <f t="shared" si="12"/>
        <v>17421.8758062191</v>
      </c>
      <c r="AJ31" s="43">
        <f t="shared" si="12"/>
        <v>17383.2981630959</v>
      </c>
      <c r="AK31" s="43">
        <f t="shared" si="12"/>
        <v>17396.6101374136</v>
      </c>
      <c r="AL31" s="43">
        <f t="shared" si="12"/>
        <v>17465.0078002141</v>
      </c>
      <c r="AM31" s="43">
        <f t="shared" si="12"/>
        <v>17591.7137284271</v>
      </c>
      <c r="AN31" s="43">
        <f t="shared" si="12"/>
        <v>17779.9679818367</v>
      </c>
      <c r="AO31" s="43">
        <f t="shared" si="12"/>
        <v>18033.2927088641</v>
      </c>
      <c r="AP31" s="43">
        <f t="shared" si="12"/>
        <v>18355.1754623821</v>
      </c>
      <c r="AQ31" s="43">
        <f t="shared" si="12"/>
        <v>18749.4100875146</v>
      </c>
      <c r="AR31" s="43">
        <f t="shared" si="12"/>
        <v>19219.6514185273</v>
      </c>
    </row>
    <row r="32" s="6" customFormat="1" spans="1:44">
      <c r="A32" s="42" t="s">
        <v>932</v>
      </c>
      <c r="B32" s="43">
        <v>0</v>
      </c>
      <c r="C32" s="43">
        <f>SUM($C31:C31)</f>
        <v>0</v>
      </c>
      <c r="D32" s="43">
        <f>SUM($C31:D31)</f>
        <v>50607.8643961064</v>
      </c>
      <c r="E32" s="43">
        <f>SUM($C31:E31)</f>
        <v>81578.626679909</v>
      </c>
      <c r="F32" s="43">
        <f>SUM($C31:F31)</f>
        <v>111970.375609039</v>
      </c>
      <c r="G32" s="43">
        <f>SUM($C31:G31)</f>
        <v>141779.572753921</v>
      </c>
      <c r="H32" s="43">
        <f>SUM($C31:H31)</f>
        <v>171003.568109927</v>
      </c>
      <c r="I32" s="43">
        <f>SUM($C31:I31)</f>
        <v>199640.838544979</v>
      </c>
      <c r="J32" s="43">
        <f>SUM($C31:J31)</f>
        <v>227690.807150046</v>
      </c>
      <c r="K32" s="43">
        <f>SUM($C31:K31)</f>
        <v>255154.038594119</v>
      </c>
      <c r="L32" s="43">
        <f>SUM($C31:L31)</f>
        <v>282032.243810931</v>
      </c>
      <c r="M32" s="43">
        <f>SUM($C31:M31)</f>
        <v>308328.322439009</v>
      </c>
      <c r="N32" s="43">
        <f>SUM($C31:N31)</f>
        <v>334046.426016126</v>
      </c>
      <c r="O32" s="43">
        <f>SUM($C31:O31)</f>
        <v>359192.00329461</v>
      </c>
      <c r="P32" s="43">
        <f>SUM($C31:P31)</f>
        <v>383771.912420459</v>
      </c>
      <c r="Q32" s="43">
        <f>SUM($C31:Q31)</f>
        <v>407794.36666626</v>
      </c>
      <c r="R32" s="43">
        <f>SUM($C31:R31)</f>
        <v>431269.123094983</v>
      </c>
      <c r="S32" s="43">
        <f>SUM($C31:S31)</f>
        <v>454207.482405013</v>
      </c>
      <c r="T32" s="43">
        <f>SUM($C31:T31)</f>
        <v>476622.315543042</v>
      </c>
      <c r="U32" s="43">
        <f>SUM($C31:U31)</f>
        <v>498528.215361942</v>
      </c>
      <c r="V32" s="43">
        <f>SUM($C31:V31)</f>
        <v>519941.474709624</v>
      </c>
      <c r="W32" s="43">
        <f>SUM($C31:W31)</f>
        <v>540880.210758531</v>
      </c>
      <c r="X32" s="43">
        <f>SUM($C31:X31)</f>
        <v>561364.44243047</v>
      </c>
      <c r="Y32" s="43">
        <f>SUM($C31:Y31)</f>
        <v>581416.1729547</v>
      </c>
      <c r="Z32" s="43">
        <f>SUM($C31:Z31)</f>
        <v>601059.36509396</v>
      </c>
      <c r="AA32" s="43">
        <f>SUM($C31:AA31)</f>
        <v>620320.139855406</v>
      </c>
      <c r="AB32" s="43">
        <f>SUM($C31:AB31)</f>
        <v>639226.803841809</v>
      </c>
      <c r="AC32" s="43">
        <f>SUM($C31:AC31)</f>
        <v>657809.948079493</v>
      </c>
      <c r="AD32" s="43">
        <f>SUM($C31:AD31)</f>
        <v>676102.429603334</v>
      </c>
      <c r="AE32" s="43">
        <f>SUM($C31:AE31)</f>
        <v>694139.690489735</v>
      </c>
      <c r="AF32" s="43">
        <f>SUM($C31:AF31)</f>
        <v>711959.592672624</v>
      </c>
      <c r="AG32" s="43">
        <f>SUM($C31:AG31)</f>
        <v>729602.663617569</v>
      </c>
      <c r="AH32" s="43">
        <f>SUM($C31:AH31)</f>
        <v>747112.161232246</v>
      </c>
      <c r="AI32" s="43">
        <f>SUM($C31:AI31)</f>
        <v>764534.037038465</v>
      </c>
      <c r="AJ32" s="43">
        <f>SUM($C31:AJ31)</f>
        <v>781917.33520156</v>
      </c>
      <c r="AK32" s="43">
        <f>SUM($C31:AK31)</f>
        <v>799313.945338974</v>
      </c>
      <c r="AL32" s="43">
        <f>SUM($C31:AL31)</f>
        <v>816778.953139188</v>
      </c>
      <c r="AM32" s="43">
        <f>SUM($C31:AM31)</f>
        <v>834370.666867615</v>
      </c>
      <c r="AN32" s="43">
        <f>SUM($C31:AN31)</f>
        <v>852150.634849452</v>
      </c>
      <c r="AO32" s="43">
        <f>SUM($C31:AO31)</f>
        <v>870183.927558316</v>
      </c>
      <c r="AP32" s="43">
        <f>SUM($C31:AP31)</f>
        <v>888539.103020698</v>
      </c>
      <c r="AQ32" s="43">
        <f>SUM($C31:AQ31)</f>
        <v>907288.513108212</v>
      </c>
      <c r="AR32" s="43">
        <f>SUM($C31:AR31)</f>
        <v>926508.16452674</v>
      </c>
    </row>
    <row r="33" s="6" customFormat="1" spans="1:46">
      <c r="A33" s="42" t="s">
        <v>933</v>
      </c>
      <c r="B33" s="43">
        <f>B28</f>
        <v>1256822.95740443</v>
      </c>
      <c r="C33" s="43">
        <f>$B28-SUM($B29:B29)-SUM($B30:B30)</f>
        <v>1247899.51440686</v>
      </c>
      <c r="D33" s="43">
        <f>$B28-SUM($B29:C29)-SUM($B30:C30)</f>
        <v>1237606.35635091</v>
      </c>
      <c r="E33" s="43">
        <f>$B28-SUM($B29:D29)-SUM($B30:D30)</f>
        <v>1228682.91335333</v>
      </c>
      <c r="F33" s="43">
        <f>$B28-SUM($B29:E29)-SUM($B30:E30)</f>
        <v>1219759.47035576</v>
      </c>
      <c r="G33" s="43">
        <f>$B28-SUM($B29:F29)-SUM($B30:F30)</f>
        <v>1210836.02735819</v>
      </c>
      <c r="H33" s="43">
        <f>$B28-SUM($B29:G29)-SUM($B30:G30)</f>
        <v>1201912.58436062</v>
      </c>
      <c r="I33" s="43">
        <f>$B28-SUM($B29:H29)-SUM($B30:H30)</f>
        <v>1192989.14136305</v>
      </c>
      <c r="J33" s="43">
        <f>$B28-SUM($B29:I29)-SUM($B30:I30)</f>
        <v>1184065.69836548</v>
      </c>
      <c r="K33" s="43">
        <f>$B28-SUM($B29:J29)-SUM($B30:J30)</f>
        <v>1175142.2553679</v>
      </c>
      <c r="L33" s="43">
        <f>$B28-SUM($B29:K29)-SUM($B30:K30)</f>
        <v>1166218.81237033</v>
      </c>
      <c r="M33" s="43">
        <f>$B28-SUM($B29:L29)-SUM($B30:L30)</f>
        <v>1157295.36937276</v>
      </c>
      <c r="N33" s="43">
        <f>$B28-SUM($B29:M29)-SUM($B30:M30)</f>
        <v>1148371.92637519</v>
      </c>
      <c r="O33" s="43">
        <f>$B28-SUM($B29:N29)-SUM($B30:N30)</f>
        <v>1139448.48337762</v>
      </c>
      <c r="P33" s="43">
        <f>$B28-SUM($B29:O29)-SUM($B30:O30)</f>
        <v>1130525.04038005</v>
      </c>
      <c r="Q33" s="43">
        <f>$B28-SUM($B29:P29)-SUM($B30:P30)</f>
        <v>1121601.59738248</v>
      </c>
      <c r="R33" s="43">
        <f>$B28-SUM($B29:Q29)-SUM($B30:Q30)</f>
        <v>1112678.1543849</v>
      </c>
      <c r="S33" s="43">
        <f>$B28-SUM($B29:R29)-SUM($B30:R30)</f>
        <v>1103754.71138733</v>
      </c>
      <c r="T33" s="43">
        <f>$B28-SUM($B29:S29)-SUM($B30:S30)</f>
        <v>1094831.26838976</v>
      </c>
      <c r="U33" s="43">
        <f>$B28-SUM($B29:T29)-SUM($B30:T30)</f>
        <v>1085907.82539219</v>
      </c>
      <c r="V33" s="43">
        <f>$B28-SUM($B29:U29)-SUM($B30:U30)</f>
        <v>1076984.38239462</v>
      </c>
      <c r="W33" s="43">
        <f>$B28-SUM($B29:V29)-SUM($B30:V30)</f>
        <v>1068060.93939705</v>
      </c>
      <c r="X33" s="43">
        <f>$B28-SUM($B29:W29)-SUM($B30:W30)</f>
        <v>1059137.49639948</v>
      </c>
      <c r="Y33" s="43">
        <f>$B28-SUM($B29:X29)-SUM($B30:X30)</f>
        <v>1050214.0534019</v>
      </c>
      <c r="Z33" s="43">
        <f>$B28-SUM($B29:Y29)-SUM($B30:Y30)</f>
        <v>1041290.61040433</v>
      </c>
      <c r="AA33" s="43">
        <f>$B28-SUM($B29:Z29)-SUM($B30:Z30)</f>
        <v>1032367.16740676</v>
      </c>
      <c r="AB33" s="43">
        <f>$B28-SUM($B29:AA29)-SUM($B30:AA30)</f>
        <v>1023443.72440919</v>
      </c>
      <c r="AC33" s="43">
        <f>$B28-SUM($B29:AB29)-SUM($B30:AB30)</f>
        <v>1014520.28141162</v>
      </c>
      <c r="AD33" s="43">
        <f>$B28-SUM($B29:AC29)-SUM($B30:AC30)</f>
        <v>1005596.83841405</v>
      </c>
      <c r="AE33" s="43">
        <f>$B28-SUM($B29:AD29)-SUM($B30:AD30)</f>
        <v>996673.395416476</v>
      </c>
      <c r="AF33" s="43">
        <f>$B28-SUM($B29:AE29)-SUM($B30:AE30)</f>
        <v>987749.952418904</v>
      </c>
      <c r="AG33" s="43">
        <f>$B28-SUM($B29:AF29)-SUM($B30:AF30)</f>
        <v>978826.509421333</v>
      </c>
      <c r="AH33" s="43">
        <f>$B28-SUM($B29:AG29)-SUM($B30:AG30)</f>
        <v>969903.066423761</v>
      </c>
      <c r="AI33" s="43">
        <f>$B28-SUM($B29:AH29)-SUM($B30:AH30)</f>
        <v>960979.62342619</v>
      </c>
      <c r="AJ33" s="43">
        <f>$B28-SUM($B29:AI29)-SUM($B30:AI30)</f>
        <v>952056.180428618</v>
      </c>
      <c r="AK33" s="43">
        <f>$B28-SUM($B29:AJ29)-SUM($B30:AJ30)</f>
        <v>943132.737431047</v>
      </c>
      <c r="AL33" s="43">
        <f>$B28-SUM($B29:AK29)-SUM($B30:AK30)</f>
        <v>934209.294433476</v>
      </c>
      <c r="AM33" s="43">
        <f>$B28-SUM($B29:AL29)-SUM($B30:AL30)</f>
        <v>925285.851435904</v>
      </c>
      <c r="AN33" s="43">
        <f>$B28-SUM($B29:AM29)-SUM($B30:AM30)</f>
        <v>916362.408438333</v>
      </c>
      <c r="AO33" s="43">
        <f>$B28-SUM($B29:AN29)-SUM($B30:AN30)</f>
        <v>907438.965440761</v>
      </c>
      <c r="AP33" s="43">
        <f>$B28-SUM($B29:AO29)-SUM($B30:AO30)</f>
        <v>898515.52244319</v>
      </c>
      <c r="AQ33" s="43">
        <f>$B28-SUM($B29:AP29)-SUM($B30:AP30)</f>
        <v>889592.079445618</v>
      </c>
      <c r="AR33" s="43">
        <f>$B28-SUM($B29:AQ29)-SUM($B30:AQ30)</f>
        <v>880668.636448047</v>
      </c>
    </row>
    <row r="34" s="6" customFormat="1" spans="1:46">
      <c r="A34" s="45"/>
      <c r="B34" s="43"/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43"/>
      <c r="T34" s="43"/>
      <c r="U34" s="43"/>
      <c r="V34" s="43"/>
      <c r="W34" s="43"/>
      <c r="X34" s="43"/>
      <c r="Y34" s="43"/>
      <c r="Z34" s="43"/>
      <c r="AA34" s="43"/>
      <c r="AB34" s="43"/>
      <c r="AC34" s="43"/>
      <c r="AD34" s="43"/>
      <c r="AE34" s="43"/>
      <c r="AF34" s="43"/>
      <c r="AG34" s="43"/>
      <c r="AH34" s="43"/>
      <c r="AI34" s="43"/>
      <c r="AJ34" s="43"/>
      <c r="AK34" s="43"/>
      <c r="AL34" s="43"/>
      <c r="AM34" s="43"/>
      <c r="AN34" s="43"/>
      <c r="AO34" s="43"/>
      <c r="AP34" s="43"/>
      <c r="AQ34" s="43"/>
      <c r="AR34" s="43"/>
    </row>
    <row r="35" s="5" customFormat="1" spans="1:46">
      <c r="A35" s="42"/>
      <c r="B35" s="41">
        <v>2018</v>
      </c>
      <c r="C35" s="41">
        <v>2019</v>
      </c>
      <c r="D35" s="41">
        <v>2020</v>
      </c>
      <c r="E35" s="41">
        <v>2021</v>
      </c>
      <c r="F35" s="41">
        <v>2022</v>
      </c>
      <c r="G35" s="41">
        <v>2023</v>
      </c>
      <c r="H35" s="41">
        <v>2024</v>
      </c>
      <c r="I35" s="41">
        <v>2025</v>
      </c>
      <c r="J35" s="41">
        <v>2026</v>
      </c>
      <c r="K35" s="41">
        <v>2027</v>
      </c>
      <c r="L35" s="41">
        <v>2028</v>
      </c>
      <c r="M35" s="41">
        <v>2029</v>
      </c>
      <c r="N35" s="41">
        <v>2030</v>
      </c>
      <c r="O35" s="41">
        <v>2031</v>
      </c>
      <c r="P35" s="41">
        <v>2032</v>
      </c>
      <c r="Q35" s="41">
        <v>2033</v>
      </c>
      <c r="R35" s="41">
        <v>2034</v>
      </c>
      <c r="S35" s="41">
        <v>2035</v>
      </c>
      <c r="T35" s="41">
        <v>2036</v>
      </c>
      <c r="U35" s="41">
        <v>2037</v>
      </c>
      <c r="V35" s="41">
        <v>2038</v>
      </c>
      <c r="W35" s="41">
        <v>2039</v>
      </c>
      <c r="X35" s="41">
        <v>2040</v>
      </c>
      <c r="Y35" s="41">
        <v>2041</v>
      </c>
      <c r="Z35" s="41">
        <v>2042</v>
      </c>
      <c r="AA35" s="41">
        <v>2043</v>
      </c>
      <c r="AB35" s="41">
        <v>2044</v>
      </c>
      <c r="AC35" s="41">
        <v>2045</v>
      </c>
      <c r="AD35" s="41">
        <v>2046</v>
      </c>
      <c r="AE35" s="41">
        <v>2047</v>
      </c>
      <c r="AF35" s="41">
        <v>2048</v>
      </c>
      <c r="AG35" s="41">
        <v>2049</v>
      </c>
      <c r="AH35" s="41">
        <v>2050</v>
      </c>
      <c r="AI35" s="41">
        <v>2051</v>
      </c>
      <c r="AJ35" s="41">
        <v>2052</v>
      </c>
      <c r="AK35" s="41">
        <v>2053</v>
      </c>
      <c r="AL35" s="41">
        <v>2054</v>
      </c>
      <c r="AM35" s="41">
        <v>2055</v>
      </c>
      <c r="AN35" s="41">
        <v>2056</v>
      </c>
      <c r="AO35" s="41">
        <v>2057</v>
      </c>
      <c r="AP35" s="41">
        <v>2058</v>
      </c>
      <c r="AQ35" s="41">
        <v>2059</v>
      </c>
      <c r="AR35" s="41">
        <v>2060</v>
      </c>
    </row>
    <row r="36" s="6" customFormat="1" spans="1:46">
      <c r="A36" s="42" t="s">
        <v>938</v>
      </c>
      <c r="B36" s="43">
        <f>D46*人口变化预测!D7/10000</f>
        <v>518276.698237216</v>
      </c>
      <c r="C36" s="43">
        <f>E46*人口变化预测!E7/10000</f>
        <v>514032.103610547</v>
      </c>
      <c r="D36" s="43">
        <f>F46*人口变化预测!F7/10000</f>
        <v>531221.528869756</v>
      </c>
      <c r="E36" s="43">
        <f>G46*人口变化预测!G7/10000</f>
        <v>540313.192717341</v>
      </c>
      <c r="F36" s="43">
        <f>H46*人口变化预测!H7/10000</f>
        <v>549166.088544398</v>
      </c>
      <c r="G36" s="43">
        <f>I46*人口变化预测!I7/10000</f>
        <v>557778.757206989</v>
      </c>
      <c r="H36" s="43">
        <f>J46*人口变化预测!J7/10000</f>
        <v>566150.105921409</v>
      </c>
      <c r="I36" s="43">
        <f>K46*人口变化预测!K7/10000</f>
        <v>574279.506592938</v>
      </c>
      <c r="J36" s="43">
        <f>L46*人口变化预测!L7/10000</f>
        <v>582166.721321314</v>
      </c>
      <c r="K36" s="43">
        <f>M46*人口变化预测!M7/10000</f>
        <v>589811.982959368</v>
      </c>
      <c r="L36" s="43">
        <f>N46*人口变化预测!N7/10000</f>
        <v>597215.99704568</v>
      </c>
      <c r="M36" s="43">
        <f>O46*人口变化预测!O7/10000</f>
        <v>604379.959305608</v>
      </c>
      <c r="N36" s="43">
        <f>P46*人口变化预测!P7/10000</f>
        <v>611305.581710818</v>
      </c>
      <c r="O36" s="43">
        <f>Q46*人口变化预测!Q7/10000</f>
        <v>617995.111165973</v>
      </c>
      <c r="P36" s="43">
        <f>R46*人口变化预测!R7/10000</f>
        <v>624451.375768097</v>
      </c>
      <c r="Q36" s="43">
        <f>S46*人口变化预测!S7/10000</f>
        <v>630677.762428426</v>
      </c>
      <c r="R36" s="43">
        <f>T46*人口变化预测!T7/10000</f>
        <v>636678.294671795</v>
      </c>
      <c r="S36" s="43">
        <f>U46*人口变化预测!U7/10000</f>
        <v>642457.63257273</v>
      </c>
      <c r="T36" s="43">
        <f>V46*人口变化预测!V7/10000</f>
        <v>648021.083729818</v>
      </c>
      <c r="U36" s="43">
        <f>W46*人口变化预测!W7/10000</f>
        <v>653374.665804942</v>
      </c>
      <c r="V36" s="43">
        <f>X46*人口变化预测!X7/10000</f>
        <v>658525.097487773</v>
      </c>
      <c r="W36" s="43">
        <f>Y46*人口变化预测!Y7/10000</f>
        <v>663479.849765579</v>
      </c>
      <c r="X36" s="43">
        <f>Z46*人口变化预测!Z7/10000</f>
        <v>668247.177850947</v>
      </c>
      <c r="Y36" s="43">
        <f>AA46*人口变化预测!AA7/10000</f>
        <v>672836.155226298</v>
      </c>
      <c r="Z36" s="43">
        <f>AB46*人口变化预测!AB7/10000</f>
        <v>677256.663427835</v>
      </c>
      <c r="AA36" s="43">
        <f>AC46*人口变化预测!AC7/10000</f>
        <v>681519.473988065</v>
      </c>
      <c r="AB36" s="43">
        <f>AD46*人口变化预测!AD7/10000</f>
        <v>685636.259714632</v>
      </c>
      <c r="AC36" s="43">
        <f>AE46*人口变化预测!AE7/10000</f>
        <v>689619.635444037</v>
      </c>
      <c r="AD36" s="43">
        <f>AF46*人口变化预测!AF7/10000</f>
        <v>693483.150447837</v>
      </c>
      <c r="AE36" s="43">
        <f>AG46*人口变化预测!AG7/10000</f>
        <v>697241.419992429</v>
      </c>
      <c r="AF36" s="43">
        <f>AH46*人口变化预测!AH7/10000</f>
        <v>700910.057222044</v>
      </c>
      <c r="AG36" s="43">
        <f>AI46*人口变化预测!AI7/10000</f>
        <v>704505.774467499</v>
      </c>
      <c r="AH36" s="43">
        <f>AJ46*人口变化预测!AJ7/10000</f>
        <v>708046.410013357</v>
      </c>
      <c r="AI36" s="43">
        <f>AK46*人口变化预测!AK7/10000</f>
        <v>711550.912911166</v>
      </c>
      <c r="AJ36" s="43">
        <f>AL46*人口变化预测!AL7/10000</f>
        <v>715039.507527394</v>
      </c>
      <c r="AK36" s="43">
        <f>AM46*人口变化预测!AM7/10000</f>
        <v>718533.591608989</v>
      </c>
      <c r="AL36" s="43">
        <f>AN46*人口变化预测!AN7/10000</f>
        <v>722055.880868278</v>
      </c>
      <c r="AM36" s="43">
        <f>AO46*人口变化预测!AO7/10000</f>
        <v>725630.419913214</v>
      </c>
      <c r="AN36" s="43">
        <f>AP46*人口变化预测!AP7/10000</f>
        <v>729282.58945679</v>
      </c>
      <c r="AO36" s="43">
        <f>AQ46*人口变化预测!AQ7/10000</f>
        <v>733039.222642069</v>
      </c>
      <c r="AP36" s="43">
        <f>AR46*人口变化预测!AR7/10000</f>
        <v>736928.590775998</v>
      </c>
      <c r="AQ36" s="43">
        <f>AS46*人口变化预测!AS7/10000</f>
        <v>740980.529635295</v>
      </c>
      <c r="AR36" s="43">
        <f>AT46*人口变化预测!AT7/10000</f>
        <v>745226.382142473</v>
      </c>
    </row>
    <row r="37" s="6" customFormat="1" spans="1:46">
      <c r="A37" s="42" t="s">
        <v>929</v>
      </c>
      <c r="B37" s="43">
        <f>$B36*0.71%</f>
        <v>3679.76455748423</v>
      </c>
      <c r="C37" s="43">
        <f t="shared" ref="C37:AR37" si="13">$B36*0.71%</f>
        <v>3679.76455748423</v>
      </c>
      <c r="D37" s="43">
        <f t="shared" si="13"/>
        <v>3679.76455748423</v>
      </c>
      <c r="E37" s="43">
        <f t="shared" si="13"/>
        <v>3679.76455748423</v>
      </c>
      <c r="F37" s="43">
        <f t="shared" si="13"/>
        <v>3679.76455748423</v>
      </c>
      <c r="G37" s="43">
        <f t="shared" si="13"/>
        <v>3679.76455748423</v>
      </c>
      <c r="H37" s="43">
        <f t="shared" si="13"/>
        <v>3679.76455748423</v>
      </c>
      <c r="I37" s="43">
        <f t="shared" si="13"/>
        <v>3679.76455748423</v>
      </c>
      <c r="J37" s="43">
        <f t="shared" si="13"/>
        <v>3679.76455748423</v>
      </c>
      <c r="K37" s="43">
        <f t="shared" si="13"/>
        <v>3679.76455748423</v>
      </c>
      <c r="L37" s="43">
        <f t="shared" si="13"/>
        <v>3679.76455748423</v>
      </c>
      <c r="M37" s="43">
        <f t="shared" si="13"/>
        <v>3679.76455748423</v>
      </c>
      <c r="N37" s="43">
        <f t="shared" si="13"/>
        <v>3679.76455748423</v>
      </c>
      <c r="O37" s="43">
        <f t="shared" si="13"/>
        <v>3679.76455748423</v>
      </c>
      <c r="P37" s="43">
        <f t="shared" si="13"/>
        <v>3679.76455748423</v>
      </c>
      <c r="Q37" s="43">
        <f t="shared" si="13"/>
        <v>3679.76455748423</v>
      </c>
      <c r="R37" s="43">
        <f t="shared" si="13"/>
        <v>3679.76455748423</v>
      </c>
      <c r="S37" s="43">
        <f t="shared" si="13"/>
        <v>3679.76455748423</v>
      </c>
      <c r="T37" s="43">
        <f t="shared" si="13"/>
        <v>3679.76455748423</v>
      </c>
      <c r="U37" s="43">
        <f t="shared" si="13"/>
        <v>3679.76455748423</v>
      </c>
      <c r="V37" s="43">
        <f t="shared" si="13"/>
        <v>3679.76455748423</v>
      </c>
      <c r="W37" s="43">
        <f t="shared" si="13"/>
        <v>3679.76455748423</v>
      </c>
      <c r="X37" s="43">
        <f t="shared" si="13"/>
        <v>3679.76455748423</v>
      </c>
      <c r="Y37" s="43">
        <f t="shared" si="13"/>
        <v>3679.76455748423</v>
      </c>
      <c r="Z37" s="43">
        <f t="shared" si="13"/>
        <v>3679.76455748423</v>
      </c>
      <c r="AA37" s="43">
        <f t="shared" si="13"/>
        <v>3679.76455748423</v>
      </c>
      <c r="AB37" s="43">
        <f t="shared" si="13"/>
        <v>3679.76455748423</v>
      </c>
      <c r="AC37" s="43">
        <f t="shared" si="13"/>
        <v>3679.76455748423</v>
      </c>
      <c r="AD37" s="43">
        <f t="shared" si="13"/>
        <v>3679.76455748423</v>
      </c>
      <c r="AE37" s="43">
        <f t="shared" si="13"/>
        <v>3679.76455748423</v>
      </c>
      <c r="AF37" s="43">
        <f t="shared" si="13"/>
        <v>3679.76455748423</v>
      </c>
      <c r="AG37" s="43">
        <f t="shared" si="13"/>
        <v>3679.76455748423</v>
      </c>
      <c r="AH37" s="43">
        <f t="shared" si="13"/>
        <v>3679.76455748423</v>
      </c>
      <c r="AI37" s="43">
        <f t="shared" si="13"/>
        <v>3679.76455748423</v>
      </c>
      <c r="AJ37" s="43">
        <f t="shared" si="13"/>
        <v>3679.76455748423</v>
      </c>
      <c r="AK37" s="43">
        <f t="shared" si="13"/>
        <v>3679.76455748423</v>
      </c>
      <c r="AL37" s="43">
        <f t="shared" si="13"/>
        <v>3679.76455748423</v>
      </c>
      <c r="AM37" s="43">
        <f t="shared" si="13"/>
        <v>3679.76455748423</v>
      </c>
      <c r="AN37" s="43">
        <f t="shared" si="13"/>
        <v>3679.76455748423</v>
      </c>
      <c r="AO37" s="43">
        <f t="shared" si="13"/>
        <v>3679.76455748423</v>
      </c>
      <c r="AP37" s="43">
        <f t="shared" si="13"/>
        <v>3679.76455748423</v>
      </c>
      <c r="AQ37" s="43">
        <f t="shared" si="13"/>
        <v>3679.76455748423</v>
      </c>
      <c r="AR37" s="43">
        <f t="shared" si="13"/>
        <v>3679.76455748423</v>
      </c>
    </row>
    <row r="38" s="6" customFormat="1" spans="1:46">
      <c r="A38" s="42" t="s">
        <v>937</v>
      </c>
      <c r="B38" s="43"/>
      <c r="C38" s="43">
        <f>IF(B36-C36-B37&gt;0,B36-C36-B37,0)</f>
        <v>564.830069184841</v>
      </c>
      <c r="D38" s="43">
        <f>IF(C36-D36-C37&gt;0,C36-D36-C37,0)</f>
        <v>0</v>
      </c>
      <c r="E38" s="43">
        <f t="shared" ref="E38:AR38" si="14">IF(D36-E36-D37&gt;0,D36-E36-D37,0)</f>
        <v>0</v>
      </c>
      <c r="F38" s="43">
        <f t="shared" si="14"/>
        <v>0</v>
      </c>
      <c r="G38" s="43">
        <f t="shared" si="14"/>
        <v>0</v>
      </c>
      <c r="H38" s="43">
        <f t="shared" si="14"/>
        <v>0</v>
      </c>
      <c r="I38" s="43">
        <f t="shared" si="14"/>
        <v>0</v>
      </c>
      <c r="J38" s="43">
        <f t="shared" si="14"/>
        <v>0</v>
      </c>
      <c r="K38" s="43">
        <f t="shared" si="14"/>
        <v>0</v>
      </c>
      <c r="L38" s="43">
        <f t="shared" si="14"/>
        <v>0</v>
      </c>
      <c r="M38" s="43">
        <f t="shared" si="14"/>
        <v>0</v>
      </c>
      <c r="N38" s="43">
        <f t="shared" si="14"/>
        <v>0</v>
      </c>
      <c r="O38" s="43">
        <f t="shared" si="14"/>
        <v>0</v>
      </c>
      <c r="P38" s="43">
        <f t="shared" si="14"/>
        <v>0</v>
      </c>
      <c r="Q38" s="43">
        <f t="shared" si="14"/>
        <v>0</v>
      </c>
      <c r="R38" s="43">
        <f t="shared" si="14"/>
        <v>0</v>
      </c>
      <c r="S38" s="43">
        <f t="shared" si="14"/>
        <v>0</v>
      </c>
      <c r="T38" s="43">
        <f t="shared" si="14"/>
        <v>0</v>
      </c>
      <c r="U38" s="43">
        <f t="shared" si="14"/>
        <v>0</v>
      </c>
      <c r="V38" s="43">
        <f t="shared" si="14"/>
        <v>0</v>
      </c>
      <c r="W38" s="43">
        <f t="shared" si="14"/>
        <v>0</v>
      </c>
      <c r="X38" s="43">
        <f t="shared" si="14"/>
        <v>0</v>
      </c>
      <c r="Y38" s="43">
        <f t="shared" si="14"/>
        <v>0</v>
      </c>
      <c r="Z38" s="43">
        <f t="shared" si="14"/>
        <v>0</v>
      </c>
      <c r="AA38" s="43">
        <f t="shared" si="14"/>
        <v>0</v>
      </c>
      <c r="AB38" s="43">
        <f t="shared" si="14"/>
        <v>0</v>
      </c>
      <c r="AC38" s="43">
        <f t="shared" si="14"/>
        <v>0</v>
      </c>
      <c r="AD38" s="43">
        <f t="shared" si="14"/>
        <v>0</v>
      </c>
      <c r="AE38" s="43">
        <f t="shared" si="14"/>
        <v>0</v>
      </c>
      <c r="AF38" s="43">
        <f t="shared" si="14"/>
        <v>0</v>
      </c>
      <c r="AG38" s="43">
        <f t="shared" si="14"/>
        <v>0</v>
      </c>
      <c r="AH38" s="43">
        <f t="shared" si="14"/>
        <v>0</v>
      </c>
      <c r="AI38" s="43">
        <f t="shared" si="14"/>
        <v>0</v>
      </c>
      <c r="AJ38" s="43">
        <f t="shared" si="14"/>
        <v>0</v>
      </c>
      <c r="AK38" s="43">
        <f t="shared" si="14"/>
        <v>0</v>
      </c>
      <c r="AL38" s="43">
        <f t="shared" si="14"/>
        <v>0</v>
      </c>
      <c r="AM38" s="43">
        <f t="shared" si="14"/>
        <v>0</v>
      </c>
      <c r="AN38" s="43">
        <f t="shared" si="14"/>
        <v>0</v>
      </c>
      <c r="AO38" s="43">
        <f t="shared" si="14"/>
        <v>0</v>
      </c>
      <c r="AP38" s="43">
        <f t="shared" si="14"/>
        <v>0</v>
      </c>
      <c r="AQ38" s="43">
        <f t="shared" si="14"/>
        <v>0</v>
      </c>
      <c r="AR38" s="43">
        <f t="shared" si="14"/>
        <v>0</v>
      </c>
    </row>
    <row r="39" s="6" customFormat="1" spans="1:46">
      <c r="A39" s="42" t="s">
        <v>931</v>
      </c>
      <c r="B39" s="43"/>
      <c r="C39" s="43">
        <f t="shared" ref="C39:AR39" si="15">IF(C36-B36+B37&gt;0,C36-B36+B37,0)</f>
        <v>0</v>
      </c>
      <c r="D39" s="43">
        <f t="shared" si="15"/>
        <v>20869.1898166932</v>
      </c>
      <c r="E39" s="43">
        <f t="shared" si="15"/>
        <v>12771.4284050699</v>
      </c>
      <c r="F39" s="43">
        <f t="shared" si="15"/>
        <v>12532.6603845407</v>
      </c>
      <c r="G39" s="43">
        <f t="shared" si="15"/>
        <v>12292.4332200756</v>
      </c>
      <c r="H39" s="43">
        <f t="shared" si="15"/>
        <v>12051.113271904</v>
      </c>
      <c r="I39" s="43">
        <f t="shared" si="15"/>
        <v>11809.1652290127</v>
      </c>
      <c r="J39" s="43">
        <f t="shared" si="15"/>
        <v>11566.9792858609</v>
      </c>
      <c r="K39" s="43">
        <f t="shared" si="15"/>
        <v>11325.0261955382</v>
      </c>
      <c r="L39" s="43">
        <f t="shared" si="15"/>
        <v>11083.7786437958</v>
      </c>
      <c r="M39" s="43">
        <f t="shared" si="15"/>
        <v>10843.7268174129</v>
      </c>
      <c r="N39" s="43">
        <f t="shared" si="15"/>
        <v>10605.3869626933</v>
      </c>
      <c r="O39" s="43">
        <f t="shared" si="15"/>
        <v>10369.2940126397</v>
      </c>
      <c r="P39" s="43">
        <f t="shared" si="15"/>
        <v>10136.0291596079</v>
      </c>
      <c r="Q39" s="43">
        <f t="shared" si="15"/>
        <v>9906.15121781353</v>
      </c>
      <c r="R39" s="43">
        <f t="shared" si="15"/>
        <v>9680.29680085373</v>
      </c>
      <c r="S39" s="43">
        <f t="shared" si="15"/>
        <v>9459.10245841851</v>
      </c>
      <c r="T39" s="43">
        <f t="shared" si="15"/>
        <v>9243.21571457227</v>
      </c>
      <c r="U39" s="43">
        <f t="shared" si="15"/>
        <v>9033.34663260895</v>
      </c>
      <c r="V39" s="43">
        <f t="shared" si="15"/>
        <v>8830.19624031444</v>
      </c>
      <c r="W39" s="43">
        <f t="shared" si="15"/>
        <v>8634.51683529063</v>
      </c>
      <c r="X39" s="43">
        <f t="shared" si="15"/>
        <v>8447.09264285238</v>
      </c>
      <c r="Y39" s="43">
        <f t="shared" si="15"/>
        <v>8268.74193283536</v>
      </c>
      <c r="Z39" s="43">
        <f t="shared" si="15"/>
        <v>8100.27275902061</v>
      </c>
      <c r="AA39" s="43">
        <f t="shared" si="15"/>
        <v>7942.57511771486</v>
      </c>
      <c r="AB39" s="43">
        <f t="shared" si="15"/>
        <v>7796.55028405092</v>
      </c>
      <c r="AC39" s="43">
        <f t="shared" si="15"/>
        <v>7663.14028688909</v>
      </c>
      <c r="AD39" s="43">
        <f t="shared" si="15"/>
        <v>7543.27956128404</v>
      </c>
      <c r="AE39" s="43">
        <f t="shared" si="15"/>
        <v>7438.03410207671</v>
      </c>
      <c r="AF39" s="43">
        <f t="shared" si="15"/>
        <v>7348.40178709936</v>
      </c>
      <c r="AG39" s="43">
        <f t="shared" si="15"/>
        <v>7275.48180293855</v>
      </c>
      <c r="AH39" s="43">
        <f t="shared" si="15"/>
        <v>7220.40010334276</v>
      </c>
      <c r="AI39" s="43">
        <f t="shared" si="15"/>
        <v>7184.26745529338</v>
      </c>
      <c r="AJ39" s="43">
        <f t="shared" si="15"/>
        <v>7168.35917371237</v>
      </c>
      <c r="AK39" s="43">
        <f t="shared" si="15"/>
        <v>7173.84863907872</v>
      </c>
      <c r="AL39" s="43">
        <f t="shared" si="15"/>
        <v>7202.05381677293</v>
      </c>
      <c r="AM39" s="43">
        <f t="shared" si="15"/>
        <v>7254.30360242019</v>
      </c>
      <c r="AN39" s="43">
        <f t="shared" si="15"/>
        <v>7331.93410106078</v>
      </c>
      <c r="AO39" s="43">
        <f t="shared" si="15"/>
        <v>7436.39774276332</v>
      </c>
      <c r="AP39" s="43">
        <f t="shared" si="15"/>
        <v>7569.13269141298</v>
      </c>
      <c r="AQ39" s="43">
        <f t="shared" si="15"/>
        <v>7731.70341678096</v>
      </c>
      <c r="AR39" s="43">
        <f t="shared" si="15"/>
        <v>7925.61706466279</v>
      </c>
    </row>
    <row r="40" s="6" customFormat="1" spans="1:46">
      <c r="A40" s="42" t="s">
        <v>932</v>
      </c>
      <c r="B40" s="43">
        <v>0</v>
      </c>
      <c r="C40" s="43">
        <f>SUM($C39:C39)</f>
        <v>0</v>
      </c>
      <c r="D40" s="43">
        <f>SUM($C39:D39)</f>
        <v>20869.1898166932</v>
      </c>
      <c r="E40" s="43">
        <f>SUM($C39:E39)</f>
        <v>33640.6182217631</v>
      </c>
      <c r="F40" s="43">
        <f>SUM($C39:F39)</f>
        <v>46173.2786063038</v>
      </c>
      <c r="G40" s="43">
        <f>SUM($C39:G39)</f>
        <v>58465.7118263794</v>
      </c>
      <c r="H40" s="43">
        <f>SUM($C39:H39)</f>
        <v>70516.8250982834</v>
      </c>
      <c r="I40" s="43">
        <f>SUM($C39:I39)</f>
        <v>82325.9903272961</v>
      </c>
      <c r="J40" s="43">
        <f>SUM($C39:J39)</f>
        <v>93892.969613157</v>
      </c>
      <c r="K40" s="43">
        <f>SUM($C39:K39)</f>
        <v>105217.995808695</v>
      </c>
      <c r="L40" s="43">
        <f>SUM($C39:L39)</f>
        <v>116301.774452491</v>
      </c>
      <c r="M40" s="43">
        <f>SUM($C39:M39)</f>
        <v>127145.501269904</v>
      </c>
      <c r="N40" s="43">
        <f>SUM($C39:N39)</f>
        <v>137750.888232597</v>
      </c>
      <c r="O40" s="43">
        <f>SUM($C39:O39)</f>
        <v>148120.182245237</v>
      </c>
      <c r="P40" s="43">
        <f>SUM($C39:P39)</f>
        <v>158256.211404845</v>
      </c>
      <c r="Q40" s="43">
        <f>SUM($C39:Q39)</f>
        <v>168162.362622658</v>
      </c>
      <c r="R40" s="43">
        <f>SUM($C39:R39)</f>
        <v>177842.659423512</v>
      </c>
      <c r="S40" s="43">
        <f>SUM($C39:S39)</f>
        <v>187301.761881931</v>
      </c>
      <c r="T40" s="43">
        <f>SUM($C39:T39)</f>
        <v>196544.977596503</v>
      </c>
      <c r="U40" s="43">
        <f>SUM($C39:U39)</f>
        <v>205578.324229112</v>
      </c>
      <c r="V40" s="43">
        <f>SUM($C39:V39)</f>
        <v>214408.520469426</v>
      </c>
      <c r="W40" s="43">
        <f>SUM($C39:W39)</f>
        <v>223043.037304717</v>
      </c>
      <c r="X40" s="43">
        <f>SUM($C39:X39)</f>
        <v>231490.129947569</v>
      </c>
      <c r="Y40" s="43">
        <f>SUM($C39:Y39)</f>
        <v>239758.871880405</v>
      </c>
      <c r="Z40" s="43">
        <f>SUM($C39:Z39)</f>
        <v>247859.144639425</v>
      </c>
      <c r="AA40" s="43">
        <f>SUM($C39:AA39)</f>
        <v>255801.71975714</v>
      </c>
      <c r="AB40" s="43">
        <f>SUM($C39:AB39)</f>
        <v>263598.270041191</v>
      </c>
      <c r="AC40" s="43">
        <f>SUM($C39:AC39)</f>
        <v>271261.41032808</v>
      </c>
      <c r="AD40" s="43">
        <f>SUM($C39:AD39)</f>
        <v>278804.689889364</v>
      </c>
      <c r="AE40" s="43">
        <f>SUM($C39:AE39)</f>
        <v>286242.723991441</v>
      </c>
      <c r="AF40" s="43">
        <f>SUM($C39:AF39)</f>
        <v>293591.12577854</v>
      </c>
      <c r="AG40" s="43">
        <f>SUM($C39:AG39)</f>
        <v>300866.607581479</v>
      </c>
      <c r="AH40" s="43">
        <f>SUM($C39:AH39)</f>
        <v>308087.007684822</v>
      </c>
      <c r="AI40" s="43">
        <f>SUM($C39:AI39)</f>
        <v>315271.275140115</v>
      </c>
      <c r="AJ40" s="43">
        <f>SUM($C39:AJ39)</f>
        <v>322439.634313828</v>
      </c>
      <c r="AK40" s="43">
        <f>SUM($C39:AK39)</f>
        <v>329613.482952906</v>
      </c>
      <c r="AL40" s="43">
        <f>SUM($C39:AL39)</f>
        <v>336815.536769679</v>
      </c>
      <c r="AM40" s="43">
        <f>SUM($C39:AM39)</f>
        <v>344069.840372099</v>
      </c>
      <c r="AN40" s="43">
        <f>SUM($C39:AN39)</f>
        <v>351401.77447316</v>
      </c>
      <c r="AO40" s="43">
        <f>SUM($C39:AO39)</f>
        <v>358838.172215924</v>
      </c>
      <c r="AP40" s="43">
        <f>SUM($C39:AP39)</f>
        <v>366407.304907337</v>
      </c>
      <c r="AQ40" s="43">
        <f>SUM($C39:AQ39)</f>
        <v>374139.008324118</v>
      </c>
      <c r="AR40" s="43">
        <f>SUM($C39:AR39)</f>
        <v>382064.62538878</v>
      </c>
    </row>
    <row r="41" s="6" customFormat="1" spans="1:46">
      <c r="A41" s="42" t="s">
        <v>933</v>
      </c>
      <c r="B41" s="43">
        <f>B36</f>
        <v>518276.698237216</v>
      </c>
      <c r="C41" s="43">
        <f>$B36-SUM($B37:B37)-SUM($B38:B38)</f>
        <v>514596.933679732</v>
      </c>
      <c r="D41" s="43">
        <f>$B36-SUM($B37:C37)-SUM($B38:C38)</f>
        <v>510352.339053063</v>
      </c>
      <c r="E41" s="43">
        <f>$B36-SUM($B37:D37)-SUM($B38:D38)</f>
        <v>506672.574495578</v>
      </c>
      <c r="F41" s="43">
        <f>$B36-SUM($B37:E37)-SUM($B38:E38)</f>
        <v>502992.809938094</v>
      </c>
      <c r="G41" s="43">
        <f>$B36-SUM($B37:F37)-SUM($B38:F38)</f>
        <v>499313.04538061</v>
      </c>
      <c r="H41" s="43">
        <f>$B36-SUM($B37:G37)-SUM($B38:G38)</f>
        <v>495633.280823126</v>
      </c>
      <c r="I41" s="43">
        <f>$B36-SUM($B37:H37)-SUM($B38:H38)</f>
        <v>491953.516265641</v>
      </c>
      <c r="J41" s="43">
        <f>$B36-SUM($B37:I37)-SUM($B38:I38)</f>
        <v>488273.751708157</v>
      </c>
      <c r="K41" s="43">
        <f>$B36-SUM($B37:J37)-SUM($B38:J38)</f>
        <v>484593.987150673</v>
      </c>
      <c r="L41" s="43">
        <f>$B36-SUM($B37:K37)-SUM($B38:K38)</f>
        <v>480914.222593189</v>
      </c>
      <c r="M41" s="43">
        <f>$B36-SUM($B37:L37)-SUM($B38:L38)</f>
        <v>477234.458035705</v>
      </c>
      <c r="N41" s="43">
        <f>$B36-SUM($B37:M37)-SUM($B38:M38)</f>
        <v>473554.69347822</v>
      </c>
      <c r="O41" s="43">
        <f>$B36-SUM($B37:N37)-SUM($B38:N38)</f>
        <v>469874.928920736</v>
      </c>
      <c r="P41" s="43">
        <f>$B36-SUM($B37:O37)-SUM($B38:O38)</f>
        <v>466195.164363252</v>
      </c>
      <c r="Q41" s="43">
        <f>$B36-SUM($B37:P37)-SUM($B38:P38)</f>
        <v>462515.399805768</v>
      </c>
      <c r="R41" s="43">
        <f>$B36-SUM($B37:Q37)-SUM($B38:Q38)</f>
        <v>458835.635248283</v>
      </c>
      <c r="S41" s="43">
        <f>$B36-SUM($B37:R37)-SUM($B38:R38)</f>
        <v>455155.870690799</v>
      </c>
      <c r="T41" s="43">
        <f>$B36-SUM($B37:S37)-SUM($B38:S38)</f>
        <v>451476.106133315</v>
      </c>
      <c r="U41" s="43">
        <f>$B36-SUM($B37:T37)-SUM($B38:T38)</f>
        <v>447796.341575831</v>
      </c>
      <c r="V41" s="43">
        <f>$B36-SUM($B37:U37)-SUM($B38:U38)</f>
        <v>444116.577018346</v>
      </c>
      <c r="W41" s="43">
        <f>$B36-SUM($B37:V37)-SUM($B38:V38)</f>
        <v>440436.812460862</v>
      </c>
      <c r="X41" s="43">
        <f>$B36-SUM($B37:W37)-SUM($B38:W38)</f>
        <v>436757.047903378</v>
      </c>
      <c r="Y41" s="43">
        <f>$B36-SUM($B37:X37)-SUM($B38:X38)</f>
        <v>433077.283345894</v>
      </c>
      <c r="Z41" s="43">
        <f>$B36-SUM($B37:Y37)-SUM($B38:Y38)</f>
        <v>429397.51878841</v>
      </c>
      <c r="AA41" s="43">
        <f>$B36-SUM($B37:Z37)-SUM($B38:Z38)</f>
        <v>425717.754230925</v>
      </c>
      <c r="AB41" s="43">
        <f>$B36-SUM($B37:AA37)-SUM($B38:AA38)</f>
        <v>422037.989673441</v>
      </c>
      <c r="AC41" s="43">
        <f>$B36-SUM($B37:AB37)-SUM($B38:AB38)</f>
        <v>418358.225115957</v>
      </c>
      <c r="AD41" s="43">
        <f>$B36-SUM($B37:AC37)-SUM($B38:AC38)</f>
        <v>414678.460558473</v>
      </c>
      <c r="AE41" s="43">
        <f>$B36-SUM($B37:AD37)-SUM($B38:AD38)</f>
        <v>410998.696000988</v>
      </c>
      <c r="AF41" s="43">
        <f>$B36-SUM($B37:AE37)-SUM($B38:AE38)</f>
        <v>407318.931443504</v>
      </c>
      <c r="AG41" s="43">
        <f>$B36-SUM($B37:AF37)-SUM($B38:AF38)</f>
        <v>403639.16688602</v>
      </c>
      <c r="AH41" s="43">
        <f>$B36-SUM($B37:AG37)-SUM($B38:AG38)</f>
        <v>399959.402328536</v>
      </c>
      <c r="AI41" s="43">
        <f>$B36-SUM($B37:AH37)-SUM($B38:AH38)</f>
        <v>396279.637771051</v>
      </c>
      <c r="AJ41" s="43">
        <f>$B36-SUM($B37:AI37)-SUM($B38:AI38)</f>
        <v>392599.873213567</v>
      </c>
      <c r="AK41" s="43">
        <f>$B36-SUM($B37:AJ37)-SUM($B38:AJ38)</f>
        <v>388920.108656083</v>
      </c>
      <c r="AL41" s="43">
        <f>$B36-SUM($B37:AK37)-SUM($B38:AK38)</f>
        <v>385240.344098599</v>
      </c>
      <c r="AM41" s="43">
        <f>$B36-SUM($B37:AL37)-SUM($B38:AL38)</f>
        <v>381560.579541114</v>
      </c>
      <c r="AN41" s="43">
        <f>$B36-SUM($B37:AM37)-SUM($B38:AM38)</f>
        <v>377880.81498363</v>
      </c>
      <c r="AO41" s="43">
        <f>$B36-SUM($B37:AN37)-SUM($B38:AN38)</f>
        <v>374201.050426146</v>
      </c>
      <c r="AP41" s="43">
        <f>$B36-SUM($B37:AO37)-SUM($B38:AO38)</f>
        <v>370521.285868662</v>
      </c>
      <c r="AQ41" s="43">
        <f>$B36-SUM($B37:AP37)-SUM($B38:AP38)</f>
        <v>366841.521311177</v>
      </c>
      <c r="AR41" s="43">
        <f>$B36-SUM($B37:AQ37)-SUM($B38:AQ38)</f>
        <v>363161.756753693</v>
      </c>
    </row>
    <row r="42" s="6" customFormat="1" spans="1:46">
      <c r="A42" s="44"/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</row>
    <row r="43" s="5" customFormat="1" spans="1:46">
      <c r="A43" s="41"/>
      <c r="B43" s="41">
        <v>2016</v>
      </c>
      <c r="C43" s="41">
        <v>2017</v>
      </c>
      <c r="D43" s="41">
        <v>2018</v>
      </c>
      <c r="E43" s="41">
        <v>2019</v>
      </c>
      <c r="F43" s="41">
        <v>2020</v>
      </c>
      <c r="G43" s="41">
        <v>2021</v>
      </c>
      <c r="H43" s="41">
        <v>2022</v>
      </c>
      <c r="I43" s="41">
        <v>2023</v>
      </c>
      <c r="J43" s="41">
        <v>2024</v>
      </c>
      <c r="K43" s="41">
        <v>2025</v>
      </c>
      <c r="L43" s="41">
        <v>2026</v>
      </c>
      <c r="M43" s="41">
        <v>2027</v>
      </c>
      <c r="N43" s="41">
        <v>2028</v>
      </c>
      <c r="O43" s="41">
        <v>2029</v>
      </c>
      <c r="P43" s="41">
        <v>2030</v>
      </c>
      <c r="Q43" s="41">
        <v>2031</v>
      </c>
      <c r="R43" s="41">
        <v>2032</v>
      </c>
      <c r="S43" s="41">
        <v>2033</v>
      </c>
      <c r="T43" s="41">
        <v>2034</v>
      </c>
      <c r="U43" s="41">
        <v>2035</v>
      </c>
      <c r="V43" s="41">
        <v>2036</v>
      </c>
      <c r="W43" s="41">
        <v>2037</v>
      </c>
      <c r="X43" s="41">
        <v>2038</v>
      </c>
      <c r="Y43" s="41">
        <v>2039</v>
      </c>
      <c r="Z43" s="41">
        <v>2040</v>
      </c>
      <c r="AA43" s="41">
        <v>2041</v>
      </c>
      <c r="AB43" s="41">
        <v>2042</v>
      </c>
      <c r="AC43" s="41">
        <v>2043</v>
      </c>
      <c r="AD43" s="41">
        <v>2044</v>
      </c>
      <c r="AE43" s="41">
        <v>2045</v>
      </c>
      <c r="AF43" s="41">
        <v>2046</v>
      </c>
      <c r="AG43" s="41">
        <v>2047</v>
      </c>
      <c r="AH43" s="41">
        <v>2048</v>
      </c>
      <c r="AI43" s="41">
        <v>2049</v>
      </c>
      <c r="AJ43" s="41">
        <v>2050</v>
      </c>
      <c r="AK43" s="41">
        <v>2051</v>
      </c>
      <c r="AL43" s="41">
        <v>2052</v>
      </c>
      <c r="AM43" s="41">
        <v>2053</v>
      </c>
      <c r="AN43" s="41">
        <v>2054</v>
      </c>
      <c r="AO43" s="41">
        <v>2055</v>
      </c>
      <c r="AP43" s="41">
        <v>2056</v>
      </c>
      <c r="AQ43" s="41">
        <v>2057</v>
      </c>
      <c r="AR43" s="41">
        <v>2058</v>
      </c>
      <c r="AS43" s="41">
        <v>2059</v>
      </c>
      <c r="AT43" s="41">
        <v>2060</v>
      </c>
    </row>
    <row r="44" s="6" customFormat="1" spans="1:46">
      <c r="A44" s="41" t="s">
        <v>939</v>
      </c>
      <c r="B44" s="46">
        <f>E55*10000/人口变化预测!B4</f>
        <v>34.2369320882277</v>
      </c>
      <c r="C44" s="46">
        <f t="shared" ref="C44:L46" si="16">$B44*(1+$B$49)^(C$43-$B$43)</f>
        <v>34.4081167486688</v>
      </c>
      <c r="D44" s="46">
        <f t="shared" si="16"/>
        <v>34.5801573324122</v>
      </c>
      <c r="E44" s="46">
        <f t="shared" si="16"/>
        <v>34.7530581190742</v>
      </c>
      <c r="F44" s="46">
        <f t="shared" si="16"/>
        <v>34.9268234096696</v>
      </c>
      <c r="G44" s="46">
        <f t="shared" si="16"/>
        <v>35.1014575267179</v>
      </c>
      <c r="H44" s="46">
        <f t="shared" si="16"/>
        <v>35.2769648143515</v>
      </c>
      <c r="I44" s="46">
        <f t="shared" si="16"/>
        <v>35.4533496384233</v>
      </c>
      <c r="J44" s="46">
        <f t="shared" si="16"/>
        <v>35.6306163866154</v>
      </c>
      <c r="K44" s="46">
        <f t="shared" si="16"/>
        <v>35.8087694685485</v>
      </c>
      <c r="L44" s="46">
        <f t="shared" si="16"/>
        <v>35.9878133158912</v>
      </c>
      <c r="M44" s="46">
        <f t="shared" ref="M44:V46" si="17">$B44*(1+$B$49)^(M$43-$B$43)</f>
        <v>36.1677523824707</v>
      </c>
      <c r="N44" s="46">
        <f t="shared" si="17"/>
        <v>36.348591144383</v>
      </c>
      <c r="O44" s="46">
        <f t="shared" si="17"/>
        <v>36.5303341001049</v>
      </c>
      <c r="P44" s="46">
        <f t="shared" si="17"/>
        <v>36.7129857706054</v>
      </c>
      <c r="Q44" s="46">
        <f t="shared" si="17"/>
        <v>36.8965506994585</v>
      </c>
      <c r="R44" s="46">
        <f t="shared" si="17"/>
        <v>37.0810334529558</v>
      </c>
      <c r="S44" s="46">
        <f t="shared" si="17"/>
        <v>37.2664386202205</v>
      </c>
      <c r="T44" s="46">
        <f t="shared" si="17"/>
        <v>37.4527708133216</v>
      </c>
      <c r="U44" s="46">
        <f t="shared" si="17"/>
        <v>37.6400346673882</v>
      </c>
      <c r="V44" s="46">
        <f t="shared" si="17"/>
        <v>37.8282348407252</v>
      </c>
      <c r="W44" s="46">
        <f t="shared" ref="W44:AF46" si="18">$B44*(1+$B$49)^(W$43-$B$43)</f>
        <v>38.0173760149288</v>
      </c>
      <c r="X44" s="46">
        <f t="shared" si="18"/>
        <v>38.2074628950034</v>
      </c>
      <c r="Y44" s="46">
        <f t="shared" si="18"/>
        <v>38.3985002094784</v>
      </c>
      <c r="Z44" s="46">
        <f t="shared" si="18"/>
        <v>38.5904927105258</v>
      </c>
      <c r="AA44" s="46">
        <f t="shared" si="18"/>
        <v>38.7834451740785</v>
      </c>
      <c r="AB44" s="46">
        <f t="shared" si="18"/>
        <v>38.9773623999489</v>
      </c>
      <c r="AC44" s="46">
        <f t="shared" si="18"/>
        <v>39.1722492119486</v>
      </c>
      <c r="AD44" s="46">
        <f t="shared" si="18"/>
        <v>39.3681104580083</v>
      </c>
      <c r="AE44" s="46">
        <f t="shared" si="18"/>
        <v>39.5649510102984</v>
      </c>
      <c r="AF44" s="46">
        <f t="shared" si="18"/>
        <v>39.7627757653499</v>
      </c>
      <c r="AG44" s="46">
        <f t="shared" ref="AG44:AT46" si="19">$B44*(1+$B$49)^(AG$43-$B$43)</f>
        <v>39.9615896441766</v>
      </c>
      <c r="AH44" s="46">
        <f t="shared" si="19"/>
        <v>40.1613975923975</v>
      </c>
      <c r="AI44" s="46">
        <f t="shared" si="19"/>
        <v>40.3622045803595</v>
      </c>
      <c r="AJ44" s="46">
        <f t="shared" si="19"/>
        <v>40.5640156032613</v>
      </c>
      <c r="AK44" s="46">
        <f t="shared" si="19"/>
        <v>40.7668356812776</v>
      </c>
      <c r="AL44" s="46">
        <f t="shared" si="19"/>
        <v>40.9706698596839</v>
      </c>
      <c r="AM44" s="46">
        <f t="shared" si="19"/>
        <v>41.1755232089824</v>
      </c>
      <c r="AN44" s="46">
        <f t="shared" si="19"/>
        <v>41.3814008250273</v>
      </c>
      <c r="AO44" s="46">
        <f t="shared" si="19"/>
        <v>41.5883078291524</v>
      </c>
      <c r="AP44" s="46">
        <f t="shared" si="19"/>
        <v>41.7962493682982</v>
      </c>
      <c r="AQ44" s="46">
        <f t="shared" si="19"/>
        <v>42.0052306151396</v>
      </c>
      <c r="AR44" s="46">
        <f t="shared" si="19"/>
        <v>42.2152567682153</v>
      </c>
      <c r="AS44" s="46">
        <f t="shared" si="19"/>
        <v>42.4263330520564</v>
      </c>
      <c r="AT44" s="46">
        <f t="shared" si="19"/>
        <v>42.6384647173167</v>
      </c>
    </row>
    <row r="45" s="6" customFormat="1" spans="1:46">
      <c r="A45" s="41" t="s">
        <v>940</v>
      </c>
      <c r="B45" s="46">
        <f>G55*10000/人口变化预测!B5</f>
        <v>38.0460323982623</v>
      </c>
      <c r="C45" s="46">
        <f t="shared" si="16"/>
        <v>38.2362625602536</v>
      </c>
      <c r="D45" s="46">
        <f t="shared" si="16"/>
        <v>38.4274438730549</v>
      </c>
      <c r="E45" s="46">
        <f t="shared" si="16"/>
        <v>38.6195810924202</v>
      </c>
      <c r="F45" s="46">
        <f t="shared" si="16"/>
        <v>38.8126789978823</v>
      </c>
      <c r="G45" s="46">
        <f t="shared" si="16"/>
        <v>39.0067423928717</v>
      </c>
      <c r="H45" s="46">
        <f t="shared" si="16"/>
        <v>39.201776104836</v>
      </c>
      <c r="I45" s="46">
        <f t="shared" si="16"/>
        <v>39.3977849853602</v>
      </c>
      <c r="J45" s="46">
        <f t="shared" si="16"/>
        <v>39.594773910287</v>
      </c>
      <c r="K45" s="46">
        <f t="shared" si="16"/>
        <v>39.7927477798384</v>
      </c>
      <c r="L45" s="46">
        <f t="shared" si="16"/>
        <v>39.9917115187376</v>
      </c>
      <c r="M45" s="46">
        <f t="shared" si="17"/>
        <v>40.1916700763313</v>
      </c>
      <c r="N45" s="46">
        <f t="shared" si="17"/>
        <v>40.392628426713</v>
      </c>
      <c r="O45" s="46">
        <f t="shared" si="17"/>
        <v>40.5945915688465</v>
      </c>
      <c r="P45" s="46">
        <f t="shared" si="17"/>
        <v>40.7975645266907</v>
      </c>
      <c r="Q45" s="46">
        <f t="shared" si="17"/>
        <v>41.0015523493242</v>
      </c>
      <c r="R45" s="46">
        <f t="shared" si="17"/>
        <v>41.2065601110708</v>
      </c>
      <c r="S45" s="46">
        <f t="shared" si="17"/>
        <v>41.4125929116262</v>
      </c>
      <c r="T45" s="46">
        <f t="shared" si="17"/>
        <v>41.6196558761843</v>
      </c>
      <c r="U45" s="46">
        <f t="shared" si="17"/>
        <v>41.8277541555652</v>
      </c>
      <c r="V45" s="46">
        <f t="shared" si="17"/>
        <v>42.036892926343</v>
      </c>
      <c r="W45" s="46">
        <f t="shared" si="18"/>
        <v>42.2470773909747</v>
      </c>
      <c r="X45" s="46">
        <f t="shared" si="18"/>
        <v>42.4583127779296</v>
      </c>
      <c r="Y45" s="46">
        <f t="shared" si="18"/>
        <v>42.6706043418192</v>
      </c>
      <c r="Z45" s="46">
        <f t="shared" si="18"/>
        <v>42.8839573635283</v>
      </c>
      <c r="AA45" s="46">
        <f t="shared" si="18"/>
        <v>43.098377150346</v>
      </c>
      <c r="AB45" s="46">
        <f t="shared" si="18"/>
        <v>43.3138690360977</v>
      </c>
      <c r="AC45" s="46">
        <f t="shared" si="18"/>
        <v>43.5304383812782</v>
      </c>
      <c r="AD45" s="46">
        <f t="shared" si="18"/>
        <v>43.7480905731846</v>
      </c>
      <c r="AE45" s="46">
        <f t="shared" si="18"/>
        <v>43.9668310260505</v>
      </c>
      <c r="AF45" s="46">
        <f t="shared" si="18"/>
        <v>44.1866651811807</v>
      </c>
      <c r="AG45" s="46">
        <f t="shared" si="19"/>
        <v>44.4075985070866</v>
      </c>
      <c r="AH45" s="46">
        <f t="shared" si="19"/>
        <v>44.6296364996221</v>
      </c>
      <c r="AI45" s="46">
        <f t="shared" si="19"/>
        <v>44.8527846821202</v>
      </c>
      <c r="AJ45" s="46">
        <f t="shared" si="19"/>
        <v>45.0770486055308</v>
      </c>
      <c r="AK45" s="46">
        <f t="shared" si="19"/>
        <v>45.3024338485584</v>
      </c>
      <c r="AL45" s="46">
        <f t="shared" si="19"/>
        <v>45.5289460178012</v>
      </c>
      <c r="AM45" s="46">
        <f t="shared" si="19"/>
        <v>45.7565907478902</v>
      </c>
      <c r="AN45" s="46">
        <f t="shared" si="19"/>
        <v>45.9853737016297</v>
      </c>
      <c r="AO45" s="46">
        <f t="shared" si="19"/>
        <v>46.2153005701378</v>
      </c>
      <c r="AP45" s="46">
        <f t="shared" si="19"/>
        <v>46.4463770729885</v>
      </c>
      <c r="AQ45" s="46">
        <f t="shared" si="19"/>
        <v>46.6786089583534</v>
      </c>
      <c r="AR45" s="46">
        <f t="shared" si="19"/>
        <v>46.9120020031452</v>
      </c>
      <c r="AS45" s="46">
        <f t="shared" si="19"/>
        <v>47.1465620131609</v>
      </c>
      <c r="AT45" s="46">
        <f t="shared" si="19"/>
        <v>47.3822948232267</v>
      </c>
    </row>
    <row r="46" s="6" customFormat="1" spans="1:46">
      <c r="A46" s="41" t="s">
        <v>941</v>
      </c>
      <c r="B46" s="46">
        <f>D55*10000/人口变化预测!B4</f>
        <v>14.1183004463123</v>
      </c>
      <c r="C46" s="46">
        <f t="shared" si="16"/>
        <v>14.1888919485438</v>
      </c>
      <c r="D46" s="46">
        <f t="shared" si="16"/>
        <v>14.2598364082865</v>
      </c>
      <c r="E46" s="46">
        <f t="shared" si="16"/>
        <v>14.331135590328</v>
      </c>
      <c r="F46" s="46">
        <f t="shared" si="16"/>
        <v>14.4027912682796</v>
      </c>
      <c r="G46" s="46">
        <f t="shared" si="16"/>
        <v>14.474805224621</v>
      </c>
      <c r="H46" s="46">
        <f t="shared" si="16"/>
        <v>14.5471792507441</v>
      </c>
      <c r="I46" s="46">
        <f t="shared" si="16"/>
        <v>14.6199151469978</v>
      </c>
      <c r="J46" s="46">
        <f t="shared" si="16"/>
        <v>14.6930147227328</v>
      </c>
      <c r="K46" s="46">
        <f t="shared" si="16"/>
        <v>14.7664797963465</v>
      </c>
      <c r="L46" s="46">
        <f t="shared" si="16"/>
        <v>14.8403121953282</v>
      </c>
      <c r="M46" s="46">
        <f t="shared" si="17"/>
        <v>14.9145137563048</v>
      </c>
      <c r="N46" s="46">
        <f t="shared" si="17"/>
        <v>14.9890863250864</v>
      </c>
      <c r="O46" s="46">
        <f t="shared" si="17"/>
        <v>15.0640317567118</v>
      </c>
      <c r="P46" s="46">
        <f t="shared" si="17"/>
        <v>15.1393519154953</v>
      </c>
      <c r="Q46" s="46">
        <f t="shared" si="17"/>
        <v>15.2150486750728</v>
      </c>
      <c r="R46" s="46">
        <f t="shared" si="17"/>
        <v>15.2911239184482</v>
      </c>
      <c r="S46" s="46">
        <f t="shared" si="17"/>
        <v>15.3675795380404</v>
      </c>
      <c r="T46" s="46">
        <f t="shared" si="17"/>
        <v>15.4444174357306</v>
      </c>
      <c r="U46" s="46">
        <f t="shared" si="17"/>
        <v>15.5216395229093</v>
      </c>
      <c r="V46" s="46">
        <f t="shared" si="17"/>
        <v>15.5992477205238</v>
      </c>
      <c r="W46" s="46">
        <f t="shared" si="18"/>
        <v>15.6772439591264</v>
      </c>
      <c r="X46" s="46">
        <f t="shared" si="18"/>
        <v>15.7556301789221</v>
      </c>
      <c r="Y46" s="46">
        <f t="shared" si="18"/>
        <v>15.8344083298167</v>
      </c>
      <c r="Z46" s="46">
        <f t="shared" si="18"/>
        <v>15.9135803714658</v>
      </c>
      <c r="AA46" s="46">
        <f t="shared" si="18"/>
        <v>15.9931482733231</v>
      </c>
      <c r="AB46" s="46">
        <f t="shared" si="18"/>
        <v>16.0731140146897</v>
      </c>
      <c r="AC46" s="46">
        <f t="shared" si="18"/>
        <v>16.1534795847631</v>
      </c>
      <c r="AD46" s="46">
        <f t="shared" si="18"/>
        <v>16.234246982687</v>
      </c>
      <c r="AE46" s="46">
        <f t="shared" si="18"/>
        <v>16.3154182176004</v>
      </c>
      <c r="AF46" s="46">
        <f t="shared" si="18"/>
        <v>16.3969953086884</v>
      </c>
      <c r="AG46" s="46">
        <f t="shared" si="19"/>
        <v>16.4789802852318</v>
      </c>
      <c r="AH46" s="46">
        <f t="shared" si="19"/>
        <v>16.561375186658</v>
      </c>
      <c r="AI46" s="46">
        <f t="shared" si="19"/>
        <v>16.6441820625913</v>
      </c>
      <c r="AJ46" s="46">
        <f t="shared" si="19"/>
        <v>16.7274029729042</v>
      </c>
      <c r="AK46" s="46">
        <f t="shared" si="19"/>
        <v>16.8110399877688</v>
      </c>
      <c r="AL46" s="46">
        <f t="shared" si="19"/>
        <v>16.8950951877076</v>
      </c>
      <c r="AM46" s="46">
        <f t="shared" si="19"/>
        <v>16.9795706636461</v>
      </c>
      <c r="AN46" s="46">
        <f t="shared" si="19"/>
        <v>17.0644685169644</v>
      </c>
      <c r="AO46" s="46">
        <f t="shared" si="19"/>
        <v>17.1497908595492</v>
      </c>
      <c r="AP46" s="46">
        <f t="shared" si="19"/>
        <v>17.2355398138469</v>
      </c>
      <c r="AQ46" s="46">
        <f t="shared" si="19"/>
        <v>17.3217175129162</v>
      </c>
      <c r="AR46" s="46">
        <f t="shared" si="19"/>
        <v>17.4083261004807</v>
      </c>
      <c r="AS46" s="46">
        <f t="shared" si="19"/>
        <v>17.4953677309831</v>
      </c>
      <c r="AT46" s="46">
        <f t="shared" si="19"/>
        <v>17.5828445696381</v>
      </c>
    </row>
    <row r="49" spans="1:15">
      <c r="A49" s="3" t="s">
        <v>942</v>
      </c>
      <c r="B49" s="40">
        <v>0.005</v>
      </c>
    </row>
    <row r="51" spans="1:15">
      <c r="A51" s="3" t="s">
        <v>943</v>
      </c>
    </row>
    <row r="52" spans="1:15">
      <c r="B52" s="3" t="s">
        <v>944</v>
      </c>
      <c r="C52" s="3" t="s">
        <v>945</v>
      </c>
    </row>
    <row r="53" ht="40.5" spans="1:15">
      <c r="C53" s="3" t="s">
        <v>946</v>
      </c>
      <c r="D53" s="3" t="s">
        <v>947</v>
      </c>
      <c r="E53" s="3" t="s">
        <v>948</v>
      </c>
      <c r="F53" s="3" t="s">
        <v>949</v>
      </c>
      <c r="G53" s="3" t="s">
        <v>950</v>
      </c>
      <c r="H53" s="3" t="s">
        <v>951</v>
      </c>
      <c r="I53" s="3" t="s">
        <v>952</v>
      </c>
      <c r="J53" s="3" t="s">
        <v>953</v>
      </c>
      <c r="K53" s="3" t="s">
        <v>954</v>
      </c>
      <c r="L53" s="3" t="s">
        <v>955</v>
      </c>
      <c r="N53" s="3" t="s">
        <v>956</v>
      </c>
      <c r="O53" s="3" t="s">
        <v>957</v>
      </c>
    </row>
    <row r="54" spans="1:15">
      <c r="C54" s="3" t="s">
        <v>958</v>
      </c>
      <c r="D54" s="3" t="s">
        <v>958</v>
      </c>
      <c r="E54" s="3" t="s">
        <v>958</v>
      </c>
      <c r="F54" s="3" t="s">
        <v>958</v>
      </c>
      <c r="G54" s="3" t="s">
        <v>958</v>
      </c>
      <c r="H54" s="3" t="s">
        <v>959</v>
      </c>
    </row>
    <row r="55" spans="1:15">
      <c r="A55" s="3" t="s">
        <v>960</v>
      </c>
      <c r="B55" s="3" t="s">
        <v>145</v>
      </c>
      <c r="C55" s="3">
        <f>SUM(C56:C86)</f>
        <v>6353041.89274452</v>
      </c>
      <c r="D55" s="3">
        <f t="shared" ref="D55:H55" si="20">SUM(D56:D86)</f>
        <v>1150598.29</v>
      </c>
      <c r="E55" s="3">
        <f t="shared" si="20"/>
        <v>2790205.21381881</v>
      </c>
      <c r="F55" s="3">
        <f t="shared" si="20"/>
        <v>239684.448925708</v>
      </c>
      <c r="G55" s="3">
        <f t="shared" si="20"/>
        <v>2172553.94</v>
      </c>
      <c r="H55" s="3">
        <f t="shared" si="20"/>
        <v>1368999.4</v>
      </c>
      <c r="I55" s="47">
        <f>J55/(D55+F55)</f>
        <v>25.601484258471</v>
      </c>
      <c r="J55" s="3">
        <f t="shared" ref="J55" si="21">SUM(J56:J86)</f>
        <v>35593301.6554304</v>
      </c>
      <c r="K55" s="3">
        <f>L55/E55</f>
        <v>16.0384411049209</v>
      </c>
      <c r="L55" s="3">
        <f t="shared" ref="L55" si="22">SUM(L56:L86)</f>
        <v>44750541.9924762</v>
      </c>
    </row>
    <row r="56" spans="1:15">
      <c r="A56" s="3" t="s">
        <v>212</v>
      </c>
      <c r="B56" s="3" t="s">
        <v>213</v>
      </c>
      <c r="C56" s="3">
        <v>111047.87</v>
      </c>
      <c r="D56" s="3">
        <v>40418.28</v>
      </c>
      <c r="E56" s="3">
        <v>57986.05</v>
      </c>
      <c r="F56" s="3">
        <v>2985.12</v>
      </c>
      <c r="G56" s="3">
        <f t="shared" ref="G56:G85" si="23">C56-D56-E56-F56</f>
        <v>9658.41999999999</v>
      </c>
      <c r="H56" s="3">
        <v>95419.2</v>
      </c>
      <c r="I56" s="47">
        <v>40.3995419894167</v>
      </c>
      <c r="J56" s="47">
        <f>I56*(F56+D56)</f>
        <v>1753477.48078345</v>
      </c>
      <c r="K56" s="47">
        <v>12.2160416169061</v>
      </c>
      <c r="L56" s="47">
        <f>K56*E56</f>
        <v>708359.999999998</v>
      </c>
      <c r="M56" s="47">
        <f>IF(O56=0,0,1)</f>
        <v>1</v>
      </c>
      <c r="N56" s="47">
        <f>E55+D55</f>
        <v>3940803.50381881</v>
      </c>
      <c r="O56" s="47">
        <v>13.46</v>
      </c>
    </row>
    <row r="57" spans="1:15">
      <c r="A57" s="3" t="s">
        <v>214</v>
      </c>
      <c r="B57" s="3" t="s">
        <v>215</v>
      </c>
      <c r="C57" s="3">
        <v>65607.89</v>
      </c>
      <c r="D57" s="3">
        <v>20611.98</v>
      </c>
      <c r="E57" s="3">
        <v>35777.65</v>
      </c>
      <c r="F57" s="3">
        <v>1453.71</v>
      </c>
      <c r="G57" s="3">
        <f t="shared" si="23"/>
        <v>7764.55</v>
      </c>
      <c r="H57" s="3">
        <v>54935.9</v>
      </c>
      <c r="I57" s="47">
        <v>27.5907506217258</v>
      </c>
      <c r="J57" s="47">
        <f t="shared" ref="J57:J86" si="24">I57*(F57+D57)</f>
        <v>608808.950086309</v>
      </c>
      <c r="K57" s="47">
        <v>20.3</v>
      </c>
      <c r="L57" s="47">
        <f t="shared" ref="L57:L86" si="25">K57*E57</f>
        <v>726286.295</v>
      </c>
      <c r="M57" s="47">
        <f t="shared" ref="M57:M86" si="26">IF(O57=0,0,1)</f>
        <v>1</v>
      </c>
      <c r="N57" s="47">
        <f t="shared" ref="N57:N86" si="27">E56+D56</f>
        <v>98404.33</v>
      </c>
      <c r="O57" s="47">
        <v>12.78</v>
      </c>
    </row>
    <row r="58" spans="1:15">
      <c r="A58" s="3" t="s">
        <v>961</v>
      </c>
      <c r="B58" s="3" t="s">
        <v>962</v>
      </c>
      <c r="C58" s="3">
        <v>308351.68</v>
      </c>
      <c r="D58" s="3">
        <v>45800.11</v>
      </c>
      <c r="E58" s="3">
        <v>126933.93</v>
      </c>
      <c r="F58" s="3">
        <v>9347.88</v>
      </c>
      <c r="G58" s="3">
        <f t="shared" si="23"/>
        <v>126269.76</v>
      </c>
      <c r="H58" s="3">
        <v>163386.2</v>
      </c>
      <c r="I58" s="47">
        <v>26.3193691019519</v>
      </c>
      <c r="J58" s="47">
        <f t="shared" si="24"/>
        <v>1451460.30404075</v>
      </c>
      <c r="K58" s="47">
        <v>12.94</v>
      </c>
      <c r="L58" s="47">
        <f t="shared" si="25"/>
        <v>1642525.0542</v>
      </c>
      <c r="M58" s="47">
        <f t="shared" si="26"/>
        <v>1</v>
      </c>
      <c r="N58" s="47">
        <f t="shared" si="27"/>
        <v>56389.63</v>
      </c>
      <c r="O58" s="47">
        <v>13.58</v>
      </c>
    </row>
    <row r="59" spans="1:15">
      <c r="A59" s="3" t="s">
        <v>963</v>
      </c>
      <c r="B59" s="3" t="s">
        <v>964</v>
      </c>
      <c r="C59" s="3">
        <v>140087.6</v>
      </c>
      <c r="D59" s="3">
        <v>20968.56</v>
      </c>
      <c r="E59" s="3">
        <v>65484.29</v>
      </c>
      <c r="F59" s="3">
        <v>6549.72</v>
      </c>
      <c r="G59" s="3">
        <f t="shared" si="23"/>
        <v>47085.03</v>
      </c>
      <c r="H59" s="3">
        <v>79903.1</v>
      </c>
      <c r="I59" s="47">
        <v>24.9964709069197</v>
      </c>
      <c r="J59" s="47">
        <f t="shared" si="24"/>
        <v>687859.88542847</v>
      </c>
      <c r="K59" s="47">
        <v>16.41</v>
      </c>
      <c r="L59" s="47">
        <f t="shared" si="25"/>
        <v>1074597.1989</v>
      </c>
      <c r="M59" s="47">
        <f t="shared" si="26"/>
        <v>1</v>
      </c>
      <c r="N59" s="47">
        <f t="shared" si="27"/>
        <v>172734.04</v>
      </c>
      <c r="O59" s="47">
        <v>14.71</v>
      </c>
    </row>
    <row r="60" spans="1:15">
      <c r="A60" s="3" t="s">
        <v>965</v>
      </c>
      <c r="B60" s="3" t="s">
        <v>966</v>
      </c>
      <c r="C60" s="3">
        <v>96496.49</v>
      </c>
      <c r="D60" s="3">
        <v>22606.81</v>
      </c>
      <c r="E60" s="3">
        <v>47363.84</v>
      </c>
      <c r="F60" s="3">
        <v>3808.41</v>
      </c>
      <c r="G60" s="3">
        <f t="shared" si="23"/>
        <v>22717.43</v>
      </c>
      <c r="H60" s="3">
        <v>66162.2</v>
      </c>
      <c r="I60" s="47">
        <v>16.1937929323067</v>
      </c>
      <c r="J60" s="47">
        <f t="shared" si="24"/>
        <v>427762.602941327</v>
      </c>
      <c r="K60" s="47">
        <v>18.82</v>
      </c>
      <c r="L60" s="47">
        <f t="shared" si="25"/>
        <v>891387.4688</v>
      </c>
      <c r="M60" s="47">
        <f t="shared" si="26"/>
        <v>1</v>
      </c>
      <c r="N60" s="47">
        <f t="shared" si="27"/>
        <v>86452.85</v>
      </c>
      <c r="O60" s="47">
        <v>20.33</v>
      </c>
    </row>
    <row r="61" spans="1:15">
      <c r="A61" s="3" t="s">
        <v>967</v>
      </c>
      <c r="B61" s="3" t="s">
        <v>968</v>
      </c>
      <c r="C61" s="3">
        <v>179539.03</v>
      </c>
      <c r="D61" s="3">
        <v>40152.97</v>
      </c>
      <c r="E61" s="3">
        <v>94629.85</v>
      </c>
      <c r="F61" s="3">
        <v>5725.2</v>
      </c>
      <c r="G61" s="3">
        <f t="shared" si="23"/>
        <v>39031.01</v>
      </c>
      <c r="H61" s="3">
        <v>129057.6</v>
      </c>
      <c r="I61" s="47">
        <v>21.522691845709</v>
      </c>
      <c r="J61" s="47">
        <f t="shared" si="24"/>
        <v>987421.715355051</v>
      </c>
      <c r="K61" s="47">
        <v>17.16</v>
      </c>
      <c r="L61" s="47">
        <f t="shared" si="25"/>
        <v>1623848.226</v>
      </c>
      <c r="M61" s="47">
        <f t="shared" si="26"/>
        <v>1</v>
      </c>
      <c r="N61" s="47">
        <f t="shared" si="27"/>
        <v>69970.65</v>
      </c>
      <c r="O61" s="47">
        <v>15.84</v>
      </c>
    </row>
    <row r="62" spans="1:15">
      <c r="A62" s="3" t="s">
        <v>969</v>
      </c>
      <c r="B62" s="3" t="s">
        <v>315</v>
      </c>
      <c r="C62" s="3">
        <v>94474.08</v>
      </c>
      <c r="D62" s="3">
        <v>19746.71</v>
      </c>
      <c r="E62" s="3">
        <v>41826.13</v>
      </c>
      <c r="F62" s="3">
        <v>2458.07</v>
      </c>
      <c r="G62" s="3">
        <f t="shared" si="23"/>
        <v>30443.17</v>
      </c>
      <c r="H62" s="3">
        <v>59114.8</v>
      </c>
      <c r="I62" s="47">
        <v>17.9680564509227</v>
      </c>
      <c r="J62" s="47">
        <f t="shared" si="24"/>
        <v>398976.740520319</v>
      </c>
      <c r="K62" s="47">
        <v>17.78</v>
      </c>
      <c r="L62" s="47">
        <f t="shared" si="25"/>
        <v>743668.5914</v>
      </c>
      <c r="M62" s="47">
        <f t="shared" si="26"/>
        <v>1</v>
      </c>
      <c r="N62" s="47">
        <f t="shared" si="27"/>
        <v>134782.82</v>
      </c>
      <c r="O62" s="47">
        <v>18.91</v>
      </c>
    </row>
    <row r="63" spans="1:15">
      <c r="A63" s="3" t="s">
        <v>970</v>
      </c>
      <c r="B63" s="3" t="s">
        <v>971</v>
      </c>
      <c r="C63" s="3">
        <v>126301.1</v>
      </c>
      <c r="D63" s="3">
        <v>26204.41</v>
      </c>
      <c r="E63" s="3">
        <v>58987.18</v>
      </c>
      <c r="F63" s="3">
        <v>5103.31</v>
      </c>
      <c r="G63" s="3">
        <f t="shared" si="23"/>
        <v>36006.2</v>
      </c>
      <c r="H63" s="3">
        <v>80088.3</v>
      </c>
      <c r="I63" s="47">
        <v>13.7301316839417</v>
      </c>
      <c r="J63" s="47">
        <f t="shared" si="24"/>
        <v>429859.118323975</v>
      </c>
      <c r="K63" s="47">
        <v>17.83</v>
      </c>
      <c r="L63" s="47">
        <f t="shared" si="25"/>
        <v>1051741.4194</v>
      </c>
      <c r="M63" s="47">
        <f t="shared" si="26"/>
        <v>1</v>
      </c>
      <c r="N63" s="47">
        <f t="shared" si="27"/>
        <v>61572.84</v>
      </c>
      <c r="O63" s="47">
        <v>21.08</v>
      </c>
    </row>
    <row r="64" spans="1:15">
      <c r="A64" s="3" t="s">
        <v>356</v>
      </c>
      <c r="B64" s="3" t="s">
        <v>357</v>
      </c>
      <c r="C64" s="3">
        <v>123095.59</v>
      </c>
      <c r="D64" s="3">
        <v>39268.02</v>
      </c>
      <c r="E64" s="3">
        <v>65493</v>
      </c>
      <c r="F64" s="3">
        <v>5443.02</v>
      </c>
      <c r="G64" s="3">
        <f t="shared" si="23"/>
        <v>12891.55</v>
      </c>
      <c r="I64" s="47">
        <v>42.5114380607935</v>
      </c>
      <c r="J64" s="47">
        <f t="shared" si="24"/>
        <v>1900730.60759366</v>
      </c>
      <c r="K64" s="47">
        <v>33.26</v>
      </c>
      <c r="L64" s="47">
        <f t="shared" si="25"/>
        <v>2178297.18</v>
      </c>
      <c r="M64" s="47">
        <f t="shared" si="26"/>
        <v>0</v>
      </c>
      <c r="N64" s="47">
        <f t="shared" si="27"/>
        <v>85191.59</v>
      </c>
      <c r="O64" s="47"/>
    </row>
    <row r="65" spans="1:15">
      <c r="A65" s="3" t="s">
        <v>972</v>
      </c>
      <c r="B65" s="3" t="s">
        <v>973</v>
      </c>
      <c r="C65" s="3">
        <v>454607.2</v>
      </c>
      <c r="D65" s="3">
        <v>100827.38</v>
      </c>
      <c r="E65" s="3">
        <v>207983.34</v>
      </c>
      <c r="F65" s="3">
        <v>20733.04</v>
      </c>
      <c r="G65" s="3">
        <f t="shared" si="23"/>
        <v>125063.44</v>
      </c>
      <c r="I65" s="47">
        <v>22.8987404016647</v>
      </c>
      <c r="J65" s="47">
        <f t="shared" si="24"/>
        <v>2783580.50069733</v>
      </c>
      <c r="K65" s="47">
        <v>14.84</v>
      </c>
      <c r="L65" s="47">
        <f t="shared" si="25"/>
        <v>3086472.7656</v>
      </c>
      <c r="M65" s="47">
        <f t="shared" si="26"/>
        <v>0</v>
      </c>
      <c r="N65" s="47">
        <f t="shared" si="27"/>
        <v>104761.02</v>
      </c>
      <c r="O65" s="47"/>
    </row>
    <row r="66" spans="1:15">
      <c r="A66" s="3" t="s">
        <v>974</v>
      </c>
      <c r="B66" s="3" t="s">
        <v>975</v>
      </c>
      <c r="C66" s="3">
        <v>343012.03</v>
      </c>
      <c r="D66" s="3">
        <v>73053.83</v>
      </c>
      <c r="E66" s="3">
        <v>144621.9</v>
      </c>
      <c r="F66" s="3">
        <v>12869.19</v>
      </c>
      <c r="G66" s="3">
        <f t="shared" si="23"/>
        <v>112467.11</v>
      </c>
      <c r="I66" s="47">
        <v>28.5850858195936</v>
      </c>
      <c r="J66" s="47">
        <f t="shared" si="24"/>
        <v>2456116.90057866</v>
      </c>
      <c r="K66" s="47">
        <v>19.5</v>
      </c>
      <c r="L66" s="47">
        <f t="shared" si="25"/>
        <v>2820127.05</v>
      </c>
      <c r="M66" s="47">
        <f t="shared" si="26"/>
        <v>0</v>
      </c>
      <c r="N66" s="47">
        <f t="shared" si="27"/>
        <v>308810.72</v>
      </c>
      <c r="O66" s="47"/>
    </row>
    <row r="67" spans="1:15">
      <c r="A67" s="3" t="s">
        <v>976</v>
      </c>
      <c r="B67" s="3" t="s">
        <v>977</v>
      </c>
      <c r="C67" s="3">
        <v>275919.32</v>
      </c>
      <c r="D67" s="3">
        <v>43058</v>
      </c>
      <c r="E67" s="3">
        <v>113247.46</v>
      </c>
      <c r="F67" s="3">
        <v>9848.56</v>
      </c>
      <c r="G67" s="3">
        <f t="shared" si="23"/>
        <v>109765.3</v>
      </c>
      <c r="I67" s="47">
        <v>23.5675135863254</v>
      </c>
      <c r="J67" s="47">
        <f t="shared" si="24"/>
        <v>1246876.07160574</v>
      </c>
      <c r="K67" s="47">
        <v>11.86</v>
      </c>
      <c r="L67" s="47">
        <f t="shared" si="25"/>
        <v>1343114.8756</v>
      </c>
      <c r="M67" s="47">
        <f t="shared" si="26"/>
        <v>0</v>
      </c>
      <c r="N67" s="47">
        <f t="shared" si="27"/>
        <v>217675.73</v>
      </c>
      <c r="O67" s="47"/>
    </row>
    <row r="68" spans="1:15">
      <c r="A68" s="3" t="s">
        <v>978</v>
      </c>
      <c r="B68" s="3" t="s">
        <v>979</v>
      </c>
      <c r="C68" s="3">
        <v>216879.42</v>
      </c>
      <c r="D68" s="3">
        <v>35067.83</v>
      </c>
      <c r="E68" s="3">
        <v>100234.09</v>
      </c>
      <c r="F68" s="3">
        <v>10334.03</v>
      </c>
      <c r="G68" s="3">
        <f t="shared" si="23"/>
        <v>71243.47</v>
      </c>
      <c r="I68" s="47">
        <v>26.8331402313745</v>
      </c>
      <c r="J68" s="47">
        <f t="shared" si="24"/>
        <v>1218274.47614523</v>
      </c>
      <c r="K68" s="47">
        <v>19.2</v>
      </c>
      <c r="L68" s="47">
        <f t="shared" si="25"/>
        <v>1924494.528</v>
      </c>
      <c r="M68" s="47">
        <f t="shared" si="26"/>
        <v>0</v>
      </c>
      <c r="N68" s="47">
        <f t="shared" si="27"/>
        <v>156305.46</v>
      </c>
      <c r="O68" s="47"/>
    </row>
    <row r="69" spans="1:15">
      <c r="A69" s="3" t="s">
        <v>980</v>
      </c>
      <c r="B69" s="3" t="s">
        <v>981</v>
      </c>
      <c r="C69" s="3">
        <v>244660.38</v>
      </c>
      <c r="D69" s="3">
        <v>33867.29</v>
      </c>
      <c r="E69" s="3">
        <v>98499.29</v>
      </c>
      <c r="F69" s="3">
        <v>9942.79</v>
      </c>
      <c r="G69" s="3">
        <f t="shared" si="23"/>
        <v>102351.01</v>
      </c>
      <c r="I69" s="47">
        <v>19.2371459304834</v>
      </c>
      <c r="J69" s="47">
        <f t="shared" si="24"/>
        <v>842780.902186152</v>
      </c>
      <c r="K69" s="47">
        <v>11.56</v>
      </c>
      <c r="L69" s="47">
        <f t="shared" si="25"/>
        <v>1138651.7924</v>
      </c>
      <c r="M69" s="47">
        <f t="shared" si="26"/>
        <v>0</v>
      </c>
      <c r="N69" s="47">
        <f t="shared" si="27"/>
        <v>135301.92</v>
      </c>
      <c r="O69" s="47"/>
    </row>
    <row r="70" spans="1:15">
      <c r="A70" s="3" t="s">
        <v>982</v>
      </c>
      <c r="B70" s="3" t="s">
        <v>983</v>
      </c>
      <c r="C70" s="3">
        <v>477681.37</v>
      </c>
      <c r="D70" s="3">
        <v>93541.11</v>
      </c>
      <c r="E70" s="3">
        <v>209801.82</v>
      </c>
      <c r="F70" s="3">
        <v>27594.39</v>
      </c>
      <c r="G70" s="3">
        <f t="shared" si="23"/>
        <v>146744.05</v>
      </c>
      <c r="H70" s="3">
        <v>275748.5</v>
      </c>
      <c r="I70" s="47">
        <v>14.7740389225657</v>
      </c>
      <c r="J70" s="47">
        <f t="shared" si="24"/>
        <v>1789660.59190446</v>
      </c>
      <c r="K70" s="47">
        <v>12.39</v>
      </c>
      <c r="L70" s="47">
        <f t="shared" si="25"/>
        <v>2599444.5498</v>
      </c>
      <c r="M70" s="47">
        <f t="shared" si="26"/>
        <v>1</v>
      </c>
      <c r="N70" s="47">
        <f t="shared" si="27"/>
        <v>132366.58</v>
      </c>
      <c r="O70" s="47">
        <v>11.13</v>
      </c>
    </row>
    <row r="71" spans="1:15">
      <c r="A71" s="3" t="s">
        <v>984</v>
      </c>
      <c r="B71" s="3" t="s">
        <v>985</v>
      </c>
      <c r="C71" s="3">
        <v>445147.35</v>
      </c>
      <c r="D71" s="3">
        <v>61608.37</v>
      </c>
      <c r="E71" s="3">
        <v>176268.1</v>
      </c>
      <c r="F71" s="3">
        <v>11837.86</v>
      </c>
      <c r="G71" s="3">
        <f t="shared" si="23"/>
        <v>195433.02</v>
      </c>
      <c r="H71" s="3">
        <v>158227</v>
      </c>
      <c r="I71" s="47">
        <v>18.1861652889047</v>
      </c>
      <c r="J71" s="47">
        <f t="shared" si="24"/>
        <v>1335705.27862691</v>
      </c>
      <c r="K71" s="47">
        <v>11.86</v>
      </c>
      <c r="L71" s="47">
        <f t="shared" si="25"/>
        <v>2090539.666</v>
      </c>
      <c r="M71" s="47">
        <f t="shared" si="26"/>
        <v>1</v>
      </c>
      <c r="N71" s="47">
        <f t="shared" si="27"/>
        <v>303342.93</v>
      </c>
      <c r="O71" s="47">
        <v>10.26</v>
      </c>
    </row>
    <row r="72" spans="1:15">
      <c r="A72" s="3" t="s">
        <v>986</v>
      </c>
      <c r="B72" s="3" t="s">
        <v>987</v>
      </c>
      <c r="C72" s="3">
        <v>321676.32</v>
      </c>
      <c r="D72" s="3">
        <v>54464.51</v>
      </c>
      <c r="E72" s="3">
        <v>144798.89</v>
      </c>
      <c r="F72" s="3">
        <v>10967.35</v>
      </c>
      <c r="G72" s="3">
        <f t="shared" si="23"/>
        <v>111445.57</v>
      </c>
      <c r="I72" s="47">
        <v>28.43705010841</v>
      </c>
      <c r="J72" s="47">
        <f t="shared" si="24"/>
        <v>1860689.08150647</v>
      </c>
      <c r="K72" s="47">
        <v>14.7</v>
      </c>
      <c r="L72" s="47">
        <f t="shared" si="25"/>
        <v>2128543.683</v>
      </c>
      <c r="M72" s="47">
        <f t="shared" si="26"/>
        <v>0</v>
      </c>
      <c r="N72" s="47">
        <f t="shared" si="27"/>
        <v>237876.47</v>
      </c>
      <c r="O72" s="47"/>
    </row>
    <row r="73" spans="1:15">
      <c r="A73" s="3" t="s">
        <v>988</v>
      </c>
      <c r="B73" s="3" t="s">
        <v>989</v>
      </c>
      <c r="C73" s="3">
        <v>358248.47</v>
      </c>
      <c r="D73" s="3">
        <v>46777.01</v>
      </c>
      <c r="E73" s="3">
        <v>147425.8</v>
      </c>
      <c r="F73" s="3">
        <v>11312.29</v>
      </c>
      <c r="G73" s="3">
        <f t="shared" si="23"/>
        <v>152733.37</v>
      </c>
      <c r="I73" s="47">
        <v>29.3911474889053</v>
      </c>
      <c r="J73" s="47">
        <f t="shared" si="24"/>
        <v>1707311.18382727</v>
      </c>
      <c r="K73" s="47">
        <v>12.96</v>
      </c>
      <c r="L73" s="47">
        <f t="shared" si="25"/>
        <v>1910638.368</v>
      </c>
      <c r="M73" s="47">
        <f t="shared" si="26"/>
        <v>0</v>
      </c>
      <c r="N73" s="47">
        <f t="shared" si="27"/>
        <v>199263.4</v>
      </c>
      <c r="O73" s="47"/>
    </row>
    <row r="74" spans="1:15">
      <c r="A74" s="3" t="s">
        <v>990</v>
      </c>
      <c r="B74" s="3" t="s">
        <v>991</v>
      </c>
      <c r="C74" s="3">
        <v>467579.82</v>
      </c>
      <c r="D74" s="3">
        <v>111435.33</v>
      </c>
      <c r="E74" s="3">
        <v>237415.37</v>
      </c>
      <c r="F74" s="3">
        <v>13682.5</v>
      </c>
      <c r="G74" s="3">
        <f t="shared" si="23"/>
        <v>105046.62</v>
      </c>
      <c r="I74" s="47">
        <v>31.964458668539</v>
      </c>
      <c r="J74" s="47">
        <f t="shared" si="24"/>
        <v>3999323.70573229</v>
      </c>
      <c r="K74" s="47">
        <v>23.2</v>
      </c>
      <c r="L74" s="47">
        <f t="shared" si="25"/>
        <v>5508036.584</v>
      </c>
      <c r="M74" s="47">
        <f t="shared" si="26"/>
        <v>0</v>
      </c>
      <c r="N74" s="47">
        <f t="shared" si="27"/>
        <v>194202.81</v>
      </c>
      <c r="O74" s="47"/>
    </row>
    <row r="75" spans="1:15">
      <c r="A75" s="3" t="s">
        <v>992</v>
      </c>
      <c r="B75" s="3" t="s">
        <v>993</v>
      </c>
      <c r="C75" s="3">
        <v>211673.08</v>
      </c>
      <c r="D75" s="3">
        <v>28483.37</v>
      </c>
      <c r="E75" s="3">
        <v>81333.09</v>
      </c>
      <c r="F75" s="3">
        <v>8981.42</v>
      </c>
      <c r="G75" s="3">
        <f t="shared" si="23"/>
        <v>92875.2</v>
      </c>
      <c r="I75" s="47">
        <v>20.2251348769475</v>
      </c>
      <c r="J75" s="47">
        <f t="shared" si="24"/>
        <v>757730.430886514</v>
      </c>
      <c r="K75" s="47">
        <v>18.4</v>
      </c>
      <c r="L75" s="47">
        <f t="shared" si="25"/>
        <v>1496528.856</v>
      </c>
      <c r="M75" s="47">
        <f t="shared" si="26"/>
        <v>0</v>
      </c>
      <c r="N75" s="47">
        <f t="shared" si="27"/>
        <v>348850.7</v>
      </c>
      <c r="O75" s="47"/>
    </row>
    <row r="76" spans="1:15">
      <c r="A76" s="3" t="s">
        <v>994</v>
      </c>
      <c r="B76" s="3" t="s">
        <v>995</v>
      </c>
      <c r="C76" s="3">
        <v>34844.92</v>
      </c>
      <c r="D76" s="3">
        <v>8584.23</v>
      </c>
      <c r="E76" s="3">
        <v>15278.7</v>
      </c>
      <c r="F76" s="3">
        <v>1475</v>
      </c>
      <c r="G76" s="3">
        <f t="shared" si="23"/>
        <v>9506.99</v>
      </c>
      <c r="I76" s="47">
        <v>35.7073377577255</v>
      </c>
      <c r="J76" s="47">
        <f t="shared" si="24"/>
        <v>359188.323192645</v>
      </c>
      <c r="K76" s="47">
        <v>17.44</v>
      </c>
      <c r="L76" s="47">
        <f t="shared" si="25"/>
        <v>266460.528</v>
      </c>
      <c r="M76" s="47">
        <f t="shared" si="26"/>
        <v>0</v>
      </c>
      <c r="N76" s="47">
        <f t="shared" si="27"/>
        <v>109816.46</v>
      </c>
      <c r="O76" s="47"/>
    </row>
    <row r="77" spans="1:15">
      <c r="A77" s="3" t="s">
        <v>717</v>
      </c>
      <c r="B77" s="3" t="s">
        <v>718</v>
      </c>
      <c r="C77" s="3">
        <v>139428.15</v>
      </c>
      <c r="D77" s="3">
        <v>25039.3</v>
      </c>
      <c r="E77" s="3">
        <v>61807.2</v>
      </c>
      <c r="F77" s="3">
        <v>4898.18</v>
      </c>
      <c r="G77" s="3">
        <f t="shared" si="23"/>
        <v>47683.47</v>
      </c>
      <c r="I77" s="47">
        <v>30.3203364311303</v>
      </c>
      <c r="J77" s="47">
        <f t="shared" si="24"/>
        <v>907714.465500235</v>
      </c>
      <c r="K77" s="47">
        <v>16.8</v>
      </c>
      <c r="L77" s="47">
        <f t="shared" si="25"/>
        <v>1038360.96</v>
      </c>
      <c r="M77" s="47">
        <f t="shared" si="26"/>
        <v>0</v>
      </c>
      <c r="N77" s="47">
        <f t="shared" si="27"/>
        <v>23862.93</v>
      </c>
      <c r="O77" s="47"/>
    </row>
    <row r="78" spans="1:15">
      <c r="A78" s="3" t="s">
        <v>996</v>
      </c>
      <c r="B78" s="3" t="s">
        <v>997</v>
      </c>
      <c r="C78" s="3">
        <v>384761.9</v>
      </c>
      <c r="D78" s="3">
        <v>50687.8</v>
      </c>
      <c r="E78" s="3">
        <v>152446.95</v>
      </c>
      <c r="F78" s="3">
        <v>10447.56</v>
      </c>
      <c r="G78" s="3">
        <f t="shared" si="23"/>
        <v>171179.59</v>
      </c>
      <c r="I78" s="47">
        <v>27.2661271548578</v>
      </c>
      <c r="J78" s="47">
        <f t="shared" si="24"/>
        <v>1666924.49941801</v>
      </c>
      <c r="K78" s="47">
        <v>15.4</v>
      </c>
      <c r="L78" s="47">
        <f t="shared" si="25"/>
        <v>2347683.03</v>
      </c>
      <c r="M78" s="47">
        <f t="shared" si="26"/>
        <v>0</v>
      </c>
      <c r="N78" s="47">
        <f t="shared" si="27"/>
        <v>86846.5</v>
      </c>
      <c r="O78" s="47"/>
    </row>
    <row r="79" spans="1:15">
      <c r="A79" s="3" t="s">
        <v>998</v>
      </c>
      <c r="B79" s="3" t="s">
        <v>999</v>
      </c>
      <c r="C79" s="3">
        <v>136326.32</v>
      </c>
      <c r="D79" s="3">
        <v>14285.22</v>
      </c>
      <c r="E79" s="3">
        <v>55581.94</v>
      </c>
      <c r="F79" s="3">
        <v>5454.48</v>
      </c>
      <c r="G79" s="3">
        <f t="shared" si="23"/>
        <v>61004.68</v>
      </c>
      <c r="I79" s="47">
        <v>38.8884455402157</v>
      </c>
      <c r="J79" s="47">
        <f t="shared" si="24"/>
        <v>767646.248430196</v>
      </c>
      <c r="K79" s="47">
        <v>15.43</v>
      </c>
      <c r="L79" s="47">
        <f t="shared" si="25"/>
        <v>857629.3342</v>
      </c>
      <c r="M79" s="47">
        <f t="shared" si="26"/>
        <v>0</v>
      </c>
      <c r="N79" s="47">
        <f t="shared" si="27"/>
        <v>203134.75</v>
      </c>
      <c r="O79" s="47"/>
    </row>
    <row r="80" spans="1:15">
      <c r="A80" s="3" t="s">
        <v>1000</v>
      </c>
      <c r="B80" s="3" t="s">
        <v>1001</v>
      </c>
      <c r="C80" s="3">
        <v>206397.21</v>
      </c>
      <c r="D80" s="3">
        <v>28213.74</v>
      </c>
      <c r="E80" s="3">
        <v>85966.95</v>
      </c>
      <c r="F80" s="3">
        <v>7843.42</v>
      </c>
      <c r="G80" s="3">
        <f t="shared" si="23"/>
        <v>84373.1</v>
      </c>
      <c r="I80" s="47">
        <v>27.0176871269105</v>
      </c>
      <c r="J80" s="47">
        <f t="shared" si="24"/>
        <v>974181.067564952</v>
      </c>
      <c r="K80" s="47">
        <v>11.28</v>
      </c>
      <c r="L80" s="47">
        <f t="shared" si="25"/>
        <v>969707.196</v>
      </c>
      <c r="M80" s="47">
        <f t="shared" si="26"/>
        <v>0</v>
      </c>
      <c r="N80" s="47">
        <f t="shared" si="27"/>
        <v>69867.16</v>
      </c>
      <c r="O80" s="47"/>
    </row>
    <row r="81" spans="1:15">
      <c r="A81" s="3" t="s">
        <v>1002</v>
      </c>
      <c r="B81" s="3" t="s">
        <v>1003</v>
      </c>
      <c r="C81" s="3">
        <v>160506.4</v>
      </c>
      <c r="D81" s="3">
        <v>26539.45</v>
      </c>
      <c r="E81" s="3">
        <v>65538.19</v>
      </c>
      <c r="F81" s="3">
        <v>5784.5</v>
      </c>
      <c r="G81" s="3">
        <f t="shared" si="23"/>
        <v>62644.26</v>
      </c>
      <c r="H81" s="3">
        <v>86293.1</v>
      </c>
      <c r="I81" s="47">
        <v>25.1467155498701</v>
      </c>
      <c r="J81" s="47">
        <f t="shared" si="24"/>
        <v>812841.176098224</v>
      </c>
      <c r="K81" s="47">
        <v>18.23</v>
      </c>
      <c r="L81" s="47">
        <f t="shared" si="25"/>
        <v>1194761.2037</v>
      </c>
      <c r="M81" s="47">
        <f t="shared" si="26"/>
        <v>1</v>
      </c>
      <c r="N81" s="47">
        <f t="shared" si="27"/>
        <v>114180.69</v>
      </c>
      <c r="O81" s="47">
        <v>13.62</v>
      </c>
    </row>
    <row r="82" spans="1:15">
      <c r="A82" s="3" t="s">
        <v>1004</v>
      </c>
      <c r="B82" s="3" t="s">
        <v>1005</v>
      </c>
      <c r="C82" s="3">
        <v>88655.16</v>
      </c>
      <c r="D82" s="3">
        <v>13757.99</v>
      </c>
      <c r="E82" s="3">
        <v>37438.87</v>
      </c>
      <c r="F82" s="3">
        <v>6565.6</v>
      </c>
      <c r="G82" s="3">
        <f t="shared" si="23"/>
        <v>30892.7</v>
      </c>
      <c r="H82" s="3">
        <v>44631.3</v>
      </c>
      <c r="I82" s="47">
        <v>27.2067358676667</v>
      </c>
      <c r="J82" s="47">
        <f t="shared" si="24"/>
        <v>552938.545012752</v>
      </c>
      <c r="K82" s="47">
        <v>12.6</v>
      </c>
      <c r="L82" s="47">
        <f t="shared" si="25"/>
        <v>471729.762</v>
      </c>
      <c r="M82" s="47">
        <f t="shared" si="26"/>
        <v>1</v>
      </c>
      <c r="N82" s="47">
        <f t="shared" si="27"/>
        <v>92077.64</v>
      </c>
      <c r="O82" s="47">
        <v>15.68</v>
      </c>
    </row>
    <row r="83" spans="1:15">
      <c r="A83" s="3" t="s">
        <v>1006</v>
      </c>
      <c r="B83" s="3" t="s">
        <v>1007</v>
      </c>
      <c r="C83" s="3">
        <v>22953.05</v>
      </c>
      <c r="D83" s="3">
        <v>4072.72</v>
      </c>
      <c r="E83" s="3">
        <v>10290.97</v>
      </c>
      <c r="F83" s="3">
        <v>1070.3</v>
      </c>
      <c r="G83" s="3">
        <f t="shared" si="23"/>
        <v>7519.06</v>
      </c>
      <c r="H83" s="3">
        <v>13293.4</v>
      </c>
      <c r="I83" s="47">
        <v>41.5594492133022</v>
      </c>
      <c r="J83" s="47">
        <f t="shared" si="24"/>
        <v>213741.078492997</v>
      </c>
      <c r="K83" s="47">
        <v>17.04</v>
      </c>
      <c r="L83" s="47">
        <f t="shared" si="25"/>
        <v>175358.1288</v>
      </c>
      <c r="M83" s="47">
        <f t="shared" si="26"/>
        <v>1</v>
      </c>
      <c r="N83" s="47">
        <f t="shared" si="27"/>
        <v>51196.86</v>
      </c>
      <c r="O83" s="47">
        <v>17.72</v>
      </c>
    </row>
    <row r="84" spans="1:15">
      <c r="A84" s="3" t="s">
        <v>1008</v>
      </c>
      <c r="B84" s="3" t="s">
        <v>1009</v>
      </c>
      <c r="C84" s="3">
        <v>24900.99</v>
      </c>
      <c r="D84" s="3">
        <v>5038.47</v>
      </c>
      <c r="E84" s="3">
        <v>11334.9</v>
      </c>
      <c r="F84" s="3">
        <v>1030.65</v>
      </c>
      <c r="G84" s="3">
        <f t="shared" si="23"/>
        <v>7496.97</v>
      </c>
      <c r="H84" s="3">
        <v>15342.7</v>
      </c>
      <c r="I84" s="47">
        <v>26.3552229148928</v>
      </c>
      <c r="J84" s="47">
        <f t="shared" si="24"/>
        <v>159953.010497234</v>
      </c>
      <c r="K84" s="47">
        <v>14.08</v>
      </c>
      <c r="L84" s="47">
        <f t="shared" si="25"/>
        <v>159595.392</v>
      </c>
      <c r="M84" s="47">
        <f t="shared" si="26"/>
        <v>1</v>
      </c>
      <c r="N84" s="47">
        <f t="shared" si="27"/>
        <v>14363.69</v>
      </c>
      <c r="O84" s="47">
        <v>15.88</v>
      </c>
    </row>
    <row r="85" spans="1:15">
      <c r="A85" s="3" t="s">
        <v>1010</v>
      </c>
      <c r="B85" s="3" t="s">
        <v>1011</v>
      </c>
      <c r="C85" s="3">
        <v>87816.49</v>
      </c>
      <c r="D85" s="3">
        <v>16417.49</v>
      </c>
      <c r="E85" s="3">
        <v>34579.87</v>
      </c>
      <c r="F85" s="3">
        <v>3601.29</v>
      </c>
      <c r="G85" s="3">
        <f t="shared" si="23"/>
        <v>33217.84</v>
      </c>
      <c r="H85" s="3">
        <v>47396.1</v>
      </c>
      <c r="I85" s="47">
        <v>25.9491554433717</v>
      </c>
      <c r="J85" s="47">
        <f t="shared" si="24"/>
        <v>519470.434006661</v>
      </c>
      <c r="K85" s="47">
        <v>15.58</v>
      </c>
      <c r="L85" s="47">
        <f t="shared" si="25"/>
        <v>538754.3746</v>
      </c>
      <c r="M85" s="47">
        <f t="shared" si="26"/>
        <v>1</v>
      </c>
      <c r="N85" s="47">
        <f t="shared" si="27"/>
        <v>16373.37</v>
      </c>
      <c r="O85" s="47">
        <v>18.49</v>
      </c>
    </row>
    <row r="86" spans="1:15">
      <c r="A86" s="3" t="s">
        <v>1012</v>
      </c>
      <c r="B86" s="3" t="s">
        <v>1012</v>
      </c>
      <c r="C86" s="3">
        <f>SUM(E86:F86)</f>
        <v>4365.21274451989</v>
      </c>
      <c r="E86" s="3">
        <v>3829.60381881193</v>
      </c>
      <c r="F86" s="3">
        <v>535.608925707962</v>
      </c>
      <c r="G86" s="3">
        <v>0</v>
      </c>
      <c r="I86" s="47">
        <v>26.6916359305782</v>
      </c>
      <c r="J86" s="47">
        <f t="shared" si="24"/>
        <v>14296.278446165</v>
      </c>
      <c r="K86" s="47">
        <v>11.28</v>
      </c>
      <c r="L86" s="47">
        <f t="shared" si="25"/>
        <v>43197.9310761986</v>
      </c>
      <c r="M86" s="47">
        <f t="shared" si="26"/>
        <v>1</v>
      </c>
      <c r="N86" s="47">
        <f t="shared" si="27"/>
        <v>50997.36</v>
      </c>
      <c r="O86" s="47">
        <v>12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91"/>
  <sheetViews>
    <sheetView workbookViewId="0">
      <selection activeCell="A1" sqref="A1"/>
    </sheetView>
  </sheetViews>
  <sheetFormatPr defaultColWidth="9" defaultRowHeight="13.5"/>
  <cols>
    <col min="1" max="1" width="36.6333333333333" style="3" customWidth="1"/>
    <col min="2" max="15" width="13.8833333333333" style="3" customWidth="1"/>
    <col min="16" max="46" width="14.3833333333333" customWidth="1"/>
  </cols>
  <sheetData>
    <row r="2" ht="15" spans="1:44">
      <c r="A2" s="39" t="s">
        <v>927</v>
      </c>
      <c r="B2" s="40"/>
    </row>
    <row r="3" s="5" customFormat="1" spans="1:44">
      <c r="A3" s="41"/>
      <c r="B3" s="41">
        <v>2018</v>
      </c>
      <c r="C3" s="41">
        <v>2019</v>
      </c>
      <c r="D3" s="41">
        <v>2020</v>
      </c>
      <c r="E3" s="41">
        <v>2021</v>
      </c>
      <c r="F3" s="41">
        <v>2022</v>
      </c>
      <c r="G3" s="41">
        <v>2023</v>
      </c>
      <c r="H3" s="41">
        <v>2024</v>
      </c>
      <c r="I3" s="41">
        <v>2025</v>
      </c>
      <c r="J3" s="41">
        <v>2026</v>
      </c>
      <c r="K3" s="41">
        <v>2027</v>
      </c>
      <c r="L3" s="41">
        <v>2028</v>
      </c>
      <c r="M3" s="41">
        <v>2029</v>
      </c>
      <c r="N3" s="41">
        <v>2030</v>
      </c>
      <c r="O3" s="41">
        <v>2031</v>
      </c>
      <c r="P3" s="41">
        <v>2032</v>
      </c>
      <c r="Q3" s="41">
        <v>2033</v>
      </c>
      <c r="R3" s="41">
        <v>2034</v>
      </c>
      <c r="S3" s="41">
        <v>2035</v>
      </c>
      <c r="T3" s="41">
        <v>2036</v>
      </c>
      <c r="U3" s="41">
        <v>2037</v>
      </c>
      <c r="V3" s="41">
        <v>2038</v>
      </c>
      <c r="W3" s="41">
        <v>2039</v>
      </c>
      <c r="X3" s="41">
        <v>2040</v>
      </c>
      <c r="Y3" s="41">
        <v>2041</v>
      </c>
      <c r="Z3" s="41">
        <v>2042</v>
      </c>
      <c r="AA3" s="41">
        <v>2043</v>
      </c>
      <c r="AB3" s="41">
        <v>2044</v>
      </c>
      <c r="AC3" s="41">
        <v>2045</v>
      </c>
      <c r="AD3" s="41">
        <v>2046</v>
      </c>
      <c r="AE3" s="41">
        <v>2047</v>
      </c>
      <c r="AF3" s="41">
        <v>2048</v>
      </c>
      <c r="AG3" s="41">
        <v>2049</v>
      </c>
      <c r="AH3" s="41">
        <v>2050</v>
      </c>
      <c r="AI3" s="41">
        <v>2051</v>
      </c>
      <c r="AJ3" s="41">
        <v>2052</v>
      </c>
      <c r="AK3" s="41">
        <v>2053</v>
      </c>
      <c r="AL3" s="41">
        <v>2054</v>
      </c>
      <c r="AM3" s="41">
        <v>2055</v>
      </c>
      <c r="AN3" s="41">
        <v>2056</v>
      </c>
      <c r="AO3" s="41">
        <v>2057</v>
      </c>
      <c r="AP3" s="41">
        <v>2058</v>
      </c>
      <c r="AQ3" s="41">
        <v>2059</v>
      </c>
      <c r="AR3" s="41">
        <v>2060</v>
      </c>
    </row>
    <row r="4" s="6" customFormat="1" spans="1:44">
      <c r="A4" s="42" t="s">
        <v>928</v>
      </c>
      <c r="B4" s="43">
        <f>D49*人口变化预测!D4/10000</f>
        <v>2956385.34870164</v>
      </c>
      <c r="C4" s="43">
        <f>E49*人口变化预测!E4/10000</f>
        <v>3028597.92365105</v>
      </c>
      <c r="D4" s="43">
        <f>F49*人口变化预测!F4/10000</f>
        <v>3124059.78415498</v>
      </c>
      <c r="E4" s="43">
        <f>G49*人口变化预测!G4/10000</f>
        <v>3171829.27764597</v>
      </c>
      <c r="F4" s="43">
        <f>H49*人口变化预测!H4/10000</f>
        <v>3218199.55378326</v>
      </c>
      <c r="G4" s="43">
        <f>I49*人口变化预测!I4/10000</f>
        <v>3263151.77855096</v>
      </c>
      <c r="H4" s="43">
        <f>J49*人口变化预测!J4/10000</f>
        <v>3306669.81092577</v>
      </c>
      <c r="I4" s="43">
        <f>K49*人口变化预测!K4/10000</f>
        <v>3348740.55898201</v>
      </c>
      <c r="J4" s="43">
        <f>L49*人口变化预测!L4/10000</f>
        <v>3389353.77078884</v>
      </c>
      <c r="K4" s="43">
        <f>M49*人口变化预测!M4/10000</f>
        <v>3428502.54704009</v>
      </c>
      <c r="L4" s="43">
        <f>N49*人口变化预测!N4/10000</f>
        <v>3466183.13935665</v>
      </c>
      <c r="M4" s="43">
        <f>O49*人口变化预测!O4/10000</f>
        <v>3502395.28464944</v>
      </c>
      <c r="N4" s="43">
        <f>P49*人口变化预测!P4/10000</f>
        <v>3537142.29995024</v>
      </c>
      <c r="O4" s="43">
        <f>Q49*人口变化预测!Q4/10000</f>
        <v>3570431.14425938</v>
      </c>
      <c r="P4" s="43">
        <f>R49*人口变化预测!R4/10000</f>
        <v>3602272.77924952</v>
      </c>
      <c r="Q4" s="43">
        <f>S49*人口变化预测!S4/10000</f>
        <v>3632682.03215546</v>
      </c>
      <c r="R4" s="43">
        <f>T49*人口变化预测!T4/10000</f>
        <v>3661677.99930484</v>
      </c>
      <c r="S4" s="43">
        <f>U49*人口变化预测!U4/10000</f>
        <v>3689284.05081443</v>
      </c>
      <c r="T4" s="43">
        <f>V49*人口变化预测!V4/10000</f>
        <v>3715528.05977411</v>
      </c>
      <c r="U4" s="43">
        <f>W49*人口变化预测!W4/10000</f>
        <v>3740442.62608784</v>
      </c>
      <c r="V4" s="43">
        <f>X49*人口变化预测!X4/10000</f>
        <v>3764065.04876473</v>
      </c>
      <c r="W4" s="43">
        <f>Y49*人口变化预测!Y4/10000</f>
        <v>3786437.70658893</v>
      </c>
      <c r="X4" s="43">
        <f>Z49*人口变化预测!Z4/10000</f>
        <v>3807608.17236865</v>
      </c>
      <c r="Y4" s="43">
        <f>AA49*人口变化预测!AA4/10000</f>
        <v>3827629.41291313</v>
      </c>
      <c r="Z4" s="43">
        <f>AB49*人口变化预测!AB4/10000</f>
        <v>3846559.86577134</v>
      </c>
      <c r="AA4" s="43">
        <f>AC49*人口变化预测!AC4/10000</f>
        <v>3864463.71976437</v>
      </c>
      <c r="AB4" s="43">
        <f>AD49*人口变化预测!AD4/10000</f>
        <v>3881411.23195454</v>
      </c>
      <c r="AC4" s="43">
        <f>AE49*人口变化预测!AE4/10000</f>
        <v>3897478.69298331</v>
      </c>
      <c r="AD4" s="43">
        <f>AF49*人口变化预测!AF4/10000</f>
        <v>3912748.69494919</v>
      </c>
      <c r="AE4" s="43">
        <f>AG49*人口变化预测!AG4/10000</f>
        <v>3927310.59739577</v>
      </c>
      <c r="AF4" s="43">
        <f>AH49*人口变化预测!AH4/10000</f>
        <v>3941260.36053072</v>
      </c>
      <c r="AG4" s="43">
        <f>AI49*人口变化预测!AI4/10000</f>
        <v>3954700.97160329</v>
      </c>
      <c r="AH4" s="43">
        <f>AJ49*人口变化预测!AJ4/10000</f>
        <v>3967742.75821736</v>
      </c>
      <c r="AI4" s="43">
        <f>AK49*人口变化预测!AK4/10000</f>
        <v>3980503.31515427</v>
      </c>
      <c r="AJ4" s="43">
        <f>AL49*人口变化预测!AL4/10000</f>
        <v>3993108.16431942</v>
      </c>
      <c r="AK4" s="43">
        <f>AM49*人口变化预测!AM4/10000</f>
        <v>4005690.50376321</v>
      </c>
      <c r="AL4" s="43">
        <f>AN49*人口变化预测!AN4/10000</f>
        <v>4018391.93933072</v>
      </c>
      <c r="AM4" s="43">
        <f>AO49*人口变化预测!AO4/10000</f>
        <v>4031362.4331946</v>
      </c>
      <c r="AN4" s="43">
        <f>AP49*人口变化预测!AP4/10000</f>
        <v>4044760.62241326</v>
      </c>
      <c r="AO4" s="43">
        <f>AQ49*人口变化预测!AQ4/10000</f>
        <v>4058754.09775867</v>
      </c>
      <c r="AP4" s="43">
        <f>AR49*人口变化预测!AR4/10000</f>
        <v>4073519.68921233</v>
      </c>
      <c r="AQ4" s="43">
        <f>AS49*人口变化预测!AS4/10000</f>
        <v>4089243.84810516</v>
      </c>
      <c r="AR4" s="43">
        <f>AT49*人口变化预测!AT4/10000</f>
        <v>4106122.65650298</v>
      </c>
    </row>
    <row r="5" s="6" customFormat="1" spans="1:44">
      <c r="A5" s="42" t="s">
        <v>929</v>
      </c>
      <c r="B5" s="43">
        <f>$B4*0.71%</f>
        <v>20990.3359757817</v>
      </c>
      <c r="C5" s="43">
        <f t="shared" ref="C5:H5" si="0">$B4*0.71%</f>
        <v>20990.3359757817</v>
      </c>
      <c r="D5" s="43">
        <f t="shared" si="0"/>
        <v>20990.3359757817</v>
      </c>
      <c r="E5" s="43">
        <f t="shared" si="0"/>
        <v>20990.3359757817</v>
      </c>
      <c r="F5" s="43">
        <f t="shared" si="0"/>
        <v>20990.3359757817</v>
      </c>
      <c r="G5" s="43">
        <f t="shared" si="0"/>
        <v>20990.3359757817</v>
      </c>
      <c r="H5" s="43">
        <f t="shared" si="0"/>
        <v>20990.3359757817</v>
      </c>
      <c r="I5" s="43">
        <f t="shared" ref="I5:AR5" si="1">$B4*0.71%</f>
        <v>20990.3359757817</v>
      </c>
      <c r="J5" s="43">
        <f t="shared" si="1"/>
        <v>20990.3359757817</v>
      </c>
      <c r="K5" s="43">
        <f t="shared" si="1"/>
        <v>20990.3359757817</v>
      </c>
      <c r="L5" s="43">
        <f t="shared" si="1"/>
        <v>20990.3359757817</v>
      </c>
      <c r="M5" s="43">
        <f t="shared" si="1"/>
        <v>20990.3359757817</v>
      </c>
      <c r="N5" s="43">
        <f t="shared" si="1"/>
        <v>20990.3359757817</v>
      </c>
      <c r="O5" s="43">
        <f t="shared" si="1"/>
        <v>20990.3359757817</v>
      </c>
      <c r="P5" s="43">
        <f t="shared" si="1"/>
        <v>20990.3359757817</v>
      </c>
      <c r="Q5" s="43">
        <f t="shared" si="1"/>
        <v>20990.3359757817</v>
      </c>
      <c r="R5" s="43">
        <f t="shared" si="1"/>
        <v>20990.3359757817</v>
      </c>
      <c r="S5" s="43">
        <f t="shared" si="1"/>
        <v>20990.3359757817</v>
      </c>
      <c r="T5" s="43">
        <f t="shared" si="1"/>
        <v>20990.3359757817</v>
      </c>
      <c r="U5" s="43">
        <f t="shared" si="1"/>
        <v>20990.3359757817</v>
      </c>
      <c r="V5" s="43">
        <f t="shared" si="1"/>
        <v>20990.3359757817</v>
      </c>
      <c r="W5" s="43">
        <f t="shared" si="1"/>
        <v>20990.3359757817</v>
      </c>
      <c r="X5" s="43">
        <f t="shared" si="1"/>
        <v>20990.3359757817</v>
      </c>
      <c r="Y5" s="43">
        <f t="shared" si="1"/>
        <v>20990.3359757817</v>
      </c>
      <c r="Z5" s="43">
        <f t="shared" si="1"/>
        <v>20990.3359757817</v>
      </c>
      <c r="AA5" s="43">
        <f t="shared" si="1"/>
        <v>20990.3359757817</v>
      </c>
      <c r="AB5" s="43">
        <f t="shared" si="1"/>
        <v>20990.3359757817</v>
      </c>
      <c r="AC5" s="43">
        <f t="shared" si="1"/>
        <v>20990.3359757817</v>
      </c>
      <c r="AD5" s="43">
        <f t="shared" si="1"/>
        <v>20990.3359757817</v>
      </c>
      <c r="AE5" s="43">
        <f t="shared" si="1"/>
        <v>20990.3359757817</v>
      </c>
      <c r="AF5" s="43">
        <f t="shared" si="1"/>
        <v>20990.3359757817</v>
      </c>
      <c r="AG5" s="43">
        <f t="shared" si="1"/>
        <v>20990.3359757817</v>
      </c>
      <c r="AH5" s="43">
        <f t="shared" si="1"/>
        <v>20990.3359757817</v>
      </c>
      <c r="AI5" s="43">
        <f t="shared" si="1"/>
        <v>20990.3359757817</v>
      </c>
      <c r="AJ5" s="43">
        <f t="shared" si="1"/>
        <v>20990.3359757817</v>
      </c>
      <c r="AK5" s="43">
        <f t="shared" si="1"/>
        <v>20990.3359757817</v>
      </c>
      <c r="AL5" s="43">
        <f t="shared" si="1"/>
        <v>20990.3359757817</v>
      </c>
      <c r="AM5" s="43">
        <f t="shared" si="1"/>
        <v>20990.3359757817</v>
      </c>
      <c r="AN5" s="43">
        <f t="shared" si="1"/>
        <v>20990.3359757817</v>
      </c>
      <c r="AO5" s="43">
        <f t="shared" si="1"/>
        <v>20990.3359757817</v>
      </c>
      <c r="AP5" s="43">
        <f t="shared" si="1"/>
        <v>20990.3359757817</v>
      </c>
      <c r="AQ5" s="43">
        <f t="shared" si="1"/>
        <v>20990.3359757817</v>
      </c>
      <c r="AR5" s="43">
        <f t="shared" si="1"/>
        <v>20990.3359757817</v>
      </c>
    </row>
    <row r="6" s="6" customFormat="1" spans="1:44">
      <c r="A6" s="42" t="s">
        <v>930</v>
      </c>
      <c r="B6" s="43"/>
      <c r="C6" s="43">
        <f>IF(B4-C4-B5&gt;0,B4-C4-B5,0)</f>
        <v>0</v>
      </c>
      <c r="D6" s="43">
        <f>IF(C4-D4-C5&gt;0,C4-D4-C5,0)</f>
        <v>0</v>
      </c>
      <c r="E6" s="43">
        <f t="shared" ref="E6:AR6" si="2">IF(D4-E4-D5&gt;0,D4-E4-D5,0)</f>
        <v>0</v>
      </c>
      <c r="F6" s="43">
        <f t="shared" si="2"/>
        <v>0</v>
      </c>
      <c r="G6" s="43">
        <f t="shared" si="2"/>
        <v>0</v>
      </c>
      <c r="H6" s="43">
        <f t="shared" si="2"/>
        <v>0</v>
      </c>
      <c r="I6" s="43">
        <f t="shared" si="2"/>
        <v>0</v>
      </c>
      <c r="J6" s="43">
        <f t="shared" si="2"/>
        <v>0</v>
      </c>
      <c r="K6" s="43">
        <f t="shared" si="2"/>
        <v>0</v>
      </c>
      <c r="L6" s="43">
        <f t="shared" si="2"/>
        <v>0</v>
      </c>
      <c r="M6" s="43">
        <f t="shared" si="2"/>
        <v>0</v>
      </c>
      <c r="N6" s="43">
        <f t="shared" si="2"/>
        <v>0</v>
      </c>
      <c r="O6" s="43">
        <f t="shared" si="2"/>
        <v>0</v>
      </c>
      <c r="P6" s="43">
        <f t="shared" si="2"/>
        <v>0</v>
      </c>
      <c r="Q6" s="43">
        <f t="shared" si="2"/>
        <v>0</v>
      </c>
      <c r="R6" s="43">
        <f t="shared" si="2"/>
        <v>0</v>
      </c>
      <c r="S6" s="43">
        <f t="shared" si="2"/>
        <v>0</v>
      </c>
      <c r="T6" s="43">
        <f t="shared" si="2"/>
        <v>0</v>
      </c>
      <c r="U6" s="43">
        <f t="shared" si="2"/>
        <v>0</v>
      </c>
      <c r="V6" s="43">
        <f t="shared" si="2"/>
        <v>0</v>
      </c>
      <c r="W6" s="43">
        <f t="shared" si="2"/>
        <v>0</v>
      </c>
      <c r="X6" s="43">
        <f t="shared" si="2"/>
        <v>0</v>
      </c>
      <c r="Y6" s="43">
        <f t="shared" si="2"/>
        <v>0</v>
      </c>
      <c r="Z6" s="43">
        <f t="shared" si="2"/>
        <v>0</v>
      </c>
      <c r="AA6" s="43">
        <f t="shared" si="2"/>
        <v>0</v>
      </c>
      <c r="AB6" s="43">
        <f t="shared" si="2"/>
        <v>0</v>
      </c>
      <c r="AC6" s="43">
        <f t="shared" si="2"/>
        <v>0</v>
      </c>
      <c r="AD6" s="43">
        <f t="shared" si="2"/>
        <v>0</v>
      </c>
      <c r="AE6" s="43">
        <f t="shared" si="2"/>
        <v>0</v>
      </c>
      <c r="AF6" s="43">
        <f t="shared" si="2"/>
        <v>0</v>
      </c>
      <c r="AG6" s="43">
        <f t="shared" si="2"/>
        <v>0</v>
      </c>
      <c r="AH6" s="43">
        <f t="shared" si="2"/>
        <v>0</v>
      </c>
      <c r="AI6" s="43">
        <f t="shared" si="2"/>
        <v>0</v>
      </c>
      <c r="AJ6" s="43">
        <f t="shared" si="2"/>
        <v>0</v>
      </c>
      <c r="AK6" s="43">
        <f t="shared" si="2"/>
        <v>0</v>
      </c>
      <c r="AL6" s="43">
        <f t="shared" si="2"/>
        <v>0</v>
      </c>
      <c r="AM6" s="43">
        <f t="shared" si="2"/>
        <v>0</v>
      </c>
      <c r="AN6" s="43">
        <f t="shared" si="2"/>
        <v>0</v>
      </c>
      <c r="AO6" s="43">
        <f t="shared" si="2"/>
        <v>0</v>
      </c>
      <c r="AP6" s="43">
        <f t="shared" si="2"/>
        <v>0</v>
      </c>
      <c r="AQ6" s="43">
        <f t="shared" si="2"/>
        <v>0</v>
      </c>
      <c r="AR6" s="43">
        <f t="shared" si="2"/>
        <v>0</v>
      </c>
    </row>
    <row r="7" s="6" customFormat="1" spans="1:44">
      <c r="A7" s="42" t="s">
        <v>1013</v>
      </c>
      <c r="B7" s="43"/>
      <c r="C7" s="43"/>
      <c r="D7" s="43">
        <f>$C$4*0.01</f>
        <v>30285.9792365105</v>
      </c>
      <c r="E7" s="43">
        <f t="shared" ref="E7:AR7" si="3">$C$4*0.01</f>
        <v>30285.9792365105</v>
      </c>
      <c r="F7" s="43">
        <f t="shared" si="3"/>
        <v>30285.9792365105</v>
      </c>
      <c r="G7" s="43">
        <f t="shared" si="3"/>
        <v>30285.9792365105</v>
      </c>
      <c r="H7" s="43">
        <f t="shared" si="3"/>
        <v>30285.9792365105</v>
      </c>
      <c r="I7" s="43">
        <f t="shared" si="3"/>
        <v>30285.9792365105</v>
      </c>
      <c r="J7" s="43">
        <f t="shared" si="3"/>
        <v>30285.9792365105</v>
      </c>
      <c r="K7" s="43">
        <f t="shared" si="3"/>
        <v>30285.9792365105</v>
      </c>
      <c r="L7" s="43">
        <f t="shared" si="3"/>
        <v>30285.9792365105</v>
      </c>
      <c r="M7" s="43">
        <f t="shared" si="3"/>
        <v>30285.9792365105</v>
      </c>
      <c r="N7" s="43">
        <f t="shared" si="3"/>
        <v>30285.9792365105</v>
      </c>
      <c r="O7" s="43">
        <f t="shared" si="3"/>
        <v>30285.9792365105</v>
      </c>
      <c r="P7" s="43">
        <f t="shared" si="3"/>
        <v>30285.9792365105</v>
      </c>
      <c r="Q7" s="43">
        <f t="shared" si="3"/>
        <v>30285.9792365105</v>
      </c>
      <c r="R7" s="43">
        <f t="shared" si="3"/>
        <v>30285.9792365105</v>
      </c>
      <c r="S7" s="43">
        <f t="shared" si="3"/>
        <v>30285.9792365105</v>
      </c>
      <c r="T7" s="43">
        <f t="shared" si="3"/>
        <v>30285.9792365105</v>
      </c>
      <c r="U7" s="43">
        <f t="shared" si="3"/>
        <v>30285.9792365105</v>
      </c>
      <c r="V7" s="43">
        <f t="shared" si="3"/>
        <v>30285.9792365105</v>
      </c>
      <c r="W7" s="43">
        <f t="shared" si="3"/>
        <v>30285.9792365105</v>
      </c>
      <c r="X7" s="43">
        <f t="shared" si="3"/>
        <v>30285.9792365105</v>
      </c>
      <c r="Y7" s="43">
        <f t="shared" si="3"/>
        <v>30285.9792365105</v>
      </c>
      <c r="Z7" s="43">
        <f t="shared" si="3"/>
        <v>30285.9792365105</v>
      </c>
      <c r="AA7" s="43">
        <f t="shared" si="3"/>
        <v>30285.9792365105</v>
      </c>
      <c r="AB7" s="43">
        <f t="shared" si="3"/>
        <v>30285.9792365105</v>
      </c>
      <c r="AC7" s="43">
        <f t="shared" si="3"/>
        <v>30285.9792365105</v>
      </c>
      <c r="AD7" s="43">
        <f t="shared" si="3"/>
        <v>30285.9792365105</v>
      </c>
      <c r="AE7" s="43">
        <f t="shared" si="3"/>
        <v>30285.9792365105</v>
      </c>
      <c r="AF7" s="43">
        <f t="shared" si="3"/>
        <v>30285.9792365105</v>
      </c>
      <c r="AG7" s="43">
        <f t="shared" si="3"/>
        <v>30285.9792365105</v>
      </c>
      <c r="AH7" s="43">
        <f t="shared" si="3"/>
        <v>30285.9792365105</v>
      </c>
      <c r="AI7" s="43">
        <f t="shared" si="3"/>
        <v>30285.9792365105</v>
      </c>
      <c r="AJ7" s="43">
        <f t="shared" si="3"/>
        <v>30285.9792365105</v>
      </c>
      <c r="AK7" s="43">
        <f t="shared" si="3"/>
        <v>30285.9792365105</v>
      </c>
      <c r="AL7" s="43">
        <f t="shared" si="3"/>
        <v>30285.9792365105</v>
      </c>
      <c r="AM7" s="43">
        <f t="shared" si="3"/>
        <v>30285.9792365105</v>
      </c>
      <c r="AN7" s="43">
        <f t="shared" si="3"/>
        <v>30285.9792365105</v>
      </c>
      <c r="AO7" s="43">
        <f t="shared" si="3"/>
        <v>30285.9792365105</v>
      </c>
      <c r="AP7" s="43">
        <f t="shared" si="3"/>
        <v>30285.9792365105</v>
      </c>
      <c r="AQ7" s="43">
        <f t="shared" si="3"/>
        <v>30285.9792365105</v>
      </c>
      <c r="AR7" s="43">
        <f t="shared" si="3"/>
        <v>30285.9792365105</v>
      </c>
    </row>
    <row r="8" s="6" customFormat="1" spans="1:44">
      <c r="A8" s="42" t="s">
        <v>931</v>
      </c>
      <c r="B8" s="43"/>
      <c r="C8" s="43">
        <f t="shared" ref="C8:AR8" si="4">IF(C4-B4+B5&gt;0,C4-B4+B5,0)</f>
        <v>93202.9109251938</v>
      </c>
      <c r="D8" s="43">
        <f t="shared" si="4"/>
        <v>116452.196479706</v>
      </c>
      <c r="E8" s="43">
        <f t="shared" si="4"/>
        <v>68759.8294667715</v>
      </c>
      <c r="F8" s="43">
        <f t="shared" si="4"/>
        <v>67360.6121130694</v>
      </c>
      <c r="G8" s="43">
        <f t="shared" si="4"/>
        <v>65942.560743488</v>
      </c>
      <c r="H8" s="43">
        <f t="shared" si="4"/>
        <v>64508.3683505851</v>
      </c>
      <c r="I8" s="43">
        <f t="shared" si="4"/>
        <v>63061.0840320211</v>
      </c>
      <c r="J8" s="43">
        <f t="shared" si="4"/>
        <v>61603.5477826163</v>
      </c>
      <c r="K8" s="43">
        <f t="shared" si="4"/>
        <v>60139.112227027</v>
      </c>
      <c r="L8" s="43">
        <f t="shared" si="4"/>
        <v>58670.9282923486</v>
      </c>
      <c r="M8" s="43">
        <f t="shared" si="4"/>
        <v>57202.4812685727</v>
      </c>
      <c r="N8" s="43">
        <f t="shared" si="4"/>
        <v>55737.3512765822</v>
      </c>
      <c r="O8" s="43">
        <f t="shared" si="4"/>
        <v>54279.1802849137</v>
      </c>
      <c r="P8" s="43">
        <f t="shared" si="4"/>
        <v>52831.9709659215</v>
      </c>
      <c r="Q8" s="43">
        <f t="shared" si="4"/>
        <v>51399.5888817279</v>
      </c>
      <c r="R8" s="43">
        <f t="shared" si="4"/>
        <v>49986.3031251548</v>
      </c>
      <c r="S8" s="43">
        <f t="shared" si="4"/>
        <v>48596.3874853785</v>
      </c>
      <c r="T8" s="43">
        <f t="shared" si="4"/>
        <v>47234.3449354601</v>
      </c>
      <c r="U8" s="43">
        <f t="shared" si="4"/>
        <v>45904.9022895085</v>
      </c>
      <c r="V8" s="43">
        <f t="shared" si="4"/>
        <v>44612.7586526769</v>
      </c>
      <c r="W8" s="43">
        <f t="shared" si="4"/>
        <v>43362.9937999767</v>
      </c>
      <c r="X8" s="43">
        <f t="shared" si="4"/>
        <v>42160.801755502</v>
      </c>
      <c r="Y8" s="43">
        <f t="shared" si="4"/>
        <v>41011.576520261</v>
      </c>
      <c r="Z8" s="43">
        <f t="shared" si="4"/>
        <v>39920.7888339978</v>
      </c>
      <c r="AA8" s="43">
        <f t="shared" si="4"/>
        <v>38894.1899688105</v>
      </c>
      <c r="AB8" s="43">
        <f t="shared" si="4"/>
        <v>37937.8481659476</v>
      </c>
      <c r="AC8" s="43">
        <f t="shared" si="4"/>
        <v>37057.7970045489</v>
      </c>
      <c r="AD8" s="43">
        <f t="shared" si="4"/>
        <v>36260.3379416649</v>
      </c>
      <c r="AE8" s="43">
        <f t="shared" si="4"/>
        <v>35552.2384223613</v>
      </c>
      <c r="AF8" s="43">
        <f t="shared" si="4"/>
        <v>34940.0991107287</v>
      </c>
      <c r="AG8" s="43">
        <f t="shared" si="4"/>
        <v>34430.9470483569</v>
      </c>
      <c r="AH8" s="43">
        <f t="shared" si="4"/>
        <v>34032.1225898542</v>
      </c>
      <c r="AI8" s="43">
        <f t="shared" si="4"/>
        <v>33750.8929126897</v>
      </c>
      <c r="AJ8" s="43">
        <f t="shared" si="4"/>
        <v>33595.185140927</v>
      </c>
      <c r="AK8" s="43">
        <f t="shared" si="4"/>
        <v>33572.6754195789</v>
      </c>
      <c r="AL8" s="43">
        <f t="shared" si="4"/>
        <v>33691.7715432855</v>
      </c>
      <c r="AM8" s="43">
        <f t="shared" si="4"/>
        <v>33960.8298396628</v>
      </c>
      <c r="AN8" s="43">
        <f t="shared" si="4"/>
        <v>34388.5251944448</v>
      </c>
      <c r="AO8" s="43">
        <f t="shared" si="4"/>
        <v>34983.8113211888</v>
      </c>
      <c r="AP8" s="43">
        <f t="shared" si="4"/>
        <v>35755.9274294415</v>
      </c>
      <c r="AQ8" s="43">
        <f t="shared" si="4"/>
        <v>36714.4948686097</v>
      </c>
      <c r="AR8" s="43">
        <f t="shared" si="4"/>
        <v>37869.1443736037</v>
      </c>
    </row>
    <row r="9" s="6" customFormat="1" spans="1:44">
      <c r="A9" s="42" t="s">
        <v>932</v>
      </c>
      <c r="B9" s="43">
        <v>0</v>
      </c>
      <c r="C9" s="43">
        <f>SUM($C8:C8)</f>
        <v>93202.9109251938</v>
      </c>
      <c r="D9" s="43">
        <f>SUM($C8:D8)</f>
        <v>209655.1074049</v>
      </c>
      <c r="E9" s="43">
        <f>SUM($C8:E8)</f>
        <v>278414.936871671</v>
      </c>
      <c r="F9" s="43">
        <f>SUM($C8:F8)</f>
        <v>345775.54898474</v>
      </c>
      <c r="G9" s="43">
        <f>SUM($C8:G8)</f>
        <v>411718.109728228</v>
      </c>
      <c r="H9" s="43">
        <f>SUM($C8:H8)</f>
        <v>476226.478078814</v>
      </c>
      <c r="I9" s="43">
        <f>SUM($C8:I8)</f>
        <v>539287.562110835</v>
      </c>
      <c r="J9" s="43">
        <f>SUM($C8:J8)</f>
        <v>600891.109893451</v>
      </c>
      <c r="K9" s="43">
        <f>SUM($C8:K8)</f>
        <v>661030.222120478</v>
      </c>
      <c r="L9" s="43">
        <f>SUM($C8:L8)</f>
        <v>719701.150412827</v>
      </c>
      <c r="M9" s="43">
        <f>SUM($C8:M8)</f>
        <v>776903.631681399</v>
      </c>
      <c r="N9" s="43">
        <f>SUM($C8:N8)</f>
        <v>832640.982957982</v>
      </c>
      <c r="O9" s="43">
        <f>SUM($C8:O8)</f>
        <v>886920.163242895</v>
      </c>
      <c r="P9" s="43">
        <f>SUM($C8:P8)</f>
        <v>939752.134208817</v>
      </c>
      <c r="Q9" s="43">
        <f>SUM($C8:Q8)</f>
        <v>991151.723090545</v>
      </c>
      <c r="R9" s="43">
        <f>SUM($C8:R8)</f>
        <v>1041138.0262157</v>
      </c>
      <c r="S9" s="43">
        <f>SUM($C8:S8)</f>
        <v>1089734.41370108</v>
      </c>
      <c r="T9" s="43">
        <f>SUM($C8:T8)</f>
        <v>1136968.75863654</v>
      </c>
      <c r="U9" s="43">
        <f>SUM($C8:U8)</f>
        <v>1182873.66092605</v>
      </c>
      <c r="V9" s="43">
        <f>SUM($C8:V8)</f>
        <v>1227486.41957872</v>
      </c>
      <c r="W9" s="43">
        <f>SUM($C8:W8)</f>
        <v>1270849.4133787</v>
      </c>
      <c r="X9" s="43">
        <f>SUM($C8:X8)</f>
        <v>1313010.2151342</v>
      </c>
      <c r="Y9" s="43">
        <f>SUM($C8:Y8)</f>
        <v>1354021.79165446</v>
      </c>
      <c r="Z9" s="43">
        <f>SUM($C8:Z8)</f>
        <v>1393942.58048846</v>
      </c>
      <c r="AA9" s="43">
        <f>SUM($C8:AA8)</f>
        <v>1432836.77045727</v>
      </c>
      <c r="AB9" s="43">
        <f>SUM($C8:AB8)</f>
        <v>1470774.61862322</v>
      </c>
      <c r="AC9" s="43">
        <f>SUM($C8:AC8)</f>
        <v>1507832.41562777</v>
      </c>
      <c r="AD9" s="43">
        <f>SUM($C8:AD8)</f>
        <v>1544092.75356943</v>
      </c>
      <c r="AE9" s="43">
        <f>SUM($C8:AE8)</f>
        <v>1579644.99199179</v>
      </c>
      <c r="AF9" s="43">
        <f>SUM($C8:AF8)</f>
        <v>1614585.09110252</v>
      </c>
      <c r="AG9" s="43">
        <f>SUM($C8:AG8)</f>
        <v>1649016.03815088</v>
      </c>
      <c r="AH9" s="43">
        <f>SUM($C8:AH8)</f>
        <v>1683048.16074073</v>
      </c>
      <c r="AI9" s="43">
        <f>SUM($C8:AI8)</f>
        <v>1716799.05365342</v>
      </c>
      <c r="AJ9" s="43">
        <f>SUM($C8:AJ8)</f>
        <v>1750394.23879435</v>
      </c>
      <c r="AK9" s="43">
        <f>SUM($C8:AK8)</f>
        <v>1783966.91421393</v>
      </c>
      <c r="AL9" s="43">
        <f>SUM($C8:AL8)</f>
        <v>1817658.68575721</v>
      </c>
      <c r="AM9" s="43">
        <f>SUM($C8:AM8)</f>
        <v>1851619.51559688</v>
      </c>
      <c r="AN9" s="43">
        <f>SUM($C8:AN8)</f>
        <v>1886008.04079132</v>
      </c>
      <c r="AO9" s="43">
        <f>SUM($C8:AO8)</f>
        <v>1920991.85211251</v>
      </c>
      <c r="AP9" s="43">
        <f>SUM($C8:AP8)</f>
        <v>1956747.77954195</v>
      </c>
      <c r="AQ9" s="43">
        <f>SUM($C8:AQ8)</f>
        <v>1993462.27441056</v>
      </c>
      <c r="AR9" s="43">
        <f>SUM($C8:AR8)</f>
        <v>2031331.41878416</v>
      </c>
    </row>
    <row r="10" s="6" customFormat="1" spans="1:44">
      <c r="A10" s="42" t="s">
        <v>933</v>
      </c>
      <c r="B10" s="43">
        <f>$B4-SUM(A5:$B5)-SUM(A6:$B6)-SUM(A7:$B7)</f>
        <v>2935395.01272586</v>
      </c>
      <c r="C10" s="43">
        <f>$B4-SUM($B5:B5)-SUM($B6:B6)-SUM($B7:B7)</f>
        <v>2935395.01272586</v>
      </c>
      <c r="D10" s="43">
        <f>$B4-SUM($B5:C5)-SUM($B6:C6)-SUM($B7:C7)</f>
        <v>2914404.67675008</v>
      </c>
      <c r="E10" s="43">
        <f>$B4-SUM($B5:D5)-SUM($B6:D6)-SUM($B7:D7)</f>
        <v>2863128.36153779</v>
      </c>
      <c r="F10" s="43">
        <f>$B4-SUM($B5:E5)-SUM($B6:E6)-SUM($B7:E7)</f>
        <v>2811852.0463255</v>
      </c>
      <c r="G10" s="43">
        <f>$B4-SUM($B5:F5)-SUM($B6:F6)-SUM($B7:F7)</f>
        <v>2760575.7311132</v>
      </c>
      <c r="H10" s="43">
        <f>$B4-SUM($B5:G5)-SUM($B6:G6)-SUM($B7:G7)</f>
        <v>2709299.41590091</v>
      </c>
      <c r="I10" s="43">
        <f>$B4-SUM($B5:H5)-SUM($B6:H6)-SUM($B7:H7)</f>
        <v>2658023.10068862</v>
      </c>
      <c r="J10" s="43">
        <f>$B4-SUM($B5:I5)-SUM($B6:I6)-SUM($B7:I7)</f>
        <v>2606746.78547633</v>
      </c>
      <c r="K10" s="43">
        <f>$B4-SUM($B5:J5)-SUM($B6:J6)-SUM($B7:J7)</f>
        <v>2555470.47026403</v>
      </c>
      <c r="L10" s="43">
        <f>$B4-SUM($B5:K5)-SUM($B6:K6)-SUM($B7:K7)</f>
        <v>2504194.15505174</v>
      </c>
      <c r="M10" s="43">
        <f>$B4-SUM($B5:L5)-SUM($B6:L6)-SUM($B7:L7)</f>
        <v>2452917.83983945</v>
      </c>
      <c r="N10" s="43">
        <f>$B4-SUM($B5:M5)-SUM($B6:M6)-SUM($B7:M7)</f>
        <v>2401641.52462716</v>
      </c>
      <c r="O10" s="43">
        <f>$B4-SUM($B5:N5)-SUM($B6:N6)-SUM($B7:N7)</f>
        <v>2350365.20941487</v>
      </c>
      <c r="P10" s="43">
        <f>$B4-SUM($B5:O5)-SUM($B6:O6)-SUM($B7:O7)</f>
        <v>2299088.89420257</v>
      </c>
      <c r="Q10" s="43">
        <f>$B4-SUM($B5:P5)-SUM($B6:P6)-SUM($B7:P7)</f>
        <v>2247812.57899028</v>
      </c>
      <c r="R10" s="43">
        <f>$B4-SUM($B5:Q5)-SUM($B6:Q6)-SUM($B7:Q7)</f>
        <v>2196536.26377799</v>
      </c>
      <c r="S10" s="43">
        <f>$B4-SUM($B5:R5)-SUM($B6:R6)-SUM($B7:R7)</f>
        <v>2145259.9485657</v>
      </c>
      <c r="T10" s="43">
        <f>$B4-SUM($B5:S5)-SUM($B6:S6)-SUM($B7:S7)</f>
        <v>2093983.6333534</v>
      </c>
      <c r="U10" s="43">
        <f>$B4-SUM($B5:T5)-SUM($B6:T6)-SUM($B7:T7)</f>
        <v>2042707.31814111</v>
      </c>
      <c r="V10" s="43">
        <f>$B4-SUM($B5:U5)-SUM($B6:U6)-SUM($B7:U7)</f>
        <v>1991431.00292882</v>
      </c>
      <c r="W10" s="43">
        <f>$B4-SUM($B5:V5)-SUM($B6:V6)-SUM($B7:V7)</f>
        <v>1940154.68771653</v>
      </c>
      <c r="X10" s="43">
        <f>$B4-SUM($B5:W5)-SUM($B6:W6)-SUM($B7:W7)</f>
        <v>1888878.37250424</v>
      </c>
      <c r="Y10" s="43">
        <f>$B4-SUM($B5:X5)-SUM($B6:X6)-SUM($B7:X7)</f>
        <v>1837602.05729194</v>
      </c>
      <c r="Z10" s="43">
        <f>$B4-SUM($B5:Y5)-SUM($B6:Y6)-SUM($B7:Y7)</f>
        <v>1786325.74207965</v>
      </c>
      <c r="AA10" s="43">
        <f>$B4-SUM($B5:Z5)-SUM($B6:Z6)-SUM($B7:Z7)</f>
        <v>1735049.42686736</v>
      </c>
      <c r="AB10" s="43">
        <f>$B4-SUM($B5:AA5)-SUM($B6:AA6)-SUM($B7:AA7)</f>
        <v>1683773.11165507</v>
      </c>
      <c r="AC10" s="43">
        <f>$B4-SUM($B5:AB5)-SUM($B6:AB6)-SUM($B7:AB7)</f>
        <v>1632496.79644277</v>
      </c>
      <c r="AD10" s="43">
        <f>$B4-SUM($B5:AC5)-SUM($B6:AC6)-SUM($B7:AC7)</f>
        <v>1581220.48123048</v>
      </c>
      <c r="AE10" s="43">
        <f>$B4-SUM($B5:AD5)-SUM($B6:AD6)-SUM($B7:AD7)</f>
        <v>1529944.16601819</v>
      </c>
      <c r="AF10" s="43">
        <f>$B4-SUM($B5:AE5)-SUM($B6:AE6)-SUM($B7:AE7)</f>
        <v>1478667.8508059</v>
      </c>
      <c r="AG10" s="43">
        <f>$B4-SUM($B5:AF5)-SUM($B6:AF6)-SUM($B7:AF7)</f>
        <v>1427391.53559361</v>
      </c>
      <c r="AH10" s="43">
        <f>$B4-SUM($B5:AG5)-SUM($B6:AG6)-SUM($B7:AG7)</f>
        <v>1376115.22038131</v>
      </c>
      <c r="AI10" s="43">
        <f>$B4-SUM($B5:AH5)-SUM($B6:AH6)-SUM($B7:AH7)</f>
        <v>1324838.90516902</v>
      </c>
      <c r="AJ10" s="43">
        <f>$B4-SUM($B5:AI5)-SUM($B6:AI6)-SUM($B7:AI7)</f>
        <v>1273562.58995673</v>
      </c>
      <c r="AK10" s="43">
        <f>$B4-SUM($B5:AJ5)-SUM($B6:AJ6)-SUM($B7:AJ7)</f>
        <v>1222286.27474444</v>
      </c>
      <c r="AL10" s="43">
        <f>$B4-SUM($B5:AK5)-SUM($B6:AK6)-SUM($B7:AK7)</f>
        <v>1171009.95953214</v>
      </c>
      <c r="AM10" s="43">
        <f>$B4-SUM($B5:AL5)-SUM($B6:AL6)-SUM($B7:AL7)</f>
        <v>1119733.64431985</v>
      </c>
      <c r="AN10" s="43">
        <f>$B4-SUM($B5:AM5)-SUM($B6:AM6)-SUM($B7:AM7)</f>
        <v>1068457.32910756</v>
      </c>
      <c r="AO10" s="43">
        <f>$B4-SUM($B5:AN5)-SUM($B6:AN6)-SUM($B7:AN7)</f>
        <v>1017181.01389527</v>
      </c>
      <c r="AP10" s="43">
        <f>$B4-SUM($B5:AO5)-SUM($B6:AO6)-SUM($B7:AO7)</f>
        <v>965904.698682975</v>
      </c>
      <c r="AQ10" s="43">
        <f>$B4-SUM($B5:AP5)-SUM($B6:AP6)-SUM($B7:AP7)</f>
        <v>914628.383470683</v>
      </c>
      <c r="AR10" s="43">
        <f>$B4-SUM($B5:AQ5)-SUM($B6:AQ6)-SUM($B7:AQ7)</f>
        <v>863352.068258391</v>
      </c>
    </row>
    <row r="11" s="6" customFormat="1" spans="1:44">
      <c r="A11" s="44"/>
      <c r="B11" s="43"/>
      <c r="C11" s="43"/>
      <c r="D11" s="43"/>
      <c r="E11" s="43"/>
      <c r="F11" s="43"/>
      <c r="G11" s="43"/>
      <c r="H11" s="43"/>
      <c r="I11" s="43"/>
      <c r="J11" s="43"/>
      <c r="K11" s="43"/>
      <c r="L11" s="43"/>
      <c r="M11" s="43"/>
      <c r="N11" s="43"/>
      <c r="O11" s="43"/>
      <c r="P11" s="43"/>
      <c r="Q11" s="43"/>
      <c r="R11" s="43"/>
      <c r="S11" s="43"/>
      <c r="T11" s="43"/>
      <c r="U11" s="43"/>
      <c r="V11" s="43"/>
      <c r="W11" s="43"/>
      <c r="X11" s="43"/>
      <c r="Y11" s="43"/>
      <c r="Z11" s="43"/>
      <c r="AA11" s="43"/>
      <c r="AB11" s="43"/>
      <c r="AC11" s="43"/>
      <c r="AD11" s="43"/>
      <c r="AE11" s="43"/>
      <c r="AF11" s="43"/>
      <c r="AG11" s="43"/>
      <c r="AH11" s="43"/>
      <c r="AI11" s="43"/>
      <c r="AJ11" s="43"/>
      <c r="AK11" s="43"/>
      <c r="AL11" s="43"/>
      <c r="AM11" s="43"/>
      <c r="AN11" s="43"/>
      <c r="AO11" s="43"/>
      <c r="AP11" s="43"/>
      <c r="AQ11" s="43"/>
      <c r="AR11" s="43"/>
    </row>
    <row r="12" s="5" customFormat="1" spans="1:44">
      <c r="A12" s="42"/>
      <c r="B12" s="41">
        <v>2018</v>
      </c>
      <c r="C12" s="41">
        <v>2019</v>
      </c>
      <c r="D12" s="41">
        <v>2020</v>
      </c>
      <c r="E12" s="41">
        <v>2021</v>
      </c>
      <c r="F12" s="41">
        <v>2022</v>
      </c>
      <c r="G12" s="41">
        <v>2023</v>
      </c>
      <c r="H12" s="41">
        <v>2024</v>
      </c>
      <c r="I12" s="41">
        <v>2025</v>
      </c>
      <c r="J12" s="41">
        <v>2026</v>
      </c>
      <c r="K12" s="41">
        <v>2027</v>
      </c>
      <c r="L12" s="41">
        <v>2028</v>
      </c>
      <c r="M12" s="41">
        <v>2029</v>
      </c>
      <c r="N12" s="41">
        <v>2030</v>
      </c>
      <c r="O12" s="41">
        <v>2031</v>
      </c>
      <c r="P12" s="41">
        <v>2032</v>
      </c>
      <c r="Q12" s="41">
        <v>2033</v>
      </c>
      <c r="R12" s="41">
        <v>2034</v>
      </c>
      <c r="S12" s="41">
        <v>2035</v>
      </c>
      <c r="T12" s="41">
        <v>2036</v>
      </c>
      <c r="U12" s="41">
        <v>2037</v>
      </c>
      <c r="V12" s="41">
        <v>2038</v>
      </c>
      <c r="W12" s="41">
        <v>2039</v>
      </c>
      <c r="X12" s="41">
        <v>2040</v>
      </c>
      <c r="Y12" s="41">
        <v>2041</v>
      </c>
      <c r="Z12" s="41">
        <v>2042</v>
      </c>
      <c r="AA12" s="41">
        <v>2043</v>
      </c>
      <c r="AB12" s="41">
        <v>2044</v>
      </c>
      <c r="AC12" s="41">
        <v>2045</v>
      </c>
      <c r="AD12" s="41">
        <v>2046</v>
      </c>
      <c r="AE12" s="41">
        <v>2047</v>
      </c>
      <c r="AF12" s="41">
        <v>2048</v>
      </c>
      <c r="AG12" s="41">
        <v>2049</v>
      </c>
      <c r="AH12" s="41">
        <v>2050</v>
      </c>
      <c r="AI12" s="41">
        <v>2051</v>
      </c>
      <c r="AJ12" s="41">
        <v>2052</v>
      </c>
      <c r="AK12" s="41">
        <v>2053</v>
      </c>
      <c r="AL12" s="41">
        <v>2054</v>
      </c>
      <c r="AM12" s="41">
        <v>2055</v>
      </c>
      <c r="AN12" s="41">
        <v>2056</v>
      </c>
      <c r="AO12" s="41">
        <v>2057</v>
      </c>
      <c r="AP12" s="41">
        <v>2058</v>
      </c>
      <c r="AQ12" s="41">
        <v>2059</v>
      </c>
      <c r="AR12" s="41">
        <v>2060</v>
      </c>
    </row>
    <row r="13" s="6" customFormat="1" spans="1:44">
      <c r="A13" s="42" t="s">
        <v>934</v>
      </c>
      <c r="B13" s="43">
        <f>D50*人口变化预测!D5/10000</f>
        <v>2074346.55000929</v>
      </c>
      <c r="C13" s="43">
        <f>E50*人口变化预测!E5/10000</f>
        <v>2012020.48208539</v>
      </c>
      <c r="D13" s="43">
        <f>F50*人口变化预测!F5/10000</f>
        <v>1961282.76532103</v>
      </c>
      <c r="E13" s="43">
        <f>G50*人口变化预测!G5/10000</f>
        <v>1960372.22094336</v>
      </c>
      <c r="F13" s="43">
        <f>H50*人口变化预测!H5/10000</f>
        <v>1957855.39474049</v>
      </c>
      <c r="G13" s="43">
        <f>I50*人口变化预测!I5/10000</f>
        <v>1953768.26913262</v>
      </c>
      <c r="H13" s="43">
        <f>J50*人口变化预测!J5/10000</f>
        <v>1948148.62901115</v>
      </c>
      <c r="I13" s="43">
        <f>K50*人口变化预测!K5/10000</f>
        <v>1941036.13438639</v>
      </c>
      <c r="J13" s="43">
        <f>L50*人口变化预测!L5/10000</f>
        <v>1932472.05276881</v>
      </c>
      <c r="K13" s="43">
        <f>M50*人口变化预测!M5/10000</f>
        <v>1922499.41055728</v>
      </c>
      <c r="L13" s="43">
        <f>N50*人口变化预测!N5/10000</f>
        <v>1911162.72404414</v>
      </c>
      <c r="M13" s="43">
        <f>O50*人口变化预测!O5/10000</f>
        <v>1898508.03492964</v>
      </c>
      <c r="N13" s="43">
        <f>P50*人口变化预测!P5/10000</f>
        <v>1884582.80210164</v>
      </c>
      <c r="O13" s="43">
        <f>Q50*人口变化预测!Q5/10000</f>
        <v>1869435.77360142</v>
      </c>
      <c r="P13" s="43">
        <f>R50*人口变化预测!R5/10000</f>
        <v>1853117.01166577</v>
      </c>
      <c r="Q13" s="43">
        <f>S50*人口变化预测!S5/10000</f>
        <v>1835677.64924836</v>
      </c>
      <c r="R13" s="43">
        <f>T50*人口变化预测!T5/10000</f>
        <v>1817169.92527907</v>
      </c>
      <c r="S13" s="43">
        <f>U50*人口变化预测!U5/10000</f>
        <v>1797647.0066252</v>
      </c>
      <c r="T13" s="43">
        <f>V50*人口变化预测!V5/10000</f>
        <v>1777162.92028407</v>
      </c>
      <c r="U13" s="43">
        <f>W50*人口变化预测!W5/10000</f>
        <v>1755772.47389511</v>
      </c>
      <c r="V13" s="43">
        <f>X50*人口变化预测!X5/10000</f>
        <v>1733531.05171182</v>
      </c>
      <c r="W13" s="43">
        <f>Y50*人口变化预测!Y5/10000</f>
        <v>1710494.59984676</v>
      </c>
      <c r="X13" s="43">
        <f>Z50*人口变化预测!Z5/10000</f>
        <v>1686719.47675956</v>
      </c>
      <c r="Y13" s="43">
        <f>AA50*人口变化预测!AA5/10000</f>
        <v>1662262.33850542</v>
      </c>
      <c r="Z13" s="43">
        <f>AB50*人口变化预测!AB5/10000</f>
        <v>1637179.96467842</v>
      </c>
      <c r="AA13" s="43">
        <f>AC50*人口变化预测!AC5/10000</f>
        <v>1611529.16900955</v>
      </c>
      <c r="AB13" s="43">
        <f>AD50*人口变化预测!AD5/10000</f>
        <v>1585366.71407854</v>
      </c>
      <c r="AC13" s="43">
        <f>AE50*人口变化预测!AE5/10000</f>
        <v>1558749.0729988</v>
      </c>
      <c r="AD13" s="43">
        <f>AF50*人口变化预测!AF5/10000</f>
        <v>1531732.31526958</v>
      </c>
      <c r="AE13" s="43">
        <f>AG50*人口变化预测!AG5/10000</f>
        <v>1504372.05887723</v>
      </c>
      <c r="AF13" s="43">
        <f>AH50*人口变化预测!AH5/10000</f>
        <v>1476723.16593396</v>
      </c>
      <c r="AG13" s="43">
        <f>AI50*人口变化预测!AI5/10000</f>
        <v>1448839.66825882</v>
      </c>
      <c r="AH13" s="43">
        <f>AJ50*人口变化预测!AJ5/10000</f>
        <v>1420774.63542548</v>
      </c>
      <c r="AI13" s="43">
        <f>AK50*人口变化预测!AK5/10000</f>
        <v>1392579.896493</v>
      </c>
      <c r="AJ13" s="43">
        <f>AL50*人口变化预测!AL5/10000</f>
        <v>1364306.02034108</v>
      </c>
      <c r="AK13" s="43">
        <f>AM50*人口变化预测!AM5/10000</f>
        <v>1336001.96437608</v>
      </c>
      <c r="AL13" s="43">
        <f>AN50*人口变化预测!AN5/10000</f>
        <v>1307715.06001249</v>
      </c>
      <c r="AM13" s="43">
        <f>AO50*人口变化预测!AO5/10000</f>
        <v>1279490.71884741</v>
      </c>
      <c r="AN13" s="43">
        <f>AP50*人口变化预测!AP5/10000</f>
        <v>1251372.26079083</v>
      </c>
      <c r="AO13" s="43">
        <f>AQ50*人口变化预测!AQ5/10000</f>
        <v>1223400.71991259</v>
      </c>
      <c r="AP13" s="43">
        <f>AR50*人口变化预测!AR5/10000</f>
        <v>1195614.64405705</v>
      </c>
      <c r="AQ13" s="43">
        <f>AS50*人口变化预测!AS5/10000</f>
        <v>1168049.91374995</v>
      </c>
      <c r="AR13" s="43">
        <f>AT50*人口变化预测!AT5/10000</f>
        <v>1140739.44489223</v>
      </c>
    </row>
    <row r="14" s="6" customFormat="1" spans="1:44">
      <c r="A14" s="42" t="s">
        <v>929</v>
      </c>
      <c r="B14" s="43">
        <f>$B13*0.71%</f>
        <v>14727.8605050659</v>
      </c>
      <c r="C14" s="43">
        <f t="shared" ref="C14:AR14" si="5">$B13*0.71%</f>
        <v>14727.8605050659</v>
      </c>
      <c r="D14" s="43">
        <f t="shared" si="5"/>
        <v>14727.8605050659</v>
      </c>
      <c r="E14" s="43">
        <f t="shared" si="5"/>
        <v>14727.8605050659</v>
      </c>
      <c r="F14" s="43">
        <f t="shared" si="5"/>
        <v>14727.8605050659</v>
      </c>
      <c r="G14" s="43">
        <f t="shared" si="5"/>
        <v>14727.8605050659</v>
      </c>
      <c r="H14" s="43">
        <f t="shared" si="5"/>
        <v>14727.8605050659</v>
      </c>
      <c r="I14" s="43">
        <f t="shared" si="5"/>
        <v>14727.8605050659</v>
      </c>
      <c r="J14" s="43">
        <f t="shared" si="5"/>
        <v>14727.8605050659</v>
      </c>
      <c r="K14" s="43">
        <f t="shared" si="5"/>
        <v>14727.8605050659</v>
      </c>
      <c r="L14" s="43">
        <f t="shared" si="5"/>
        <v>14727.8605050659</v>
      </c>
      <c r="M14" s="43">
        <f t="shared" si="5"/>
        <v>14727.8605050659</v>
      </c>
      <c r="N14" s="43">
        <f t="shared" si="5"/>
        <v>14727.8605050659</v>
      </c>
      <c r="O14" s="43">
        <f t="shared" si="5"/>
        <v>14727.8605050659</v>
      </c>
      <c r="P14" s="43">
        <f t="shared" si="5"/>
        <v>14727.8605050659</v>
      </c>
      <c r="Q14" s="43">
        <f t="shared" si="5"/>
        <v>14727.8605050659</v>
      </c>
      <c r="R14" s="43">
        <f t="shared" si="5"/>
        <v>14727.8605050659</v>
      </c>
      <c r="S14" s="43">
        <f t="shared" si="5"/>
        <v>14727.8605050659</v>
      </c>
      <c r="T14" s="43">
        <f t="shared" si="5"/>
        <v>14727.8605050659</v>
      </c>
      <c r="U14" s="43">
        <f t="shared" si="5"/>
        <v>14727.8605050659</v>
      </c>
      <c r="V14" s="43">
        <f t="shared" si="5"/>
        <v>14727.8605050659</v>
      </c>
      <c r="W14" s="43">
        <f t="shared" si="5"/>
        <v>14727.8605050659</v>
      </c>
      <c r="X14" s="43">
        <f t="shared" si="5"/>
        <v>14727.8605050659</v>
      </c>
      <c r="Y14" s="43">
        <f t="shared" si="5"/>
        <v>14727.8605050659</v>
      </c>
      <c r="Z14" s="43">
        <f t="shared" si="5"/>
        <v>14727.8605050659</v>
      </c>
      <c r="AA14" s="43">
        <f t="shared" si="5"/>
        <v>14727.8605050659</v>
      </c>
      <c r="AB14" s="43">
        <f t="shared" si="5"/>
        <v>14727.8605050659</v>
      </c>
      <c r="AC14" s="43">
        <f t="shared" si="5"/>
        <v>14727.8605050659</v>
      </c>
      <c r="AD14" s="43">
        <f t="shared" si="5"/>
        <v>14727.8605050659</v>
      </c>
      <c r="AE14" s="43">
        <f t="shared" si="5"/>
        <v>14727.8605050659</v>
      </c>
      <c r="AF14" s="43">
        <f t="shared" si="5"/>
        <v>14727.8605050659</v>
      </c>
      <c r="AG14" s="43">
        <f t="shared" si="5"/>
        <v>14727.8605050659</v>
      </c>
      <c r="AH14" s="43">
        <f t="shared" si="5"/>
        <v>14727.8605050659</v>
      </c>
      <c r="AI14" s="43">
        <f t="shared" si="5"/>
        <v>14727.8605050659</v>
      </c>
      <c r="AJ14" s="43">
        <f t="shared" si="5"/>
        <v>14727.8605050659</v>
      </c>
      <c r="AK14" s="43">
        <f t="shared" si="5"/>
        <v>14727.8605050659</v>
      </c>
      <c r="AL14" s="43">
        <f t="shared" si="5"/>
        <v>14727.8605050659</v>
      </c>
      <c r="AM14" s="43">
        <f t="shared" si="5"/>
        <v>14727.8605050659</v>
      </c>
      <c r="AN14" s="43">
        <f t="shared" si="5"/>
        <v>14727.8605050659</v>
      </c>
      <c r="AO14" s="43">
        <f t="shared" si="5"/>
        <v>14727.8605050659</v>
      </c>
      <c r="AP14" s="43">
        <f t="shared" si="5"/>
        <v>14727.8605050659</v>
      </c>
      <c r="AQ14" s="43">
        <f t="shared" si="5"/>
        <v>14727.8605050659</v>
      </c>
      <c r="AR14" s="43">
        <f t="shared" si="5"/>
        <v>14727.8605050659</v>
      </c>
    </row>
    <row r="15" s="6" customFormat="1" spans="1:44">
      <c r="A15" s="42" t="s">
        <v>930</v>
      </c>
      <c r="B15" s="43"/>
      <c r="C15" s="43">
        <f>IF(B13-C13-B14&gt;0,B13-C13-B14,0)</f>
        <v>47598.2074188301</v>
      </c>
      <c r="D15" s="43">
        <f>IF(C13-D13-C14&gt;0,C13-D13-C14,0)</f>
        <v>36009.8562592898</v>
      </c>
      <c r="E15" s="43">
        <f t="shared" ref="E15:AR15" si="6">IF(D13-E13-D14&gt;0,D13-E13-D14,0)</f>
        <v>0</v>
      </c>
      <c r="F15" s="43">
        <f t="shared" si="6"/>
        <v>0</v>
      </c>
      <c r="G15" s="43">
        <f t="shared" si="6"/>
        <v>0</v>
      </c>
      <c r="H15" s="43">
        <f t="shared" si="6"/>
        <v>0</v>
      </c>
      <c r="I15" s="43">
        <f t="shared" si="6"/>
        <v>0</v>
      </c>
      <c r="J15" s="43">
        <f t="shared" si="6"/>
        <v>0</v>
      </c>
      <c r="K15" s="43">
        <f t="shared" si="6"/>
        <v>0</v>
      </c>
      <c r="L15" s="43">
        <f t="shared" si="6"/>
        <v>0</v>
      </c>
      <c r="M15" s="43">
        <f t="shared" si="6"/>
        <v>0</v>
      </c>
      <c r="N15" s="43">
        <f t="shared" si="6"/>
        <v>0</v>
      </c>
      <c r="O15" s="43">
        <f t="shared" si="6"/>
        <v>419.167995153408</v>
      </c>
      <c r="P15" s="43">
        <f t="shared" si="6"/>
        <v>1590.90143058467</v>
      </c>
      <c r="Q15" s="43">
        <f t="shared" si="6"/>
        <v>2711.50191234396</v>
      </c>
      <c r="R15" s="43">
        <f t="shared" si="6"/>
        <v>3779.8634642234</v>
      </c>
      <c r="S15" s="43">
        <f t="shared" si="6"/>
        <v>4795.05814880523</v>
      </c>
      <c r="T15" s="43">
        <f t="shared" si="6"/>
        <v>5756.22583606415</v>
      </c>
      <c r="U15" s="43">
        <f t="shared" si="6"/>
        <v>6662.58588389861</v>
      </c>
      <c r="V15" s="43">
        <f t="shared" si="6"/>
        <v>7513.56167821884</v>
      </c>
      <c r="W15" s="43">
        <f t="shared" si="6"/>
        <v>8308.59135999083</v>
      </c>
      <c r="X15" s="43">
        <f t="shared" si="6"/>
        <v>9047.26258213627</v>
      </c>
      <c r="Y15" s="43">
        <f t="shared" si="6"/>
        <v>9729.27774907178</v>
      </c>
      <c r="Z15" s="43">
        <f t="shared" si="6"/>
        <v>10354.513321934</v>
      </c>
      <c r="AA15" s="43">
        <f t="shared" si="6"/>
        <v>10922.935163804</v>
      </c>
      <c r="AB15" s="43">
        <f t="shared" si="6"/>
        <v>11434.594425952</v>
      </c>
      <c r="AC15" s="43">
        <f t="shared" si="6"/>
        <v>11889.7805746667</v>
      </c>
      <c r="AD15" s="43">
        <f t="shared" si="6"/>
        <v>12288.8972241564</v>
      </c>
      <c r="AE15" s="43">
        <f t="shared" si="6"/>
        <v>12632.3958872838</v>
      </c>
      <c r="AF15" s="43">
        <f t="shared" si="6"/>
        <v>12921.0324382018</v>
      </c>
      <c r="AG15" s="43">
        <f t="shared" si="6"/>
        <v>13155.6371700796</v>
      </c>
      <c r="AH15" s="43">
        <f t="shared" si="6"/>
        <v>13337.1723282714</v>
      </c>
      <c r="AI15" s="43">
        <f t="shared" si="6"/>
        <v>13466.8784274125</v>
      </c>
      <c r="AJ15" s="43">
        <f t="shared" si="6"/>
        <v>13546.0156468518</v>
      </c>
      <c r="AK15" s="43">
        <f t="shared" si="6"/>
        <v>13576.1954599358</v>
      </c>
      <c r="AL15" s="43">
        <f t="shared" si="6"/>
        <v>13559.0438585253</v>
      </c>
      <c r="AM15" s="43">
        <f t="shared" si="6"/>
        <v>13496.4806600154</v>
      </c>
      <c r="AN15" s="43">
        <f t="shared" si="6"/>
        <v>13390.5975515125</v>
      </c>
      <c r="AO15" s="43">
        <f t="shared" si="6"/>
        <v>13243.6803731785</v>
      </c>
      <c r="AP15" s="43">
        <f t="shared" si="6"/>
        <v>13058.2153504756</v>
      </c>
      <c r="AQ15" s="43">
        <f t="shared" si="6"/>
        <v>12836.8698020304</v>
      </c>
      <c r="AR15" s="43">
        <f t="shared" si="6"/>
        <v>12582.6083526543</v>
      </c>
    </row>
    <row r="16" s="6" customFormat="1" spans="1:44">
      <c r="A16" s="42" t="s">
        <v>1013</v>
      </c>
      <c r="B16" s="43"/>
      <c r="C16" s="43"/>
      <c r="D16" s="43">
        <f>$C$13*0.01</f>
        <v>20120.2048208539</v>
      </c>
      <c r="E16" s="43">
        <f t="shared" ref="E16:AR16" si="7">$C$13*0.01</f>
        <v>20120.2048208539</v>
      </c>
      <c r="F16" s="43">
        <f t="shared" si="7"/>
        <v>20120.2048208539</v>
      </c>
      <c r="G16" s="43">
        <f t="shared" si="7"/>
        <v>20120.2048208539</v>
      </c>
      <c r="H16" s="43">
        <f t="shared" si="7"/>
        <v>20120.2048208539</v>
      </c>
      <c r="I16" s="43">
        <f t="shared" si="7"/>
        <v>20120.2048208539</v>
      </c>
      <c r="J16" s="43">
        <f t="shared" si="7"/>
        <v>20120.2048208539</v>
      </c>
      <c r="K16" s="43">
        <f t="shared" si="7"/>
        <v>20120.2048208539</v>
      </c>
      <c r="L16" s="43">
        <f t="shared" si="7"/>
        <v>20120.2048208539</v>
      </c>
      <c r="M16" s="43">
        <f t="shared" si="7"/>
        <v>20120.2048208539</v>
      </c>
      <c r="N16" s="43">
        <f t="shared" si="7"/>
        <v>20120.2048208539</v>
      </c>
      <c r="O16" s="43">
        <f t="shared" si="7"/>
        <v>20120.2048208539</v>
      </c>
      <c r="P16" s="43">
        <f t="shared" si="7"/>
        <v>20120.2048208539</v>
      </c>
      <c r="Q16" s="43">
        <f t="shared" si="7"/>
        <v>20120.2048208539</v>
      </c>
      <c r="R16" s="43">
        <f t="shared" si="7"/>
        <v>20120.2048208539</v>
      </c>
      <c r="S16" s="43">
        <f t="shared" si="7"/>
        <v>20120.2048208539</v>
      </c>
      <c r="T16" s="43">
        <f t="shared" si="7"/>
        <v>20120.2048208539</v>
      </c>
      <c r="U16" s="43">
        <f t="shared" si="7"/>
        <v>20120.2048208539</v>
      </c>
      <c r="V16" s="43">
        <f t="shared" si="7"/>
        <v>20120.2048208539</v>
      </c>
      <c r="W16" s="43">
        <f t="shared" si="7"/>
        <v>20120.2048208539</v>
      </c>
      <c r="X16" s="43">
        <f t="shared" si="7"/>
        <v>20120.2048208539</v>
      </c>
      <c r="Y16" s="43">
        <f t="shared" si="7"/>
        <v>20120.2048208539</v>
      </c>
      <c r="Z16" s="43">
        <f t="shared" si="7"/>
        <v>20120.2048208539</v>
      </c>
      <c r="AA16" s="43">
        <f t="shared" si="7"/>
        <v>20120.2048208539</v>
      </c>
      <c r="AB16" s="43">
        <f t="shared" si="7"/>
        <v>20120.2048208539</v>
      </c>
      <c r="AC16" s="43">
        <f t="shared" si="7"/>
        <v>20120.2048208539</v>
      </c>
      <c r="AD16" s="43">
        <f t="shared" si="7"/>
        <v>20120.2048208539</v>
      </c>
      <c r="AE16" s="43">
        <f t="shared" si="7"/>
        <v>20120.2048208539</v>
      </c>
      <c r="AF16" s="43">
        <f t="shared" si="7"/>
        <v>20120.2048208539</v>
      </c>
      <c r="AG16" s="43">
        <f t="shared" si="7"/>
        <v>20120.2048208539</v>
      </c>
      <c r="AH16" s="43">
        <f t="shared" si="7"/>
        <v>20120.2048208539</v>
      </c>
      <c r="AI16" s="43">
        <f t="shared" si="7"/>
        <v>20120.2048208539</v>
      </c>
      <c r="AJ16" s="43">
        <f t="shared" si="7"/>
        <v>20120.2048208539</v>
      </c>
      <c r="AK16" s="43">
        <f t="shared" si="7"/>
        <v>20120.2048208539</v>
      </c>
      <c r="AL16" s="43">
        <f t="shared" si="7"/>
        <v>20120.2048208539</v>
      </c>
      <c r="AM16" s="43">
        <f t="shared" si="7"/>
        <v>20120.2048208539</v>
      </c>
      <c r="AN16" s="43">
        <f t="shared" si="7"/>
        <v>20120.2048208539</v>
      </c>
      <c r="AO16" s="43">
        <f t="shared" si="7"/>
        <v>20120.2048208539</v>
      </c>
      <c r="AP16" s="43">
        <f t="shared" si="7"/>
        <v>20120.2048208539</v>
      </c>
      <c r="AQ16" s="43">
        <f t="shared" si="7"/>
        <v>20120.2048208539</v>
      </c>
      <c r="AR16" s="43">
        <f t="shared" si="7"/>
        <v>20120.2048208539</v>
      </c>
    </row>
    <row r="17" s="6" customFormat="1" spans="1:44">
      <c r="A17" s="42" t="s">
        <v>931</v>
      </c>
      <c r="B17" s="43"/>
      <c r="C17" s="43">
        <f t="shared" ref="C17:AR17" si="8">IF(C13-B13+B14&gt;0,C13-B13+B14,0)</f>
        <v>0</v>
      </c>
      <c r="D17" s="43">
        <f t="shared" si="8"/>
        <v>0</v>
      </c>
      <c r="E17" s="43">
        <f t="shared" si="8"/>
        <v>13817.3161273941</v>
      </c>
      <c r="F17" s="43">
        <f t="shared" si="8"/>
        <v>12211.0343021919</v>
      </c>
      <c r="G17" s="43">
        <f t="shared" si="8"/>
        <v>10640.7348972019</v>
      </c>
      <c r="H17" s="43">
        <f t="shared" si="8"/>
        <v>9108.22038358851</v>
      </c>
      <c r="I17" s="43">
        <f t="shared" si="8"/>
        <v>7615.36588031036</v>
      </c>
      <c r="J17" s="43">
        <f t="shared" si="8"/>
        <v>6163.77888748707</v>
      </c>
      <c r="K17" s="43">
        <f t="shared" si="8"/>
        <v>4755.21829352976</v>
      </c>
      <c r="L17" s="43">
        <f t="shared" si="8"/>
        <v>3391.1739919256</v>
      </c>
      <c r="M17" s="43">
        <f t="shared" si="8"/>
        <v>2073.17139057192</v>
      </c>
      <c r="N17" s="43">
        <f t="shared" si="8"/>
        <v>802.627677063743</v>
      </c>
      <c r="O17" s="43">
        <f t="shared" si="8"/>
        <v>0</v>
      </c>
      <c r="P17" s="43">
        <f t="shared" si="8"/>
        <v>0</v>
      </c>
      <c r="Q17" s="43">
        <f t="shared" si="8"/>
        <v>0</v>
      </c>
      <c r="R17" s="43">
        <f t="shared" si="8"/>
        <v>0</v>
      </c>
      <c r="S17" s="43">
        <f t="shared" si="8"/>
        <v>0</v>
      </c>
      <c r="T17" s="43">
        <f t="shared" si="8"/>
        <v>0</v>
      </c>
      <c r="U17" s="43">
        <f t="shared" si="8"/>
        <v>0</v>
      </c>
      <c r="V17" s="43">
        <f t="shared" si="8"/>
        <v>0</v>
      </c>
      <c r="W17" s="43">
        <f t="shared" si="8"/>
        <v>0</v>
      </c>
      <c r="X17" s="43">
        <f t="shared" si="8"/>
        <v>0</v>
      </c>
      <c r="Y17" s="43">
        <f t="shared" si="8"/>
        <v>0</v>
      </c>
      <c r="Z17" s="43">
        <f t="shared" si="8"/>
        <v>0</v>
      </c>
      <c r="AA17" s="43">
        <f t="shared" si="8"/>
        <v>0</v>
      </c>
      <c r="AB17" s="43">
        <f t="shared" si="8"/>
        <v>0</v>
      </c>
      <c r="AC17" s="43">
        <f t="shared" si="8"/>
        <v>0</v>
      </c>
      <c r="AD17" s="43">
        <f t="shared" si="8"/>
        <v>0</v>
      </c>
      <c r="AE17" s="43">
        <f t="shared" si="8"/>
        <v>0</v>
      </c>
      <c r="AF17" s="43">
        <f t="shared" si="8"/>
        <v>0</v>
      </c>
      <c r="AG17" s="43">
        <f t="shared" si="8"/>
        <v>0</v>
      </c>
      <c r="AH17" s="43">
        <f t="shared" si="8"/>
        <v>0</v>
      </c>
      <c r="AI17" s="43">
        <f t="shared" si="8"/>
        <v>0</v>
      </c>
      <c r="AJ17" s="43">
        <f t="shared" si="8"/>
        <v>0</v>
      </c>
      <c r="AK17" s="43">
        <f t="shared" si="8"/>
        <v>0</v>
      </c>
      <c r="AL17" s="43">
        <f t="shared" si="8"/>
        <v>0</v>
      </c>
      <c r="AM17" s="43">
        <f t="shared" si="8"/>
        <v>0</v>
      </c>
      <c r="AN17" s="43">
        <f t="shared" si="8"/>
        <v>0</v>
      </c>
      <c r="AO17" s="43">
        <f t="shared" si="8"/>
        <v>0</v>
      </c>
      <c r="AP17" s="43">
        <f t="shared" si="8"/>
        <v>0</v>
      </c>
      <c r="AQ17" s="43">
        <f t="shared" si="8"/>
        <v>0</v>
      </c>
      <c r="AR17" s="43">
        <f t="shared" si="8"/>
        <v>0</v>
      </c>
    </row>
    <row r="18" s="6" customFormat="1" spans="1:44">
      <c r="A18" s="42" t="s">
        <v>932</v>
      </c>
      <c r="B18" s="43">
        <v>0</v>
      </c>
      <c r="C18" s="43">
        <f>SUM($C17:C17)</f>
        <v>0</v>
      </c>
      <c r="D18" s="43">
        <f>SUM($C17:D17)</f>
        <v>0</v>
      </c>
      <c r="E18" s="43">
        <f>SUM($C17:E17)</f>
        <v>13817.3161273941</v>
      </c>
      <c r="F18" s="43">
        <f>SUM($C17:F17)</f>
        <v>26028.350429586</v>
      </c>
      <c r="G18" s="43">
        <f>SUM($C17:G17)</f>
        <v>36669.0853267879</v>
      </c>
      <c r="H18" s="43">
        <f>SUM($C17:H17)</f>
        <v>45777.3057103765</v>
      </c>
      <c r="I18" s="43">
        <f>SUM($C17:I17)</f>
        <v>53392.6715906868</v>
      </c>
      <c r="J18" s="43">
        <f>SUM($C17:J17)</f>
        <v>59556.4504781739</v>
      </c>
      <c r="K18" s="43">
        <f>SUM($C17:K17)</f>
        <v>64311.6687717036</v>
      </c>
      <c r="L18" s="43">
        <f>SUM($C17:L17)</f>
        <v>67702.8427636292</v>
      </c>
      <c r="M18" s="43">
        <f>SUM($C17:M17)</f>
        <v>69776.0141542012</v>
      </c>
      <c r="N18" s="43">
        <f>SUM($C17:N17)</f>
        <v>70578.6418312649</v>
      </c>
      <c r="O18" s="43">
        <f>SUM($C17:O17)</f>
        <v>70578.6418312649</v>
      </c>
      <c r="P18" s="43">
        <f>SUM($C17:P17)</f>
        <v>70578.6418312649</v>
      </c>
      <c r="Q18" s="43">
        <f>SUM($C17:Q17)</f>
        <v>70578.6418312649</v>
      </c>
      <c r="R18" s="43">
        <f>SUM($C17:R17)</f>
        <v>70578.6418312649</v>
      </c>
      <c r="S18" s="43">
        <f>SUM($C17:S17)</f>
        <v>70578.6418312649</v>
      </c>
      <c r="T18" s="43">
        <f>SUM($C17:T17)</f>
        <v>70578.6418312649</v>
      </c>
      <c r="U18" s="43">
        <f>SUM($C17:U17)</f>
        <v>70578.6418312649</v>
      </c>
      <c r="V18" s="43">
        <f>SUM($C17:V17)</f>
        <v>70578.6418312649</v>
      </c>
      <c r="W18" s="43">
        <f>SUM($C17:W17)</f>
        <v>70578.6418312649</v>
      </c>
      <c r="X18" s="43">
        <f>SUM($C17:X17)</f>
        <v>70578.6418312649</v>
      </c>
      <c r="Y18" s="43">
        <f>SUM($C17:Y17)</f>
        <v>70578.6418312649</v>
      </c>
      <c r="Z18" s="43">
        <f>SUM($C17:Z17)</f>
        <v>70578.6418312649</v>
      </c>
      <c r="AA18" s="43">
        <f>SUM($C17:AA17)</f>
        <v>70578.6418312649</v>
      </c>
      <c r="AB18" s="43">
        <f>SUM($C17:AB17)</f>
        <v>70578.6418312649</v>
      </c>
      <c r="AC18" s="43">
        <f>SUM($C17:AC17)</f>
        <v>70578.6418312649</v>
      </c>
      <c r="AD18" s="43">
        <f>SUM($C17:AD17)</f>
        <v>70578.6418312649</v>
      </c>
      <c r="AE18" s="43">
        <f>SUM($C17:AE17)</f>
        <v>70578.6418312649</v>
      </c>
      <c r="AF18" s="43">
        <f>SUM($C17:AF17)</f>
        <v>70578.6418312649</v>
      </c>
      <c r="AG18" s="43">
        <f>SUM($C17:AG17)</f>
        <v>70578.6418312649</v>
      </c>
      <c r="AH18" s="43">
        <f>SUM($C17:AH17)</f>
        <v>70578.6418312649</v>
      </c>
      <c r="AI18" s="43">
        <f>SUM($C17:AI17)</f>
        <v>70578.6418312649</v>
      </c>
      <c r="AJ18" s="43">
        <f>SUM($C17:AJ17)</f>
        <v>70578.6418312649</v>
      </c>
      <c r="AK18" s="43">
        <f>SUM($C17:AK17)</f>
        <v>70578.6418312649</v>
      </c>
      <c r="AL18" s="43">
        <f>SUM($C17:AL17)</f>
        <v>70578.6418312649</v>
      </c>
      <c r="AM18" s="43">
        <f>SUM($C17:AM17)</f>
        <v>70578.6418312649</v>
      </c>
      <c r="AN18" s="43">
        <f>SUM($C17:AN17)</f>
        <v>70578.6418312649</v>
      </c>
      <c r="AO18" s="43">
        <f>SUM($C17:AO17)</f>
        <v>70578.6418312649</v>
      </c>
      <c r="AP18" s="43">
        <f>SUM($C17:AP17)</f>
        <v>70578.6418312649</v>
      </c>
      <c r="AQ18" s="43">
        <f>SUM($C17:AQ17)</f>
        <v>70578.6418312649</v>
      </c>
      <c r="AR18" s="43">
        <f>SUM($C17:AR17)</f>
        <v>70578.6418312649</v>
      </c>
    </row>
    <row r="19" s="6" customFormat="1" spans="1:44">
      <c r="A19" s="42" t="s">
        <v>933</v>
      </c>
      <c r="B19" s="43">
        <f>$B13-SUM(A14:$B14)-SUM(A15:$B15)-SUM(A16:$B16)</f>
        <v>2059618.68950422</v>
      </c>
      <c r="C19" s="43">
        <f>$B13-SUM($B14:B14)-SUM($B15:B15)-SUM($B16:B16)</f>
        <v>2059618.68950422</v>
      </c>
      <c r="D19" s="43">
        <f>$B13-SUM($B14:C14)-SUM($B15:C15)-SUM($B16:C16)</f>
        <v>1997292.62158032</v>
      </c>
      <c r="E19" s="43">
        <f>$B13-SUM($B14:D14)-SUM($B15:D15)-SUM($B16:D16)</f>
        <v>1926434.69999511</v>
      </c>
      <c r="F19" s="43">
        <f>$B13-SUM($B14:E14)-SUM($B15:E15)-SUM($B16:E16)</f>
        <v>1891586.63466919</v>
      </c>
      <c r="G19" s="43">
        <f>$B13-SUM($B14:F14)-SUM($B15:F15)-SUM($B16:F16)</f>
        <v>1856738.56934328</v>
      </c>
      <c r="H19" s="43">
        <f>$B13-SUM($B14:G14)-SUM($B15:G15)-SUM($B16:G16)</f>
        <v>1821890.50401736</v>
      </c>
      <c r="I19" s="43">
        <f>$B13-SUM($B14:H14)-SUM($B15:H15)-SUM($B16:H16)</f>
        <v>1787042.43869144</v>
      </c>
      <c r="J19" s="43">
        <f>$B13-SUM($B14:I14)-SUM($B15:I15)-SUM($B16:I16)</f>
        <v>1752194.37336552</v>
      </c>
      <c r="K19" s="43">
        <f>$B13-SUM($B14:J14)-SUM($B15:J15)-SUM($B16:J16)</f>
        <v>1717346.3080396</v>
      </c>
      <c r="L19" s="43">
        <f>$B13-SUM($B14:K14)-SUM($B15:K15)-SUM($B16:K16)</f>
        <v>1682498.24271368</v>
      </c>
      <c r="M19" s="43">
        <f>$B13-SUM($B14:L14)-SUM($B15:L15)-SUM($B16:L16)</f>
        <v>1647650.17738776</v>
      </c>
      <c r="N19" s="43">
        <f>$B13-SUM($B14:M14)-SUM($B15:M15)-SUM($B16:M16)</f>
        <v>1612802.11206184</v>
      </c>
      <c r="O19" s="43">
        <f>$B13-SUM($B14:N14)-SUM($B15:N15)-SUM($B16:N16)</f>
        <v>1577954.04673592</v>
      </c>
      <c r="P19" s="43">
        <f>$B13-SUM($B14:O14)-SUM($B15:O15)-SUM($B16:O16)</f>
        <v>1542686.81341484</v>
      </c>
      <c r="Q19" s="43">
        <f>$B13-SUM($B14:P14)-SUM($B15:P15)-SUM($B16:P16)</f>
        <v>1506247.84665834</v>
      </c>
      <c r="R19" s="43">
        <f>$B13-SUM($B14:Q14)-SUM($B15:Q15)-SUM($B16:Q16)</f>
        <v>1468688.27942008</v>
      </c>
      <c r="S19" s="43">
        <f>$B13-SUM($B14:R14)-SUM($B15:R15)-SUM($B16:R16)</f>
        <v>1430060.35062993</v>
      </c>
      <c r="T19" s="43">
        <f>$B13-SUM($B14:S14)-SUM($B15:S15)-SUM($B16:S16)</f>
        <v>1390417.22715521</v>
      </c>
      <c r="U19" s="43">
        <f>$B13-SUM($B14:T14)-SUM($B15:T15)-SUM($B16:T16)</f>
        <v>1349812.93599322</v>
      </c>
      <c r="V19" s="43">
        <f>$B13-SUM($B14:U14)-SUM($B15:U15)-SUM($B16:U16)</f>
        <v>1308302.2847834</v>
      </c>
      <c r="W19" s="43">
        <f>$B13-SUM($B14:V14)-SUM($B15:V15)-SUM($B16:V16)</f>
        <v>1265940.65777927</v>
      </c>
      <c r="X19" s="43">
        <f>$B13-SUM($B14:W14)-SUM($B15:W15)-SUM($B16:W16)</f>
        <v>1222784.00109336</v>
      </c>
      <c r="Y19" s="43">
        <f>$B13-SUM($B14:X14)-SUM($B15:X15)-SUM($B16:X16)</f>
        <v>1178888.6731853</v>
      </c>
      <c r="Z19" s="43">
        <f>$B13-SUM($B14:Y14)-SUM($B15:Y15)-SUM($B16:Y16)</f>
        <v>1134311.33011031</v>
      </c>
      <c r="AA19" s="43">
        <f>$B13-SUM($B14:Z14)-SUM($B15:Z15)-SUM($B16:Z16)</f>
        <v>1089108.75146245</v>
      </c>
      <c r="AB19" s="43">
        <f>$B13-SUM($B14:AA14)-SUM($B15:AA15)-SUM($B16:AA16)</f>
        <v>1043337.75097273</v>
      </c>
      <c r="AC19" s="43">
        <f>$B13-SUM($B14:AB14)-SUM($B15:AB15)-SUM($B16:AB16)</f>
        <v>997055.091220858</v>
      </c>
      <c r="AD19" s="43">
        <f>$B13-SUM($B14:AC14)-SUM($B15:AC15)-SUM($B16:AC16)</f>
        <v>950317.245320271</v>
      </c>
      <c r="AE19" s="43">
        <f>$B13-SUM($B14:AD14)-SUM($B15:AD15)-SUM($B16:AD16)</f>
        <v>903180.282770195</v>
      </c>
      <c r="AF19" s="43">
        <f>$B13-SUM($B14:AE14)-SUM($B15:AE15)-SUM($B16:AE16)</f>
        <v>855699.821556992</v>
      </c>
      <c r="AG19" s="43">
        <f>$B13-SUM($B14:AF14)-SUM($B15:AF15)-SUM($B16:AF16)</f>
        <v>807930.72379287</v>
      </c>
      <c r="AH19" s="43">
        <f>$B13-SUM($B14:AG14)-SUM($B15:AG15)-SUM($B16:AG16)</f>
        <v>759927.02129687</v>
      </c>
      <c r="AI19" s="43">
        <f>$B13-SUM($B14:AH14)-SUM($B15:AH15)-SUM($B16:AH16)</f>
        <v>711741.783642679</v>
      </c>
      <c r="AJ19" s="43">
        <f>$B13-SUM($B14:AI14)-SUM($B15:AI15)-SUM($B16:AI16)</f>
        <v>663426.839889347</v>
      </c>
      <c r="AK19" s="43">
        <f>$B13-SUM($B14:AJ14)-SUM($B15:AJ15)-SUM($B16:AJ16)</f>
        <v>615032.758916575</v>
      </c>
      <c r="AL19" s="43">
        <f>$B13-SUM($B14:AK14)-SUM($B15:AK15)-SUM($B16:AK16)</f>
        <v>566608.49813072</v>
      </c>
      <c r="AM19" s="43">
        <f>$B13-SUM($B14:AL14)-SUM($B15:AL15)-SUM($B16:AL16)</f>
        <v>518201.388946275</v>
      </c>
      <c r="AN19" s="43">
        <f>$B13-SUM($B14:AM14)-SUM($B15:AM15)-SUM($B16:AM16)</f>
        <v>469856.842960339</v>
      </c>
      <c r="AO19" s="43">
        <f>$B13-SUM($B14:AN14)-SUM($B15:AN15)-SUM($B16:AN16)</f>
        <v>421618.180082907</v>
      </c>
      <c r="AP19" s="43">
        <f>$B13-SUM($B14:AO14)-SUM($B15:AO15)-SUM($B16:AO16)</f>
        <v>373526.434383809</v>
      </c>
      <c r="AQ19" s="43">
        <f>$B13-SUM($B14:AP14)-SUM($B15:AP15)-SUM($B16:AP16)</f>
        <v>325620.153707414</v>
      </c>
      <c r="AR19" s="43">
        <f>$B13-SUM($B14:AQ14)-SUM($B15:AQ15)-SUM($B16:AQ16)</f>
        <v>277935.218579464</v>
      </c>
    </row>
    <row r="20" s="6" customFormat="1" spans="1:44">
      <c r="A20" s="45"/>
      <c r="B20" s="43"/>
      <c r="C20" s="43"/>
      <c r="D20" s="43"/>
      <c r="E20" s="43"/>
      <c r="F20" s="43"/>
      <c r="G20" s="43"/>
      <c r="H20" s="43"/>
      <c r="I20" s="43"/>
      <c r="J20" s="43"/>
      <c r="K20" s="43"/>
      <c r="L20" s="43"/>
      <c r="M20" s="43"/>
      <c r="N20" s="43"/>
      <c r="O20" s="43"/>
      <c r="P20" s="43"/>
      <c r="Q20" s="43"/>
      <c r="R20" s="43"/>
      <c r="S20" s="43"/>
      <c r="T20" s="43"/>
      <c r="U20" s="43"/>
      <c r="V20" s="43"/>
      <c r="W20" s="43"/>
      <c r="X20" s="43"/>
      <c r="Y20" s="43"/>
      <c r="Z20" s="43"/>
      <c r="AA20" s="43"/>
      <c r="AB20" s="43"/>
      <c r="AC20" s="43"/>
      <c r="AD20" s="43"/>
      <c r="AE20" s="43"/>
      <c r="AF20" s="43"/>
      <c r="AG20" s="43"/>
      <c r="AH20" s="43"/>
      <c r="AI20" s="43"/>
      <c r="AJ20" s="43"/>
      <c r="AK20" s="43"/>
      <c r="AL20" s="43"/>
      <c r="AM20" s="43"/>
      <c r="AN20" s="43"/>
      <c r="AO20" s="43"/>
      <c r="AP20" s="43"/>
      <c r="AQ20" s="43"/>
      <c r="AR20" s="43"/>
    </row>
    <row r="21" s="5" customFormat="1" spans="1:44">
      <c r="A21" s="42"/>
      <c r="B21" s="41">
        <v>2018</v>
      </c>
      <c r="C21" s="41">
        <v>2019</v>
      </c>
      <c r="D21" s="41">
        <v>2020</v>
      </c>
      <c r="E21" s="41">
        <v>2021</v>
      </c>
      <c r="F21" s="41">
        <v>2022</v>
      </c>
      <c r="G21" s="41">
        <v>2023</v>
      </c>
      <c r="H21" s="41">
        <v>2024</v>
      </c>
      <c r="I21" s="41">
        <v>2025</v>
      </c>
      <c r="J21" s="41">
        <v>2026</v>
      </c>
      <c r="K21" s="41">
        <v>2027</v>
      </c>
      <c r="L21" s="41">
        <v>2028</v>
      </c>
      <c r="M21" s="41">
        <v>2029</v>
      </c>
      <c r="N21" s="41">
        <v>2030</v>
      </c>
      <c r="O21" s="41">
        <v>2031</v>
      </c>
      <c r="P21" s="41">
        <v>2032</v>
      </c>
      <c r="Q21" s="41">
        <v>2033</v>
      </c>
      <c r="R21" s="41">
        <v>2034</v>
      </c>
      <c r="S21" s="41">
        <v>2035</v>
      </c>
      <c r="T21" s="41">
        <v>2036</v>
      </c>
      <c r="U21" s="41">
        <v>2037</v>
      </c>
      <c r="V21" s="41">
        <v>2038</v>
      </c>
      <c r="W21" s="41">
        <v>2039</v>
      </c>
      <c r="X21" s="41">
        <v>2040</v>
      </c>
      <c r="Y21" s="41">
        <v>2041</v>
      </c>
      <c r="Z21" s="41">
        <v>2042</v>
      </c>
      <c r="AA21" s="41">
        <v>2043</v>
      </c>
      <c r="AB21" s="41">
        <v>2044</v>
      </c>
      <c r="AC21" s="41">
        <v>2045</v>
      </c>
      <c r="AD21" s="41">
        <v>2046</v>
      </c>
      <c r="AE21" s="41">
        <v>2047</v>
      </c>
      <c r="AF21" s="41">
        <v>2048</v>
      </c>
      <c r="AG21" s="41">
        <v>2049</v>
      </c>
      <c r="AH21" s="41">
        <v>2050</v>
      </c>
      <c r="AI21" s="41">
        <v>2051</v>
      </c>
      <c r="AJ21" s="41">
        <v>2052</v>
      </c>
      <c r="AK21" s="41">
        <v>2053</v>
      </c>
      <c r="AL21" s="41">
        <v>2054</v>
      </c>
      <c r="AM21" s="41">
        <v>2055</v>
      </c>
      <c r="AN21" s="41">
        <v>2056</v>
      </c>
      <c r="AO21" s="41">
        <v>2057</v>
      </c>
      <c r="AP21" s="41">
        <v>2058</v>
      </c>
      <c r="AQ21" s="41">
        <v>2059</v>
      </c>
      <c r="AR21" s="41">
        <v>2060</v>
      </c>
    </row>
    <row r="22" s="6" customFormat="1" spans="1:44">
      <c r="A22" s="42" t="s">
        <v>935</v>
      </c>
      <c r="B22" s="43">
        <f>D51*人口变化预测!D4/10000</f>
        <v>1219126.07357706</v>
      </c>
      <c r="C22" s="43">
        <f>E51*人口变化预测!E4/10000</f>
        <v>1248904.40846146</v>
      </c>
      <c r="D22" s="43">
        <f>F51*人口变化预测!F4/10000</f>
        <v>1288270.06261193</v>
      </c>
      <c r="E22" s="43">
        <f>G51*人口变化预测!G4/10000</f>
        <v>1307968.79202892</v>
      </c>
      <c r="F22" s="43">
        <f>H51*人口变化预测!H4/10000</f>
        <v>1327090.52550076</v>
      </c>
      <c r="G22" s="43">
        <f>I51*人口变化预测!I4/10000</f>
        <v>1345627.49643511</v>
      </c>
      <c r="H22" s="43">
        <f>J51*人口变化预测!J4/10000</f>
        <v>1363573.04875027</v>
      </c>
      <c r="I22" s="43">
        <f>K51*人口变化预测!K4/10000</f>
        <v>1380921.78372244</v>
      </c>
      <c r="J22" s="43">
        <f>L51*人口变化预测!L4/10000</f>
        <v>1397669.4737579</v>
      </c>
      <c r="K22" s="43">
        <f>M51*人口变化预测!M4/10000</f>
        <v>1413813.27378637</v>
      </c>
      <c r="L22" s="43">
        <f>N51*人口变化预测!N4/10000</f>
        <v>1429351.63808692</v>
      </c>
      <c r="M22" s="43">
        <f>O51*人口变化预测!O4/10000</f>
        <v>1444284.45816939</v>
      </c>
      <c r="N22" s="43">
        <f>P51*人口变化预测!P4/10000</f>
        <v>1458613.10187979</v>
      </c>
      <c r="O22" s="43">
        <f>Q51*人口变化预测!Q4/10000</f>
        <v>1472340.43890449</v>
      </c>
      <c r="P22" s="43">
        <f>R51*人口变化预测!R4/10000</f>
        <v>1485470.98951382</v>
      </c>
      <c r="Q22" s="43">
        <f>S51*人口变化预测!S4/10000</f>
        <v>1498010.86802185</v>
      </c>
      <c r="R22" s="43">
        <f>T51*人口变化预测!T4/10000</f>
        <v>1509967.94919055</v>
      </c>
      <c r="S22" s="43">
        <f>U51*人口变化预测!U4/10000</f>
        <v>1521351.87016642</v>
      </c>
      <c r="T22" s="43">
        <f>V51*人口变化预测!V4/10000</f>
        <v>1532174.12498919</v>
      </c>
      <c r="U22" s="43">
        <f>W51*人口变化预测!W4/10000</f>
        <v>1542448.1568972</v>
      </c>
      <c r="V22" s="43">
        <f>X51*人口变化预测!X4/10000</f>
        <v>1552189.3469011</v>
      </c>
      <c r="W22" s="43">
        <f>Y51*人口变化预测!Y4/10000</f>
        <v>1561415.17076086</v>
      </c>
      <c r="X22" s="43">
        <f>Z51*人口变化预测!Z4/10000</f>
        <v>1570145.24609869</v>
      </c>
      <c r="Y22" s="43">
        <f>AA51*人口变化预测!AA4/10000</f>
        <v>1578401.41486365</v>
      </c>
      <c r="Z22" s="43">
        <f>AB51*人口变化预测!AB4/10000</f>
        <v>1586207.77497642</v>
      </c>
      <c r="AA22" s="43">
        <f>AC51*人口变化预测!AC4/10000</f>
        <v>1593590.79601256</v>
      </c>
      <c r="AB22" s="43">
        <f>AD51*人口变化预测!AD4/10000</f>
        <v>1600579.44991127</v>
      </c>
      <c r="AC22" s="43">
        <f>AE51*人口变化预测!AE4/10000</f>
        <v>1607205.19668172</v>
      </c>
      <c r="AD22" s="43">
        <f>AF51*人口变化预测!AF4/10000</f>
        <v>1613502.094868</v>
      </c>
      <c r="AE22" s="43">
        <f>AG51*人口变化预测!AG4/10000</f>
        <v>1619506.99370884</v>
      </c>
      <c r="AF22" s="43">
        <f>AH51*人口变化预测!AH4/10000</f>
        <v>1625259.46436207</v>
      </c>
      <c r="AG22" s="43">
        <f>AI51*人口变化预测!AI4/10000</f>
        <v>1630801.97573008</v>
      </c>
      <c r="AH22" s="43">
        <f>AJ51*人口变化预测!AJ4/10000</f>
        <v>1636180.02366088</v>
      </c>
      <c r="AI22" s="43">
        <f>AK51*人口变化预测!AK4/10000</f>
        <v>1641442.10077203</v>
      </c>
      <c r="AJ22" s="43">
        <f>AL51*人口变化预测!AL4/10000</f>
        <v>1646639.96859312</v>
      </c>
      <c r="AK22" s="43">
        <f>AM51*人口变化预测!AM4/10000</f>
        <v>1651828.55406939</v>
      </c>
      <c r="AL22" s="43">
        <f>AN51*人口变化预测!AN4/10000</f>
        <v>1657066.25127249</v>
      </c>
      <c r="AM22" s="43">
        <f>AO51*人口变化预测!AO4/10000</f>
        <v>1662414.900177</v>
      </c>
      <c r="AN22" s="43">
        <f>AP51*人口变化预测!AP4/10000</f>
        <v>1667939.91802434</v>
      </c>
      <c r="AO22" s="43">
        <f>AQ51*人口变化预测!AQ4/10000</f>
        <v>1673710.41430319</v>
      </c>
      <c r="AP22" s="43">
        <f>AR51*人口变化预测!AR4/10000</f>
        <v>1679799.30847961</v>
      </c>
      <c r="AQ22" s="43">
        <f>AS51*人口变化预测!AS4/10000</f>
        <v>1686283.48758019</v>
      </c>
      <c r="AR22" s="43">
        <f>AT51*人口变化预测!AT4/10000</f>
        <v>1693243.81006242</v>
      </c>
    </row>
    <row r="23" s="6" customFormat="1" spans="1:44">
      <c r="A23" s="42" t="s">
        <v>929</v>
      </c>
      <c r="B23" s="43">
        <f>$B22*0.71%</f>
        <v>8655.79512239711</v>
      </c>
      <c r="C23" s="43">
        <f t="shared" ref="C23:AR23" si="9">$B22*0.71%</f>
        <v>8655.79512239711</v>
      </c>
      <c r="D23" s="43">
        <f t="shared" si="9"/>
        <v>8655.79512239711</v>
      </c>
      <c r="E23" s="43">
        <f t="shared" si="9"/>
        <v>8655.79512239711</v>
      </c>
      <c r="F23" s="43">
        <f t="shared" si="9"/>
        <v>8655.79512239711</v>
      </c>
      <c r="G23" s="43">
        <f t="shared" si="9"/>
        <v>8655.79512239711</v>
      </c>
      <c r="H23" s="43">
        <f t="shared" si="9"/>
        <v>8655.79512239711</v>
      </c>
      <c r="I23" s="43">
        <f t="shared" si="9"/>
        <v>8655.79512239711</v>
      </c>
      <c r="J23" s="43">
        <f t="shared" si="9"/>
        <v>8655.79512239711</v>
      </c>
      <c r="K23" s="43">
        <f t="shared" si="9"/>
        <v>8655.79512239711</v>
      </c>
      <c r="L23" s="43">
        <f t="shared" si="9"/>
        <v>8655.79512239711</v>
      </c>
      <c r="M23" s="43">
        <f t="shared" si="9"/>
        <v>8655.79512239711</v>
      </c>
      <c r="N23" s="43">
        <f t="shared" si="9"/>
        <v>8655.79512239711</v>
      </c>
      <c r="O23" s="43">
        <f t="shared" si="9"/>
        <v>8655.79512239711</v>
      </c>
      <c r="P23" s="43">
        <f t="shared" si="9"/>
        <v>8655.79512239711</v>
      </c>
      <c r="Q23" s="43">
        <f t="shared" si="9"/>
        <v>8655.79512239711</v>
      </c>
      <c r="R23" s="43">
        <f t="shared" si="9"/>
        <v>8655.79512239711</v>
      </c>
      <c r="S23" s="43">
        <f t="shared" si="9"/>
        <v>8655.79512239711</v>
      </c>
      <c r="T23" s="43">
        <f t="shared" si="9"/>
        <v>8655.79512239711</v>
      </c>
      <c r="U23" s="43">
        <f t="shared" si="9"/>
        <v>8655.79512239711</v>
      </c>
      <c r="V23" s="43">
        <f t="shared" si="9"/>
        <v>8655.79512239711</v>
      </c>
      <c r="W23" s="43">
        <f t="shared" si="9"/>
        <v>8655.79512239711</v>
      </c>
      <c r="X23" s="43">
        <f t="shared" si="9"/>
        <v>8655.79512239711</v>
      </c>
      <c r="Y23" s="43">
        <f t="shared" si="9"/>
        <v>8655.79512239711</v>
      </c>
      <c r="Z23" s="43">
        <f t="shared" si="9"/>
        <v>8655.79512239711</v>
      </c>
      <c r="AA23" s="43">
        <f t="shared" si="9"/>
        <v>8655.79512239711</v>
      </c>
      <c r="AB23" s="43">
        <f t="shared" si="9"/>
        <v>8655.79512239711</v>
      </c>
      <c r="AC23" s="43">
        <f t="shared" si="9"/>
        <v>8655.79512239711</v>
      </c>
      <c r="AD23" s="43">
        <f t="shared" si="9"/>
        <v>8655.79512239711</v>
      </c>
      <c r="AE23" s="43">
        <f t="shared" si="9"/>
        <v>8655.79512239711</v>
      </c>
      <c r="AF23" s="43">
        <f t="shared" si="9"/>
        <v>8655.79512239711</v>
      </c>
      <c r="AG23" s="43">
        <f t="shared" si="9"/>
        <v>8655.79512239711</v>
      </c>
      <c r="AH23" s="43">
        <f t="shared" si="9"/>
        <v>8655.79512239711</v>
      </c>
      <c r="AI23" s="43">
        <f t="shared" si="9"/>
        <v>8655.79512239711</v>
      </c>
      <c r="AJ23" s="43">
        <f t="shared" si="9"/>
        <v>8655.79512239711</v>
      </c>
      <c r="AK23" s="43">
        <f t="shared" si="9"/>
        <v>8655.79512239711</v>
      </c>
      <c r="AL23" s="43">
        <f t="shared" si="9"/>
        <v>8655.79512239711</v>
      </c>
      <c r="AM23" s="43">
        <f t="shared" si="9"/>
        <v>8655.79512239711</v>
      </c>
      <c r="AN23" s="43">
        <f t="shared" si="9"/>
        <v>8655.79512239711</v>
      </c>
      <c r="AO23" s="43">
        <f t="shared" si="9"/>
        <v>8655.79512239711</v>
      </c>
      <c r="AP23" s="43">
        <f t="shared" si="9"/>
        <v>8655.79512239711</v>
      </c>
      <c r="AQ23" s="43">
        <f t="shared" si="9"/>
        <v>8655.79512239711</v>
      </c>
      <c r="AR23" s="43">
        <f t="shared" si="9"/>
        <v>8655.79512239711</v>
      </c>
    </row>
    <row r="24" s="6" customFormat="1" spans="1:44">
      <c r="A24" s="42" t="s">
        <v>930</v>
      </c>
      <c r="B24" s="43"/>
      <c r="C24" s="43">
        <f>IF(B22-C22-B23&gt;0,B22-C22-B23,0)</f>
        <v>0</v>
      </c>
      <c r="D24" s="43">
        <f>IF(C22-D22-C23&gt;0,C22-D22-C23,0)</f>
        <v>0</v>
      </c>
      <c r="E24" s="43">
        <f t="shared" ref="E24:AR24" si="10">IF(D22-E22-D23&gt;0,D22-E22-D23,0)</f>
        <v>0</v>
      </c>
      <c r="F24" s="43">
        <f t="shared" si="10"/>
        <v>0</v>
      </c>
      <c r="G24" s="43">
        <f t="shared" si="10"/>
        <v>0</v>
      </c>
      <c r="H24" s="43">
        <f t="shared" si="10"/>
        <v>0</v>
      </c>
      <c r="I24" s="43">
        <f t="shared" si="10"/>
        <v>0</v>
      </c>
      <c r="J24" s="43">
        <f t="shared" si="10"/>
        <v>0</v>
      </c>
      <c r="K24" s="43">
        <f t="shared" si="10"/>
        <v>0</v>
      </c>
      <c r="L24" s="43">
        <f t="shared" si="10"/>
        <v>0</v>
      </c>
      <c r="M24" s="43">
        <f t="shared" si="10"/>
        <v>0</v>
      </c>
      <c r="N24" s="43">
        <f t="shared" si="10"/>
        <v>0</v>
      </c>
      <c r="O24" s="43">
        <f t="shared" si="10"/>
        <v>0</v>
      </c>
      <c r="P24" s="43">
        <f t="shared" si="10"/>
        <v>0</v>
      </c>
      <c r="Q24" s="43">
        <f t="shared" si="10"/>
        <v>0</v>
      </c>
      <c r="R24" s="43">
        <f t="shared" si="10"/>
        <v>0</v>
      </c>
      <c r="S24" s="43">
        <f t="shared" si="10"/>
        <v>0</v>
      </c>
      <c r="T24" s="43">
        <f t="shared" si="10"/>
        <v>0</v>
      </c>
      <c r="U24" s="43">
        <f t="shared" si="10"/>
        <v>0</v>
      </c>
      <c r="V24" s="43">
        <f t="shared" si="10"/>
        <v>0</v>
      </c>
      <c r="W24" s="43">
        <f t="shared" si="10"/>
        <v>0</v>
      </c>
      <c r="X24" s="43">
        <f t="shared" si="10"/>
        <v>0</v>
      </c>
      <c r="Y24" s="43">
        <f t="shared" si="10"/>
        <v>0</v>
      </c>
      <c r="Z24" s="43">
        <f t="shared" si="10"/>
        <v>0</v>
      </c>
      <c r="AA24" s="43">
        <f t="shared" si="10"/>
        <v>0</v>
      </c>
      <c r="AB24" s="43">
        <f t="shared" si="10"/>
        <v>0</v>
      </c>
      <c r="AC24" s="43">
        <f t="shared" si="10"/>
        <v>0</v>
      </c>
      <c r="AD24" s="43">
        <f t="shared" si="10"/>
        <v>0</v>
      </c>
      <c r="AE24" s="43">
        <f t="shared" si="10"/>
        <v>0</v>
      </c>
      <c r="AF24" s="43">
        <f t="shared" si="10"/>
        <v>0</v>
      </c>
      <c r="AG24" s="43">
        <f t="shared" si="10"/>
        <v>0</v>
      </c>
      <c r="AH24" s="43">
        <f t="shared" si="10"/>
        <v>0</v>
      </c>
      <c r="AI24" s="43">
        <f t="shared" si="10"/>
        <v>0</v>
      </c>
      <c r="AJ24" s="43">
        <f t="shared" si="10"/>
        <v>0</v>
      </c>
      <c r="AK24" s="43">
        <f t="shared" si="10"/>
        <v>0</v>
      </c>
      <c r="AL24" s="43">
        <f t="shared" si="10"/>
        <v>0</v>
      </c>
      <c r="AM24" s="43">
        <f t="shared" si="10"/>
        <v>0</v>
      </c>
      <c r="AN24" s="43">
        <f t="shared" si="10"/>
        <v>0</v>
      </c>
      <c r="AO24" s="43">
        <f t="shared" si="10"/>
        <v>0</v>
      </c>
      <c r="AP24" s="43">
        <f t="shared" si="10"/>
        <v>0</v>
      </c>
      <c r="AQ24" s="43">
        <f t="shared" si="10"/>
        <v>0</v>
      </c>
      <c r="AR24" s="43">
        <f t="shared" si="10"/>
        <v>0</v>
      </c>
    </row>
    <row r="25" s="6" customFormat="1" spans="1:44">
      <c r="A25" s="42" t="s">
        <v>1013</v>
      </c>
      <c r="B25" s="43"/>
      <c r="C25" s="43"/>
      <c r="D25" s="43">
        <f>$C$22*0.01</f>
        <v>12489.0440846146</v>
      </c>
      <c r="E25" s="43">
        <f t="shared" ref="E25:AR25" si="11">$C$22*0.01</f>
        <v>12489.0440846146</v>
      </c>
      <c r="F25" s="43">
        <f t="shared" si="11"/>
        <v>12489.0440846146</v>
      </c>
      <c r="G25" s="43">
        <f t="shared" si="11"/>
        <v>12489.0440846146</v>
      </c>
      <c r="H25" s="43">
        <f t="shared" si="11"/>
        <v>12489.0440846146</v>
      </c>
      <c r="I25" s="43">
        <f t="shared" si="11"/>
        <v>12489.0440846146</v>
      </c>
      <c r="J25" s="43">
        <f t="shared" si="11"/>
        <v>12489.0440846146</v>
      </c>
      <c r="K25" s="43">
        <f t="shared" si="11"/>
        <v>12489.0440846146</v>
      </c>
      <c r="L25" s="43">
        <f t="shared" si="11"/>
        <v>12489.0440846146</v>
      </c>
      <c r="M25" s="43">
        <f t="shared" si="11"/>
        <v>12489.0440846146</v>
      </c>
      <c r="N25" s="43">
        <f t="shared" si="11"/>
        <v>12489.0440846146</v>
      </c>
      <c r="O25" s="43">
        <f t="shared" si="11"/>
        <v>12489.0440846146</v>
      </c>
      <c r="P25" s="43">
        <f t="shared" si="11"/>
        <v>12489.0440846146</v>
      </c>
      <c r="Q25" s="43">
        <f t="shared" si="11"/>
        <v>12489.0440846146</v>
      </c>
      <c r="R25" s="43">
        <f t="shared" si="11"/>
        <v>12489.0440846146</v>
      </c>
      <c r="S25" s="43">
        <f t="shared" si="11"/>
        <v>12489.0440846146</v>
      </c>
      <c r="T25" s="43">
        <f t="shared" si="11"/>
        <v>12489.0440846146</v>
      </c>
      <c r="U25" s="43">
        <f t="shared" si="11"/>
        <v>12489.0440846146</v>
      </c>
      <c r="V25" s="43">
        <f t="shared" si="11"/>
        <v>12489.0440846146</v>
      </c>
      <c r="W25" s="43">
        <f t="shared" si="11"/>
        <v>12489.0440846146</v>
      </c>
      <c r="X25" s="43">
        <f t="shared" si="11"/>
        <v>12489.0440846146</v>
      </c>
      <c r="Y25" s="43">
        <f t="shared" si="11"/>
        <v>12489.0440846146</v>
      </c>
      <c r="Z25" s="43">
        <f t="shared" si="11"/>
        <v>12489.0440846146</v>
      </c>
      <c r="AA25" s="43">
        <f t="shared" si="11"/>
        <v>12489.0440846146</v>
      </c>
      <c r="AB25" s="43">
        <f t="shared" si="11"/>
        <v>12489.0440846146</v>
      </c>
      <c r="AC25" s="43">
        <f t="shared" si="11"/>
        <v>12489.0440846146</v>
      </c>
      <c r="AD25" s="43">
        <f t="shared" si="11"/>
        <v>12489.0440846146</v>
      </c>
      <c r="AE25" s="43">
        <f t="shared" si="11"/>
        <v>12489.0440846146</v>
      </c>
      <c r="AF25" s="43">
        <f t="shared" si="11"/>
        <v>12489.0440846146</v>
      </c>
      <c r="AG25" s="43">
        <f t="shared" si="11"/>
        <v>12489.0440846146</v>
      </c>
      <c r="AH25" s="43">
        <f t="shared" si="11"/>
        <v>12489.0440846146</v>
      </c>
      <c r="AI25" s="43">
        <f t="shared" si="11"/>
        <v>12489.0440846146</v>
      </c>
      <c r="AJ25" s="43">
        <f t="shared" si="11"/>
        <v>12489.0440846146</v>
      </c>
      <c r="AK25" s="43">
        <f t="shared" si="11"/>
        <v>12489.0440846146</v>
      </c>
      <c r="AL25" s="43">
        <f t="shared" si="11"/>
        <v>12489.0440846146</v>
      </c>
      <c r="AM25" s="43">
        <f t="shared" si="11"/>
        <v>12489.0440846146</v>
      </c>
      <c r="AN25" s="43">
        <f t="shared" si="11"/>
        <v>12489.0440846146</v>
      </c>
      <c r="AO25" s="43">
        <f t="shared" si="11"/>
        <v>12489.0440846146</v>
      </c>
      <c r="AP25" s="43">
        <f t="shared" si="11"/>
        <v>12489.0440846146</v>
      </c>
      <c r="AQ25" s="43">
        <f t="shared" si="11"/>
        <v>12489.0440846146</v>
      </c>
      <c r="AR25" s="43">
        <f t="shared" si="11"/>
        <v>12489.0440846146</v>
      </c>
    </row>
    <row r="26" s="6" customFormat="1" spans="1:44">
      <c r="A26" s="42" t="s">
        <v>931</v>
      </c>
      <c r="B26" s="43"/>
      <c r="C26" s="43">
        <f t="shared" ref="C26:AR26" si="12">IF(C22-B22+B23&gt;0,C22-B22+B23,0)</f>
        <v>38434.1300067953</v>
      </c>
      <c r="D26" s="43">
        <f t="shared" si="12"/>
        <v>48021.4492728684</v>
      </c>
      <c r="E26" s="43">
        <f t="shared" si="12"/>
        <v>28354.5245393901</v>
      </c>
      <c r="F26" s="43">
        <f t="shared" si="12"/>
        <v>27777.5285942401</v>
      </c>
      <c r="G26" s="43">
        <f t="shared" si="12"/>
        <v>27192.766056743</v>
      </c>
      <c r="H26" s="43">
        <f t="shared" si="12"/>
        <v>26601.3474375554</v>
      </c>
      <c r="I26" s="43">
        <f t="shared" si="12"/>
        <v>26004.5300945744</v>
      </c>
      <c r="J26" s="43">
        <f t="shared" si="12"/>
        <v>25403.4851578537</v>
      </c>
      <c r="K26" s="43">
        <f t="shared" si="12"/>
        <v>24799.5951508633</v>
      </c>
      <c r="L26" s="43">
        <f t="shared" si="12"/>
        <v>24194.1594229541</v>
      </c>
      <c r="M26" s="43">
        <f t="shared" si="12"/>
        <v>23588.6152048635</v>
      </c>
      <c r="N26" s="43">
        <f t="shared" si="12"/>
        <v>22984.438832795</v>
      </c>
      <c r="O26" s="43">
        <f t="shared" si="12"/>
        <v>22383.1321470965</v>
      </c>
      <c r="P26" s="43">
        <f t="shared" si="12"/>
        <v>21786.3457317252</v>
      </c>
      <c r="Q26" s="43">
        <f t="shared" si="12"/>
        <v>21195.6736304268</v>
      </c>
      <c r="R26" s="43">
        <f t="shared" si="12"/>
        <v>20612.8762910985</v>
      </c>
      <c r="S26" s="43">
        <f t="shared" si="12"/>
        <v>20039.7160982743</v>
      </c>
      <c r="T26" s="43">
        <f t="shared" si="12"/>
        <v>19478.0499451607</v>
      </c>
      <c r="U26" s="43">
        <f t="shared" si="12"/>
        <v>18929.8270304056</v>
      </c>
      <c r="V26" s="43">
        <f t="shared" si="12"/>
        <v>18396.9851263012</v>
      </c>
      <c r="W26" s="43">
        <f t="shared" si="12"/>
        <v>17881.6189821563</v>
      </c>
      <c r="X26" s="43">
        <f t="shared" si="12"/>
        <v>17385.870460229</v>
      </c>
      <c r="Y26" s="43">
        <f t="shared" si="12"/>
        <v>16911.9638873562</v>
      </c>
      <c r="Z26" s="43">
        <f t="shared" si="12"/>
        <v>16462.1552351638</v>
      </c>
      <c r="AA26" s="43">
        <f t="shared" si="12"/>
        <v>16038.8161585431</v>
      </c>
      <c r="AB26" s="43">
        <f t="shared" si="12"/>
        <v>15644.4490211082</v>
      </c>
      <c r="AC26" s="43">
        <f t="shared" si="12"/>
        <v>15281.5418928431</v>
      </c>
      <c r="AD26" s="43">
        <f t="shared" si="12"/>
        <v>14952.6933086759</v>
      </c>
      <c r="AE26" s="43">
        <f t="shared" si="12"/>
        <v>14660.6939632427</v>
      </c>
      <c r="AF26" s="43">
        <f t="shared" si="12"/>
        <v>14408.2657756249</v>
      </c>
      <c r="AG26" s="43">
        <f t="shared" si="12"/>
        <v>14198.3064904026</v>
      </c>
      <c r="AH26" s="43">
        <f t="shared" si="12"/>
        <v>14033.8430532014</v>
      </c>
      <c r="AI26" s="43">
        <f t="shared" si="12"/>
        <v>13917.8722335493</v>
      </c>
      <c r="AJ26" s="43">
        <f t="shared" si="12"/>
        <v>13853.6629434789</v>
      </c>
      <c r="AK26" s="43">
        <f t="shared" si="12"/>
        <v>13844.3805986673</v>
      </c>
      <c r="AL26" s="43">
        <f t="shared" si="12"/>
        <v>13893.4923255048</v>
      </c>
      <c r="AM26" s="43">
        <f t="shared" si="12"/>
        <v>14004.4440269023</v>
      </c>
      <c r="AN26" s="43">
        <f t="shared" si="12"/>
        <v>14180.8129697372</v>
      </c>
      <c r="AO26" s="43">
        <f t="shared" si="12"/>
        <v>14426.2914012519</v>
      </c>
      <c r="AP26" s="43">
        <f t="shared" si="12"/>
        <v>14744.6892988106</v>
      </c>
      <c r="AQ26" s="43">
        <f t="shared" si="12"/>
        <v>15139.9742229779</v>
      </c>
      <c r="AR26" s="43">
        <f t="shared" si="12"/>
        <v>15616.1176046249</v>
      </c>
    </row>
    <row r="27" s="6" customFormat="1" spans="1:44">
      <c r="A27" s="42" t="s">
        <v>932</v>
      </c>
      <c r="B27" s="43">
        <v>0</v>
      </c>
      <c r="C27" s="43">
        <f>SUM($C26:C26)</f>
        <v>38434.1300067953</v>
      </c>
      <c r="D27" s="43">
        <f>SUM($C26:D26)</f>
        <v>86455.5792796637</v>
      </c>
      <c r="E27" s="43">
        <f>SUM($C26:E26)</f>
        <v>114810.103819054</v>
      </c>
      <c r="F27" s="43">
        <f>SUM($C26:F26)</f>
        <v>142587.632413294</v>
      </c>
      <c r="G27" s="43">
        <f>SUM($C26:G26)</f>
        <v>169780.398470037</v>
      </c>
      <c r="H27" s="43">
        <f>SUM($C26:H26)</f>
        <v>196381.745907592</v>
      </c>
      <c r="I27" s="43">
        <f>SUM($C26:I26)</f>
        <v>222386.276002167</v>
      </c>
      <c r="J27" s="43">
        <f>SUM($C26:J26)</f>
        <v>247789.76116002</v>
      </c>
      <c r="K27" s="43">
        <f>SUM($C26:K26)</f>
        <v>272589.356310884</v>
      </c>
      <c r="L27" s="43">
        <f>SUM($C26:L26)</f>
        <v>296783.515733838</v>
      </c>
      <c r="M27" s="43">
        <f>SUM($C26:M26)</f>
        <v>320372.130938701</v>
      </c>
      <c r="N27" s="43">
        <f>SUM($C26:N26)</f>
        <v>343356.569771496</v>
      </c>
      <c r="O27" s="43">
        <f>SUM($C26:O26)</f>
        <v>365739.701918593</v>
      </c>
      <c r="P27" s="43">
        <f>SUM($C26:P26)</f>
        <v>387526.047650318</v>
      </c>
      <c r="Q27" s="43">
        <f>SUM($C26:Q26)</f>
        <v>408721.721280745</v>
      </c>
      <c r="R27" s="43">
        <f>SUM($C26:R26)</f>
        <v>429334.597571843</v>
      </c>
      <c r="S27" s="43">
        <f>SUM($C26:S26)</f>
        <v>449374.313670118</v>
      </c>
      <c r="T27" s="43">
        <f>SUM($C26:T26)</f>
        <v>468852.363615278</v>
      </c>
      <c r="U27" s="43">
        <f>SUM($C26:U26)</f>
        <v>487782.190645684</v>
      </c>
      <c r="V27" s="43">
        <f>SUM($C26:V26)</f>
        <v>506179.175771985</v>
      </c>
      <c r="W27" s="43">
        <f>SUM($C26:W26)</f>
        <v>524060.794754141</v>
      </c>
      <c r="X27" s="43">
        <f>SUM($C26:X26)</f>
        <v>541446.66521437</v>
      </c>
      <c r="Y27" s="43">
        <f>SUM($C26:Y26)</f>
        <v>558358.629101727</v>
      </c>
      <c r="Z27" s="43">
        <f>SUM($C26:Z26)</f>
        <v>574820.784336891</v>
      </c>
      <c r="AA27" s="43">
        <f>SUM($C26:AA26)</f>
        <v>590859.600495434</v>
      </c>
      <c r="AB27" s="43">
        <f>SUM($C26:AB26)</f>
        <v>606504.049516542</v>
      </c>
      <c r="AC27" s="43">
        <f>SUM($C26:AC26)</f>
        <v>621785.591409385</v>
      </c>
      <c r="AD27" s="43">
        <f>SUM($C26:AD26)</f>
        <v>636738.284718061</v>
      </c>
      <c r="AE27" s="43">
        <f>SUM($C26:AE26)</f>
        <v>651398.978681304</v>
      </c>
      <c r="AF27" s="43">
        <f>SUM($C26:AF26)</f>
        <v>665807.244456928</v>
      </c>
      <c r="AG27" s="43">
        <f>SUM($C26:AG26)</f>
        <v>680005.550947331</v>
      </c>
      <c r="AH27" s="43">
        <f>SUM($C26:AH26)</f>
        <v>694039.394000533</v>
      </c>
      <c r="AI27" s="43">
        <f>SUM($C26:AI26)</f>
        <v>707957.266234082</v>
      </c>
      <c r="AJ27" s="43">
        <f>SUM($C26:AJ26)</f>
        <v>721810.929177561</v>
      </c>
      <c r="AK27" s="43">
        <f>SUM($C26:AK26)</f>
        <v>735655.309776228</v>
      </c>
      <c r="AL27" s="43">
        <f>SUM($C26:AL26)</f>
        <v>749548.802101733</v>
      </c>
      <c r="AM27" s="43">
        <f>SUM($C26:AM26)</f>
        <v>763553.246128635</v>
      </c>
      <c r="AN27" s="43">
        <f>SUM($C26:AN26)</f>
        <v>777734.059098372</v>
      </c>
      <c r="AO27" s="43">
        <f>SUM($C26:AO26)</f>
        <v>792160.350499624</v>
      </c>
      <c r="AP27" s="43">
        <f>SUM($C26:AP26)</f>
        <v>806905.039798435</v>
      </c>
      <c r="AQ27" s="43">
        <f>SUM($C26:AQ26)</f>
        <v>822045.014021413</v>
      </c>
      <c r="AR27" s="43">
        <f>SUM($C26:AR26)</f>
        <v>837661.131626038</v>
      </c>
    </row>
    <row r="28" s="6" customFormat="1" spans="1:44">
      <c r="A28" s="42" t="s">
        <v>933</v>
      </c>
      <c r="B28" s="43">
        <f>$B22-SUM(A23:$B23)-SUM(A24:$B24)-SUM(A25:$B25)</f>
        <v>1210470.27845466</v>
      </c>
      <c r="C28" s="43">
        <f>$B22-SUM($B23:B23)-SUM($B24:B24)-SUM($B25:B25)</f>
        <v>1210470.27845466</v>
      </c>
      <c r="D28" s="43">
        <f>$B22-SUM($B23:C23)-SUM($B24:C24)-SUM($B25:C25)</f>
        <v>1201814.48333226</v>
      </c>
      <c r="E28" s="43">
        <f>$B22-SUM($B23:D23)-SUM($B24:D24)-SUM($B25:D25)</f>
        <v>1180669.64412525</v>
      </c>
      <c r="F28" s="43">
        <f>$B22-SUM($B23:E23)-SUM($B24:E24)-SUM($B25:E25)</f>
        <v>1159524.80491824</v>
      </c>
      <c r="G28" s="43">
        <f>$B22-SUM($B23:F23)-SUM($B24:F24)-SUM($B25:F25)</f>
        <v>1138379.96571123</v>
      </c>
      <c r="H28" s="43">
        <f>$B22-SUM($B23:G23)-SUM($B24:G24)-SUM($B25:G25)</f>
        <v>1117235.12650422</v>
      </c>
      <c r="I28" s="43">
        <f>$B22-SUM($B23:H23)-SUM($B24:H24)-SUM($B25:H25)</f>
        <v>1096090.28729721</v>
      </c>
      <c r="J28" s="43">
        <f>$B22-SUM($B23:I23)-SUM($B24:I24)-SUM($B25:I25)</f>
        <v>1074945.44809019</v>
      </c>
      <c r="K28" s="43">
        <f>$B22-SUM($B23:J23)-SUM($B24:J24)-SUM($B25:J25)</f>
        <v>1053800.60888318</v>
      </c>
      <c r="L28" s="43">
        <f>$B22-SUM($B23:K23)-SUM($B24:K24)-SUM($B25:K25)</f>
        <v>1032655.76967617</v>
      </c>
      <c r="M28" s="43">
        <f>$B22-SUM($B23:L23)-SUM($B24:L24)-SUM($B25:L25)</f>
        <v>1011510.93046916</v>
      </c>
      <c r="N28" s="43">
        <f>$B22-SUM($B23:M23)-SUM($B24:M24)-SUM($B25:M25)</f>
        <v>990366.091262147</v>
      </c>
      <c r="O28" s="43">
        <f>$B22-SUM($B23:N23)-SUM($B24:N24)-SUM($B25:N25)</f>
        <v>969221.252055135</v>
      </c>
      <c r="P28" s="43">
        <f>$B22-SUM($B23:O23)-SUM($B24:O24)-SUM($B25:O25)</f>
        <v>948076.412848124</v>
      </c>
      <c r="Q28" s="43">
        <f>$B22-SUM($B23:P23)-SUM($B24:P24)-SUM($B25:P25)</f>
        <v>926931.573641112</v>
      </c>
      <c r="R28" s="43">
        <f>$B22-SUM($B23:Q23)-SUM($B24:Q24)-SUM($B25:Q25)</f>
        <v>905786.7344341</v>
      </c>
      <c r="S28" s="43">
        <f>$B22-SUM($B23:R23)-SUM($B24:R24)-SUM($B25:R25)</f>
        <v>884641.895227088</v>
      </c>
      <c r="T28" s="43">
        <f>$B22-SUM($B23:S23)-SUM($B24:S24)-SUM($B25:S25)</f>
        <v>863497.056020077</v>
      </c>
      <c r="U28" s="43">
        <f>$B22-SUM($B23:T23)-SUM($B24:T24)-SUM($B25:T25)</f>
        <v>842352.216813065</v>
      </c>
      <c r="V28" s="43">
        <f>$B22-SUM($B23:U23)-SUM($B24:U24)-SUM($B25:U25)</f>
        <v>821207.377606053</v>
      </c>
      <c r="W28" s="43">
        <f>$B22-SUM($B23:V23)-SUM($B24:V24)-SUM($B25:V25)</f>
        <v>800062.538399042</v>
      </c>
      <c r="X28" s="43">
        <f>$B22-SUM($B23:W23)-SUM($B24:W24)-SUM($B25:W25)</f>
        <v>778917.69919203</v>
      </c>
      <c r="Y28" s="43">
        <f>$B22-SUM($B23:X23)-SUM($B24:X24)-SUM($B25:X25)</f>
        <v>757772.859985018</v>
      </c>
      <c r="Z28" s="43">
        <f>$B22-SUM($B23:Y23)-SUM($B24:Y24)-SUM($B25:Y25)</f>
        <v>736628.020778007</v>
      </c>
      <c r="AA28" s="43">
        <f>$B22-SUM($B23:Z23)-SUM($B24:Z24)-SUM($B25:Z25)</f>
        <v>715483.181570995</v>
      </c>
      <c r="AB28" s="43">
        <f>$B22-SUM($B23:AA23)-SUM($B24:AA24)-SUM($B25:AA25)</f>
        <v>694338.342363984</v>
      </c>
      <c r="AC28" s="43">
        <f>$B22-SUM($B23:AB23)-SUM($B24:AB24)-SUM($B25:AB25)</f>
        <v>673193.503156972</v>
      </c>
      <c r="AD28" s="43">
        <f>$B22-SUM($B23:AC23)-SUM($B24:AC24)-SUM($B25:AC25)</f>
        <v>652048.66394996</v>
      </c>
      <c r="AE28" s="43">
        <f>$B22-SUM($B23:AD23)-SUM($B24:AD24)-SUM($B25:AD25)</f>
        <v>630903.824742949</v>
      </c>
      <c r="AF28" s="43">
        <f>$B22-SUM($B23:AE23)-SUM($B24:AE24)-SUM($B25:AE25)</f>
        <v>609758.985535937</v>
      </c>
      <c r="AG28" s="43">
        <f>$B22-SUM($B23:AF23)-SUM($B24:AF24)-SUM($B25:AF25)</f>
        <v>588614.146328925</v>
      </c>
      <c r="AH28" s="43">
        <f>$B22-SUM($B23:AG23)-SUM($B24:AG24)-SUM($B25:AG25)</f>
        <v>567469.307121914</v>
      </c>
      <c r="AI28" s="43">
        <f>$B22-SUM($B23:AH23)-SUM($B24:AH24)-SUM($B25:AH25)</f>
        <v>546324.467914902</v>
      </c>
      <c r="AJ28" s="43">
        <f>$B22-SUM($B23:AI23)-SUM($B24:AI24)-SUM($B25:AI25)</f>
        <v>525179.62870789</v>
      </c>
      <c r="AK28" s="43">
        <f>$B22-SUM($B23:AJ23)-SUM($B24:AJ24)-SUM($B25:AJ25)</f>
        <v>504034.789500879</v>
      </c>
      <c r="AL28" s="43">
        <f>$B22-SUM($B23:AK23)-SUM($B24:AK24)-SUM($B25:AK25)</f>
        <v>482889.950293867</v>
      </c>
      <c r="AM28" s="43">
        <f>$B22-SUM($B23:AL23)-SUM($B24:AL24)-SUM($B25:AL25)</f>
        <v>461745.111086855</v>
      </c>
      <c r="AN28" s="43">
        <f>$B22-SUM($B23:AM23)-SUM($B24:AM24)-SUM($B25:AM25)</f>
        <v>440600.271879843</v>
      </c>
      <c r="AO28" s="43">
        <f>$B22-SUM($B23:AN23)-SUM($B24:AN24)-SUM($B25:AN25)</f>
        <v>419455.432672832</v>
      </c>
      <c r="AP28" s="43">
        <f>$B22-SUM($B23:AO23)-SUM($B24:AO24)-SUM($B25:AO25)</f>
        <v>398310.59346582</v>
      </c>
      <c r="AQ28" s="43">
        <f>$B22-SUM($B23:AP23)-SUM($B24:AP24)-SUM($B25:AP25)</f>
        <v>377165.754258808</v>
      </c>
      <c r="AR28" s="43">
        <f>$B22-SUM($B23:AQ23)-SUM($B24:AQ24)-SUM($B25:AQ25)</f>
        <v>356020.915051797</v>
      </c>
    </row>
    <row r="29" s="6" customFormat="1" spans="1:44">
      <c r="A29" s="45"/>
      <c r="B29" s="43"/>
      <c r="C29" s="43"/>
      <c r="D29" s="43"/>
      <c r="E29" s="43"/>
      <c r="F29" s="43"/>
      <c r="G29" s="43"/>
      <c r="H29" s="43"/>
      <c r="I29" s="43"/>
      <c r="J29" s="43"/>
      <c r="K29" s="43"/>
      <c r="L29" s="43"/>
      <c r="M29" s="43"/>
      <c r="N29" s="43"/>
      <c r="O29" s="43"/>
      <c r="P29" s="43"/>
      <c r="Q29" s="43"/>
      <c r="R29" s="43"/>
      <c r="S29" s="43"/>
      <c r="T29" s="43"/>
      <c r="U29" s="43"/>
      <c r="V29" s="43"/>
      <c r="W29" s="43"/>
      <c r="X29" s="43"/>
      <c r="Y29" s="43"/>
      <c r="Z29" s="43"/>
      <c r="AA29" s="43"/>
      <c r="AB29" s="43"/>
      <c r="AC29" s="43"/>
      <c r="AD29" s="43"/>
      <c r="AE29" s="43"/>
      <c r="AF29" s="43"/>
      <c r="AG29" s="43"/>
      <c r="AH29" s="43"/>
      <c r="AI29" s="43"/>
      <c r="AJ29" s="43"/>
      <c r="AK29" s="43"/>
      <c r="AL29" s="43"/>
      <c r="AM29" s="43"/>
      <c r="AN29" s="43"/>
      <c r="AO29" s="43"/>
      <c r="AP29" s="43"/>
      <c r="AQ29" s="43"/>
      <c r="AR29" s="43"/>
    </row>
    <row r="30" s="5" customFormat="1" spans="1:44">
      <c r="A30" s="42"/>
      <c r="B30" s="41">
        <v>2018</v>
      </c>
      <c r="C30" s="41">
        <v>2019</v>
      </c>
      <c r="D30" s="41">
        <v>2020</v>
      </c>
      <c r="E30" s="41">
        <v>2021</v>
      </c>
      <c r="F30" s="41">
        <v>2022</v>
      </c>
      <c r="G30" s="41">
        <v>2023</v>
      </c>
      <c r="H30" s="41">
        <v>2024</v>
      </c>
      <c r="I30" s="41">
        <v>2025</v>
      </c>
      <c r="J30" s="41">
        <v>2026</v>
      </c>
      <c r="K30" s="41">
        <v>2027</v>
      </c>
      <c r="L30" s="41">
        <v>2028</v>
      </c>
      <c r="M30" s="41">
        <v>2029</v>
      </c>
      <c r="N30" s="41">
        <v>2030</v>
      </c>
      <c r="O30" s="41">
        <v>2031</v>
      </c>
      <c r="P30" s="41">
        <v>2032</v>
      </c>
      <c r="Q30" s="41">
        <v>2033</v>
      </c>
      <c r="R30" s="41">
        <v>2034</v>
      </c>
      <c r="S30" s="41">
        <v>2035</v>
      </c>
      <c r="T30" s="41">
        <v>2036</v>
      </c>
      <c r="U30" s="41">
        <v>2037</v>
      </c>
      <c r="V30" s="41">
        <v>2038</v>
      </c>
      <c r="W30" s="41">
        <v>2039</v>
      </c>
      <c r="X30" s="41">
        <v>2040</v>
      </c>
      <c r="Y30" s="41">
        <v>2041</v>
      </c>
      <c r="Z30" s="41">
        <v>2042</v>
      </c>
      <c r="AA30" s="41">
        <v>2043</v>
      </c>
      <c r="AB30" s="41">
        <v>2044</v>
      </c>
      <c r="AC30" s="41">
        <v>2045</v>
      </c>
      <c r="AD30" s="41">
        <v>2046</v>
      </c>
      <c r="AE30" s="41">
        <v>2047</v>
      </c>
      <c r="AF30" s="41">
        <v>2048</v>
      </c>
      <c r="AG30" s="41">
        <v>2049</v>
      </c>
      <c r="AH30" s="41">
        <v>2050</v>
      </c>
      <c r="AI30" s="41">
        <v>2051</v>
      </c>
      <c r="AJ30" s="41">
        <v>2052</v>
      </c>
      <c r="AK30" s="41">
        <v>2053</v>
      </c>
      <c r="AL30" s="41">
        <v>2054</v>
      </c>
      <c r="AM30" s="41">
        <v>2055</v>
      </c>
      <c r="AN30" s="41">
        <v>2056</v>
      </c>
      <c r="AO30" s="41">
        <v>2057</v>
      </c>
      <c r="AP30" s="41">
        <v>2058</v>
      </c>
      <c r="AQ30" s="41">
        <v>2059</v>
      </c>
      <c r="AR30" s="41">
        <v>2060</v>
      </c>
    </row>
    <row r="31" s="6" customFormat="1" spans="1:44">
      <c r="A31" s="42" t="s">
        <v>936</v>
      </c>
      <c r="B31" s="43">
        <f>D49*人口变化预测!D7/10000</f>
        <v>1251825.65437041</v>
      </c>
      <c r="C31" s="43">
        <f>E49*人口变化预测!E7/10000</f>
        <v>1239102.63046146</v>
      </c>
      <c r="D31" s="43">
        <f>F49*人口变化预测!F7/10000</f>
        <v>1277990.34887169</v>
      </c>
      <c r="E31" s="43">
        <f>G49*人口变化预测!G7/10000</f>
        <v>1297275.89887444</v>
      </c>
      <c r="F31" s="43">
        <f>H49*人口变化预测!H7/10000</f>
        <v>1315907.49517935</v>
      </c>
      <c r="G31" s="43">
        <f>I49*人口变化预测!I7/10000</f>
        <v>1333885.31335461</v>
      </c>
      <c r="H31" s="43">
        <f>J49*人口变化预测!J7/10000</f>
        <v>1351210.41686096</v>
      </c>
      <c r="I31" s="43">
        <f>K49*人口变化预测!K7/10000</f>
        <v>1367884.98247067</v>
      </c>
      <c r="J31" s="43">
        <f>L49*人口变化预测!L7/10000</f>
        <v>1383912.11211123</v>
      </c>
      <c r="K31" s="43">
        <f>M49*人口变化预测!M7/10000</f>
        <v>1399296.01474445</v>
      </c>
      <c r="L31" s="43">
        <f>N49*人口变化预测!N7/10000</f>
        <v>1414041.99985425</v>
      </c>
      <c r="M31" s="43">
        <f>O49*人口变化预测!O7/10000</f>
        <v>1428156.50773427</v>
      </c>
      <c r="N31" s="43">
        <f>P49*人口变化预测!P7/10000</f>
        <v>1441647.15953158</v>
      </c>
      <c r="O31" s="43">
        <f>Q49*人口变化预测!Q7/10000</f>
        <v>1454522.78927213</v>
      </c>
      <c r="P31" s="43">
        <f>R49*人口变化预测!R7/10000</f>
        <v>1466793.54019915</v>
      </c>
      <c r="Q31" s="43">
        <f>S49*人口变化预测!S7/10000</f>
        <v>1478470.79898415</v>
      </c>
      <c r="R31" s="43">
        <f>T49*人口变化预测!T7/10000</f>
        <v>1489567.36501894</v>
      </c>
      <c r="S31" s="43">
        <f>U49*人口变化预测!U7/10000</f>
        <v>1500097.43580519</v>
      </c>
      <c r="T31" s="43">
        <f>V49*人口变化预测!V7/10000</f>
        <v>1510076.61815521</v>
      </c>
      <c r="U31" s="43">
        <f>W49*人口变化预测!W7/10000</f>
        <v>1519522.05909602</v>
      </c>
      <c r="V31" s="43">
        <f>X49*人口变化预测!X7/10000</f>
        <v>1528452.40899779</v>
      </c>
      <c r="W31" s="43">
        <f>Y49*人口变化预测!Y7/10000</f>
        <v>1536887.92474039</v>
      </c>
      <c r="X31" s="43">
        <f>Z49*人口变化预测!Z7/10000</f>
        <v>1544850.5268411</v>
      </c>
      <c r="Y31" s="43">
        <f>AA49*人口变化预测!AA7/10000</f>
        <v>1552363.860686</v>
      </c>
      <c r="Z31" s="43">
        <f>AB49*人口变化预测!AB7/10000</f>
        <v>1559453.25501362</v>
      </c>
      <c r="AA31" s="43">
        <f>AC49*人口变化预测!AC7/10000</f>
        <v>1566145.89257099</v>
      </c>
      <c r="AB31" s="43">
        <f>AD49*人口变化预测!AD7/10000</f>
        <v>1572470.8165648</v>
      </c>
      <c r="AC31" s="43">
        <f>AE49*人口变化预测!AE7/10000</f>
        <v>1578459.00438615</v>
      </c>
      <c r="AD31" s="43">
        <f>AF49*人口变化预测!AF7/10000</f>
        <v>1584143.32989867</v>
      </c>
      <c r="AE31" s="43">
        <f>AG49*人口变化预测!AG7/10000</f>
        <v>1589558.84329748</v>
      </c>
      <c r="AF31" s="43">
        <f>AH49*人口变化预测!AH7/10000</f>
        <v>1594742.59319526</v>
      </c>
      <c r="AG31" s="43">
        <f>AI49*人口变化预测!AI7/10000</f>
        <v>1599733.83541649</v>
      </c>
      <c r="AH31" s="43">
        <f>AJ49*人口变化预测!AJ7/10000</f>
        <v>1604574.07024827</v>
      </c>
      <c r="AI31" s="43">
        <f>AK49*人口变化预测!AK7/10000</f>
        <v>1609306.98422277</v>
      </c>
      <c r="AJ31" s="43">
        <f>AL49*人口变化预测!AL7/10000</f>
        <v>1613978.79815043</v>
      </c>
      <c r="AK31" s="43">
        <f>AM49*人口变化预测!AM7/10000</f>
        <v>1618638.01055723</v>
      </c>
      <c r="AL31" s="43">
        <f>AN49*人口变化预测!AN7/10000</f>
        <v>1623335.69825613</v>
      </c>
      <c r="AM31" s="43">
        <f>AO49*人口变化预测!AO7/10000</f>
        <v>1628125.51330078</v>
      </c>
      <c r="AN31" s="43">
        <f>AP49*人口变化预测!AP7/10000</f>
        <v>1633063.67148289</v>
      </c>
      <c r="AO31" s="43">
        <f>AQ49*人口变化预测!AQ7/10000</f>
        <v>1638209.18465943</v>
      </c>
      <c r="AP31" s="43">
        <f>AR49*人口变化预测!AR7/10000</f>
        <v>1643623.79887821</v>
      </c>
      <c r="AQ31" s="43">
        <f>AS49*人口变化预测!AS7/10000</f>
        <v>1649372.24597113</v>
      </c>
      <c r="AR31" s="43">
        <f>AT49*人口变化预测!AT7/10000</f>
        <v>1655522.08403748</v>
      </c>
    </row>
    <row r="32" s="6" customFormat="1" spans="1:44">
      <c r="A32" s="42" t="s">
        <v>929</v>
      </c>
      <c r="B32" s="43">
        <f>$B31*0.71%</f>
        <v>8887.96214602991</v>
      </c>
      <c r="C32" s="43">
        <f t="shared" ref="C32:AR32" si="13">$B31*0.71%</f>
        <v>8887.96214602991</v>
      </c>
      <c r="D32" s="43">
        <f t="shared" si="13"/>
        <v>8887.96214602991</v>
      </c>
      <c r="E32" s="43">
        <f t="shared" si="13"/>
        <v>8887.96214602991</v>
      </c>
      <c r="F32" s="43">
        <f t="shared" si="13"/>
        <v>8887.96214602991</v>
      </c>
      <c r="G32" s="43">
        <f t="shared" si="13"/>
        <v>8887.96214602991</v>
      </c>
      <c r="H32" s="43">
        <f t="shared" si="13"/>
        <v>8887.96214602991</v>
      </c>
      <c r="I32" s="43">
        <f t="shared" si="13"/>
        <v>8887.96214602991</v>
      </c>
      <c r="J32" s="43">
        <f t="shared" si="13"/>
        <v>8887.96214602991</v>
      </c>
      <c r="K32" s="43">
        <f t="shared" si="13"/>
        <v>8887.96214602991</v>
      </c>
      <c r="L32" s="43">
        <f t="shared" si="13"/>
        <v>8887.96214602991</v>
      </c>
      <c r="M32" s="43">
        <f t="shared" si="13"/>
        <v>8887.96214602991</v>
      </c>
      <c r="N32" s="43">
        <f t="shared" si="13"/>
        <v>8887.96214602991</v>
      </c>
      <c r="O32" s="43">
        <f t="shared" si="13"/>
        <v>8887.96214602991</v>
      </c>
      <c r="P32" s="43">
        <f t="shared" si="13"/>
        <v>8887.96214602991</v>
      </c>
      <c r="Q32" s="43">
        <f t="shared" si="13"/>
        <v>8887.96214602991</v>
      </c>
      <c r="R32" s="43">
        <f t="shared" si="13"/>
        <v>8887.96214602991</v>
      </c>
      <c r="S32" s="43">
        <f t="shared" si="13"/>
        <v>8887.96214602991</v>
      </c>
      <c r="T32" s="43">
        <f t="shared" si="13"/>
        <v>8887.96214602991</v>
      </c>
      <c r="U32" s="43">
        <f t="shared" si="13"/>
        <v>8887.96214602991</v>
      </c>
      <c r="V32" s="43">
        <f t="shared" si="13"/>
        <v>8887.96214602991</v>
      </c>
      <c r="W32" s="43">
        <f t="shared" si="13"/>
        <v>8887.96214602991</v>
      </c>
      <c r="X32" s="43">
        <f t="shared" si="13"/>
        <v>8887.96214602991</v>
      </c>
      <c r="Y32" s="43">
        <f t="shared" si="13"/>
        <v>8887.96214602991</v>
      </c>
      <c r="Z32" s="43">
        <f t="shared" si="13"/>
        <v>8887.96214602991</v>
      </c>
      <c r="AA32" s="43">
        <f t="shared" si="13"/>
        <v>8887.96214602991</v>
      </c>
      <c r="AB32" s="43">
        <f t="shared" si="13"/>
        <v>8887.96214602991</v>
      </c>
      <c r="AC32" s="43">
        <f t="shared" si="13"/>
        <v>8887.96214602991</v>
      </c>
      <c r="AD32" s="43">
        <f t="shared" si="13"/>
        <v>8887.96214602991</v>
      </c>
      <c r="AE32" s="43">
        <f t="shared" si="13"/>
        <v>8887.96214602991</v>
      </c>
      <c r="AF32" s="43">
        <f t="shared" si="13"/>
        <v>8887.96214602991</v>
      </c>
      <c r="AG32" s="43">
        <f t="shared" si="13"/>
        <v>8887.96214602991</v>
      </c>
      <c r="AH32" s="43">
        <f t="shared" si="13"/>
        <v>8887.96214602991</v>
      </c>
      <c r="AI32" s="43">
        <f t="shared" si="13"/>
        <v>8887.96214602991</v>
      </c>
      <c r="AJ32" s="43">
        <f t="shared" si="13"/>
        <v>8887.96214602991</v>
      </c>
      <c r="AK32" s="43">
        <f t="shared" si="13"/>
        <v>8887.96214602991</v>
      </c>
      <c r="AL32" s="43">
        <f t="shared" si="13"/>
        <v>8887.96214602991</v>
      </c>
      <c r="AM32" s="43">
        <f t="shared" si="13"/>
        <v>8887.96214602991</v>
      </c>
      <c r="AN32" s="43">
        <f t="shared" si="13"/>
        <v>8887.96214602991</v>
      </c>
      <c r="AO32" s="43">
        <f t="shared" si="13"/>
        <v>8887.96214602991</v>
      </c>
      <c r="AP32" s="43">
        <f t="shared" si="13"/>
        <v>8887.96214602991</v>
      </c>
      <c r="AQ32" s="43">
        <f t="shared" si="13"/>
        <v>8887.96214602991</v>
      </c>
      <c r="AR32" s="43">
        <f t="shared" si="13"/>
        <v>8887.96214602991</v>
      </c>
    </row>
    <row r="33" s="6" customFormat="1" spans="1:46">
      <c r="A33" s="42" t="s">
        <v>930</v>
      </c>
      <c r="B33" s="43"/>
      <c r="C33" s="43">
        <f>IF(B31-C31-B32&gt;0,B31-C31-B32,0)</f>
        <v>3835.06176291513</v>
      </c>
      <c r="D33" s="43">
        <f>IF(C31-D31-C32&gt;0,C31-D31-C32,0)</f>
        <v>0</v>
      </c>
      <c r="E33" s="43">
        <f t="shared" ref="E33:AR33" si="14">IF(D31-E31-D32&gt;0,D31-E31-D32,0)</f>
        <v>0</v>
      </c>
      <c r="F33" s="43">
        <f t="shared" si="14"/>
        <v>0</v>
      </c>
      <c r="G33" s="43">
        <f t="shared" si="14"/>
        <v>0</v>
      </c>
      <c r="H33" s="43">
        <f t="shared" si="14"/>
        <v>0</v>
      </c>
      <c r="I33" s="43">
        <f t="shared" si="14"/>
        <v>0</v>
      </c>
      <c r="J33" s="43">
        <f t="shared" si="14"/>
        <v>0</v>
      </c>
      <c r="K33" s="43">
        <f t="shared" si="14"/>
        <v>0</v>
      </c>
      <c r="L33" s="43">
        <f t="shared" si="14"/>
        <v>0</v>
      </c>
      <c r="M33" s="43">
        <f t="shared" si="14"/>
        <v>0</v>
      </c>
      <c r="N33" s="43">
        <f t="shared" si="14"/>
        <v>0</v>
      </c>
      <c r="O33" s="43">
        <f t="shared" si="14"/>
        <v>0</v>
      </c>
      <c r="P33" s="43">
        <f t="shared" si="14"/>
        <v>0</v>
      </c>
      <c r="Q33" s="43">
        <f t="shared" si="14"/>
        <v>0</v>
      </c>
      <c r="R33" s="43">
        <f t="shared" si="14"/>
        <v>0</v>
      </c>
      <c r="S33" s="43">
        <f t="shared" si="14"/>
        <v>0</v>
      </c>
      <c r="T33" s="43">
        <f t="shared" si="14"/>
        <v>0</v>
      </c>
      <c r="U33" s="43">
        <f t="shared" si="14"/>
        <v>0</v>
      </c>
      <c r="V33" s="43">
        <f t="shared" si="14"/>
        <v>0</v>
      </c>
      <c r="W33" s="43">
        <f t="shared" si="14"/>
        <v>0</v>
      </c>
      <c r="X33" s="43">
        <f t="shared" si="14"/>
        <v>0</v>
      </c>
      <c r="Y33" s="43">
        <f t="shared" si="14"/>
        <v>0</v>
      </c>
      <c r="Z33" s="43">
        <f t="shared" si="14"/>
        <v>0</v>
      </c>
      <c r="AA33" s="43">
        <f t="shared" si="14"/>
        <v>0</v>
      </c>
      <c r="AB33" s="43">
        <f t="shared" si="14"/>
        <v>0</v>
      </c>
      <c r="AC33" s="43">
        <f t="shared" si="14"/>
        <v>0</v>
      </c>
      <c r="AD33" s="43">
        <f t="shared" si="14"/>
        <v>0</v>
      </c>
      <c r="AE33" s="43">
        <f t="shared" si="14"/>
        <v>0</v>
      </c>
      <c r="AF33" s="43">
        <f t="shared" si="14"/>
        <v>0</v>
      </c>
      <c r="AG33" s="43">
        <f t="shared" si="14"/>
        <v>0</v>
      </c>
      <c r="AH33" s="43">
        <f t="shared" si="14"/>
        <v>0</v>
      </c>
      <c r="AI33" s="43">
        <f t="shared" si="14"/>
        <v>0</v>
      </c>
      <c r="AJ33" s="43">
        <f t="shared" si="14"/>
        <v>0</v>
      </c>
      <c r="AK33" s="43">
        <f t="shared" si="14"/>
        <v>0</v>
      </c>
      <c r="AL33" s="43">
        <f t="shared" si="14"/>
        <v>0</v>
      </c>
      <c r="AM33" s="43">
        <f t="shared" si="14"/>
        <v>0</v>
      </c>
      <c r="AN33" s="43">
        <f t="shared" si="14"/>
        <v>0</v>
      </c>
      <c r="AO33" s="43">
        <f t="shared" si="14"/>
        <v>0</v>
      </c>
      <c r="AP33" s="43">
        <f t="shared" si="14"/>
        <v>0</v>
      </c>
      <c r="AQ33" s="43">
        <f t="shared" si="14"/>
        <v>0</v>
      </c>
      <c r="AR33" s="43">
        <f t="shared" si="14"/>
        <v>0</v>
      </c>
    </row>
    <row r="34" s="6" customFormat="1" spans="1:46">
      <c r="A34" s="42" t="s">
        <v>1013</v>
      </c>
      <c r="B34" s="43"/>
      <c r="C34" s="43"/>
      <c r="D34" s="43">
        <f>$C$31*0.01</f>
        <v>12391.0263046146</v>
      </c>
      <c r="E34" s="43">
        <f t="shared" ref="E34:AR34" si="15">$C$31*0.01</f>
        <v>12391.0263046146</v>
      </c>
      <c r="F34" s="43">
        <f t="shared" si="15"/>
        <v>12391.0263046146</v>
      </c>
      <c r="G34" s="43">
        <f t="shared" si="15"/>
        <v>12391.0263046146</v>
      </c>
      <c r="H34" s="43">
        <f t="shared" si="15"/>
        <v>12391.0263046146</v>
      </c>
      <c r="I34" s="43">
        <f t="shared" si="15"/>
        <v>12391.0263046146</v>
      </c>
      <c r="J34" s="43">
        <f t="shared" si="15"/>
        <v>12391.0263046146</v>
      </c>
      <c r="K34" s="43">
        <f t="shared" si="15"/>
        <v>12391.0263046146</v>
      </c>
      <c r="L34" s="43">
        <f t="shared" si="15"/>
        <v>12391.0263046146</v>
      </c>
      <c r="M34" s="43">
        <f t="shared" si="15"/>
        <v>12391.0263046146</v>
      </c>
      <c r="N34" s="43">
        <f t="shared" si="15"/>
        <v>12391.0263046146</v>
      </c>
      <c r="O34" s="43">
        <f t="shared" si="15"/>
        <v>12391.0263046146</v>
      </c>
      <c r="P34" s="43">
        <f t="shared" si="15"/>
        <v>12391.0263046146</v>
      </c>
      <c r="Q34" s="43">
        <f t="shared" si="15"/>
        <v>12391.0263046146</v>
      </c>
      <c r="R34" s="43">
        <f t="shared" si="15"/>
        <v>12391.0263046146</v>
      </c>
      <c r="S34" s="43">
        <f t="shared" si="15"/>
        <v>12391.0263046146</v>
      </c>
      <c r="T34" s="43">
        <f t="shared" si="15"/>
        <v>12391.0263046146</v>
      </c>
      <c r="U34" s="43">
        <f t="shared" si="15"/>
        <v>12391.0263046146</v>
      </c>
      <c r="V34" s="43">
        <f t="shared" si="15"/>
        <v>12391.0263046146</v>
      </c>
      <c r="W34" s="43">
        <f t="shared" si="15"/>
        <v>12391.0263046146</v>
      </c>
      <c r="X34" s="43">
        <f t="shared" si="15"/>
        <v>12391.0263046146</v>
      </c>
      <c r="Y34" s="43">
        <f t="shared" si="15"/>
        <v>12391.0263046146</v>
      </c>
      <c r="Z34" s="43">
        <f t="shared" si="15"/>
        <v>12391.0263046146</v>
      </c>
      <c r="AA34" s="43">
        <f t="shared" si="15"/>
        <v>12391.0263046146</v>
      </c>
      <c r="AB34" s="43">
        <f t="shared" si="15"/>
        <v>12391.0263046146</v>
      </c>
      <c r="AC34" s="43">
        <f t="shared" si="15"/>
        <v>12391.0263046146</v>
      </c>
      <c r="AD34" s="43">
        <f t="shared" si="15"/>
        <v>12391.0263046146</v>
      </c>
      <c r="AE34" s="43">
        <f t="shared" si="15"/>
        <v>12391.0263046146</v>
      </c>
      <c r="AF34" s="43">
        <f t="shared" si="15"/>
        <v>12391.0263046146</v>
      </c>
      <c r="AG34" s="43">
        <f t="shared" si="15"/>
        <v>12391.0263046146</v>
      </c>
      <c r="AH34" s="43">
        <f t="shared" si="15"/>
        <v>12391.0263046146</v>
      </c>
      <c r="AI34" s="43">
        <f t="shared" si="15"/>
        <v>12391.0263046146</v>
      </c>
      <c r="AJ34" s="43">
        <f t="shared" si="15"/>
        <v>12391.0263046146</v>
      </c>
      <c r="AK34" s="43">
        <f t="shared" si="15"/>
        <v>12391.0263046146</v>
      </c>
      <c r="AL34" s="43">
        <f t="shared" si="15"/>
        <v>12391.0263046146</v>
      </c>
      <c r="AM34" s="43">
        <f t="shared" si="15"/>
        <v>12391.0263046146</v>
      </c>
      <c r="AN34" s="43">
        <f t="shared" si="15"/>
        <v>12391.0263046146</v>
      </c>
      <c r="AO34" s="43">
        <f t="shared" si="15"/>
        <v>12391.0263046146</v>
      </c>
      <c r="AP34" s="43">
        <f t="shared" si="15"/>
        <v>12391.0263046146</v>
      </c>
      <c r="AQ34" s="43">
        <f t="shared" si="15"/>
        <v>12391.0263046146</v>
      </c>
      <c r="AR34" s="43">
        <f t="shared" si="15"/>
        <v>12391.0263046146</v>
      </c>
    </row>
    <row r="35" s="6" customFormat="1" spans="1:46">
      <c r="A35" s="42" t="s">
        <v>931</v>
      </c>
      <c r="B35" s="43"/>
      <c r="C35" s="43">
        <f t="shared" ref="C35:AR35" si="16">IF(C31-B31+B32&gt;0,C31-B31+B32,0)</f>
        <v>0</v>
      </c>
      <c r="D35" s="43">
        <f t="shared" si="16"/>
        <v>47775.6805562592</v>
      </c>
      <c r="E35" s="43">
        <f t="shared" si="16"/>
        <v>28173.512148776</v>
      </c>
      <c r="F35" s="43">
        <f t="shared" si="16"/>
        <v>27519.5584509369</v>
      </c>
      <c r="G35" s="43">
        <f t="shared" si="16"/>
        <v>26865.780321295</v>
      </c>
      <c r="H35" s="43">
        <f t="shared" si="16"/>
        <v>26213.0656523785</v>
      </c>
      <c r="I35" s="43">
        <f t="shared" si="16"/>
        <v>25562.5277557383</v>
      </c>
      <c r="J35" s="43">
        <f t="shared" si="16"/>
        <v>24915.0917865872</v>
      </c>
      <c r="K35" s="43">
        <f t="shared" si="16"/>
        <v>24271.8647792548</v>
      </c>
      <c r="L35" s="43">
        <f t="shared" si="16"/>
        <v>23633.9472558311</v>
      </c>
      <c r="M35" s="43">
        <f t="shared" si="16"/>
        <v>23002.4700260513</v>
      </c>
      <c r="N35" s="43">
        <f t="shared" si="16"/>
        <v>22378.6139433327</v>
      </c>
      <c r="O35" s="43">
        <f t="shared" si="16"/>
        <v>21763.5918865796</v>
      </c>
      <c r="P35" s="43">
        <f t="shared" si="16"/>
        <v>21158.7130730544</v>
      </c>
      <c r="Q35" s="43">
        <f t="shared" si="16"/>
        <v>20565.2209310279</v>
      </c>
      <c r="R35" s="43">
        <f t="shared" si="16"/>
        <v>19984.5281808182</v>
      </c>
      <c r="S35" s="43">
        <f t="shared" si="16"/>
        <v>19418.0329322783</v>
      </c>
      <c r="T35" s="43">
        <f t="shared" si="16"/>
        <v>18867.1444960577</v>
      </c>
      <c r="U35" s="43">
        <f t="shared" si="16"/>
        <v>18333.403086837</v>
      </c>
      <c r="V35" s="43">
        <f t="shared" si="16"/>
        <v>17818.3120478027</v>
      </c>
      <c r="W35" s="43">
        <f t="shared" si="16"/>
        <v>17323.4778886227</v>
      </c>
      <c r="X35" s="43">
        <f t="shared" si="16"/>
        <v>16850.564246747</v>
      </c>
      <c r="Y35" s="43">
        <f t="shared" si="16"/>
        <v>16401.2959909265</v>
      </c>
      <c r="Z35" s="43">
        <f t="shared" si="16"/>
        <v>15977.3564736527</v>
      </c>
      <c r="AA35" s="43">
        <f t="shared" si="16"/>
        <v>15580.5997034007</v>
      </c>
      <c r="AB35" s="43">
        <f t="shared" si="16"/>
        <v>15212.8861398349</v>
      </c>
      <c r="AC35" s="43">
        <f t="shared" si="16"/>
        <v>14876.1499673781</v>
      </c>
      <c r="AD35" s="43">
        <f t="shared" si="16"/>
        <v>14572.2876585553</v>
      </c>
      <c r="AE35" s="43">
        <f t="shared" si="16"/>
        <v>14303.4755448372</v>
      </c>
      <c r="AF35" s="43">
        <f t="shared" si="16"/>
        <v>14071.7120438126</v>
      </c>
      <c r="AG35" s="43">
        <f t="shared" si="16"/>
        <v>13879.2043672578</v>
      </c>
      <c r="AH35" s="43">
        <f t="shared" si="16"/>
        <v>13728.1969778064</v>
      </c>
      <c r="AI35" s="43">
        <f t="shared" si="16"/>
        <v>13620.8761205327</v>
      </c>
      <c r="AJ35" s="43">
        <f t="shared" si="16"/>
        <v>13559.7760736925</v>
      </c>
      <c r="AK35" s="43">
        <f t="shared" si="16"/>
        <v>13547.1745528324</v>
      </c>
      <c r="AL35" s="43">
        <f t="shared" si="16"/>
        <v>13585.6498449273</v>
      </c>
      <c r="AM35" s="43">
        <f t="shared" si="16"/>
        <v>13677.7771906782</v>
      </c>
      <c r="AN35" s="43">
        <f t="shared" si="16"/>
        <v>13826.120328141</v>
      </c>
      <c r="AO35" s="43">
        <f t="shared" si="16"/>
        <v>14033.4753225703</v>
      </c>
      <c r="AP35" s="43">
        <f t="shared" si="16"/>
        <v>14302.5763648044</v>
      </c>
      <c r="AQ35" s="43">
        <f t="shared" si="16"/>
        <v>14636.4092389542</v>
      </c>
      <c r="AR35" s="43">
        <f t="shared" si="16"/>
        <v>15037.8002123803</v>
      </c>
    </row>
    <row r="36" s="6" customFormat="1" spans="1:46">
      <c r="A36" s="42" t="s">
        <v>932</v>
      </c>
      <c r="B36" s="43">
        <v>0</v>
      </c>
      <c r="C36" s="43">
        <f>SUM($C35:C35)</f>
        <v>0</v>
      </c>
      <c r="D36" s="43">
        <f>SUM($C35:D35)</f>
        <v>47775.6805562592</v>
      </c>
      <c r="E36" s="43">
        <f>SUM($C35:E35)</f>
        <v>75949.1927050352</v>
      </c>
      <c r="F36" s="43">
        <f>SUM($C35:F35)</f>
        <v>103468.751155972</v>
      </c>
      <c r="G36" s="43">
        <f>SUM($C35:G35)</f>
        <v>130334.531477267</v>
      </c>
      <c r="H36" s="43">
        <f>SUM($C35:H35)</f>
        <v>156547.597129646</v>
      </c>
      <c r="I36" s="43">
        <f>SUM($C35:I35)</f>
        <v>182110.124885384</v>
      </c>
      <c r="J36" s="43">
        <f>SUM($C35:J35)</f>
        <v>207025.216671971</v>
      </c>
      <c r="K36" s="43">
        <f>SUM($C35:K35)</f>
        <v>231297.081451226</v>
      </c>
      <c r="L36" s="43">
        <f>SUM($C35:L35)</f>
        <v>254931.028707057</v>
      </c>
      <c r="M36" s="43">
        <f>SUM($C35:M35)</f>
        <v>277933.498733108</v>
      </c>
      <c r="N36" s="43">
        <f>SUM($C35:N35)</f>
        <v>300312.112676441</v>
      </c>
      <c r="O36" s="43">
        <f>SUM($C35:O35)</f>
        <v>322075.70456302</v>
      </c>
      <c r="P36" s="43">
        <f>SUM($C35:P35)</f>
        <v>343234.417636075</v>
      </c>
      <c r="Q36" s="43">
        <f>SUM($C35:Q35)</f>
        <v>363799.638567103</v>
      </c>
      <c r="R36" s="43">
        <f>SUM($C35:R35)</f>
        <v>383784.166747921</v>
      </c>
      <c r="S36" s="43">
        <f>SUM($C35:S35)</f>
        <v>403202.199680199</v>
      </c>
      <c r="T36" s="43">
        <f>SUM($C35:T35)</f>
        <v>422069.344176257</v>
      </c>
      <c r="U36" s="43">
        <f>SUM($C35:U35)</f>
        <v>440402.747263094</v>
      </c>
      <c r="V36" s="43">
        <f>SUM($C35:V35)</f>
        <v>458221.059310897</v>
      </c>
      <c r="W36" s="43">
        <f>SUM($C35:W35)</f>
        <v>475544.53719952</v>
      </c>
      <c r="X36" s="43">
        <f>SUM($C35:X35)</f>
        <v>492395.101446267</v>
      </c>
      <c r="Y36" s="43">
        <f>SUM($C35:Y35)</f>
        <v>508796.397437193</v>
      </c>
      <c r="Z36" s="43">
        <f>SUM($C35:Z35)</f>
        <v>524773.753910846</v>
      </c>
      <c r="AA36" s="43">
        <f>SUM($C35:AA35)</f>
        <v>540354.353614247</v>
      </c>
      <c r="AB36" s="43">
        <f>SUM($C35:AB35)</f>
        <v>555567.239754082</v>
      </c>
      <c r="AC36" s="43">
        <f>SUM($C35:AC35)</f>
        <v>570443.38972146</v>
      </c>
      <c r="AD36" s="43">
        <f>SUM($C35:AD35)</f>
        <v>585015.677380015</v>
      </c>
      <c r="AE36" s="43">
        <f>SUM($C35:AE35)</f>
        <v>599319.152924852</v>
      </c>
      <c r="AF36" s="43">
        <f>SUM($C35:AF35)</f>
        <v>613390.864968665</v>
      </c>
      <c r="AG36" s="43">
        <f>SUM($C35:AG35)</f>
        <v>627270.069335923</v>
      </c>
      <c r="AH36" s="43">
        <f>SUM($C35:AH35)</f>
        <v>640998.266313729</v>
      </c>
      <c r="AI36" s="43">
        <f>SUM($C35:AI35)</f>
        <v>654619.142434262</v>
      </c>
      <c r="AJ36" s="43">
        <f>SUM($C35:AJ35)</f>
        <v>668178.918507954</v>
      </c>
      <c r="AK36" s="43">
        <f>SUM($C35:AK35)</f>
        <v>681726.093060787</v>
      </c>
      <c r="AL36" s="43">
        <f>SUM($C35:AL35)</f>
        <v>695311.742905714</v>
      </c>
      <c r="AM36" s="43">
        <f>SUM($C35:AM35)</f>
        <v>708989.520096392</v>
      </c>
      <c r="AN36" s="43">
        <f>SUM($C35:AN35)</f>
        <v>722815.640424533</v>
      </c>
      <c r="AO36" s="43">
        <f>SUM($C35:AO35)</f>
        <v>736849.115747103</v>
      </c>
      <c r="AP36" s="43">
        <f>SUM($C35:AP35)</f>
        <v>751151.692111908</v>
      </c>
      <c r="AQ36" s="43">
        <f>SUM($C35:AQ35)</f>
        <v>765788.101350862</v>
      </c>
      <c r="AR36" s="43">
        <f>SUM($C35:AR35)</f>
        <v>780825.901563242</v>
      </c>
    </row>
    <row r="37" s="6" customFormat="1" spans="1:46">
      <c r="A37" s="42" t="s">
        <v>933</v>
      </c>
      <c r="B37" s="43">
        <f>$B31-SUM(A32:$B32)-SUM(A33:$B33)-SUM(A34:$B34)</f>
        <v>1242937.69222438</v>
      </c>
      <c r="C37" s="43">
        <f>$B31-SUM($B32:B32)-SUM($B33:B33)-SUM($B34:B34)</f>
        <v>1242937.69222438</v>
      </c>
      <c r="D37" s="43">
        <f>$B31-SUM($B32:C32)-SUM($B33:C33)-SUM($B34:C34)</f>
        <v>1230214.66831543</v>
      </c>
      <c r="E37" s="43">
        <f>$B31-SUM($B32:D32)-SUM($B33:D33)-SUM($B34:D34)</f>
        <v>1208935.67986479</v>
      </c>
      <c r="F37" s="43">
        <f>$B31-SUM($B32:E32)-SUM($B33:E33)-SUM($B34:E34)</f>
        <v>1187656.69141415</v>
      </c>
      <c r="G37" s="43">
        <f>$B31-SUM($B32:F32)-SUM($B33:F33)-SUM($B34:F34)</f>
        <v>1166377.7029635</v>
      </c>
      <c r="H37" s="43">
        <f>$B31-SUM($B32:G32)-SUM($B33:G33)-SUM($B34:G34)</f>
        <v>1145098.71451286</v>
      </c>
      <c r="I37" s="43">
        <f>$B31-SUM($B32:H32)-SUM($B33:H33)-SUM($B34:H34)</f>
        <v>1123819.72606221</v>
      </c>
      <c r="J37" s="43">
        <f>$B31-SUM($B32:I32)-SUM($B33:I33)-SUM($B34:I34)</f>
        <v>1102540.73761157</v>
      </c>
      <c r="K37" s="43">
        <f>$B31-SUM($B32:J32)-SUM($B33:J33)-SUM($B34:J34)</f>
        <v>1081261.74916092</v>
      </c>
      <c r="L37" s="43">
        <f>$B31-SUM($B32:K32)-SUM($B33:K33)-SUM($B34:K34)</f>
        <v>1059982.76071028</v>
      </c>
      <c r="M37" s="43">
        <f>$B31-SUM($B32:L32)-SUM($B33:L33)-SUM($B34:L34)</f>
        <v>1038703.77225963</v>
      </c>
      <c r="N37" s="43">
        <f>$B31-SUM($B32:M32)-SUM($B33:M33)-SUM($B34:M34)</f>
        <v>1017424.78380899</v>
      </c>
      <c r="O37" s="43">
        <f>$B31-SUM($B32:N32)-SUM($B33:N33)-SUM($B34:N34)</f>
        <v>996145.795358344</v>
      </c>
      <c r="P37" s="43">
        <f>$B31-SUM($B32:O32)-SUM($B33:O33)-SUM($B34:O34)</f>
        <v>974866.8069077</v>
      </c>
      <c r="Q37" s="43">
        <f>$B31-SUM($B32:P32)-SUM($B33:P33)-SUM($B34:P34)</f>
        <v>953587.818457055</v>
      </c>
      <c r="R37" s="43">
        <f>$B31-SUM($B32:Q32)-SUM($B33:Q33)-SUM($B34:Q34)</f>
        <v>932308.830006411</v>
      </c>
      <c r="S37" s="43">
        <f>$B31-SUM($B32:R32)-SUM($B33:R33)-SUM($B34:R34)</f>
        <v>911029.841555766</v>
      </c>
      <c r="T37" s="43">
        <f>$B31-SUM($B32:S32)-SUM($B33:S33)-SUM($B34:S34)</f>
        <v>889750.853105122</v>
      </c>
      <c r="U37" s="43">
        <f>$B31-SUM($B32:T32)-SUM($B33:T33)-SUM($B34:T34)</f>
        <v>868471.864654477</v>
      </c>
      <c r="V37" s="43">
        <f>$B31-SUM($B32:U32)-SUM($B33:U33)-SUM($B34:U34)</f>
        <v>847192.876203833</v>
      </c>
      <c r="W37" s="43">
        <f>$B31-SUM($B32:V32)-SUM($B33:V33)-SUM($B34:V34)</f>
        <v>825913.887753188</v>
      </c>
      <c r="X37" s="43">
        <f>$B31-SUM($B32:W32)-SUM($B33:W33)-SUM($B34:W34)</f>
        <v>804634.899302543</v>
      </c>
      <c r="Y37" s="43">
        <f>$B31-SUM($B32:X32)-SUM($B33:X33)-SUM($B34:X34)</f>
        <v>783355.910851899</v>
      </c>
      <c r="Z37" s="43">
        <f>$B31-SUM($B32:Y32)-SUM($B33:Y33)-SUM($B34:Y34)</f>
        <v>762076.922401254</v>
      </c>
      <c r="AA37" s="43">
        <f>$B31-SUM($B32:Z32)-SUM($B33:Z33)-SUM($B34:Z34)</f>
        <v>740797.93395061</v>
      </c>
      <c r="AB37" s="43">
        <f>$B31-SUM($B32:AA32)-SUM($B33:AA33)-SUM($B34:AA34)</f>
        <v>719518.945499965</v>
      </c>
      <c r="AC37" s="43">
        <f>$B31-SUM($B32:AB32)-SUM($B33:AB33)-SUM($B34:AB34)</f>
        <v>698239.957049321</v>
      </c>
      <c r="AD37" s="43">
        <f>$B31-SUM($B32:AC32)-SUM($B33:AC33)-SUM($B34:AC34)</f>
        <v>676960.968598676</v>
      </c>
      <c r="AE37" s="43">
        <f>$B31-SUM($B32:AD32)-SUM($B33:AD33)-SUM($B34:AD34)</f>
        <v>655681.980148032</v>
      </c>
      <c r="AF37" s="43">
        <f>$B31-SUM($B32:AE32)-SUM($B33:AE33)-SUM($B34:AE34)</f>
        <v>634402.991697387</v>
      </c>
      <c r="AG37" s="43">
        <f>$B31-SUM($B32:AF32)-SUM($B33:AF33)-SUM($B34:AF34)</f>
        <v>613124.003246742</v>
      </c>
      <c r="AH37" s="43">
        <f>$B31-SUM($B32:AG32)-SUM($B33:AG33)-SUM($B34:AG34)</f>
        <v>591845.014796098</v>
      </c>
      <c r="AI37" s="43">
        <f>$B31-SUM($B32:AH32)-SUM($B33:AH33)-SUM($B34:AH34)</f>
        <v>570566.026345453</v>
      </c>
      <c r="AJ37" s="43">
        <f>$B31-SUM($B32:AI32)-SUM($B33:AI33)-SUM($B34:AI34)</f>
        <v>549287.037894809</v>
      </c>
      <c r="AK37" s="43">
        <f>$B31-SUM($B32:AJ32)-SUM($B33:AJ33)-SUM($B34:AJ34)</f>
        <v>528008.049444164</v>
      </c>
      <c r="AL37" s="43">
        <f>$B31-SUM($B32:AK32)-SUM($B33:AK33)-SUM($B34:AK34)</f>
        <v>506729.060993519</v>
      </c>
      <c r="AM37" s="43">
        <f>$B31-SUM($B32:AL32)-SUM($B33:AL33)-SUM($B34:AL34)</f>
        <v>485450.072542875</v>
      </c>
      <c r="AN37" s="43">
        <f>$B31-SUM($B32:AM32)-SUM($B33:AM33)-SUM($B34:AM34)</f>
        <v>464171.08409223</v>
      </c>
      <c r="AO37" s="43">
        <f>$B31-SUM($B32:AN32)-SUM($B33:AN33)-SUM($B34:AN34)</f>
        <v>442892.095641586</v>
      </c>
      <c r="AP37" s="43">
        <f>$B31-SUM($B32:AO32)-SUM($B33:AO33)-SUM($B34:AO34)</f>
        <v>421613.107190941</v>
      </c>
      <c r="AQ37" s="43">
        <f>$B31-SUM($B32:AP32)-SUM($B33:AP33)-SUM($B34:AP34)</f>
        <v>400334.118740296</v>
      </c>
      <c r="AR37" s="43">
        <f>$B31-SUM($B32:AQ32)-SUM($B33:AQ33)-SUM($B34:AQ34)</f>
        <v>379055.130289652</v>
      </c>
    </row>
    <row r="38" s="6" customFormat="1" spans="1:46">
      <c r="A38" s="45"/>
      <c r="B38" s="43"/>
      <c r="C38" s="43"/>
      <c r="D38" s="43"/>
      <c r="E38" s="43"/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43"/>
      <c r="T38" s="43"/>
      <c r="U38" s="43"/>
      <c r="V38" s="43"/>
      <c r="W38" s="43"/>
      <c r="X38" s="43"/>
      <c r="Y38" s="43"/>
      <c r="Z38" s="43"/>
      <c r="AA38" s="43"/>
      <c r="AB38" s="43"/>
      <c r="AC38" s="43"/>
      <c r="AD38" s="43"/>
      <c r="AE38" s="43"/>
      <c r="AF38" s="43"/>
      <c r="AG38" s="43"/>
      <c r="AH38" s="43"/>
      <c r="AI38" s="43"/>
      <c r="AJ38" s="43"/>
      <c r="AK38" s="43"/>
      <c r="AL38" s="43"/>
      <c r="AM38" s="43"/>
      <c r="AN38" s="43"/>
      <c r="AO38" s="43"/>
      <c r="AP38" s="43"/>
      <c r="AQ38" s="43"/>
      <c r="AR38" s="43"/>
    </row>
    <row r="39" s="5" customFormat="1" spans="1:46">
      <c r="A39" s="42"/>
      <c r="B39" s="41">
        <v>2018</v>
      </c>
      <c r="C39" s="41">
        <v>2019</v>
      </c>
      <c r="D39" s="41">
        <v>2020</v>
      </c>
      <c r="E39" s="41">
        <v>2021</v>
      </c>
      <c r="F39" s="41">
        <v>2022</v>
      </c>
      <c r="G39" s="41">
        <v>2023</v>
      </c>
      <c r="H39" s="41">
        <v>2024</v>
      </c>
      <c r="I39" s="41">
        <v>2025</v>
      </c>
      <c r="J39" s="41">
        <v>2026</v>
      </c>
      <c r="K39" s="41">
        <v>2027</v>
      </c>
      <c r="L39" s="41">
        <v>2028</v>
      </c>
      <c r="M39" s="41">
        <v>2029</v>
      </c>
      <c r="N39" s="41">
        <v>2030</v>
      </c>
      <c r="O39" s="41">
        <v>2031</v>
      </c>
      <c r="P39" s="41">
        <v>2032</v>
      </c>
      <c r="Q39" s="41">
        <v>2033</v>
      </c>
      <c r="R39" s="41">
        <v>2034</v>
      </c>
      <c r="S39" s="41">
        <v>2035</v>
      </c>
      <c r="T39" s="41">
        <v>2036</v>
      </c>
      <c r="U39" s="41">
        <v>2037</v>
      </c>
      <c r="V39" s="41">
        <v>2038</v>
      </c>
      <c r="W39" s="41">
        <v>2039</v>
      </c>
      <c r="X39" s="41">
        <v>2040</v>
      </c>
      <c r="Y39" s="41">
        <v>2041</v>
      </c>
      <c r="Z39" s="41">
        <v>2042</v>
      </c>
      <c r="AA39" s="41">
        <v>2043</v>
      </c>
      <c r="AB39" s="41">
        <v>2044</v>
      </c>
      <c r="AC39" s="41">
        <v>2045</v>
      </c>
      <c r="AD39" s="41">
        <v>2046</v>
      </c>
      <c r="AE39" s="41">
        <v>2047</v>
      </c>
      <c r="AF39" s="41">
        <v>2048</v>
      </c>
      <c r="AG39" s="41">
        <v>2049</v>
      </c>
      <c r="AH39" s="41">
        <v>2050</v>
      </c>
      <c r="AI39" s="41">
        <v>2051</v>
      </c>
      <c r="AJ39" s="41">
        <v>2052</v>
      </c>
      <c r="AK39" s="41">
        <v>2053</v>
      </c>
      <c r="AL39" s="41">
        <v>2054</v>
      </c>
      <c r="AM39" s="41">
        <v>2055</v>
      </c>
      <c r="AN39" s="41">
        <v>2056</v>
      </c>
      <c r="AO39" s="41">
        <v>2057</v>
      </c>
      <c r="AP39" s="41">
        <v>2058</v>
      </c>
      <c r="AQ39" s="41">
        <v>2059</v>
      </c>
      <c r="AR39" s="41">
        <v>2060</v>
      </c>
    </row>
    <row r="40" s="6" customFormat="1" spans="1:46">
      <c r="A40" s="42" t="s">
        <v>938</v>
      </c>
      <c r="B40" s="43">
        <f>D51*人口变化预测!D7/10000</f>
        <v>516215.957938589</v>
      </c>
      <c r="C40" s="43">
        <f>E51*人口变化预测!E7/10000</f>
        <v>510969.358340553</v>
      </c>
      <c r="D40" s="43">
        <f>F51*人口变化预测!F7/10000</f>
        <v>527005.505819315</v>
      </c>
      <c r="E40" s="43">
        <f>G51*人口变化预测!G7/10000</f>
        <v>534958.297515414</v>
      </c>
      <c r="F40" s="43">
        <f>H51*人口变化预测!H7/10000</f>
        <v>542641.418004984</v>
      </c>
      <c r="G40" s="43">
        <f>I51*人口变化预测!I7/10000</f>
        <v>550054.939687169</v>
      </c>
      <c r="H40" s="43">
        <f>J51*人口变化预测!J7/10000</f>
        <v>557199.301101788</v>
      </c>
      <c r="I40" s="43">
        <f>K51*人口变化预测!K7/10000</f>
        <v>564075.399885492</v>
      </c>
      <c r="J40" s="43">
        <f>L51*人口变化预测!L7/10000</f>
        <v>570684.515181637</v>
      </c>
      <c r="K40" s="43">
        <f>M51*人口变化预测!M7/10000</f>
        <v>577028.382641869</v>
      </c>
      <c r="L40" s="43">
        <f>N51*人口变化预测!N7/10000</f>
        <v>583109.191740667</v>
      </c>
      <c r="M40" s="43">
        <f>O51*人口变化预测!O7/10000</f>
        <v>588929.598265073</v>
      </c>
      <c r="N40" s="43">
        <f>P51*人口变化预测!P7/10000</f>
        <v>594492.744951233</v>
      </c>
      <c r="O40" s="43">
        <f>Q51*人口变化预测!Q7/10000</f>
        <v>599802.274690759</v>
      </c>
      <c r="P40" s="43">
        <f>R51*人口变化预测!R7/10000</f>
        <v>604862.370257825</v>
      </c>
      <c r="Q40" s="43">
        <f>S51*人口变化预测!S7/10000</f>
        <v>609677.727179733</v>
      </c>
      <c r="R40" s="43">
        <f>T51*人口变化预测!T7/10000</f>
        <v>614253.623547952</v>
      </c>
      <c r="S40" s="43">
        <f>U51*人口变化预测!U7/10000</f>
        <v>618595.913993196</v>
      </c>
      <c r="T40" s="43">
        <f>V51*人口变化预测!V7/10000</f>
        <v>622711.034304303</v>
      </c>
      <c r="U40" s="43">
        <f>W51*人口变化预测!W7/10000</f>
        <v>626606.055409189</v>
      </c>
      <c r="V40" s="43">
        <f>X51*人口变化预测!X7/10000</f>
        <v>630288.66817014</v>
      </c>
      <c r="W40" s="43">
        <f>Y51*人口变化预测!Y7/10000</f>
        <v>633767.225926618</v>
      </c>
      <c r="X40" s="43">
        <f>Z51*人口变化预测!Z7/10000</f>
        <v>637050.768053076</v>
      </c>
      <c r="Y40" s="43">
        <f>AA51*人口变化预测!AA7/10000</f>
        <v>640149.045208936</v>
      </c>
      <c r="Z40" s="43">
        <f>AB51*人口变化预测!AB7/10000</f>
        <v>643072.502218514</v>
      </c>
      <c r="AA40" s="43">
        <f>AC51*人口变化预测!AC7/10000</f>
        <v>645832.348444506</v>
      </c>
      <c r="AB40" s="43">
        <f>AD51*人口变化预测!AD7/10000</f>
        <v>648440.560448271</v>
      </c>
      <c r="AC40" s="43">
        <f>AE51*人口变化预测!AE7/10000</f>
        <v>650909.912391748</v>
      </c>
      <c r="AD40" s="43">
        <f>AF51*人口变化预测!AF7/10000</f>
        <v>653253.960486176</v>
      </c>
      <c r="AE40" s="43">
        <f>AG51*人口变化预测!AG7/10000</f>
        <v>655487.15839767</v>
      </c>
      <c r="AF40" s="43">
        <f>AH51*人口变化预测!AH7/10000</f>
        <v>657624.783880784</v>
      </c>
      <c r="AG40" s="43">
        <f>AI51*人口变化预测!AI7/10000</f>
        <v>659683.024879073</v>
      </c>
      <c r="AH40" s="43">
        <f>AJ51*人口变化预测!AJ7/10000</f>
        <v>661678.994886246</v>
      </c>
      <c r="AI40" s="43">
        <f>AK51*人口变化预测!AK7/10000</f>
        <v>663630.708938965</v>
      </c>
      <c r="AJ40" s="43">
        <f>AL51*人口变化预测!AL7/10000</f>
        <v>665557.227135456</v>
      </c>
      <c r="AK40" s="43">
        <f>AM51*人口变化预测!AM7/10000</f>
        <v>667478.548836621</v>
      </c>
      <c r="AL40" s="43">
        <f>AN51*人口变化预测!AN7/10000</f>
        <v>669415.736612823</v>
      </c>
      <c r="AM40" s="43">
        <f>AO51*人口变化预测!AO7/10000</f>
        <v>671390.914987695</v>
      </c>
      <c r="AN40" s="43">
        <f>AP51*人口变化预测!AP7/10000</f>
        <v>673427.265694785</v>
      </c>
      <c r="AO40" s="43">
        <f>AQ51*人口变化预测!AQ7/10000</f>
        <v>675549.123482441</v>
      </c>
      <c r="AP40" s="43">
        <f>AR51*人口变化预测!AR7/10000</f>
        <v>677781.950598625</v>
      </c>
      <c r="AQ40" s="43">
        <f>AS51*人口变化预测!AS7/10000</f>
        <v>680152.440540553</v>
      </c>
      <c r="AR40" s="43">
        <f>AT51*人口变化预测!AT7/10000</f>
        <v>682688.452274699</v>
      </c>
    </row>
    <row r="41" s="6" customFormat="1" spans="1:46">
      <c r="A41" s="42" t="s">
        <v>929</v>
      </c>
      <c r="B41" s="43">
        <f>$B40*0.71%</f>
        <v>3665.13330136398</v>
      </c>
      <c r="C41" s="43">
        <f t="shared" ref="C41:AR41" si="17">$B40*0.71%</f>
        <v>3665.13330136398</v>
      </c>
      <c r="D41" s="43">
        <f t="shared" si="17"/>
        <v>3665.13330136398</v>
      </c>
      <c r="E41" s="43">
        <f t="shared" si="17"/>
        <v>3665.13330136398</v>
      </c>
      <c r="F41" s="43">
        <f t="shared" si="17"/>
        <v>3665.13330136398</v>
      </c>
      <c r="G41" s="43">
        <f t="shared" si="17"/>
        <v>3665.13330136398</v>
      </c>
      <c r="H41" s="43">
        <f t="shared" si="17"/>
        <v>3665.13330136398</v>
      </c>
      <c r="I41" s="43">
        <f t="shared" si="17"/>
        <v>3665.13330136398</v>
      </c>
      <c r="J41" s="43">
        <f t="shared" si="17"/>
        <v>3665.13330136398</v>
      </c>
      <c r="K41" s="43">
        <f t="shared" si="17"/>
        <v>3665.13330136398</v>
      </c>
      <c r="L41" s="43">
        <f t="shared" si="17"/>
        <v>3665.13330136398</v>
      </c>
      <c r="M41" s="43">
        <f t="shared" si="17"/>
        <v>3665.13330136398</v>
      </c>
      <c r="N41" s="43">
        <f t="shared" si="17"/>
        <v>3665.13330136398</v>
      </c>
      <c r="O41" s="43">
        <f t="shared" si="17"/>
        <v>3665.13330136398</v>
      </c>
      <c r="P41" s="43">
        <f t="shared" si="17"/>
        <v>3665.13330136398</v>
      </c>
      <c r="Q41" s="43">
        <f t="shared" si="17"/>
        <v>3665.13330136398</v>
      </c>
      <c r="R41" s="43">
        <f t="shared" si="17"/>
        <v>3665.13330136398</v>
      </c>
      <c r="S41" s="43">
        <f t="shared" si="17"/>
        <v>3665.13330136398</v>
      </c>
      <c r="T41" s="43">
        <f t="shared" si="17"/>
        <v>3665.13330136398</v>
      </c>
      <c r="U41" s="43">
        <f t="shared" si="17"/>
        <v>3665.13330136398</v>
      </c>
      <c r="V41" s="43">
        <f t="shared" si="17"/>
        <v>3665.13330136398</v>
      </c>
      <c r="W41" s="43">
        <f t="shared" si="17"/>
        <v>3665.13330136398</v>
      </c>
      <c r="X41" s="43">
        <f t="shared" si="17"/>
        <v>3665.13330136398</v>
      </c>
      <c r="Y41" s="43">
        <f t="shared" si="17"/>
        <v>3665.13330136398</v>
      </c>
      <c r="Z41" s="43">
        <f t="shared" si="17"/>
        <v>3665.13330136398</v>
      </c>
      <c r="AA41" s="43">
        <f t="shared" si="17"/>
        <v>3665.13330136398</v>
      </c>
      <c r="AB41" s="43">
        <f t="shared" si="17"/>
        <v>3665.13330136398</v>
      </c>
      <c r="AC41" s="43">
        <f t="shared" si="17"/>
        <v>3665.13330136398</v>
      </c>
      <c r="AD41" s="43">
        <f t="shared" si="17"/>
        <v>3665.13330136398</v>
      </c>
      <c r="AE41" s="43">
        <f t="shared" si="17"/>
        <v>3665.13330136398</v>
      </c>
      <c r="AF41" s="43">
        <f t="shared" si="17"/>
        <v>3665.13330136398</v>
      </c>
      <c r="AG41" s="43">
        <f t="shared" si="17"/>
        <v>3665.13330136398</v>
      </c>
      <c r="AH41" s="43">
        <f t="shared" si="17"/>
        <v>3665.13330136398</v>
      </c>
      <c r="AI41" s="43">
        <f t="shared" si="17"/>
        <v>3665.13330136398</v>
      </c>
      <c r="AJ41" s="43">
        <f t="shared" si="17"/>
        <v>3665.13330136398</v>
      </c>
      <c r="AK41" s="43">
        <f t="shared" si="17"/>
        <v>3665.13330136398</v>
      </c>
      <c r="AL41" s="43">
        <f t="shared" si="17"/>
        <v>3665.13330136398</v>
      </c>
      <c r="AM41" s="43">
        <f t="shared" si="17"/>
        <v>3665.13330136398</v>
      </c>
      <c r="AN41" s="43">
        <f t="shared" si="17"/>
        <v>3665.13330136398</v>
      </c>
      <c r="AO41" s="43">
        <f t="shared" si="17"/>
        <v>3665.13330136398</v>
      </c>
      <c r="AP41" s="43">
        <f t="shared" si="17"/>
        <v>3665.13330136398</v>
      </c>
      <c r="AQ41" s="43">
        <f t="shared" si="17"/>
        <v>3665.13330136398</v>
      </c>
      <c r="AR41" s="43">
        <f t="shared" si="17"/>
        <v>3665.13330136398</v>
      </c>
    </row>
    <row r="42" s="6" customFormat="1" spans="1:46">
      <c r="A42" s="42" t="s">
        <v>930</v>
      </c>
      <c r="B42" s="43"/>
      <c r="C42" s="43">
        <f>IF(B40-C40-B41&gt;0,B40-C40-B41,0)</f>
        <v>1581.46629667246</v>
      </c>
      <c r="D42" s="43">
        <f>IF(C40-D40-C41&gt;0,C40-D40-C41,0)</f>
        <v>0</v>
      </c>
      <c r="E42" s="43">
        <f t="shared" ref="E42:AR42" si="18">IF(D40-E40-D41&gt;0,D40-E40-D41,0)</f>
        <v>0</v>
      </c>
      <c r="F42" s="43">
        <f t="shared" si="18"/>
        <v>0</v>
      </c>
      <c r="G42" s="43">
        <f t="shared" si="18"/>
        <v>0</v>
      </c>
      <c r="H42" s="43">
        <f t="shared" si="18"/>
        <v>0</v>
      </c>
      <c r="I42" s="43">
        <f t="shared" si="18"/>
        <v>0</v>
      </c>
      <c r="J42" s="43">
        <f t="shared" si="18"/>
        <v>0</v>
      </c>
      <c r="K42" s="43">
        <f t="shared" si="18"/>
        <v>0</v>
      </c>
      <c r="L42" s="43">
        <f t="shared" si="18"/>
        <v>0</v>
      </c>
      <c r="M42" s="43">
        <f t="shared" si="18"/>
        <v>0</v>
      </c>
      <c r="N42" s="43">
        <f t="shared" si="18"/>
        <v>0</v>
      </c>
      <c r="O42" s="43">
        <f t="shared" si="18"/>
        <v>0</v>
      </c>
      <c r="P42" s="43">
        <f t="shared" si="18"/>
        <v>0</v>
      </c>
      <c r="Q42" s="43">
        <f t="shared" si="18"/>
        <v>0</v>
      </c>
      <c r="R42" s="43">
        <f t="shared" si="18"/>
        <v>0</v>
      </c>
      <c r="S42" s="43">
        <f t="shared" si="18"/>
        <v>0</v>
      </c>
      <c r="T42" s="43">
        <f t="shared" si="18"/>
        <v>0</v>
      </c>
      <c r="U42" s="43">
        <f t="shared" si="18"/>
        <v>0</v>
      </c>
      <c r="V42" s="43">
        <f t="shared" si="18"/>
        <v>0</v>
      </c>
      <c r="W42" s="43">
        <f t="shared" si="18"/>
        <v>0</v>
      </c>
      <c r="X42" s="43">
        <f t="shared" si="18"/>
        <v>0</v>
      </c>
      <c r="Y42" s="43">
        <f t="shared" si="18"/>
        <v>0</v>
      </c>
      <c r="Z42" s="43">
        <f t="shared" si="18"/>
        <v>0</v>
      </c>
      <c r="AA42" s="43">
        <f t="shared" si="18"/>
        <v>0</v>
      </c>
      <c r="AB42" s="43">
        <f t="shared" si="18"/>
        <v>0</v>
      </c>
      <c r="AC42" s="43">
        <f t="shared" si="18"/>
        <v>0</v>
      </c>
      <c r="AD42" s="43">
        <f t="shared" si="18"/>
        <v>0</v>
      </c>
      <c r="AE42" s="43">
        <f t="shared" si="18"/>
        <v>0</v>
      </c>
      <c r="AF42" s="43">
        <f t="shared" si="18"/>
        <v>0</v>
      </c>
      <c r="AG42" s="43">
        <f t="shared" si="18"/>
        <v>0</v>
      </c>
      <c r="AH42" s="43">
        <f t="shared" si="18"/>
        <v>0</v>
      </c>
      <c r="AI42" s="43">
        <f t="shared" si="18"/>
        <v>0</v>
      </c>
      <c r="AJ42" s="43">
        <f t="shared" si="18"/>
        <v>0</v>
      </c>
      <c r="AK42" s="43">
        <f t="shared" si="18"/>
        <v>0</v>
      </c>
      <c r="AL42" s="43">
        <f t="shared" si="18"/>
        <v>0</v>
      </c>
      <c r="AM42" s="43">
        <f t="shared" si="18"/>
        <v>0</v>
      </c>
      <c r="AN42" s="43">
        <f t="shared" si="18"/>
        <v>0</v>
      </c>
      <c r="AO42" s="43">
        <f t="shared" si="18"/>
        <v>0</v>
      </c>
      <c r="AP42" s="43">
        <f t="shared" si="18"/>
        <v>0</v>
      </c>
      <c r="AQ42" s="43">
        <f t="shared" si="18"/>
        <v>0</v>
      </c>
      <c r="AR42" s="43">
        <f t="shared" si="18"/>
        <v>0</v>
      </c>
    </row>
    <row r="43" s="6" customFormat="1" spans="1:46">
      <c r="A43" s="42" t="s">
        <v>1013</v>
      </c>
      <c r="B43" s="43"/>
      <c r="C43" s="43"/>
      <c r="D43" s="43">
        <f>$C$40*0.01</f>
        <v>5109.69358340553</v>
      </c>
      <c r="E43" s="43">
        <f t="shared" ref="E43:AR43" si="19">$C$40*0.01</f>
        <v>5109.69358340553</v>
      </c>
      <c r="F43" s="43">
        <f t="shared" si="19"/>
        <v>5109.69358340553</v>
      </c>
      <c r="G43" s="43">
        <f t="shared" si="19"/>
        <v>5109.69358340553</v>
      </c>
      <c r="H43" s="43">
        <f t="shared" si="19"/>
        <v>5109.69358340553</v>
      </c>
      <c r="I43" s="43">
        <f t="shared" si="19"/>
        <v>5109.69358340553</v>
      </c>
      <c r="J43" s="43">
        <f t="shared" si="19"/>
        <v>5109.69358340553</v>
      </c>
      <c r="K43" s="43">
        <f t="shared" si="19"/>
        <v>5109.69358340553</v>
      </c>
      <c r="L43" s="43">
        <f t="shared" si="19"/>
        <v>5109.69358340553</v>
      </c>
      <c r="M43" s="43">
        <f t="shared" si="19"/>
        <v>5109.69358340553</v>
      </c>
      <c r="N43" s="43">
        <f t="shared" si="19"/>
        <v>5109.69358340553</v>
      </c>
      <c r="O43" s="43">
        <f t="shared" si="19"/>
        <v>5109.69358340553</v>
      </c>
      <c r="P43" s="43">
        <f t="shared" si="19"/>
        <v>5109.69358340553</v>
      </c>
      <c r="Q43" s="43">
        <f t="shared" si="19"/>
        <v>5109.69358340553</v>
      </c>
      <c r="R43" s="43">
        <f t="shared" si="19"/>
        <v>5109.69358340553</v>
      </c>
      <c r="S43" s="43">
        <f t="shared" si="19"/>
        <v>5109.69358340553</v>
      </c>
      <c r="T43" s="43">
        <f t="shared" si="19"/>
        <v>5109.69358340553</v>
      </c>
      <c r="U43" s="43">
        <f t="shared" si="19"/>
        <v>5109.69358340553</v>
      </c>
      <c r="V43" s="43">
        <f t="shared" si="19"/>
        <v>5109.69358340553</v>
      </c>
      <c r="W43" s="43">
        <f t="shared" si="19"/>
        <v>5109.69358340553</v>
      </c>
      <c r="X43" s="43">
        <f t="shared" si="19"/>
        <v>5109.69358340553</v>
      </c>
      <c r="Y43" s="43">
        <f t="shared" si="19"/>
        <v>5109.69358340553</v>
      </c>
      <c r="Z43" s="43">
        <f t="shared" si="19"/>
        <v>5109.69358340553</v>
      </c>
      <c r="AA43" s="43">
        <f t="shared" si="19"/>
        <v>5109.69358340553</v>
      </c>
      <c r="AB43" s="43">
        <f t="shared" si="19"/>
        <v>5109.69358340553</v>
      </c>
      <c r="AC43" s="43">
        <f t="shared" si="19"/>
        <v>5109.69358340553</v>
      </c>
      <c r="AD43" s="43">
        <f t="shared" si="19"/>
        <v>5109.69358340553</v>
      </c>
      <c r="AE43" s="43">
        <f t="shared" si="19"/>
        <v>5109.69358340553</v>
      </c>
      <c r="AF43" s="43">
        <f t="shared" si="19"/>
        <v>5109.69358340553</v>
      </c>
      <c r="AG43" s="43">
        <f t="shared" si="19"/>
        <v>5109.69358340553</v>
      </c>
      <c r="AH43" s="43">
        <f t="shared" si="19"/>
        <v>5109.69358340553</v>
      </c>
      <c r="AI43" s="43">
        <f t="shared" si="19"/>
        <v>5109.69358340553</v>
      </c>
      <c r="AJ43" s="43">
        <f t="shared" si="19"/>
        <v>5109.69358340553</v>
      </c>
      <c r="AK43" s="43">
        <f t="shared" si="19"/>
        <v>5109.69358340553</v>
      </c>
      <c r="AL43" s="43">
        <f t="shared" si="19"/>
        <v>5109.69358340553</v>
      </c>
      <c r="AM43" s="43">
        <f t="shared" si="19"/>
        <v>5109.69358340553</v>
      </c>
      <c r="AN43" s="43">
        <f t="shared" si="19"/>
        <v>5109.69358340553</v>
      </c>
      <c r="AO43" s="43">
        <f t="shared" si="19"/>
        <v>5109.69358340553</v>
      </c>
      <c r="AP43" s="43">
        <f t="shared" si="19"/>
        <v>5109.69358340553</v>
      </c>
      <c r="AQ43" s="43">
        <f t="shared" si="19"/>
        <v>5109.69358340553</v>
      </c>
      <c r="AR43" s="43">
        <f t="shared" si="19"/>
        <v>5109.69358340553</v>
      </c>
    </row>
    <row r="44" s="6" customFormat="1" spans="1:46">
      <c r="A44" s="42" t="s">
        <v>931</v>
      </c>
      <c r="B44" s="43"/>
      <c r="C44" s="43">
        <f t="shared" ref="C44:AR44" si="20">IF(C40-B40+B41&gt;0,C40-B40+B41,0)</f>
        <v>0</v>
      </c>
      <c r="D44" s="43">
        <f t="shared" si="20"/>
        <v>19701.2807801265</v>
      </c>
      <c r="E44" s="43">
        <f t="shared" si="20"/>
        <v>11617.9249974627</v>
      </c>
      <c r="F44" s="43">
        <f t="shared" si="20"/>
        <v>11348.2537909337</v>
      </c>
      <c r="G44" s="43">
        <f t="shared" si="20"/>
        <v>11078.654983549</v>
      </c>
      <c r="H44" s="43">
        <f t="shared" si="20"/>
        <v>10809.4947159836</v>
      </c>
      <c r="I44" s="43">
        <f t="shared" si="20"/>
        <v>10541.2320850677</v>
      </c>
      <c r="J44" s="43">
        <f t="shared" si="20"/>
        <v>10274.2485975091</v>
      </c>
      <c r="K44" s="43">
        <f t="shared" si="20"/>
        <v>10009.000761596</v>
      </c>
      <c r="L44" s="43">
        <f t="shared" si="20"/>
        <v>9745.94240016195</v>
      </c>
      <c r="M44" s="43">
        <f t="shared" si="20"/>
        <v>9485.53982577038</v>
      </c>
      <c r="N44" s="43">
        <f t="shared" si="20"/>
        <v>9228.27998752375</v>
      </c>
      <c r="O44" s="43">
        <f t="shared" si="20"/>
        <v>8974.66304088938</v>
      </c>
      <c r="P44" s="43">
        <f t="shared" si="20"/>
        <v>8725.22886843044</v>
      </c>
      <c r="Q44" s="43">
        <f t="shared" si="20"/>
        <v>8480.49022327196</v>
      </c>
      <c r="R44" s="43">
        <f t="shared" si="20"/>
        <v>8241.02966958303</v>
      </c>
      <c r="S44" s="43">
        <f t="shared" si="20"/>
        <v>8007.42374660839</v>
      </c>
      <c r="T44" s="43">
        <f t="shared" si="20"/>
        <v>7780.25361247019</v>
      </c>
      <c r="U44" s="43">
        <f t="shared" si="20"/>
        <v>7560.15440625041</v>
      </c>
      <c r="V44" s="43">
        <f t="shared" si="20"/>
        <v>7347.74606231514</v>
      </c>
      <c r="W44" s="43">
        <f t="shared" si="20"/>
        <v>7143.69105784206</v>
      </c>
      <c r="X44" s="43">
        <f t="shared" si="20"/>
        <v>6948.67542782154</v>
      </c>
      <c r="Y44" s="43">
        <f t="shared" si="20"/>
        <v>6763.41045722443</v>
      </c>
      <c r="Z44" s="43">
        <f t="shared" si="20"/>
        <v>6588.59031094152</v>
      </c>
      <c r="AA44" s="43">
        <f t="shared" si="20"/>
        <v>6424.97952735583</v>
      </c>
      <c r="AB44" s="43">
        <f t="shared" si="20"/>
        <v>6273.34530512973</v>
      </c>
      <c r="AC44" s="43">
        <f t="shared" si="20"/>
        <v>6134.48524484057</v>
      </c>
      <c r="AD44" s="43">
        <f t="shared" si="20"/>
        <v>6009.18139579201</v>
      </c>
      <c r="AE44" s="43">
        <f t="shared" si="20"/>
        <v>5898.33121285793</v>
      </c>
      <c r="AF44" s="43">
        <f t="shared" si="20"/>
        <v>5802.75878447802</v>
      </c>
      <c r="AG44" s="43">
        <f t="shared" si="20"/>
        <v>5723.37429965248</v>
      </c>
      <c r="AH44" s="43">
        <f t="shared" si="20"/>
        <v>5661.10330853723</v>
      </c>
      <c r="AI44" s="43">
        <f t="shared" si="20"/>
        <v>5616.84735408293</v>
      </c>
      <c r="AJ44" s="43">
        <f t="shared" si="20"/>
        <v>5591.65149785516</v>
      </c>
      <c r="AK44" s="43">
        <f t="shared" si="20"/>
        <v>5586.45500252904</v>
      </c>
      <c r="AL44" s="43">
        <f t="shared" si="20"/>
        <v>5602.32107756608</v>
      </c>
      <c r="AM44" s="43">
        <f t="shared" si="20"/>
        <v>5640.31167623548</v>
      </c>
      <c r="AN44" s="43">
        <f t="shared" si="20"/>
        <v>5701.48400845409</v>
      </c>
      <c r="AO44" s="43">
        <f t="shared" si="20"/>
        <v>5786.99108902</v>
      </c>
      <c r="AP44" s="43">
        <f t="shared" si="20"/>
        <v>5897.9604175478</v>
      </c>
      <c r="AQ44" s="43">
        <f t="shared" si="20"/>
        <v>6035.6232432924</v>
      </c>
      <c r="AR44" s="43">
        <f t="shared" si="20"/>
        <v>6201.14503551002</v>
      </c>
    </row>
    <row r="45" s="6" customFormat="1" spans="1:46">
      <c r="A45" s="42" t="s">
        <v>932</v>
      </c>
      <c r="B45" s="43">
        <v>0</v>
      </c>
      <c r="C45" s="43">
        <f>SUM($C44:C44)</f>
        <v>0</v>
      </c>
      <c r="D45" s="43">
        <f>SUM($C44:D44)</f>
        <v>19701.2807801265</v>
      </c>
      <c r="E45" s="43">
        <f>SUM($C44:E44)</f>
        <v>31319.2057775893</v>
      </c>
      <c r="F45" s="43">
        <f>SUM($C44:F44)</f>
        <v>42667.459568523</v>
      </c>
      <c r="G45" s="43">
        <f>SUM($C44:G44)</f>
        <v>53746.114552072</v>
      </c>
      <c r="H45" s="43">
        <f>SUM($C44:H44)</f>
        <v>64555.6092680555</v>
      </c>
      <c r="I45" s="43">
        <f>SUM($C44:I44)</f>
        <v>75096.8413531233</v>
      </c>
      <c r="J45" s="43">
        <f>SUM($C44:J44)</f>
        <v>85371.0899506323</v>
      </c>
      <c r="K45" s="43">
        <f>SUM($C44:K44)</f>
        <v>95380.0907122283</v>
      </c>
      <c r="L45" s="43">
        <f>SUM($C44:L44)</f>
        <v>105126.03311239</v>
      </c>
      <c r="M45" s="43">
        <f>SUM($C44:M44)</f>
        <v>114611.572938161</v>
      </c>
      <c r="N45" s="43">
        <f>SUM($C44:N44)</f>
        <v>123839.852925684</v>
      </c>
      <c r="O45" s="43">
        <f>SUM($C44:O44)</f>
        <v>132814.515966574</v>
      </c>
      <c r="P45" s="43">
        <f>SUM($C44:P44)</f>
        <v>141539.744835004</v>
      </c>
      <c r="Q45" s="43">
        <f>SUM($C44:Q44)</f>
        <v>150020.235058276</v>
      </c>
      <c r="R45" s="43">
        <f>SUM($C44:R44)</f>
        <v>158261.264727859</v>
      </c>
      <c r="S45" s="43">
        <f>SUM($C44:S44)</f>
        <v>166268.688474468</v>
      </c>
      <c r="T45" s="43">
        <f>SUM($C44:T44)</f>
        <v>174048.942086938</v>
      </c>
      <c r="U45" s="43">
        <f>SUM($C44:U44)</f>
        <v>181609.096493188</v>
      </c>
      <c r="V45" s="43">
        <f>SUM($C44:V44)</f>
        <v>188956.842555503</v>
      </c>
      <c r="W45" s="43">
        <f>SUM($C44:W44)</f>
        <v>196100.533613345</v>
      </c>
      <c r="X45" s="43">
        <f>SUM($C44:X44)</f>
        <v>203049.209041167</v>
      </c>
      <c r="Y45" s="43">
        <f>SUM($C44:Y44)</f>
        <v>209812.619498391</v>
      </c>
      <c r="Z45" s="43">
        <f>SUM($C44:Z44)</f>
        <v>216401.209809333</v>
      </c>
      <c r="AA45" s="43">
        <f>SUM($C44:AA44)</f>
        <v>222826.189336689</v>
      </c>
      <c r="AB45" s="43">
        <f>SUM($C44:AB44)</f>
        <v>229099.534641818</v>
      </c>
      <c r="AC45" s="43">
        <f>SUM($C44:AC44)</f>
        <v>235234.019886659</v>
      </c>
      <c r="AD45" s="43">
        <f>SUM($C44:AD44)</f>
        <v>241243.201282451</v>
      </c>
      <c r="AE45" s="43">
        <f>SUM($C44:AE44)</f>
        <v>247141.532495309</v>
      </c>
      <c r="AF45" s="43">
        <f>SUM($C44:AF44)</f>
        <v>252944.291279787</v>
      </c>
      <c r="AG45" s="43">
        <f>SUM($C44:AG44)</f>
        <v>258667.665579439</v>
      </c>
      <c r="AH45" s="43">
        <f>SUM($C44:AH44)</f>
        <v>264328.768887976</v>
      </c>
      <c r="AI45" s="43">
        <f>SUM($C44:AI44)</f>
        <v>269945.616242059</v>
      </c>
      <c r="AJ45" s="43">
        <f>SUM($C44:AJ44)</f>
        <v>275537.267739914</v>
      </c>
      <c r="AK45" s="43">
        <f>SUM($C44:AK44)</f>
        <v>281123.722742443</v>
      </c>
      <c r="AL45" s="43">
        <f>SUM($C44:AL44)</f>
        <v>286726.04382001</v>
      </c>
      <c r="AM45" s="43">
        <f>SUM($C44:AM44)</f>
        <v>292366.355496245</v>
      </c>
      <c r="AN45" s="43">
        <f>SUM($C44:AN44)</f>
        <v>298067.839504699</v>
      </c>
      <c r="AO45" s="43">
        <f>SUM($C44:AO44)</f>
        <v>303854.830593719</v>
      </c>
      <c r="AP45" s="43">
        <f>SUM($C44:AP44)</f>
        <v>309752.791011267</v>
      </c>
      <c r="AQ45" s="43">
        <f>SUM($C44:AQ44)</f>
        <v>315788.414254559</v>
      </c>
      <c r="AR45" s="43">
        <f>SUM($C44:AR44)</f>
        <v>321989.559290069</v>
      </c>
    </row>
    <row r="46" s="6" customFormat="1" spans="1:46">
      <c r="A46" s="42" t="s">
        <v>933</v>
      </c>
      <c r="B46" s="43">
        <f>$B40-SUM(A41:$B41)-SUM(A42:$B42)-SUM(A43:$B43)</f>
        <v>512550.824637225</v>
      </c>
      <c r="C46" s="43">
        <f>$B40-SUM($B41:B41)-SUM($B42:B42)-SUM($B43:B43)</f>
        <v>512550.824637225</v>
      </c>
      <c r="D46" s="43">
        <f>$B40-SUM($B41:C41)-SUM($B42:C42)-SUM($B43:C43)</f>
        <v>507304.225039189</v>
      </c>
      <c r="E46" s="43">
        <f>$B40-SUM($B41:D41)-SUM($B42:D42)-SUM($B43:D43)</f>
        <v>498529.398154419</v>
      </c>
      <c r="F46" s="43">
        <f>$B40-SUM($B41:E41)-SUM($B42:E42)-SUM($B43:E43)</f>
        <v>489754.57126965</v>
      </c>
      <c r="G46" s="43">
        <f>$B40-SUM($B41:F41)-SUM($B42:F42)-SUM($B43:F43)</f>
        <v>480979.74438488</v>
      </c>
      <c r="H46" s="43">
        <f>$B40-SUM($B41:G41)-SUM($B42:G42)-SUM($B43:G43)</f>
        <v>472204.917500111</v>
      </c>
      <c r="I46" s="43">
        <f>$B40-SUM($B41:H41)-SUM($B42:H42)-SUM($B43:H43)</f>
        <v>463430.090615341</v>
      </c>
      <c r="J46" s="43">
        <f>$B40-SUM($B41:I41)-SUM($B42:I42)-SUM($B43:I43)</f>
        <v>454655.263730571</v>
      </c>
      <c r="K46" s="43">
        <f>$B40-SUM($B41:J41)-SUM($B42:J42)-SUM($B43:J43)</f>
        <v>445880.436845802</v>
      </c>
      <c r="L46" s="43">
        <f>$B40-SUM($B41:K41)-SUM($B42:K42)-SUM($B43:K43)</f>
        <v>437105.609961032</v>
      </c>
      <c r="M46" s="43">
        <f>$B40-SUM($B41:L41)-SUM($B42:L42)-SUM($B43:L43)</f>
        <v>428330.783076263</v>
      </c>
      <c r="N46" s="43">
        <f>$B40-SUM($B41:M41)-SUM($B42:M42)-SUM($B43:M43)</f>
        <v>419555.956191493</v>
      </c>
      <c r="O46" s="43">
        <f>$B40-SUM($B41:N41)-SUM($B42:N42)-SUM($B43:N43)</f>
        <v>410781.129306724</v>
      </c>
      <c r="P46" s="43">
        <f>$B40-SUM($B41:O41)-SUM($B42:O42)-SUM($B43:O43)</f>
        <v>402006.302421954</v>
      </c>
      <c r="Q46" s="43">
        <f>$B40-SUM($B41:P41)-SUM($B42:P42)-SUM($B43:P43)</f>
        <v>393231.475537185</v>
      </c>
      <c r="R46" s="43">
        <f>$B40-SUM($B41:Q41)-SUM($B42:Q42)-SUM($B43:Q43)</f>
        <v>384456.648652415</v>
      </c>
      <c r="S46" s="43">
        <f>$B40-SUM($B41:R41)-SUM($B42:R42)-SUM($B43:R43)</f>
        <v>375681.821767646</v>
      </c>
      <c r="T46" s="43">
        <f>$B40-SUM($B41:S41)-SUM($B42:S42)-SUM($B43:S43)</f>
        <v>366906.994882876</v>
      </c>
      <c r="U46" s="43">
        <f>$B40-SUM($B41:T41)-SUM($B42:T42)-SUM($B43:T43)</f>
        <v>358132.167998107</v>
      </c>
      <c r="V46" s="43">
        <f>$B40-SUM($B41:U41)-SUM($B42:U42)-SUM($B43:U43)</f>
        <v>349357.341113337</v>
      </c>
      <c r="W46" s="43">
        <f>$B40-SUM($B41:V41)-SUM($B42:V42)-SUM($B43:V43)</f>
        <v>340582.514228568</v>
      </c>
      <c r="X46" s="43">
        <f>$B40-SUM($B41:W41)-SUM($B42:W42)-SUM($B43:W43)</f>
        <v>331807.687343798</v>
      </c>
      <c r="Y46" s="43">
        <f>$B40-SUM($B41:X41)-SUM($B42:X42)-SUM($B43:X43)</f>
        <v>323032.860459029</v>
      </c>
      <c r="Z46" s="43">
        <f>$B40-SUM($B41:Y41)-SUM($B42:Y42)-SUM($B43:Y43)</f>
        <v>314258.033574259</v>
      </c>
      <c r="AA46" s="43">
        <f>$B40-SUM($B41:Z41)-SUM($B42:Z42)-SUM($B43:Z43)</f>
        <v>305483.20668949</v>
      </c>
      <c r="AB46" s="43">
        <f>$B40-SUM($B41:AA41)-SUM($B42:AA42)-SUM($B43:AA43)</f>
        <v>296708.37980472</v>
      </c>
      <c r="AC46" s="43">
        <f>$B40-SUM($B41:AB41)-SUM($B42:AB42)-SUM($B43:AB43)</f>
        <v>287933.552919951</v>
      </c>
      <c r="AD46" s="43">
        <f>$B40-SUM($B41:AC41)-SUM($B42:AC42)-SUM($B43:AC43)</f>
        <v>279158.726035181</v>
      </c>
      <c r="AE46" s="43">
        <f>$B40-SUM($B41:AD41)-SUM($B42:AD42)-SUM($B43:AD43)</f>
        <v>270383.899150412</v>
      </c>
      <c r="AF46" s="43">
        <f>$B40-SUM($B41:AE41)-SUM($B42:AE42)-SUM($B43:AE43)</f>
        <v>261609.072265642</v>
      </c>
      <c r="AG46" s="43">
        <f>$B40-SUM($B41:AF41)-SUM($B42:AF42)-SUM($B43:AF43)</f>
        <v>252834.245380873</v>
      </c>
      <c r="AH46" s="43">
        <f>$B40-SUM($B41:AG41)-SUM($B42:AG42)-SUM($B43:AG43)</f>
        <v>244059.418496103</v>
      </c>
      <c r="AI46" s="43">
        <f>$B40-SUM($B41:AH41)-SUM($B42:AH42)-SUM($B43:AH43)</f>
        <v>235284.591611334</v>
      </c>
      <c r="AJ46" s="43">
        <f>$B40-SUM($B41:AI41)-SUM($B42:AI42)-SUM($B43:AI43)</f>
        <v>226509.764726564</v>
      </c>
      <c r="AK46" s="43">
        <f>$B40-SUM($B41:AJ41)-SUM($B42:AJ42)-SUM($B43:AJ43)</f>
        <v>217734.937841795</v>
      </c>
      <c r="AL46" s="43">
        <f>$B40-SUM($B41:AK41)-SUM($B42:AK42)-SUM($B43:AK43)</f>
        <v>208960.110957025</v>
      </c>
      <c r="AM46" s="43">
        <f>$B40-SUM($B41:AL41)-SUM($B42:AL42)-SUM($B43:AL43)</f>
        <v>200185.284072256</v>
      </c>
      <c r="AN46" s="43">
        <f>$B40-SUM($B41:AM41)-SUM($B42:AM42)-SUM($B43:AM43)</f>
        <v>191410.457187486</v>
      </c>
      <c r="AO46" s="43">
        <f>$B40-SUM($B41:AN41)-SUM($B42:AN42)-SUM($B43:AN43)</f>
        <v>182635.630302717</v>
      </c>
      <c r="AP46" s="43">
        <f>$B40-SUM($B41:AO41)-SUM($B42:AO42)-SUM($B43:AO43)</f>
        <v>173860.803417948</v>
      </c>
      <c r="AQ46" s="43">
        <f>$B40-SUM($B41:AP41)-SUM($B42:AP42)-SUM($B43:AP43)</f>
        <v>165085.976533178</v>
      </c>
      <c r="AR46" s="43">
        <f>$B40-SUM($B41:AQ41)-SUM($B42:AQ42)-SUM($B43:AQ43)</f>
        <v>156311.149648409</v>
      </c>
    </row>
    <row r="47" s="6" customFormat="1" spans="1:46">
      <c r="A47" s="44"/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</row>
    <row r="48" s="5" customFormat="1" spans="1:46">
      <c r="A48" s="41"/>
      <c r="B48" s="41">
        <v>2016</v>
      </c>
      <c r="C48" s="41">
        <v>2017</v>
      </c>
      <c r="D48" s="41">
        <v>2018</v>
      </c>
      <c r="E48" s="41">
        <v>2019</v>
      </c>
      <c r="F48" s="41">
        <v>2020</v>
      </c>
      <c r="G48" s="41">
        <v>2021</v>
      </c>
      <c r="H48" s="41">
        <v>2022</v>
      </c>
      <c r="I48" s="41">
        <v>2023</v>
      </c>
      <c r="J48" s="41">
        <v>2024</v>
      </c>
      <c r="K48" s="41">
        <v>2025</v>
      </c>
      <c r="L48" s="41">
        <v>2026</v>
      </c>
      <c r="M48" s="41">
        <v>2027</v>
      </c>
      <c r="N48" s="41">
        <v>2028</v>
      </c>
      <c r="O48" s="41">
        <v>2029</v>
      </c>
      <c r="P48" s="41">
        <v>2030</v>
      </c>
      <c r="Q48" s="41">
        <v>2031</v>
      </c>
      <c r="R48" s="41">
        <v>2032</v>
      </c>
      <c r="S48" s="41">
        <v>2033</v>
      </c>
      <c r="T48" s="41">
        <v>2034</v>
      </c>
      <c r="U48" s="41">
        <v>2035</v>
      </c>
      <c r="V48" s="41">
        <v>2036</v>
      </c>
      <c r="W48" s="41">
        <v>2037</v>
      </c>
      <c r="X48" s="41">
        <v>2038</v>
      </c>
      <c r="Y48" s="41">
        <v>2039</v>
      </c>
      <c r="Z48" s="41">
        <v>2040</v>
      </c>
      <c r="AA48" s="41">
        <v>2041</v>
      </c>
      <c r="AB48" s="41">
        <v>2042</v>
      </c>
      <c r="AC48" s="41">
        <v>2043</v>
      </c>
      <c r="AD48" s="41">
        <v>2044</v>
      </c>
      <c r="AE48" s="41">
        <v>2045</v>
      </c>
      <c r="AF48" s="41">
        <v>2046</v>
      </c>
      <c r="AG48" s="41">
        <v>2047</v>
      </c>
      <c r="AH48" s="41">
        <v>2048</v>
      </c>
      <c r="AI48" s="41">
        <v>2049</v>
      </c>
      <c r="AJ48" s="41">
        <v>2050</v>
      </c>
      <c r="AK48" s="41">
        <v>2051</v>
      </c>
      <c r="AL48" s="41">
        <v>2052</v>
      </c>
      <c r="AM48" s="41">
        <v>2053</v>
      </c>
      <c r="AN48" s="41">
        <v>2054</v>
      </c>
      <c r="AO48" s="41">
        <v>2055</v>
      </c>
      <c r="AP48" s="41">
        <v>2056</v>
      </c>
      <c r="AQ48" s="41">
        <v>2057</v>
      </c>
      <c r="AR48" s="41">
        <v>2058</v>
      </c>
      <c r="AS48" s="41">
        <v>2059</v>
      </c>
      <c r="AT48" s="41">
        <v>2060</v>
      </c>
    </row>
    <row r="49" s="6" customFormat="1" spans="1:46">
      <c r="A49" s="41" t="s">
        <v>939</v>
      </c>
      <c r="B49" s="46">
        <f>E60*10000/人口变化预测!B4</f>
        <v>34.2369320882277</v>
      </c>
      <c r="C49" s="46">
        <f t="shared" ref="C49:R51" si="21">$B49*(1+$B$54)^(C$48-$B$48)</f>
        <v>34.3396428844924</v>
      </c>
      <c r="D49" s="46">
        <f t="shared" si="21"/>
        <v>34.4426618131459</v>
      </c>
      <c r="E49" s="46">
        <f t="shared" si="21"/>
        <v>34.5459897985853</v>
      </c>
      <c r="F49" s="46">
        <f t="shared" si="21"/>
        <v>34.649627767981</v>
      </c>
      <c r="G49" s="46">
        <f t="shared" si="21"/>
        <v>34.753576651285</v>
      </c>
      <c r="H49" s="46">
        <f t="shared" si="21"/>
        <v>34.8578373812388</v>
      </c>
      <c r="I49" s="46">
        <f t="shared" si="21"/>
        <v>34.9624108933825</v>
      </c>
      <c r="J49" s="46">
        <f t="shared" si="21"/>
        <v>35.0672981260627</v>
      </c>
      <c r="K49" s="46">
        <f t="shared" si="21"/>
        <v>35.1725000204409</v>
      </c>
      <c r="L49" s="46">
        <f t="shared" si="21"/>
        <v>35.2780175205022</v>
      </c>
      <c r="M49" s="46">
        <f t="shared" si="21"/>
        <v>35.3838515730637</v>
      </c>
      <c r="N49" s="46">
        <f t="shared" si="21"/>
        <v>35.4900031277829</v>
      </c>
      <c r="O49" s="46">
        <f t="shared" si="21"/>
        <v>35.5964731371662</v>
      </c>
      <c r="P49" s="46">
        <f t="shared" si="21"/>
        <v>35.7032625565777</v>
      </c>
      <c r="Q49" s="46">
        <f t="shared" si="21"/>
        <v>35.8103723442475</v>
      </c>
      <c r="R49" s="46">
        <f t="shared" si="21"/>
        <v>35.9178034612802</v>
      </c>
      <c r="S49" s="46">
        <f t="shared" ref="S49:AH51" si="22">$B49*(1+$B$54)^(S$48-$B$48)</f>
        <v>36.025556871664</v>
      </c>
      <c r="T49" s="46">
        <f t="shared" si="22"/>
        <v>36.133633542279</v>
      </c>
      <c r="U49" s="46">
        <f t="shared" si="22"/>
        <v>36.2420344429059</v>
      </c>
      <c r="V49" s="46">
        <f t="shared" si="22"/>
        <v>36.3507605462346</v>
      </c>
      <c r="W49" s="46">
        <f t="shared" si="22"/>
        <v>36.4598128278733</v>
      </c>
      <c r="X49" s="46">
        <f t="shared" si="22"/>
        <v>36.5691922663569</v>
      </c>
      <c r="Y49" s="46">
        <f t="shared" si="22"/>
        <v>36.6788998431559</v>
      </c>
      <c r="Z49" s="46">
        <f t="shared" si="22"/>
        <v>36.7889365426854</v>
      </c>
      <c r="AA49" s="46">
        <f t="shared" si="22"/>
        <v>36.8993033523135</v>
      </c>
      <c r="AB49" s="46">
        <f t="shared" si="22"/>
        <v>37.0100012623704</v>
      </c>
      <c r="AC49" s="46">
        <f t="shared" si="22"/>
        <v>37.1210312661575</v>
      </c>
      <c r="AD49" s="46">
        <f t="shared" si="22"/>
        <v>37.232394359956</v>
      </c>
      <c r="AE49" s="46">
        <f t="shared" si="22"/>
        <v>37.3440915430358</v>
      </c>
      <c r="AF49" s="46">
        <f t="shared" si="22"/>
        <v>37.4561238176649</v>
      </c>
      <c r="AG49" s="46">
        <f t="shared" si="22"/>
        <v>37.5684921891179</v>
      </c>
      <c r="AH49" s="46">
        <f t="shared" si="22"/>
        <v>37.6811976656853</v>
      </c>
      <c r="AI49" s="46">
        <f t="shared" ref="AG49:AT51" si="23">$B49*(1+$B$54)^(AI$48-$B$48)</f>
        <v>37.7942412586823</v>
      </c>
      <c r="AJ49" s="46">
        <f t="shared" si="23"/>
        <v>37.9076239824584</v>
      </c>
      <c r="AK49" s="46">
        <f t="shared" si="23"/>
        <v>38.0213468544057</v>
      </c>
      <c r="AL49" s="46">
        <f t="shared" si="23"/>
        <v>38.135410894969</v>
      </c>
      <c r="AM49" s="46">
        <f t="shared" si="23"/>
        <v>38.2498171276539</v>
      </c>
      <c r="AN49" s="46">
        <f t="shared" si="23"/>
        <v>38.3645665790368</v>
      </c>
      <c r="AO49" s="46">
        <f t="shared" si="23"/>
        <v>38.4796602787739</v>
      </c>
      <c r="AP49" s="46">
        <f t="shared" si="23"/>
        <v>38.5950992596102</v>
      </c>
      <c r="AQ49" s="46">
        <f t="shared" si="23"/>
        <v>38.7108845573891</v>
      </c>
      <c r="AR49" s="46">
        <f t="shared" si="23"/>
        <v>38.8270172110612</v>
      </c>
      <c r="AS49" s="46">
        <f t="shared" si="23"/>
        <v>38.9434982626944</v>
      </c>
      <c r="AT49" s="46">
        <f t="shared" si="23"/>
        <v>39.0603287574825</v>
      </c>
    </row>
    <row r="50" s="6" customFormat="1" spans="1:46">
      <c r="A50" s="41" t="s">
        <v>940</v>
      </c>
      <c r="B50" s="46">
        <f>G60*10000/人口变化预测!B5</f>
        <v>38.0460323982623</v>
      </c>
      <c r="C50" s="46">
        <f t="shared" si="21"/>
        <v>38.1601704954571</v>
      </c>
      <c r="D50" s="46">
        <f t="shared" si="21"/>
        <v>38.2746510069435</v>
      </c>
      <c r="E50" s="46">
        <f t="shared" si="21"/>
        <v>38.3894749599643</v>
      </c>
      <c r="F50" s="46">
        <f t="shared" si="21"/>
        <v>38.5046433848442</v>
      </c>
      <c r="G50" s="46">
        <f t="shared" si="21"/>
        <v>38.6201573149987</v>
      </c>
      <c r="H50" s="46">
        <f t="shared" si="21"/>
        <v>38.7360177869437</v>
      </c>
      <c r="I50" s="46">
        <f t="shared" si="21"/>
        <v>38.8522258403045</v>
      </c>
      <c r="J50" s="46">
        <f t="shared" si="21"/>
        <v>38.9687825178255</v>
      </c>
      <c r="K50" s="46">
        <f t="shared" si="21"/>
        <v>39.0856888653789</v>
      </c>
      <c r="L50" s="46">
        <f t="shared" si="21"/>
        <v>39.2029459319751</v>
      </c>
      <c r="M50" s="46">
        <f t="shared" si="21"/>
        <v>39.320554769771</v>
      </c>
      <c r="N50" s="46">
        <f t="shared" si="21"/>
        <v>39.4385164340803</v>
      </c>
      <c r="O50" s="46">
        <f t="shared" si="21"/>
        <v>39.5568319833825</v>
      </c>
      <c r="P50" s="46">
        <f t="shared" si="21"/>
        <v>39.6755024793327</v>
      </c>
      <c r="Q50" s="46">
        <f t="shared" si="21"/>
        <v>39.7945289867707</v>
      </c>
      <c r="R50" s="46">
        <f t="shared" si="21"/>
        <v>39.913912573731</v>
      </c>
      <c r="S50" s="46">
        <f t="shared" si="22"/>
        <v>40.0336543114522</v>
      </c>
      <c r="T50" s="46">
        <f t="shared" si="22"/>
        <v>40.1537552743865</v>
      </c>
      <c r="U50" s="46">
        <f t="shared" si="22"/>
        <v>40.2742165402097</v>
      </c>
      <c r="V50" s="46">
        <f t="shared" si="22"/>
        <v>40.3950391898303</v>
      </c>
      <c r="W50" s="46">
        <f t="shared" si="22"/>
        <v>40.5162243073998</v>
      </c>
      <c r="X50" s="46">
        <f t="shared" si="22"/>
        <v>40.637772980322</v>
      </c>
      <c r="Y50" s="46">
        <f t="shared" si="22"/>
        <v>40.7596862992629</v>
      </c>
      <c r="Z50" s="46">
        <f t="shared" si="22"/>
        <v>40.8819653581607</v>
      </c>
      <c r="AA50" s="46">
        <f t="shared" si="22"/>
        <v>41.0046112542352</v>
      </c>
      <c r="AB50" s="46">
        <f t="shared" si="22"/>
        <v>41.1276250879979</v>
      </c>
      <c r="AC50" s="46">
        <f t="shared" si="22"/>
        <v>41.2510079632619</v>
      </c>
      <c r="AD50" s="46">
        <f t="shared" si="22"/>
        <v>41.3747609871517</v>
      </c>
      <c r="AE50" s="46">
        <f t="shared" si="22"/>
        <v>41.4988852701131</v>
      </c>
      <c r="AF50" s="46">
        <f t="shared" si="22"/>
        <v>41.6233819259234</v>
      </c>
      <c r="AG50" s="46">
        <f t="shared" si="23"/>
        <v>41.7482520717012</v>
      </c>
      <c r="AH50" s="46">
        <f t="shared" si="23"/>
        <v>41.8734968279163</v>
      </c>
      <c r="AI50" s="46">
        <f t="shared" si="23"/>
        <v>41.9991173184001</v>
      </c>
      <c r="AJ50" s="46">
        <f t="shared" si="23"/>
        <v>42.1251146703553</v>
      </c>
      <c r="AK50" s="46">
        <f t="shared" si="23"/>
        <v>42.2514900143663</v>
      </c>
      <c r="AL50" s="46">
        <f t="shared" si="23"/>
        <v>42.3782444844094</v>
      </c>
      <c r="AM50" s="46">
        <f t="shared" si="23"/>
        <v>42.5053792178626</v>
      </c>
      <c r="AN50" s="46">
        <f t="shared" si="23"/>
        <v>42.6328953555162</v>
      </c>
      <c r="AO50" s="46">
        <f t="shared" si="23"/>
        <v>42.7607940415828</v>
      </c>
      <c r="AP50" s="46">
        <f t="shared" si="23"/>
        <v>42.8890764237075</v>
      </c>
      <c r="AQ50" s="46">
        <f t="shared" si="23"/>
        <v>43.0177436529786</v>
      </c>
      <c r="AR50" s="46">
        <f t="shared" si="23"/>
        <v>43.1467968839376</v>
      </c>
      <c r="AS50" s="46">
        <f t="shared" si="23"/>
        <v>43.2762372745894</v>
      </c>
      <c r="AT50" s="46">
        <f t="shared" si="23"/>
        <v>43.4060659864131</v>
      </c>
    </row>
    <row r="51" s="6" customFormat="1" spans="1:46">
      <c r="A51" s="41" t="s">
        <v>941</v>
      </c>
      <c r="B51" s="46">
        <f>D60*10000/人口变化预测!B4</f>
        <v>14.1183004463123</v>
      </c>
      <c r="C51" s="46">
        <f t="shared" si="21"/>
        <v>14.1606553476512</v>
      </c>
      <c r="D51" s="46">
        <f t="shared" si="21"/>
        <v>14.2031373136941</v>
      </c>
      <c r="E51" s="46">
        <f t="shared" si="21"/>
        <v>14.2457467256352</v>
      </c>
      <c r="F51" s="46">
        <f t="shared" si="21"/>
        <v>14.2884839658121</v>
      </c>
      <c r="G51" s="46">
        <f t="shared" si="21"/>
        <v>14.3313494177096</v>
      </c>
      <c r="H51" s="46">
        <f t="shared" si="21"/>
        <v>14.3743434659627</v>
      </c>
      <c r="I51" s="46">
        <f t="shared" si="21"/>
        <v>14.4174664963606</v>
      </c>
      <c r="J51" s="46">
        <f t="shared" si="21"/>
        <v>14.4607188958497</v>
      </c>
      <c r="K51" s="46">
        <f t="shared" si="21"/>
        <v>14.5041010525372</v>
      </c>
      <c r="L51" s="46">
        <f t="shared" si="21"/>
        <v>14.5476133556948</v>
      </c>
      <c r="M51" s="46">
        <f t="shared" si="21"/>
        <v>14.5912561957619</v>
      </c>
      <c r="N51" s="46">
        <f t="shared" si="21"/>
        <v>14.6350299643492</v>
      </c>
      <c r="O51" s="46">
        <f t="shared" si="21"/>
        <v>14.6789350542422</v>
      </c>
      <c r="P51" s="46">
        <f t="shared" si="21"/>
        <v>14.722971859405</v>
      </c>
      <c r="Q51" s="46">
        <f t="shared" si="21"/>
        <v>14.7671407749832</v>
      </c>
      <c r="R51" s="46">
        <f t="shared" si="21"/>
        <v>14.8114421973081</v>
      </c>
      <c r="S51" s="46">
        <f t="shared" si="22"/>
        <v>14.8558765239</v>
      </c>
      <c r="T51" s="46">
        <f t="shared" si="22"/>
        <v>14.9004441534717</v>
      </c>
      <c r="U51" s="46">
        <f t="shared" si="22"/>
        <v>14.9451454859321</v>
      </c>
      <c r="V51" s="46">
        <f t="shared" si="22"/>
        <v>14.9899809223899</v>
      </c>
      <c r="W51" s="46">
        <f t="shared" si="22"/>
        <v>15.0349508651571</v>
      </c>
      <c r="X51" s="46">
        <f t="shared" si="22"/>
        <v>15.0800557177526</v>
      </c>
      <c r="Y51" s="46">
        <f t="shared" si="22"/>
        <v>15.1252958849058</v>
      </c>
      <c r="Z51" s="46">
        <f t="shared" si="22"/>
        <v>15.1706717725606</v>
      </c>
      <c r="AA51" s="46">
        <f t="shared" si="22"/>
        <v>15.2161837878782</v>
      </c>
      <c r="AB51" s="46">
        <f t="shared" si="22"/>
        <v>15.2618323392419</v>
      </c>
      <c r="AC51" s="46">
        <f t="shared" si="22"/>
        <v>15.3076178362596</v>
      </c>
      <c r="AD51" s="46">
        <f t="shared" si="22"/>
        <v>15.3535406897684</v>
      </c>
      <c r="AE51" s="46">
        <f t="shared" si="22"/>
        <v>15.3996013118377</v>
      </c>
      <c r="AF51" s="46">
        <f t="shared" si="22"/>
        <v>15.4458001157732</v>
      </c>
      <c r="AG51" s="46">
        <f t="shared" si="23"/>
        <v>15.4921375161205</v>
      </c>
      <c r="AH51" s="46">
        <f t="shared" si="23"/>
        <v>15.5386139286689</v>
      </c>
      <c r="AI51" s="46">
        <f t="shared" si="23"/>
        <v>15.5852297704549</v>
      </c>
      <c r="AJ51" s="46">
        <f t="shared" si="23"/>
        <v>15.6319854597662</v>
      </c>
      <c r="AK51" s="46">
        <f t="shared" si="23"/>
        <v>15.6788814161455</v>
      </c>
      <c r="AL51" s="46">
        <f t="shared" si="23"/>
        <v>15.725918060394</v>
      </c>
      <c r="AM51" s="46">
        <f t="shared" si="23"/>
        <v>15.7730958145751</v>
      </c>
      <c r="AN51" s="46">
        <f t="shared" si="23"/>
        <v>15.8204151020189</v>
      </c>
      <c r="AO51" s="46">
        <f t="shared" si="23"/>
        <v>15.8678763473249</v>
      </c>
      <c r="AP51" s="46">
        <f t="shared" si="23"/>
        <v>15.9154799763669</v>
      </c>
      <c r="AQ51" s="46">
        <f t="shared" si="23"/>
        <v>15.963226416296</v>
      </c>
      <c r="AR51" s="46">
        <f t="shared" si="23"/>
        <v>16.0111160955449</v>
      </c>
      <c r="AS51" s="46">
        <f t="shared" si="23"/>
        <v>16.0591494438315</v>
      </c>
      <c r="AT51" s="46">
        <f t="shared" si="23"/>
        <v>16.107326892163</v>
      </c>
    </row>
    <row r="54" spans="1:46">
      <c r="A54" s="3" t="s">
        <v>942</v>
      </c>
      <c r="B54" s="40">
        <v>0.003</v>
      </c>
    </row>
    <row r="56" spans="1:46">
      <c r="A56" s="3" t="s">
        <v>943</v>
      </c>
    </row>
    <row r="57" spans="1:46">
      <c r="B57" s="3" t="s">
        <v>944</v>
      </c>
      <c r="C57" s="3" t="s">
        <v>945</v>
      </c>
    </row>
    <row r="58" ht="40.5" spans="1:46">
      <c r="C58" s="3" t="s">
        <v>946</v>
      </c>
      <c r="D58" s="3" t="s">
        <v>947</v>
      </c>
      <c r="E58" s="3" t="s">
        <v>948</v>
      </c>
      <c r="F58" s="3" t="s">
        <v>949</v>
      </c>
      <c r="G58" s="3" t="s">
        <v>950</v>
      </c>
      <c r="H58" s="3" t="s">
        <v>951</v>
      </c>
      <c r="I58" s="3" t="s">
        <v>952</v>
      </c>
      <c r="J58" s="3" t="s">
        <v>953</v>
      </c>
      <c r="K58" s="3" t="s">
        <v>954</v>
      </c>
      <c r="L58" s="3" t="s">
        <v>955</v>
      </c>
      <c r="N58" s="3" t="s">
        <v>956</v>
      </c>
      <c r="O58" s="3" t="s">
        <v>957</v>
      </c>
    </row>
    <row r="59" spans="1:46">
      <c r="C59" s="3" t="s">
        <v>958</v>
      </c>
      <c r="D59" s="3" t="s">
        <v>958</v>
      </c>
      <c r="E59" s="3" t="s">
        <v>958</v>
      </c>
      <c r="F59" s="3" t="s">
        <v>958</v>
      </c>
      <c r="G59" s="3" t="s">
        <v>958</v>
      </c>
      <c r="H59" s="3" t="s">
        <v>959</v>
      </c>
    </row>
    <row r="60" spans="1:46">
      <c r="A60" s="3" t="s">
        <v>960</v>
      </c>
      <c r="B60" s="3" t="s">
        <v>145</v>
      </c>
      <c r="C60" s="3">
        <f>SUM(C61:C91)</f>
        <v>6353041.89274452</v>
      </c>
      <c r="D60" s="3">
        <f t="shared" ref="D60:H60" si="24">SUM(D61:D91)</f>
        <v>1150598.29</v>
      </c>
      <c r="E60" s="3">
        <f t="shared" si="24"/>
        <v>2790205.21381881</v>
      </c>
      <c r="F60" s="3">
        <f t="shared" si="24"/>
        <v>239684.448925708</v>
      </c>
      <c r="G60" s="3">
        <f t="shared" si="24"/>
        <v>2172553.94</v>
      </c>
      <c r="H60" s="3">
        <f t="shared" si="24"/>
        <v>1368999.4</v>
      </c>
      <c r="I60" s="47">
        <f>J60/(D60+F60)</f>
        <v>25.601484258471</v>
      </c>
      <c r="J60" s="3">
        <f t="shared" ref="J60" si="25">SUM(J61:J91)</f>
        <v>35593301.6554304</v>
      </c>
      <c r="K60" s="3">
        <f>L60/E60</f>
        <v>16.0384411049209</v>
      </c>
      <c r="L60" s="3">
        <f t="shared" ref="L60" si="26">SUM(L61:L91)</f>
        <v>44750541.9924762</v>
      </c>
    </row>
    <row r="61" spans="1:46">
      <c r="A61" s="3" t="s">
        <v>212</v>
      </c>
      <c r="B61" s="3" t="s">
        <v>213</v>
      </c>
      <c r="C61" s="3">
        <v>111047.87</v>
      </c>
      <c r="D61" s="3">
        <v>40418.28</v>
      </c>
      <c r="E61" s="3">
        <v>57986.05</v>
      </c>
      <c r="F61" s="3">
        <v>2985.12</v>
      </c>
      <c r="G61" s="3">
        <f t="shared" ref="G61:G90" si="27">C61-D61-E61-F61</f>
        <v>9658.41999999999</v>
      </c>
      <c r="H61" s="3">
        <v>95419.2</v>
      </c>
      <c r="I61" s="47">
        <v>40.3995419894167</v>
      </c>
      <c r="J61" s="47">
        <f>I61*(F61+D61)</f>
        <v>1753477.48078345</v>
      </c>
      <c r="K61" s="47">
        <v>12.2160416169061</v>
      </c>
      <c r="L61" s="47">
        <f>K61*E61</f>
        <v>708359.999999998</v>
      </c>
      <c r="M61" s="47">
        <f>IF(O61=0,0,1)</f>
        <v>1</v>
      </c>
      <c r="N61" s="47">
        <f>E60+D60</f>
        <v>3940803.50381881</v>
      </c>
      <c r="O61" s="47">
        <v>13.46</v>
      </c>
    </row>
    <row r="62" spans="1:46">
      <c r="A62" s="3" t="s">
        <v>214</v>
      </c>
      <c r="B62" s="3" t="s">
        <v>215</v>
      </c>
      <c r="C62" s="3">
        <v>65607.89</v>
      </c>
      <c r="D62" s="3">
        <v>20611.98</v>
      </c>
      <c r="E62" s="3">
        <v>35777.65</v>
      </c>
      <c r="F62" s="3">
        <v>1453.71</v>
      </c>
      <c r="G62" s="3">
        <f t="shared" si="27"/>
        <v>7764.55</v>
      </c>
      <c r="H62" s="3">
        <v>54935.9</v>
      </c>
      <c r="I62" s="47">
        <v>27.5907506217258</v>
      </c>
      <c r="J62" s="47">
        <f t="shared" ref="J62:J91" si="28">I62*(F62+D62)</f>
        <v>608808.950086309</v>
      </c>
      <c r="K62" s="47">
        <v>20.3</v>
      </c>
      <c r="L62" s="47">
        <f t="shared" ref="L62:L91" si="29">K62*E62</f>
        <v>726286.295</v>
      </c>
      <c r="M62" s="47">
        <f t="shared" ref="M62:M91" si="30">IF(O62=0,0,1)</f>
        <v>1</v>
      </c>
      <c r="N62" s="47">
        <f t="shared" ref="N62:N91" si="31">E61+D61</f>
        <v>98404.33</v>
      </c>
      <c r="O62" s="47">
        <v>12.78</v>
      </c>
    </row>
    <row r="63" spans="1:46">
      <c r="A63" s="3" t="s">
        <v>961</v>
      </c>
      <c r="B63" s="3" t="s">
        <v>962</v>
      </c>
      <c r="C63" s="3">
        <v>308351.68</v>
      </c>
      <c r="D63" s="3">
        <v>45800.11</v>
      </c>
      <c r="E63" s="3">
        <v>126933.93</v>
      </c>
      <c r="F63" s="3">
        <v>9347.88</v>
      </c>
      <c r="G63" s="3">
        <f t="shared" si="27"/>
        <v>126269.76</v>
      </c>
      <c r="H63" s="3">
        <v>163386.2</v>
      </c>
      <c r="I63" s="47">
        <v>26.3193691019519</v>
      </c>
      <c r="J63" s="47">
        <f t="shared" si="28"/>
        <v>1451460.30404075</v>
      </c>
      <c r="K63" s="47">
        <v>12.94</v>
      </c>
      <c r="L63" s="47">
        <f t="shared" si="29"/>
        <v>1642525.0542</v>
      </c>
      <c r="M63" s="47">
        <f t="shared" si="30"/>
        <v>1</v>
      </c>
      <c r="N63" s="47">
        <f t="shared" si="31"/>
        <v>56389.63</v>
      </c>
      <c r="O63" s="47">
        <v>13.58</v>
      </c>
    </row>
    <row r="64" spans="1:46">
      <c r="A64" s="3" t="s">
        <v>963</v>
      </c>
      <c r="B64" s="3" t="s">
        <v>964</v>
      </c>
      <c r="C64" s="3">
        <v>140087.6</v>
      </c>
      <c r="D64" s="3">
        <v>20968.56</v>
      </c>
      <c r="E64" s="3">
        <v>65484.29</v>
      </c>
      <c r="F64" s="3">
        <v>6549.72</v>
      </c>
      <c r="G64" s="3">
        <f t="shared" si="27"/>
        <v>47085.03</v>
      </c>
      <c r="H64" s="3">
        <v>79903.1</v>
      </c>
      <c r="I64" s="47">
        <v>24.9964709069197</v>
      </c>
      <c r="J64" s="47">
        <f t="shared" si="28"/>
        <v>687859.88542847</v>
      </c>
      <c r="K64" s="47">
        <v>16.41</v>
      </c>
      <c r="L64" s="47">
        <f t="shared" si="29"/>
        <v>1074597.1989</v>
      </c>
      <c r="M64" s="47">
        <f t="shared" si="30"/>
        <v>1</v>
      </c>
      <c r="N64" s="47">
        <f t="shared" si="31"/>
        <v>172734.04</v>
      </c>
      <c r="O64" s="47">
        <v>14.71</v>
      </c>
    </row>
    <row r="65" spans="1:15">
      <c r="A65" s="3" t="s">
        <v>965</v>
      </c>
      <c r="B65" s="3" t="s">
        <v>966</v>
      </c>
      <c r="C65" s="3">
        <v>96496.49</v>
      </c>
      <c r="D65" s="3">
        <v>22606.81</v>
      </c>
      <c r="E65" s="3">
        <v>47363.84</v>
      </c>
      <c r="F65" s="3">
        <v>3808.41</v>
      </c>
      <c r="G65" s="3">
        <f t="shared" si="27"/>
        <v>22717.43</v>
      </c>
      <c r="H65" s="3">
        <v>66162.2</v>
      </c>
      <c r="I65" s="47">
        <v>16.1937929323067</v>
      </c>
      <c r="J65" s="47">
        <f t="shared" si="28"/>
        <v>427762.602941327</v>
      </c>
      <c r="K65" s="47">
        <v>18.82</v>
      </c>
      <c r="L65" s="47">
        <f t="shared" si="29"/>
        <v>891387.4688</v>
      </c>
      <c r="M65" s="47">
        <f t="shared" si="30"/>
        <v>1</v>
      </c>
      <c r="N65" s="47">
        <f t="shared" si="31"/>
        <v>86452.85</v>
      </c>
      <c r="O65" s="47">
        <v>20.33</v>
      </c>
    </row>
    <row r="66" spans="1:15">
      <c r="A66" s="3" t="s">
        <v>967</v>
      </c>
      <c r="B66" s="3" t="s">
        <v>968</v>
      </c>
      <c r="C66" s="3">
        <v>179539.03</v>
      </c>
      <c r="D66" s="3">
        <v>40152.97</v>
      </c>
      <c r="E66" s="3">
        <v>94629.85</v>
      </c>
      <c r="F66" s="3">
        <v>5725.2</v>
      </c>
      <c r="G66" s="3">
        <f t="shared" si="27"/>
        <v>39031.01</v>
      </c>
      <c r="H66" s="3">
        <v>129057.6</v>
      </c>
      <c r="I66" s="47">
        <v>21.522691845709</v>
      </c>
      <c r="J66" s="47">
        <f t="shared" si="28"/>
        <v>987421.715355051</v>
      </c>
      <c r="K66" s="47">
        <v>17.16</v>
      </c>
      <c r="L66" s="47">
        <f t="shared" si="29"/>
        <v>1623848.226</v>
      </c>
      <c r="M66" s="47">
        <f t="shared" si="30"/>
        <v>1</v>
      </c>
      <c r="N66" s="47">
        <f t="shared" si="31"/>
        <v>69970.65</v>
      </c>
      <c r="O66" s="47">
        <v>15.84</v>
      </c>
    </row>
    <row r="67" spans="1:15">
      <c r="A67" s="3" t="s">
        <v>969</v>
      </c>
      <c r="B67" s="3" t="s">
        <v>315</v>
      </c>
      <c r="C67" s="3">
        <v>94474.08</v>
      </c>
      <c r="D67" s="3">
        <v>19746.71</v>
      </c>
      <c r="E67" s="3">
        <v>41826.13</v>
      </c>
      <c r="F67" s="3">
        <v>2458.07</v>
      </c>
      <c r="G67" s="3">
        <f t="shared" si="27"/>
        <v>30443.17</v>
      </c>
      <c r="H67" s="3">
        <v>59114.8</v>
      </c>
      <c r="I67" s="47">
        <v>17.9680564509227</v>
      </c>
      <c r="J67" s="47">
        <f t="shared" si="28"/>
        <v>398976.740520319</v>
      </c>
      <c r="K67" s="47">
        <v>17.78</v>
      </c>
      <c r="L67" s="47">
        <f t="shared" si="29"/>
        <v>743668.5914</v>
      </c>
      <c r="M67" s="47">
        <f t="shared" si="30"/>
        <v>1</v>
      </c>
      <c r="N67" s="47">
        <f t="shared" si="31"/>
        <v>134782.82</v>
      </c>
      <c r="O67" s="47">
        <v>18.91</v>
      </c>
    </row>
    <row r="68" spans="1:15">
      <c r="A68" s="3" t="s">
        <v>970</v>
      </c>
      <c r="B68" s="3" t="s">
        <v>971</v>
      </c>
      <c r="C68" s="3">
        <v>126301.1</v>
      </c>
      <c r="D68" s="3">
        <v>26204.41</v>
      </c>
      <c r="E68" s="3">
        <v>58987.18</v>
      </c>
      <c r="F68" s="3">
        <v>5103.31</v>
      </c>
      <c r="G68" s="3">
        <f t="shared" si="27"/>
        <v>36006.2</v>
      </c>
      <c r="H68" s="3">
        <v>80088.3</v>
      </c>
      <c r="I68" s="47">
        <v>13.7301316839417</v>
      </c>
      <c r="J68" s="47">
        <f t="shared" si="28"/>
        <v>429859.118323975</v>
      </c>
      <c r="K68" s="47">
        <v>17.83</v>
      </c>
      <c r="L68" s="47">
        <f t="shared" si="29"/>
        <v>1051741.4194</v>
      </c>
      <c r="M68" s="47">
        <f t="shared" si="30"/>
        <v>1</v>
      </c>
      <c r="N68" s="47">
        <f t="shared" si="31"/>
        <v>61572.84</v>
      </c>
      <c r="O68" s="47">
        <v>21.08</v>
      </c>
    </row>
    <row r="69" spans="1:15">
      <c r="A69" s="3" t="s">
        <v>356</v>
      </c>
      <c r="B69" s="3" t="s">
        <v>357</v>
      </c>
      <c r="C69" s="3">
        <v>123095.59</v>
      </c>
      <c r="D69" s="3">
        <v>39268.02</v>
      </c>
      <c r="E69" s="3">
        <v>65493</v>
      </c>
      <c r="F69" s="3">
        <v>5443.02</v>
      </c>
      <c r="G69" s="3">
        <f t="shared" si="27"/>
        <v>12891.55</v>
      </c>
      <c r="I69" s="47">
        <v>42.5114380607935</v>
      </c>
      <c r="J69" s="47">
        <f t="shared" si="28"/>
        <v>1900730.60759366</v>
      </c>
      <c r="K69" s="47">
        <v>33.26</v>
      </c>
      <c r="L69" s="47">
        <f t="shared" si="29"/>
        <v>2178297.18</v>
      </c>
      <c r="M69" s="47">
        <f t="shared" si="30"/>
        <v>0</v>
      </c>
      <c r="N69" s="47">
        <f t="shared" si="31"/>
        <v>85191.59</v>
      </c>
      <c r="O69" s="47"/>
    </row>
    <row r="70" spans="1:15">
      <c r="A70" s="3" t="s">
        <v>972</v>
      </c>
      <c r="B70" s="3" t="s">
        <v>973</v>
      </c>
      <c r="C70" s="3">
        <v>454607.2</v>
      </c>
      <c r="D70" s="3">
        <v>100827.38</v>
      </c>
      <c r="E70" s="3">
        <v>207983.34</v>
      </c>
      <c r="F70" s="3">
        <v>20733.04</v>
      </c>
      <c r="G70" s="3">
        <f t="shared" si="27"/>
        <v>125063.44</v>
      </c>
      <c r="I70" s="47">
        <v>22.8987404016647</v>
      </c>
      <c r="J70" s="47">
        <f t="shared" si="28"/>
        <v>2783580.50069733</v>
      </c>
      <c r="K70" s="47">
        <v>14.84</v>
      </c>
      <c r="L70" s="47">
        <f t="shared" si="29"/>
        <v>3086472.7656</v>
      </c>
      <c r="M70" s="47">
        <f t="shared" si="30"/>
        <v>0</v>
      </c>
      <c r="N70" s="47">
        <f t="shared" si="31"/>
        <v>104761.02</v>
      </c>
      <c r="O70" s="47"/>
    </row>
    <row r="71" spans="1:15">
      <c r="A71" s="3" t="s">
        <v>974</v>
      </c>
      <c r="B71" s="3" t="s">
        <v>975</v>
      </c>
      <c r="C71" s="3">
        <v>343012.03</v>
      </c>
      <c r="D71" s="3">
        <v>73053.83</v>
      </c>
      <c r="E71" s="3">
        <v>144621.9</v>
      </c>
      <c r="F71" s="3">
        <v>12869.19</v>
      </c>
      <c r="G71" s="3">
        <f t="shared" si="27"/>
        <v>112467.11</v>
      </c>
      <c r="I71" s="47">
        <v>28.5850858195936</v>
      </c>
      <c r="J71" s="47">
        <f t="shared" si="28"/>
        <v>2456116.90057866</v>
      </c>
      <c r="K71" s="47">
        <v>19.5</v>
      </c>
      <c r="L71" s="47">
        <f t="shared" si="29"/>
        <v>2820127.05</v>
      </c>
      <c r="M71" s="47">
        <f t="shared" si="30"/>
        <v>0</v>
      </c>
      <c r="N71" s="47">
        <f t="shared" si="31"/>
        <v>308810.72</v>
      </c>
      <c r="O71" s="47"/>
    </row>
    <row r="72" spans="1:15">
      <c r="A72" s="3" t="s">
        <v>976</v>
      </c>
      <c r="B72" s="3" t="s">
        <v>977</v>
      </c>
      <c r="C72" s="3">
        <v>275919.32</v>
      </c>
      <c r="D72" s="3">
        <v>43058</v>
      </c>
      <c r="E72" s="3">
        <v>113247.46</v>
      </c>
      <c r="F72" s="3">
        <v>9848.56</v>
      </c>
      <c r="G72" s="3">
        <f t="shared" si="27"/>
        <v>109765.3</v>
      </c>
      <c r="I72" s="47">
        <v>23.5675135863254</v>
      </c>
      <c r="J72" s="47">
        <f t="shared" si="28"/>
        <v>1246876.07160574</v>
      </c>
      <c r="K72" s="47">
        <v>11.86</v>
      </c>
      <c r="L72" s="47">
        <f t="shared" si="29"/>
        <v>1343114.8756</v>
      </c>
      <c r="M72" s="47">
        <f t="shared" si="30"/>
        <v>0</v>
      </c>
      <c r="N72" s="47">
        <f t="shared" si="31"/>
        <v>217675.73</v>
      </c>
      <c r="O72" s="47"/>
    </row>
    <row r="73" spans="1:15">
      <c r="A73" s="3" t="s">
        <v>978</v>
      </c>
      <c r="B73" s="3" t="s">
        <v>979</v>
      </c>
      <c r="C73" s="3">
        <v>216879.42</v>
      </c>
      <c r="D73" s="3">
        <v>35067.83</v>
      </c>
      <c r="E73" s="3">
        <v>100234.09</v>
      </c>
      <c r="F73" s="3">
        <v>10334.03</v>
      </c>
      <c r="G73" s="3">
        <f t="shared" si="27"/>
        <v>71243.47</v>
      </c>
      <c r="I73" s="47">
        <v>26.8331402313745</v>
      </c>
      <c r="J73" s="47">
        <f t="shared" si="28"/>
        <v>1218274.47614523</v>
      </c>
      <c r="K73" s="47">
        <v>19.2</v>
      </c>
      <c r="L73" s="47">
        <f t="shared" si="29"/>
        <v>1924494.528</v>
      </c>
      <c r="M73" s="47">
        <f t="shared" si="30"/>
        <v>0</v>
      </c>
      <c r="N73" s="47">
        <f t="shared" si="31"/>
        <v>156305.46</v>
      </c>
      <c r="O73" s="47"/>
    </row>
    <row r="74" spans="1:15">
      <c r="A74" s="3" t="s">
        <v>980</v>
      </c>
      <c r="B74" s="3" t="s">
        <v>981</v>
      </c>
      <c r="C74" s="3">
        <v>244660.38</v>
      </c>
      <c r="D74" s="3">
        <v>33867.29</v>
      </c>
      <c r="E74" s="3">
        <v>98499.29</v>
      </c>
      <c r="F74" s="3">
        <v>9942.79</v>
      </c>
      <c r="G74" s="3">
        <f t="shared" si="27"/>
        <v>102351.01</v>
      </c>
      <c r="I74" s="47">
        <v>19.2371459304834</v>
      </c>
      <c r="J74" s="47">
        <f t="shared" si="28"/>
        <v>842780.902186152</v>
      </c>
      <c r="K74" s="47">
        <v>11.56</v>
      </c>
      <c r="L74" s="47">
        <f t="shared" si="29"/>
        <v>1138651.7924</v>
      </c>
      <c r="M74" s="47">
        <f t="shared" si="30"/>
        <v>0</v>
      </c>
      <c r="N74" s="47">
        <f t="shared" si="31"/>
        <v>135301.92</v>
      </c>
      <c r="O74" s="47"/>
    </row>
    <row r="75" spans="1:15">
      <c r="A75" s="3" t="s">
        <v>982</v>
      </c>
      <c r="B75" s="3" t="s">
        <v>983</v>
      </c>
      <c r="C75" s="3">
        <v>477681.37</v>
      </c>
      <c r="D75" s="3">
        <v>93541.11</v>
      </c>
      <c r="E75" s="3">
        <v>209801.82</v>
      </c>
      <c r="F75" s="3">
        <v>27594.39</v>
      </c>
      <c r="G75" s="3">
        <f t="shared" si="27"/>
        <v>146744.05</v>
      </c>
      <c r="H75" s="3">
        <v>275748.5</v>
      </c>
      <c r="I75" s="47">
        <v>14.7740389225657</v>
      </c>
      <c r="J75" s="47">
        <f t="shared" si="28"/>
        <v>1789660.59190446</v>
      </c>
      <c r="K75" s="47">
        <v>12.39</v>
      </c>
      <c r="L75" s="47">
        <f t="shared" si="29"/>
        <v>2599444.5498</v>
      </c>
      <c r="M75" s="47">
        <f t="shared" si="30"/>
        <v>1</v>
      </c>
      <c r="N75" s="47">
        <f t="shared" si="31"/>
        <v>132366.58</v>
      </c>
      <c r="O75" s="47">
        <v>11.13</v>
      </c>
    </row>
    <row r="76" spans="1:15">
      <c r="A76" s="3" t="s">
        <v>984</v>
      </c>
      <c r="B76" s="3" t="s">
        <v>985</v>
      </c>
      <c r="C76" s="3">
        <v>445147.35</v>
      </c>
      <c r="D76" s="3">
        <v>61608.37</v>
      </c>
      <c r="E76" s="3">
        <v>176268.1</v>
      </c>
      <c r="F76" s="3">
        <v>11837.86</v>
      </c>
      <c r="G76" s="3">
        <f t="shared" si="27"/>
        <v>195433.02</v>
      </c>
      <c r="H76" s="3">
        <v>158227</v>
      </c>
      <c r="I76" s="47">
        <v>18.1861652889047</v>
      </c>
      <c r="J76" s="47">
        <f t="shared" si="28"/>
        <v>1335705.27862691</v>
      </c>
      <c r="K76" s="47">
        <v>11.86</v>
      </c>
      <c r="L76" s="47">
        <f t="shared" si="29"/>
        <v>2090539.666</v>
      </c>
      <c r="M76" s="47">
        <f t="shared" si="30"/>
        <v>1</v>
      </c>
      <c r="N76" s="47">
        <f t="shared" si="31"/>
        <v>303342.93</v>
      </c>
      <c r="O76" s="47">
        <v>10.26</v>
      </c>
    </row>
    <row r="77" spans="1:15">
      <c r="A77" s="3" t="s">
        <v>986</v>
      </c>
      <c r="B77" s="3" t="s">
        <v>987</v>
      </c>
      <c r="C77" s="3">
        <v>321676.32</v>
      </c>
      <c r="D77" s="3">
        <v>54464.51</v>
      </c>
      <c r="E77" s="3">
        <v>144798.89</v>
      </c>
      <c r="F77" s="3">
        <v>10967.35</v>
      </c>
      <c r="G77" s="3">
        <f t="shared" si="27"/>
        <v>111445.57</v>
      </c>
      <c r="I77" s="47">
        <v>28.43705010841</v>
      </c>
      <c r="J77" s="47">
        <f t="shared" si="28"/>
        <v>1860689.08150647</v>
      </c>
      <c r="K77" s="47">
        <v>14.7</v>
      </c>
      <c r="L77" s="47">
        <f t="shared" si="29"/>
        <v>2128543.683</v>
      </c>
      <c r="M77" s="47">
        <f t="shared" si="30"/>
        <v>0</v>
      </c>
      <c r="N77" s="47">
        <f t="shared" si="31"/>
        <v>237876.47</v>
      </c>
      <c r="O77" s="47"/>
    </row>
    <row r="78" spans="1:15">
      <c r="A78" s="3" t="s">
        <v>988</v>
      </c>
      <c r="B78" s="3" t="s">
        <v>989</v>
      </c>
      <c r="C78" s="3">
        <v>358248.47</v>
      </c>
      <c r="D78" s="3">
        <v>46777.01</v>
      </c>
      <c r="E78" s="3">
        <v>147425.8</v>
      </c>
      <c r="F78" s="3">
        <v>11312.29</v>
      </c>
      <c r="G78" s="3">
        <f t="shared" si="27"/>
        <v>152733.37</v>
      </c>
      <c r="I78" s="47">
        <v>29.3911474889053</v>
      </c>
      <c r="J78" s="47">
        <f t="shared" si="28"/>
        <v>1707311.18382727</v>
      </c>
      <c r="K78" s="47">
        <v>12.96</v>
      </c>
      <c r="L78" s="47">
        <f t="shared" si="29"/>
        <v>1910638.368</v>
      </c>
      <c r="M78" s="47">
        <f t="shared" si="30"/>
        <v>0</v>
      </c>
      <c r="N78" s="47">
        <f t="shared" si="31"/>
        <v>199263.4</v>
      </c>
      <c r="O78" s="47"/>
    </row>
    <row r="79" spans="1:15">
      <c r="A79" s="3" t="s">
        <v>990</v>
      </c>
      <c r="B79" s="3" t="s">
        <v>991</v>
      </c>
      <c r="C79" s="3">
        <v>467579.82</v>
      </c>
      <c r="D79" s="3">
        <v>111435.33</v>
      </c>
      <c r="E79" s="3">
        <v>237415.37</v>
      </c>
      <c r="F79" s="3">
        <v>13682.5</v>
      </c>
      <c r="G79" s="3">
        <f t="shared" si="27"/>
        <v>105046.62</v>
      </c>
      <c r="I79" s="47">
        <v>31.964458668539</v>
      </c>
      <c r="J79" s="47">
        <f t="shared" si="28"/>
        <v>3999323.70573229</v>
      </c>
      <c r="K79" s="47">
        <v>23.2</v>
      </c>
      <c r="L79" s="47">
        <f t="shared" si="29"/>
        <v>5508036.584</v>
      </c>
      <c r="M79" s="47">
        <f t="shared" si="30"/>
        <v>0</v>
      </c>
      <c r="N79" s="47">
        <f t="shared" si="31"/>
        <v>194202.81</v>
      </c>
      <c r="O79" s="47"/>
    </row>
    <row r="80" spans="1:15">
      <c r="A80" s="3" t="s">
        <v>992</v>
      </c>
      <c r="B80" s="3" t="s">
        <v>993</v>
      </c>
      <c r="C80" s="3">
        <v>211673.08</v>
      </c>
      <c r="D80" s="3">
        <v>28483.37</v>
      </c>
      <c r="E80" s="3">
        <v>81333.09</v>
      </c>
      <c r="F80" s="3">
        <v>8981.42</v>
      </c>
      <c r="G80" s="3">
        <f t="shared" si="27"/>
        <v>92875.2</v>
      </c>
      <c r="I80" s="47">
        <v>20.2251348769475</v>
      </c>
      <c r="J80" s="47">
        <f t="shared" si="28"/>
        <v>757730.430886514</v>
      </c>
      <c r="K80" s="47">
        <v>18.4</v>
      </c>
      <c r="L80" s="47">
        <f t="shared" si="29"/>
        <v>1496528.856</v>
      </c>
      <c r="M80" s="47">
        <f t="shared" si="30"/>
        <v>0</v>
      </c>
      <c r="N80" s="47">
        <f t="shared" si="31"/>
        <v>348850.7</v>
      </c>
      <c r="O80" s="47"/>
    </row>
    <row r="81" spans="1:15">
      <c r="A81" s="3" t="s">
        <v>994</v>
      </c>
      <c r="B81" s="3" t="s">
        <v>995</v>
      </c>
      <c r="C81" s="3">
        <v>34844.92</v>
      </c>
      <c r="D81" s="3">
        <v>8584.23</v>
      </c>
      <c r="E81" s="3">
        <v>15278.7</v>
      </c>
      <c r="F81" s="3">
        <v>1475</v>
      </c>
      <c r="G81" s="3">
        <f t="shared" si="27"/>
        <v>9506.99</v>
      </c>
      <c r="I81" s="47">
        <v>35.7073377577255</v>
      </c>
      <c r="J81" s="47">
        <f t="shared" si="28"/>
        <v>359188.323192645</v>
      </c>
      <c r="K81" s="47">
        <v>17.44</v>
      </c>
      <c r="L81" s="47">
        <f t="shared" si="29"/>
        <v>266460.528</v>
      </c>
      <c r="M81" s="47">
        <f t="shared" si="30"/>
        <v>0</v>
      </c>
      <c r="N81" s="47">
        <f t="shared" si="31"/>
        <v>109816.46</v>
      </c>
      <c r="O81" s="47"/>
    </row>
    <row r="82" spans="1:15">
      <c r="A82" s="3" t="s">
        <v>717</v>
      </c>
      <c r="B82" s="3" t="s">
        <v>718</v>
      </c>
      <c r="C82" s="3">
        <v>139428.15</v>
      </c>
      <c r="D82" s="3">
        <v>25039.3</v>
      </c>
      <c r="E82" s="3">
        <v>61807.2</v>
      </c>
      <c r="F82" s="3">
        <v>4898.18</v>
      </c>
      <c r="G82" s="3">
        <f t="shared" si="27"/>
        <v>47683.47</v>
      </c>
      <c r="I82" s="47">
        <v>30.3203364311303</v>
      </c>
      <c r="J82" s="47">
        <f t="shared" si="28"/>
        <v>907714.465500235</v>
      </c>
      <c r="K82" s="47">
        <v>16.8</v>
      </c>
      <c r="L82" s="47">
        <f t="shared" si="29"/>
        <v>1038360.96</v>
      </c>
      <c r="M82" s="47">
        <f t="shared" si="30"/>
        <v>0</v>
      </c>
      <c r="N82" s="47">
        <f t="shared" si="31"/>
        <v>23862.93</v>
      </c>
      <c r="O82" s="47"/>
    </row>
    <row r="83" spans="1:15">
      <c r="A83" s="3" t="s">
        <v>996</v>
      </c>
      <c r="B83" s="3" t="s">
        <v>997</v>
      </c>
      <c r="C83" s="3">
        <v>384761.9</v>
      </c>
      <c r="D83" s="3">
        <v>50687.8</v>
      </c>
      <c r="E83" s="3">
        <v>152446.95</v>
      </c>
      <c r="F83" s="3">
        <v>10447.56</v>
      </c>
      <c r="G83" s="3">
        <f t="shared" si="27"/>
        <v>171179.59</v>
      </c>
      <c r="I83" s="47">
        <v>27.2661271548578</v>
      </c>
      <c r="J83" s="47">
        <f t="shared" si="28"/>
        <v>1666924.49941801</v>
      </c>
      <c r="K83" s="47">
        <v>15.4</v>
      </c>
      <c r="L83" s="47">
        <f t="shared" si="29"/>
        <v>2347683.03</v>
      </c>
      <c r="M83" s="47">
        <f t="shared" si="30"/>
        <v>0</v>
      </c>
      <c r="N83" s="47">
        <f t="shared" si="31"/>
        <v>86846.5</v>
      </c>
      <c r="O83" s="47"/>
    </row>
    <row r="84" spans="1:15">
      <c r="A84" s="3" t="s">
        <v>998</v>
      </c>
      <c r="B84" s="3" t="s">
        <v>999</v>
      </c>
      <c r="C84" s="3">
        <v>136326.32</v>
      </c>
      <c r="D84" s="3">
        <v>14285.22</v>
      </c>
      <c r="E84" s="3">
        <v>55581.94</v>
      </c>
      <c r="F84" s="3">
        <v>5454.48</v>
      </c>
      <c r="G84" s="3">
        <f t="shared" si="27"/>
        <v>61004.68</v>
      </c>
      <c r="I84" s="47">
        <v>38.8884455402157</v>
      </c>
      <c r="J84" s="47">
        <f t="shared" si="28"/>
        <v>767646.248430196</v>
      </c>
      <c r="K84" s="47">
        <v>15.43</v>
      </c>
      <c r="L84" s="47">
        <f t="shared" si="29"/>
        <v>857629.3342</v>
      </c>
      <c r="M84" s="47">
        <f t="shared" si="30"/>
        <v>0</v>
      </c>
      <c r="N84" s="47">
        <f t="shared" si="31"/>
        <v>203134.75</v>
      </c>
      <c r="O84" s="47"/>
    </row>
    <row r="85" spans="1:15">
      <c r="A85" s="3" t="s">
        <v>1000</v>
      </c>
      <c r="B85" s="3" t="s">
        <v>1001</v>
      </c>
      <c r="C85" s="3">
        <v>206397.21</v>
      </c>
      <c r="D85" s="3">
        <v>28213.74</v>
      </c>
      <c r="E85" s="3">
        <v>85966.95</v>
      </c>
      <c r="F85" s="3">
        <v>7843.42</v>
      </c>
      <c r="G85" s="3">
        <f t="shared" si="27"/>
        <v>84373.1</v>
      </c>
      <c r="I85" s="47">
        <v>27.0176871269105</v>
      </c>
      <c r="J85" s="47">
        <f t="shared" si="28"/>
        <v>974181.067564952</v>
      </c>
      <c r="K85" s="47">
        <v>11.28</v>
      </c>
      <c r="L85" s="47">
        <f t="shared" si="29"/>
        <v>969707.196</v>
      </c>
      <c r="M85" s="47">
        <f t="shared" si="30"/>
        <v>0</v>
      </c>
      <c r="N85" s="47">
        <f t="shared" si="31"/>
        <v>69867.16</v>
      </c>
      <c r="O85" s="47"/>
    </row>
    <row r="86" spans="1:15">
      <c r="A86" s="3" t="s">
        <v>1002</v>
      </c>
      <c r="B86" s="3" t="s">
        <v>1003</v>
      </c>
      <c r="C86" s="3">
        <v>160506.4</v>
      </c>
      <c r="D86" s="3">
        <v>26539.45</v>
      </c>
      <c r="E86" s="3">
        <v>65538.19</v>
      </c>
      <c r="F86" s="3">
        <v>5784.5</v>
      </c>
      <c r="G86" s="3">
        <f t="shared" si="27"/>
        <v>62644.26</v>
      </c>
      <c r="H86" s="3">
        <v>86293.1</v>
      </c>
      <c r="I86" s="47">
        <v>25.1467155498701</v>
      </c>
      <c r="J86" s="47">
        <f t="shared" si="28"/>
        <v>812841.176098224</v>
      </c>
      <c r="K86" s="47">
        <v>18.23</v>
      </c>
      <c r="L86" s="47">
        <f t="shared" si="29"/>
        <v>1194761.2037</v>
      </c>
      <c r="M86" s="47">
        <f t="shared" si="30"/>
        <v>1</v>
      </c>
      <c r="N86" s="47">
        <f t="shared" si="31"/>
        <v>114180.69</v>
      </c>
      <c r="O86" s="47">
        <v>13.62</v>
      </c>
    </row>
    <row r="87" spans="1:15">
      <c r="A87" s="3" t="s">
        <v>1004</v>
      </c>
      <c r="B87" s="3" t="s">
        <v>1005</v>
      </c>
      <c r="C87" s="3">
        <v>88655.16</v>
      </c>
      <c r="D87" s="3">
        <v>13757.99</v>
      </c>
      <c r="E87" s="3">
        <v>37438.87</v>
      </c>
      <c r="F87" s="3">
        <v>6565.6</v>
      </c>
      <c r="G87" s="3">
        <f t="shared" si="27"/>
        <v>30892.7</v>
      </c>
      <c r="H87" s="3">
        <v>44631.3</v>
      </c>
      <c r="I87" s="47">
        <v>27.2067358676667</v>
      </c>
      <c r="J87" s="47">
        <f t="shared" si="28"/>
        <v>552938.545012752</v>
      </c>
      <c r="K87" s="47">
        <v>12.6</v>
      </c>
      <c r="L87" s="47">
        <f t="shared" si="29"/>
        <v>471729.762</v>
      </c>
      <c r="M87" s="47">
        <f t="shared" si="30"/>
        <v>1</v>
      </c>
      <c r="N87" s="47">
        <f t="shared" si="31"/>
        <v>92077.64</v>
      </c>
      <c r="O87" s="47">
        <v>15.68</v>
      </c>
    </row>
    <row r="88" spans="1:15">
      <c r="A88" s="3" t="s">
        <v>1006</v>
      </c>
      <c r="B88" s="3" t="s">
        <v>1007</v>
      </c>
      <c r="C88" s="3">
        <v>22953.05</v>
      </c>
      <c r="D88" s="3">
        <v>4072.72</v>
      </c>
      <c r="E88" s="3">
        <v>10290.97</v>
      </c>
      <c r="F88" s="3">
        <v>1070.3</v>
      </c>
      <c r="G88" s="3">
        <f t="shared" si="27"/>
        <v>7519.06</v>
      </c>
      <c r="H88" s="3">
        <v>13293.4</v>
      </c>
      <c r="I88" s="47">
        <v>41.5594492133022</v>
      </c>
      <c r="J88" s="47">
        <f t="shared" si="28"/>
        <v>213741.078492997</v>
      </c>
      <c r="K88" s="47">
        <v>17.04</v>
      </c>
      <c r="L88" s="47">
        <f t="shared" si="29"/>
        <v>175358.1288</v>
      </c>
      <c r="M88" s="47">
        <f t="shared" si="30"/>
        <v>1</v>
      </c>
      <c r="N88" s="47">
        <f t="shared" si="31"/>
        <v>51196.86</v>
      </c>
      <c r="O88" s="47">
        <v>17.72</v>
      </c>
    </row>
    <row r="89" spans="1:15">
      <c r="A89" s="3" t="s">
        <v>1008</v>
      </c>
      <c r="B89" s="3" t="s">
        <v>1009</v>
      </c>
      <c r="C89" s="3">
        <v>24900.99</v>
      </c>
      <c r="D89" s="3">
        <v>5038.47</v>
      </c>
      <c r="E89" s="3">
        <v>11334.9</v>
      </c>
      <c r="F89" s="3">
        <v>1030.65</v>
      </c>
      <c r="G89" s="3">
        <f t="shared" si="27"/>
        <v>7496.97</v>
      </c>
      <c r="H89" s="3">
        <v>15342.7</v>
      </c>
      <c r="I89" s="47">
        <v>26.3552229148928</v>
      </c>
      <c r="J89" s="47">
        <f t="shared" si="28"/>
        <v>159953.010497234</v>
      </c>
      <c r="K89" s="47">
        <v>14.08</v>
      </c>
      <c r="L89" s="47">
        <f t="shared" si="29"/>
        <v>159595.392</v>
      </c>
      <c r="M89" s="47">
        <f t="shared" si="30"/>
        <v>1</v>
      </c>
      <c r="N89" s="47">
        <f t="shared" si="31"/>
        <v>14363.69</v>
      </c>
      <c r="O89" s="47">
        <v>15.88</v>
      </c>
    </row>
    <row r="90" spans="1:15">
      <c r="A90" s="3" t="s">
        <v>1010</v>
      </c>
      <c r="B90" s="3" t="s">
        <v>1011</v>
      </c>
      <c r="C90" s="3">
        <v>87816.49</v>
      </c>
      <c r="D90" s="3">
        <v>16417.49</v>
      </c>
      <c r="E90" s="3">
        <v>34579.87</v>
      </c>
      <c r="F90" s="3">
        <v>3601.29</v>
      </c>
      <c r="G90" s="3">
        <f t="shared" si="27"/>
        <v>33217.84</v>
      </c>
      <c r="H90" s="3">
        <v>47396.1</v>
      </c>
      <c r="I90" s="47">
        <v>25.9491554433717</v>
      </c>
      <c r="J90" s="47">
        <f t="shared" si="28"/>
        <v>519470.434006661</v>
      </c>
      <c r="K90" s="47">
        <v>15.58</v>
      </c>
      <c r="L90" s="47">
        <f t="shared" si="29"/>
        <v>538754.3746</v>
      </c>
      <c r="M90" s="47">
        <f t="shared" si="30"/>
        <v>1</v>
      </c>
      <c r="N90" s="47">
        <f t="shared" si="31"/>
        <v>16373.37</v>
      </c>
      <c r="O90" s="47">
        <v>18.49</v>
      </c>
    </row>
    <row r="91" spans="1:15">
      <c r="A91" s="3" t="s">
        <v>1012</v>
      </c>
      <c r="B91" s="3" t="s">
        <v>1012</v>
      </c>
      <c r="C91" s="3">
        <f>SUM(E91:F91)</f>
        <v>4365.21274451989</v>
      </c>
      <c r="E91" s="3">
        <v>3829.60381881193</v>
      </c>
      <c r="F91" s="3">
        <v>535.608925707962</v>
      </c>
      <c r="G91" s="3">
        <v>0</v>
      </c>
      <c r="I91" s="47">
        <v>26.6916359305782</v>
      </c>
      <c r="J91" s="47">
        <f t="shared" si="28"/>
        <v>14296.278446165</v>
      </c>
      <c r="K91" s="47">
        <v>11.28</v>
      </c>
      <c r="L91" s="47">
        <f t="shared" si="29"/>
        <v>43197.9310761986</v>
      </c>
      <c r="M91" s="47">
        <f t="shared" si="30"/>
        <v>1</v>
      </c>
      <c r="N91" s="47">
        <f t="shared" si="31"/>
        <v>50997.36</v>
      </c>
      <c r="O91" s="47">
        <v>12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61"/>
  <sheetViews>
    <sheetView workbookViewId="0">
      <selection activeCell="A1" sqref="A1"/>
    </sheetView>
  </sheetViews>
  <sheetFormatPr defaultColWidth="8.63333333333333" defaultRowHeight="13.5"/>
  <cols>
    <col min="1" max="1" width="31.25" style="1" customWidth="1"/>
    <col min="2" max="2" width="33.3833333333333" style="1" customWidth="1"/>
    <col min="3" max="3" width="21.8833333333333" style="1" customWidth="1"/>
    <col min="4" max="4" width="21" style="1" customWidth="1"/>
    <col min="5" max="5" width="23.6333333333333" style="1" customWidth="1"/>
    <col min="6" max="6" width="22.3833333333333" style="1" customWidth="1"/>
    <col min="7" max="7" width="22.5" style="1" customWidth="1"/>
    <col min="8" max="19" width="10.75" style="1" customWidth="1"/>
    <col min="20" max="20" width="12.25" customWidth="1"/>
    <col min="21" max="21" width="11.8833333333333" customWidth="1"/>
    <col min="22" max="22" width="12.25" customWidth="1"/>
    <col min="23" max="35" width="11.75" customWidth="1"/>
  </cols>
  <sheetData>
    <row r="1" ht="15" spans="1:44">
      <c r="A1" s="28" t="s">
        <v>1014</v>
      </c>
    </row>
    <row r="2" s="26" customFormat="1" spans="1:44">
      <c r="A2" s="26" t="s">
        <v>1015</v>
      </c>
      <c r="B2" s="29">
        <v>2018</v>
      </c>
      <c r="C2" s="29">
        <v>2019</v>
      </c>
      <c r="D2" s="29">
        <v>2020</v>
      </c>
      <c r="E2" s="29">
        <v>2021</v>
      </c>
      <c r="F2" s="29">
        <v>2022</v>
      </c>
      <c r="G2" s="29">
        <v>2023</v>
      </c>
      <c r="H2" s="29">
        <v>2024</v>
      </c>
      <c r="I2" s="29">
        <v>2025</v>
      </c>
      <c r="J2" s="29">
        <v>2026</v>
      </c>
      <c r="K2" s="29">
        <v>2027</v>
      </c>
      <c r="L2" s="29">
        <v>2028</v>
      </c>
      <c r="M2" s="29">
        <v>2029</v>
      </c>
      <c r="N2" s="29">
        <v>2030</v>
      </c>
      <c r="O2" s="29">
        <v>2031</v>
      </c>
      <c r="P2" s="29">
        <v>2032</v>
      </c>
      <c r="Q2" s="29">
        <v>2033</v>
      </c>
      <c r="R2" s="29">
        <v>2034</v>
      </c>
      <c r="S2" s="29">
        <v>2035</v>
      </c>
      <c r="T2" s="29">
        <v>2036</v>
      </c>
      <c r="U2" s="29">
        <v>2037</v>
      </c>
      <c r="V2" s="29">
        <v>2038</v>
      </c>
      <c r="W2" s="29">
        <v>2039</v>
      </c>
      <c r="X2" s="29">
        <v>2040</v>
      </c>
      <c r="Y2" s="29">
        <v>2041</v>
      </c>
      <c r="Z2" s="29">
        <v>2042</v>
      </c>
      <c r="AA2" s="29">
        <v>2043</v>
      </c>
      <c r="AB2" s="29">
        <v>2044</v>
      </c>
      <c r="AC2" s="29">
        <v>2045</v>
      </c>
      <c r="AD2" s="29">
        <v>2046</v>
      </c>
      <c r="AE2" s="29">
        <v>2047</v>
      </c>
      <c r="AF2" s="29">
        <v>2048</v>
      </c>
      <c r="AG2" s="29">
        <v>2049</v>
      </c>
      <c r="AH2" s="29">
        <v>2050</v>
      </c>
      <c r="AI2" s="29">
        <v>2051</v>
      </c>
      <c r="AJ2" s="29">
        <v>2052</v>
      </c>
      <c r="AK2" s="29">
        <v>2053</v>
      </c>
      <c r="AL2" s="29">
        <v>2054</v>
      </c>
      <c r="AM2" s="29">
        <v>2055</v>
      </c>
      <c r="AN2" s="29">
        <v>2056</v>
      </c>
      <c r="AO2" s="29">
        <v>2057</v>
      </c>
      <c r="AP2" s="29">
        <v>2058</v>
      </c>
      <c r="AQ2" s="29">
        <v>2059</v>
      </c>
      <c r="AR2" s="29">
        <v>2060</v>
      </c>
    </row>
    <row r="3" s="27" customFormat="1" spans="1:44">
      <c r="A3" s="26" t="s">
        <v>1016</v>
      </c>
      <c r="B3" s="27">
        <f t="shared" ref="B3:AR3" si="0">B10+B17</f>
        <v>21428.7956711263</v>
      </c>
      <c r="C3" s="27">
        <f t="shared" si="0"/>
        <v>21709.6554108116</v>
      </c>
      <c r="D3" s="27">
        <f t="shared" si="0"/>
        <v>22093.6697092456</v>
      </c>
      <c r="E3" s="27">
        <f t="shared" si="0"/>
        <v>22270.0698019191</v>
      </c>
      <c r="F3" s="27">
        <f t="shared" si="0"/>
        <v>22441.206706334</v>
      </c>
      <c r="G3" s="27">
        <f t="shared" si="0"/>
        <v>22606.9632222264</v>
      </c>
      <c r="H3" s="27">
        <f t="shared" si="0"/>
        <v>22767.23323851</v>
      </c>
      <c r="I3" s="27">
        <f t="shared" si="0"/>
        <v>22921.9234236051</v>
      </c>
      <c r="J3" s="27">
        <f t="shared" si="0"/>
        <v>23070.9524296305</v>
      </c>
      <c r="K3" s="27">
        <f t="shared" si="0"/>
        <v>23214.2532922647</v>
      </c>
      <c r="L3" s="27">
        <f t="shared" si="0"/>
        <v>23351.7726791905</v>
      </c>
      <c r="M3" s="27">
        <f t="shared" si="0"/>
        <v>23483.4725193882</v>
      </c>
      <c r="N3" s="27">
        <f t="shared" si="0"/>
        <v>23609.3305807101</v>
      </c>
      <c r="O3" s="27">
        <f t="shared" si="0"/>
        <v>23729.340905763</v>
      </c>
      <c r="P3" s="27">
        <f t="shared" si="0"/>
        <v>23843.5155928771</v>
      </c>
      <c r="Q3" s="27">
        <f t="shared" si="0"/>
        <v>23951.8843595091</v>
      </c>
      <c r="R3" s="27">
        <f t="shared" si="0"/>
        <v>24054.4965346188</v>
      </c>
      <c r="S3" s="27">
        <f t="shared" si="0"/>
        <v>24151.421273736</v>
      </c>
      <c r="T3" s="27">
        <f t="shared" si="0"/>
        <v>24242.7487906592</v>
      </c>
      <c r="U3" s="27">
        <f t="shared" si="0"/>
        <v>24328.5915785068</v>
      </c>
      <c r="V3" s="27">
        <f t="shared" si="0"/>
        <v>24409.0845019825</v>
      </c>
      <c r="W3" s="27">
        <f t="shared" si="0"/>
        <v>24484.3867473534</v>
      </c>
      <c r="X3" s="27">
        <f t="shared" si="0"/>
        <v>24554.6825799434</v>
      </c>
      <c r="Y3" s="27">
        <f t="shared" si="0"/>
        <v>24620.1825008365</v>
      </c>
      <c r="Z3" s="27">
        <f t="shared" si="0"/>
        <v>24681.123851918</v>
      </c>
      <c r="AA3" s="27">
        <f t="shared" si="0"/>
        <v>24737.772361196</v>
      </c>
      <c r="AB3" s="27">
        <f t="shared" si="0"/>
        <v>24790.4238724757</v>
      </c>
      <c r="AC3" s="27">
        <f t="shared" si="0"/>
        <v>24839.4044750876</v>
      </c>
      <c r="AD3" s="27">
        <f t="shared" si="0"/>
        <v>24885.072029152</v>
      </c>
      <c r="AE3" s="27">
        <f t="shared" si="0"/>
        <v>24927.818623116</v>
      </c>
      <c r="AF3" s="27">
        <f t="shared" si="0"/>
        <v>24968.0701279881</v>
      </c>
      <c r="AG3" s="27">
        <f t="shared" si="0"/>
        <v>25006.2884971285</v>
      </c>
      <c r="AH3" s="27">
        <f t="shared" si="0"/>
        <v>25042.9735658201</v>
      </c>
      <c r="AI3" s="27">
        <f t="shared" si="0"/>
        <v>25078.6630694075</v>
      </c>
      <c r="AJ3" s="27">
        <f t="shared" si="0"/>
        <v>25113.9360823203</v>
      </c>
      <c r="AK3" s="27">
        <f t="shared" si="0"/>
        <v>25149.4122345955</v>
      </c>
      <c r="AL3" s="27">
        <f t="shared" si="0"/>
        <v>25185.7555227168</v>
      </c>
      <c r="AM3" s="27">
        <f t="shared" si="0"/>
        <v>25223.6744855423</v>
      </c>
      <c r="AN3" s="27">
        <f t="shared" si="0"/>
        <v>25263.9241212062</v>
      </c>
      <c r="AO3" s="27">
        <f t="shared" si="0"/>
        <v>25307.3076370507</v>
      </c>
      <c r="AP3" s="27">
        <f t="shared" si="0"/>
        <v>25354.6782493432</v>
      </c>
      <c r="AQ3" s="27">
        <f t="shared" si="0"/>
        <v>25406.9414593221</v>
      </c>
      <c r="AR3" s="27">
        <f t="shared" si="0"/>
        <v>25465.0555853223</v>
      </c>
    </row>
    <row r="4" s="27" customFormat="1" spans="1:44">
      <c r="A4" s="26" t="s">
        <v>1017</v>
      </c>
      <c r="B4" s="27">
        <f t="shared" ref="B4:AR4" si="1">B11+B18</f>
        <v>15291.2914680833</v>
      </c>
      <c r="C4" s="27">
        <f t="shared" si="1"/>
        <v>15607.1320614116</v>
      </c>
      <c r="D4" s="27">
        <f t="shared" si="1"/>
        <v>16024.0795256847</v>
      </c>
      <c r="E4" s="27">
        <f t="shared" si="1"/>
        <v>16237.5340666904</v>
      </c>
      <c r="F4" s="27">
        <f t="shared" si="1"/>
        <v>16445.8298972864</v>
      </c>
      <c r="G4" s="27">
        <f t="shared" si="1"/>
        <v>16648.8521437135</v>
      </c>
      <c r="H4" s="27">
        <f t="shared" si="1"/>
        <v>16846.4968012622</v>
      </c>
      <c r="I4" s="27">
        <f t="shared" si="1"/>
        <v>17038.6723910478</v>
      </c>
      <c r="J4" s="27">
        <f t="shared" si="1"/>
        <v>17225.2991799995</v>
      </c>
      <c r="K4" s="27">
        <f t="shared" si="1"/>
        <v>17406.3115330831</v>
      </c>
      <c r="L4" s="27">
        <f t="shared" si="1"/>
        <v>17581.6571766638</v>
      </c>
      <c r="M4" s="27">
        <f t="shared" si="1"/>
        <v>17751.2987954576</v>
      </c>
      <c r="N4" s="27">
        <f t="shared" si="1"/>
        <v>17915.2145986398</v>
      </c>
      <c r="O4" s="27">
        <f t="shared" si="1"/>
        <v>18073.3987470756</v>
      </c>
      <c r="P4" s="27">
        <f t="shared" si="1"/>
        <v>18225.8630989351</v>
      </c>
      <c r="Q4" s="27">
        <f t="shared" si="1"/>
        <v>18372.6367817634</v>
      </c>
      <c r="R4" s="27">
        <f t="shared" si="1"/>
        <v>18513.7681453071</v>
      </c>
      <c r="S4" s="27">
        <f t="shared" si="1"/>
        <v>18649.3249723118</v>
      </c>
      <c r="T4" s="27">
        <f t="shared" si="1"/>
        <v>18779.3956857711</v>
      </c>
      <c r="U4" s="27">
        <f t="shared" si="1"/>
        <v>18904.090545739</v>
      </c>
      <c r="V4" s="27">
        <f t="shared" si="1"/>
        <v>19023.5417397634</v>
      </c>
      <c r="W4" s="27">
        <f t="shared" si="1"/>
        <v>19137.9052941564</v>
      </c>
      <c r="X4" s="27">
        <f t="shared" si="1"/>
        <v>19247.3618164503</v>
      </c>
      <c r="Y4" s="27">
        <f t="shared" si="1"/>
        <v>19352.1176291404</v>
      </c>
      <c r="Z4" s="27">
        <f t="shared" si="1"/>
        <v>19452.4053627147</v>
      </c>
      <c r="AA4" s="27">
        <f t="shared" si="1"/>
        <v>19548.4854703007</v>
      </c>
      <c r="AB4" s="27">
        <f t="shared" si="1"/>
        <v>19640.6479230036</v>
      </c>
      <c r="AC4" s="27">
        <f t="shared" si="1"/>
        <v>19729.2123370603</v>
      </c>
      <c r="AD4" s="27">
        <f t="shared" si="1"/>
        <v>19814.5294688252</v>
      </c>
      <c r="AE4" s="27">
        <f t="shared" si="1"/>
        <v>19896.9836235247</v>
      </c>
      <c r="AF4" s="27">
        <f t="shared" si="1"/>
        <v>19976.9922183393</v>
      </c>
      <c r="AG4" s="27">
        <f t="shared" si="1"/>
        <v>20055.0080365425</v>
      </c>
      <c r="AH4" s="27">
        <f t="shared" si="1"/>
        <v>20131.5209913486</v>
      </c>
      <c r="AI4" s="27">
        <f t="shared" si="1"/>
        <v>20207.0581436914</v>
      </c>
      <c r="AJ4" s="27">
        <f t="shared" si="1"/>
        <v>20282.1870729815</v>
      </c>
      <c r="AK4" s="27">
        <f t="shared" si="1"/>
        <v>20357.5151091802</v>
      </c>
      <c r="AL4" s="27">
        <f t="shared" si="1"/>
        <v>20433.6930679915</v>
      </c>
      <c r="AM4" s="27">
        <f t="shared" si="1"/>
        <v>20511.4154232977</v>
      </c>
      <c r="AN4" s="27">
        <f t="shared" si="1"/>
        <v>20591.4221860092</v>
      </c>
      <c r="AO4" s="27">
        <f t="shared" si="1"/>
        <v>20674.5006192587</v>
      </c>
      <c r="AP4" s="27">
        <f t="shared" si="1"/>
        <v>20761.4870023935</v>
      </c>
      <c r="AQ4" s="27">
        <f t="shared" si="1"/>
        <v>20853.2688618393</v>
      </c>
      <c r="AR4" s="27">
        <f t="shared" si="1"/>
        <v>20950.7854926635</v>
      </c>
    </row>
    <row r="5" s="27" customFormat="1" spans="1:44">
      <c r="A5" s="26" t="s">
        <v>1018</v>
      </c>
      <c r="B5" s="27">
        <f t="shared" ref="B5:AR5" si="2">B12+B19</f>
        <v>11819.9426610011</v>
      </c>
      <c r="C5" s="27">
        <f t="shared" si="2"/>
        <v>11736.021068108</v>
      </c>
      <c r="D5" s="27">
        <f t="shared" si="2"/>
        <v>11403.7386533464</v>
      </c>
      <c r="E5" s="27">
        <f t="shared" si="2"/>
        <v>11191.6059442164</v>
      </c>
      <c r="F5" s="27">
        <f t="shared" si="2"/>
        <v>11157.8824474506</v>
      </c>
      <c r="G5" s="27">
        <f t="shared" si="2"/>
        <v>11119.2139887902</v>
      </c>
      <c r="H5" s="27">
        <f t="shared" si="2"/>
        <v>11075.6900372352</v>
      </c>
      <c r="I5" s="27">
        <f t="shared" si="2"/>
        <v>11027.4068133403</v>
      </c>
      <c r="J5" s="27">
        <f t="shared" si="2"/>
        <v>10974.4665059952</v>
      </c>
      <c r="K5" s="27">
        <f t="shared" si="2"/>
        <v>10916.9778075747</v>
      </c>
      <c r="L5" s="27">
        <f t="shared" si="2"/>
        <v>10855.0551200054</v>
      </c>
      <c r="M5" s="27">
        <f t="shared" si="2"/>
        <v>10788.8187200202</v>
      </c>
      <c r="N5" s="27">
        <f t="shared" si="2"/>
        <v>10718.3944677404</v>
      </c>
      <c r="O5" s="27">
        <f t="shared" si="2"/>
        <v>10643.9134481344</v>
      </c>
      <c r="P5" s="27">
        <f t="shared" si="2"/>
        <v>10565.5120979353</v>
      </c>
      <c r="Q5" s="27">
        <f t="shared" si="2"/>
        <v>10483.3314724235</v>
      </c>
      <c r="R5" s="27">
        <f t="shared" si="2"/>
        <v>10399.4098795304</v>
      </c>
      <c r="S5" s="27">
        <f t="shared" si="2"/>
        <v>10312.0246411152</v>
      </c>
      <c r="T5" s="27">
        <f t="shared" si="2"/>
        <v>10218.2640696259</v>
      </c>
      <c r="U5" s="27">
        <f t="shared" si="2"/>
        <v>10118.4102482297</v>
      </c>
      <c r="V5" s="27">
        <f t="shared" si="2"/>
        <v>10012.7522789649</v>
      </c>
      <c r="W5" s="27">
        <f t="shared" si="2"/>
        <v>9901.58513116977</v>
      </c>
      <c r="X5" s="27">
        <f t="shared" si="2"/>
        <v>9785.2096003413</v>
      </c>
      <c r="Y5" s="27">
        <f t="shared" si="2"/>
        <v>9663.93146393426</v>
      </c>
      <c r="Z5" s="27">
        <f t="shared" si="2"/>
        <v>9538.06083411684</v>
      </c>
      <c r="AA5" s="27">
        <f t="shared" si="2"/>
        <v>9407.91114805613</v>
      </c>
      <c r="AB5" s="27">
        <f t="shared" si="2"/>
        <v>9273.79865292089</v>
      </c>
      <c r="AC5" s="27">
        <f t="shared" si="2"/>
        <v>9136.04190926194</v>
      </c>
      <c r="AD5" s="27">
        <f t="shared" si="2"/>
        <v>8994.96036818083</v>
      </c>
      <c r="AE5" s="27">
        <f t="shared" si="2"/>
        <v>8850.87367949664</v>
      </c>
      <c r="AF5" s="27">
        <f t="shared" si="2"/>
        <v>8704.10139158222</v>
      </c>
      <c r="AG5" s="27">
        <f t="shared" si="2"/>
        <v>8554.96109629092</v>
      </c>
      <c r="AH5" s="27">
        <f t="shared" si="2"/>
        <v>8403.76794545473</v>
      </c>
      <c r="AI5" s="27">
        <f t="shared" si="2"/>
        <v>8250.83381235496</v>
      </c>
      <c r="AJ5" s="27">
        <f t="shared" si="2"/>
        <v>8096.46555297095</v>
      </c>
      <c r="AK5" s="27">
        <f t="shared" si="2"/>
        <v>7940.96482350138</v>
      </c>
      <c r="AL5" s="27">
        <f t="shared" si="2"/>
        <v>7784.62586992561</v>
      </c>
      <c r="AM5" s="27">
        <f t="shared" si="2"/>
        <v>7627.73535314819</v>
      </c>
      <c r="AN5" s="27">
        <f t="shared" si="2"/>
        <v>7470.5704592722</v>
      </c>
      <c r="AO5" s="27">
        <f t="shared" si="2"/>
        <v>7313.3977373316</v>
      </c>
      <c r="AP5" s="27">
        <f t="shared" si="2"/>
        <v>7156.47178649718</v>
      </c>
      <c r="AQ5" s="27">
        <f t="shared" si="2"/>
        <v>7000.03388979685</v>
      </c>
      <c r="AR5" s="27">
        <f t="shared" si="2"/>
        <v>6844.31075152924</v>
      </c>
    </row>
    <row r="6" s="27" customFormat="1" spans="1:44">
      <c r="A6" s="26" t="s">
        <v>1019</v>
      </c>
      <c r="B6" s="27">
        <f t="shared" ref="B6:AR6" si="3">B13+B20</f>
        <v>9051.90239596651</v>
      </c>
      <c r="C6" s="27">
        <f t="shared" si="3"/>
        <v>8987.63388895515</v>
      </c>
      <c r="D6" s="27">
        <f t="shared" si="3"/>
        <v>9207.53209911338</v>
      </c>
      <c r="E6" s="27">
        <f t="shared" si="3"/>
        <v>9323.20372097091</v>
      </c>
      <c r="F6" s="27">
        <f t="shared" si="3"/>
        <v>9435.5112752378</v>
      </c>
      <c r="G6" s="27">
        <f t="shared" si="3"/>
        <v>9544.4342036382</v>
      </c>
      <c r="H6" s="27">
        <f t="shared" si="3"/>
        <v>9649.95710964523</v>
      </c>
      <c r="I6" s="27">
        <f t="shared" si="3"/>
        <v>9752.07114386152</v>
      </c>
      <c r="J6" s="27">
        <f t="shared" si="3"/>
        <v>9850.7729544456</v>
      </c>
      <c r="K6" s="27">
        <f t="shared" si="3"/>
        <v>9946.0658221243</v>
      </c>
      <c r="L6" s="27">
        <f t="shared" si="3"/>
        <v>10037.9596874226</v>
      </c>
      <c r="M6" s="27">
        <f t="shared" si="3"/>
        <v>10126.4713972404</v>
      </c>
      <c r="N6" s="27">
        <f t="shared" si="3"/>
        <v>10211.6250720121</v>
      </c>
      <c r="O6" s="27">
        <f t="shared" si="3"/>
        <v>10293.4523689887</v>
      </c>
      <c r="P6" s="27">
        <f t="shared" si="3"/>
        <v>10371.9931339985</v>
      </c>
      <c r="Q6" s="27">
        <f t="shared" si="3"/>
        <v>10447.2950861553</v>
      </c>
      <c r="R6" s="27">
        <f t="shared" si="3"/>
        <v>10519.4149139948</v>
      </c>
      <c r="S6" s="27">
        <f t="shared" si="3"/>
        <v>10588.4182745747</v>
      </c>
      <c r="T6" s="27">
        <f t="shared" si="3"/>
        <v>10654.3799480953</v>
      </c>
      <c r="U6" s="27">
        <f t="shared" si="3"/>
        <v>10717.3847190317</v>
      </c>
      <c r="V6" s="27">
        <f t="shared" si="3"/>
        <v>10777.5272488304</v>
      </c>
      <c r="W6" s="27">
        <f t="shared" si="3"/>
        <v>10834.9127982632</v>
      </c>
      <c r="X6" s="27">
        <f t="shared" si="3"/>
        <v>10889.6576772658</v>
      </c>
      <c r="Y6" s="27">
        <f t="shared" si="3"/>
        <v>10941.8897246002</v>
      </c>
      <c r="Z6" s="27">
        <f t="shared" si="3"/>
        <v>10991.7481639179</v>
      </c>
      <c r="AA6" s="27">
        <f t="shared" si="3"/>
        <v>11039.3847582706</v>
      </c>
      <c r="AB6" s="27">
        <f t="shared" si="3"/>
        <v>11084.9639690202</v>
      </c>
      <c r="AC6" s="27">
        <f t="shared" si="3"/>
        <v>11128.6635300298</v>
      </c>
      <c r="AD6" s="27">
        <f t="shared" si="3"/>
        <v>11170.674340672</v>
      </c>
      <c r="AE6" s="27">
        <f t="shared" si="3"/>
        <v>11211.2023194106</v>
      </c>
      <c r="AF6" s="27">
        <f t="shared" si="3"/>
        <v>11250.4674440818</v>
      </c>
      <c r="AG6" s="27">
        <f t="shared" si="3"/>
        <v>11288.7051792606</v>
      </c>
      <c r="AH6" s="27">
        <f t="shared" si="3"/>
        <v>11326.1668533905</v>
      </c>
      <c r="AI6" s="27">
        <f t="shared" si="3"/>
        <v>11363.1194448133</v>
      </c>
      <c r="AJ6" s="27">
        <f t="shared" si="3"/>
        <v>11399.8479001295</v>
      </c>
      <c r="AK6" s="27">
        <f t="shared" si="3"/>
        <v>11436.6536980165</v>
      </c>
      <c r="AL6" s="27">
        <f t="shared" si="3"/>
        <v>11473.8568863244</v>
      </c>
      <c r="AM6" s="27">
        <f t="shared" si="3"/>
        <v>11511.7962360752</v>
      </c>
      <c r="AN6" s="27">
        <f t="shared" si="3"/>
        <v>11550.8293430383</v>
      </c>
      <c r="AO6" s="27">
        <f t="shared" si="3"/>
        <v>11591.3342666654</v>
      </c>
      <c r="AP6" s="27">
        <f t="shared" si="3"/>
        <v>11633.7093290905</v>
      </c>
      <c r="AQ6" s="27">
        <f t="shared" si="3"/>
        <v>11678.3748946876</v>
      </c>
      <c r="AR6" s="27">
        <f t="shared" si="3"/>
        <v>11725.7725624179</v>
      </c>
    </row>
    <row r="7" s="27" customFormat="1" spans="1:44">
      <c r="A7" s="26" t="s">
        <v>1020</v>
      </c>
      <c r="B7" s="27">
        <f t="shared" ref="B7:AR7" si="4">B14+B21</f>
        <v>4065.12621689579</v>
      </c>
      <c r="C7" s="27">
        <f t="shared" si="4"/>
        <v>4274.98416404959</v>
      </c>
      <c r="D7" s="27">
        <f t="shared" si="4"/>
        <v>4537.28217285431</v>
      </c>
      <c r="E7" s="27">
        <f t="shared" si="4"/>
        <v>4689.55027808197</v>
      </c>
      <c r="F7" s="27">
        <f t="shared" si="4"/>
        <v>4838.91672521951</v>
      </c>
      <c r="G7" s="27">
        <f t="shared" si="4"/>
        <v>4985.31690037192</v>
      </c>
      <c r="H7" s="27">
        <f t="shared" si="4"/>
        <v>5128.69230323918</v>
      </c>
      <c r="I7" s="27">
        <f t="shared" si="4"/>
        <v>5268.99147901476</v>
      </c>
      <c r="J7" s="27">
        <f t="shared" si="4"/>
        <v>5406.16957964731</v>
      </c>
      <c r="K7" s="27">
        <f t="shared" si="4"/>
        <v>5540.18968691241</v>
      </c>
      <c r="L7" s="27">
        <f t="shared" si="4"/>
        <v>5671.02239807128</v>
      </c>
      <c r="M7" s="27">
        <f t="shared" si="4"/>
        <v>5798.64672411933</v>
      </c>
      <c r="N7" s="27">
        <f t="shared" si="4"/>
        <v>5923.05040820994</v>
      </c>
      <c r="O7" s="27">
        <f t="shared" si="4"/>
        <v>6044.23016596164</v>
      </c>
      <c r="P7" s="27">
        <f t="shared" si="4"/>
        <v>6162.19266732724</v>
      </c>
      <c r="Q7" s="27">
        <f t="shared" si="4"/>
        <v>6276.95429589302</v>
      </c>
      <c r="R7" s="27">
        <f t="shared" si="4"/>
        <v>6388.5422472994</v>
      </c>
      <c r="S7" s="27">
        <f t="shared" si="4"/>
        <v>6496.99464780986</v>
      </c>
      <c r="T7" s="27">
        <f t="shared" si="4"/>
        <v>6602.36123336115</v>
      </c>
      <c r="U7" s="27">
        <f t="shared" si="4"/>
        <v>6704.70402274326</v>
      </c>
      <c r="V7" s="27">
        <f t="shared" si="4"/>
        <v>6804.09736846631</v>
      </c>
      <c r="W7" s="27">
        <f t="shared" si="4"/>
        <v>6900.62903180682</v>
      </c>
      <c r="X7" s="27">
        <f t="shared" si="4"/>
        <v>6994.40060042248</v>
      </c>
      <c r="Y7" s="27">
        <f t="shared" si="4"/>
        <v>7085.52812605685</v>
      </c>
      <c r="Z7" s="27">
        <f t="shared" si="4"/>
        <v>7174.14245810524</v>
      </c>
      <c r="AA7" s="27">
        <f t="shared" si="4"/>
        <v>7260.39009556922</v>
      </c>
      <c r="AB7" s="27">
        <f t="shared" si="4"/>
        <v>7344.43414064616</v>
      </c>
      <c r="AC7" s="27">
        <f t="shared" si="4"/>
        <v>7426.45437025039</v>
      </c>
      <c r="AD7" s="27">
        <f t="shared" si="4"/>
        <v>7506.64807690908</v>
      </c>
      <c r="AE7" s="27">
        <f t="shared" si="4"/>
        <v>7585.23142363203</v>
      </c>
      <c r="AF7" s="27">
        <f t="shared" si="4"/>
        <v>7662.43919815548</v>
      </c>
      <c r="AG7" s="27">
        <f t="shared" si="4"/>
        <v>7738.52608084413</v>
      </c>
      <c r="AH7" s="27">
        <f t="shared" si="4"/>
        <v>7813.76763681577</v>
      </c>
      <c r="AI7" s="27">
        <f t="shared" si="4"/>
        <v>7888.46032594146</v>
      </c>
      <c r="AJ7" s="27">
        <f t="shared" si="4"/>
        <v>7962.92339882017</v>
      </c>
      <c r="AK7" s="27">
        <f t="shared" si="4"/>
        <v>8037.49846483789</v>
      </c>
      <c r="AL7" s="27">
        <f t="shared" si="4"/>
        <v>8112.55159312876</v>
      </c>
      <c r="AM7" s="27">
        <f t="shared" si="4"/>
        <v>8188.47340956609</v>
      </c>
      <c r="AN7" s="27">
        <f t="shared" si="4"/>
        <v>8265.68015357289</v>
      </c>
      <c r="AO7" s="27">
        <f t="shared" si="4"/>
        <v>8344.61464288021</v>
      </c>
      <c r="AP7" s="27">
        <f t="shared" si="4"/>
        <v>8425.74726573246</v>
      </c>
      <c r="AQ7" s="27">
        <f t="shared" si="4"/>
        <v>8509.5772356984</v>
      </c>
      <c r="AR7" s="27">
        <f t="shared" si="4"/>
        <v>8596.63288503839</v>
      </c>
    </row>
    <row r="8" s="6" customFormat="1" spans="1:44">
      <c r="A8" s="14"/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</row>
    <row r="9" s="26" customFormat="1" spans="1:44">
      <c r="A9" s="26" t="s">
        <v>1021</v>
      </c>
      <c r="B9" s="29">
        <v>2018</v>
      </c>
      <c r="C9" s="29">
        <v>2019</v>
      </c>
      <c r="D9" s="29">
        <v>2020</v>
      </c>
      <c r="E9" s="29">
        <v>2021</v>
      </c>
      <c r="F9" s="29">
        <v>2022</v>
      </c>
      <c r="G9" s="29">
        <v>2023</v>
      </c>
      <c r="H9" s="29">
        <v>2024</v>
      </c>
      <c r="I9" s="29">
        <v>2025</v>
      </c>
      <c r="J9" s="29">
        <v>2026</v>
      </c>
      <c r="K9" s="29">
        <v>2027</v>
      </c>
      <c r="L9" s="29">
        <v>2028</v>
      </c>
      <c r="M9" s="29">
        <v>2029</v>
      </c>
      <c r="N9" s="29">
        <v>2030</v>
      </c>
      <c r="O9" s="29">
        <v>2031</v>
      </c>
      <c r="P9" s="29">
        <v>2032</v>
      </c>
      <c r="Q9" s="29">
        <v>2033</v>
      </c>
      <c r="R9" s="29">
        <v>2034</v>
      </c>
      <c r="S9" s="29">
        <v>2035</v>
      </c>
      <c r="T9" s="29">
        <v>2036</v>
      </c>
      <c r="U9" s="29">
        <v>2037</v>
      </c>
      <c r="V9" s="29">
        <v>2038</v>
      </c>
      <c r="W9" s="29">
        <v>2039</v>
      </c>
      <c r="X9" s="29">
        <v>2040</v>
      </c>
      <c r="Y9" s="29">
        <v>2041</v>
      </c>
      <c r="Z9" s="29">
        <v>2042</v>
      </c>
      <c r="AA9" s="29">
        <v>2043</v>
      </c>
      <c r="AB9" s="29">
        <v>2044</v>
      </c>
      <c r="AC9" s="29">
        <v>2045</v>
      </c>
      <c r="AD9" s="29">
        <v>2046</v>
      </c>
      <c r="AE9" s="29">
        <v>2047</v>
      </c>
      <c r="AF9" s="29">
        <v>2048</v>
      </c>
      <c r="AG9" s="29">
        <v>2049</v>
      </c>
      <c r="AH9" s="29">
        <v>2050</v>
      </c>
      <c r="AI9" s="29">
        <v>2051</v>
      </c>
      <c r="AJ9" s="29">
        <v>2052</v>
      </c>
      <c r="AK9" s="29">
        <v>2053</v>
      </c>
      <c r="AL9" s="29">
        <v>2054</v>
      </c>
      <c r="AM9" s="29">
        <v>2055</v>
      </c>
      <c r="AN9" s="29">
        <v>2056</v>
      </c>
      <c r="AO9" s="29">
        <v>2057</v>
      </c>
      <c r="AP9" s="29">
        <v>2058</v>
      </c>
      <c r="AQ9" s="29">
        <v>2059</v>
      </c>
      <c r="AR9" s="29">
        <v>2060</v>
      </c>
    </row>
    <row r="10" s="27" customFormat="1" spans="1:44">
      <c r="A10" s="26" t="s">
        <v>1016</v>
      </c>
      <c r="B10" s="27">
        <f>BAU建筑面积计算!B25*$D$26/1000</f>
        <v>21428.7956711263</v>
      </c>
      <c r="C10" s="27">
        <f>BAU建筑面积计算!C25*$D$26/1000</f>
        <v>21276.6512218613</v>
      </c>
      <c r="D10" s="27">
        <f>BAU建筑面积计算!D25*$D$26/1000</f>
        <v>21124.5067725963</v>
      </c>
      <c r="E10" s="27">
        <f>BAU建筑面积计算!E25*$D$26/1000</f>
        <v>20972.3623233313</v>
      </c>
      <c r="F10" s="27">
        <f>BAU建筑面积计算!F25*$D$26/1000</f>
        <v>20820.2178740663</v>
      </c>
      <c r="G10" s="27">
        <f>BAU建筑面积计算!G25*$D$26/1000</f>
        <v>20668.0734248013</v>
      </c>
      <c r="H10" s="27">
        <f>BAU建筑面积计算!H25*$D$26/1000</f>
        <v>20515.9289755363</v>
      </c>
      <c r="I10" s="27">
        <f>BAU建筑面积计算!I25*$D$26/1000</f>
        <v>20363.7845262713</v>
      </c>
      <c r="J10" s="27">
        <f>BAU建筑面积计算!J25*$D$26/1000</f>
        <v>20211.6400770063</v>
      </c>
      <c r="K10" s="27">
        <f>BAU建筑面积计算!K25*$D$26/1000</f>
        <v>20059.4956277413</v>
      </c>
      <c r="L10" s="27">
        <f>BAU建筑面积计算!L25*$D$26/1000</f>
        <v>19907.3511784763</v>
      </c>
      <c r="M10" s="27">
        <f>BAU建筑面积计算!M25*$D$26/1000</f>
        <v>19755.2067292113</v>
      </c>
      <c r="N10" s="27">
        <f>BAU建筑面积计算!N25*$D$26/1000</f>
        <v>19603.0622799463</v>
      </c>
      <c r="O10" s="27">
        <f>BAU建筑面积计算!O25*$D$26/1000</f>
        <v>19450.9178306813</v>
      </c>
      <c r="P10" s="27">
        <f>BAU建筑面积计算!P25*$D$26/1000</f>
        <v>19298.7733814163</v>
      </c>
      <c r="Q10" s="27">
        <f>BAU建筑面积计算!Q25*$D$26/1000</f>
        <v>19146.6289321513</v>
      </c>
      <c r="R10" s="27">
        <f>BAU建筑面积计算!R25*$D$26/1000</f>
        <v>18994.4844828863</v>
      </c>
      <c r="S10" s="27">
        <f>BAU建筑面积计算!S25*$D$26/1000</f>
        <v>18842.3400336213</v>
      </c>
      <c r="T10" s="27">
        <f>BAU建筑面积计算!T25*$D$26/1000</f>
        <v>18690.1955843563</v>
      </c>
      <c r="U10" s="27">
        <f>BAU建筑面积计算!U25*$D$26/1000</f>
        <v>18538.0511350914</v>
      </c>
      <c r="V10" s="27">
        <f>BAU建筑面积计算!V25*$D$26/1000</f>
        <v>18385.9066858264</v>
      </c>
      <c r="W10" s="27">
        <f>BAU建筑面积计算!W25*$D$26/1000</f>
        <v>18233.7622365614</v>
      </c>
      <c r="X10" s="27">
        <f>BAU建筑面积计算!X25*$D$26/1000</f>
        <v>18081.6177872964</v>
      </c>
      <c r="Y10" s="27">
        <f>BAU建筑面积计算!Y25*$D$26/1000</f>
        <v>17929.4733380314</v>
      </c>
      <c r="Z10" s="27">
        <f>BAU建筑面积计算!Z25*$D$26/1000</f>
        <v>17777.3288887664</v>
      </c>
      <c r="AA10" s="27">
        <f>BAU建筑面积计算!AA25*$D$26/1000</f>
        <v>17625.1844395014</v>
      </c>
      <c r="AB10" s="27">
        <f>BAU建筑面积计算!AB25*$D$26/1000</f>
        <v>17473.0399902364</v>
      </c>
      <c r="AC10" s="27">
        <f>BAU建筑面积计算!AC25*$D$26/1000</f>
        <v>17320.8955409714</v>
      </c>
      <c r="AD10" s="27">
        <f>BAU建筑面积计算!AD25*$D$26/1000</f>
        <v>17168.7510917064</v>
      </c>
      <c r="AE10" s="27">
        <f>BAU建筑面积计算!AE25*$D$26/1000</f>
        <v>17016.6066424414</v>
      </c>
      <c r="AF10" s="27">
        <f>BAU建筑面积计算!AF25*$D$26/1000</f>
        <v>16864.4621931764</v>
      </c>
      <c r="AG10" s="27">
        <f>BAU建筑面积计算!AG25*$D$26/1000</f>
        <v>16712.3177439114</v>
      </c>
      <c r="AH10" s="27">
        <f>BAU建筑面积计算!AH25*$D$26/1000</f>
        <v>16560.1732946464</v>
      </c>
      <c r="AI10" s="27">
        <f>BAU建筑面积计算!AI25*$D$26/1000</f>
        <v>16408.0288453814</v>
      </c>
      <c r="AJ10" s="27">
        <f>BAU建筑面积计算!AJ25*$D$26/1000</f>
        <v>16255.8843961164</v>
      </c>
      <c r="AK10" s="27">
        <f>BAU建筑面积计算!AK25*$D$26/1000</f>
        <v>16103.7399468514</v>
      </c>
      <c r="AL10" s="27">
        <f>BAU建筑面积计算!AL25*$D$26/1000</f>
        <v>15951.5954975864</v>
      </c>
      <c r="AM10" s="27">
        <f>BAU建筑面积计算!AM25*$D$26/1000</f>
        <v>15799.4510483214</v>
      </c>
      <c r="AN10" s="27">
        <f>BAU建筑面积计算!AN25*$D$26/1000</f>
        <v>15647.3065990564</v>
      </c>
      <c r="AO10" s="27">
        <f>BAU建筑面积计算!AO25*$D$26/1000</f>
        <v>15495.1621497914</v>
      </c>
      <c r="AP10" s="27">
        <f>BAU建筑面积计算!AP25*$D$26/1000</f>
        <v>15343.0177005264</v>
      </c>
      <c r="AQ10" s="27">
        <f>BAU建筑面积计算!AQ25*$D$26/1000</f>
        <v>15190.8732512614</v>
      </c>
      <c r="AR10" s="27">
        <f>BAU建筑面积计算!AR25*$D$26/1000</f>
        <v>15038.7288019964</v>
      </c>
    </row>
    <row r="11" s="27" customFormat="1" spans="1:44">
      <c r="A11" s="26" t="s">
        <v>1017</v>
      </c>
      <c r="B11" s="27">
        <f>BAU建筑面积计算!B9*$D$27/1000</f>
        <v>15291.2914680833</v>
      </c>
      <c r="C11" s="27">
        <f>BAU建筑面积计算!C9*$D$27/1000</f>
        <v>15182.7232986599</v>
      </c>
      <c r="D11" s="27">
        <f>BAU建筑面积计算!D9*$D$27/1000</f>
        <v>15074.1551292365</v>
      </c>
      <c r="E11" s="27">
        <f>BAU建筑面积计算!E9*$D$27/1000</f>
        <v>14965.5869598131</v>
      </c>
      <c r="F11" s="27">
        <f>BAU建筑面积计算!F9*$D$27/1000</f>
        <v>14857.0187903897</v>
      </c>
      <c r="G11" s="27">
        <f>BAU建筑面积计算!G9*$D$27/1000</f>
        <v>14748.4506209663</v>
      </c>
      <c r="H11" s="27">
        <f>BAU建筑面积计算!H9*$D$27/1000</f>
        <v>14639.8824515429</v>
      </c>
      <c r="I11" s="27">
        <f>BAU建筑面积计算!I9*$D$27/1000</f>
        <v>14531.3142821196</v>
      </c>
      <c r="J11" s="27">
        <f>BAU建筑面积计算!J9*$D$27/1000</f>
        <v>14422.7461126962</v>
      </c>
      <c r="K11" s="27">
        <f>BAU建筑面积计算!K9*$D$27/1000</f>
        <v>14314.1779432728</v>
      </c>
      <c r="L11" s="27">
        <f>BAU建筑面积计算!L9*$D$27/1000</f>
        <v>14205.6097738494</v>
      </c>
      <c r="M11" s="27">
        <f>BAU建筑面积计算!M9*$D$27/1000</f>
        <v>14097.041604426</v>
      </c>
      <c r="N11" s="27">
        <f>BAU建筑面积计算!N9*$D$27/1000</f>
        <v>13988.4734350026</v>
      </c>
      <c r="O11" s="27">
        <f>BAU建筑面积计算!O9*$D$27/1000</f>
        <v>13879.9052655792</v>
      </c>
      <c r="P11" s="27">
        <f>BAU建筑面积计算!P9*$D$27/1000</f>
        <v>13771.3370961558</v>
      </c>
      <c r="Q11" s="27">
        <f>BAU建筑面积计算!Q9*$D$27/1000</f>
        <v>13662.7689267324</v>
      </c>
      <c r="R11" s="27">
        <f>BAU建筑面积计算!R9*$D$27/1000</f>
        <v>13554.200757309</v>
      </c>
      <c r="S11" s="27">
        <f>BAU建筑面积计算!S9*$D$27/1000</f>
        <v>13445.6325878856</v>
      </c>
      <c r="T11" s="27">
        <f>BAU建筑面积计算!T9*$D$27/1000</f>
        <v>13337.0644184623</v>
      </c>
      <c r="U11" s="27">
        <f>BAU建筑面积计算!U9*$D$27/1000</f>
        <v>13228.4962490389</v>
      </c>
      <c r="V11" s="27">
        <f>BAU建筑面积计算!V9*$D$27/1000</f>
        <v>13119.9280796155</v>
      </c>
      <c r="W11" s="27">
        <f>BAU建筑面积计算!W9*$D$27/1000</f>
        <v>13011.3599101921</v>
      </c>
      <c r="X11" s="27">
        <f>BAU建筑面积计算!X9*$D$27/1000</f>
        <v>12902.7917407687</v>
      </c>
      <c r="Y11" s="27">
        <f>BAU建筑面积计算!Y9*$D$27/1000</f>
        <v>12794.2235713453</v>
      </c>
      <c r="Z11" s="27">
        <f>BAU建筑面积计算!Z9*$D$27/1000</f>
        <v>12685.6554019219</v>
      </c>
      <c r="AA11" s="27">
        <f>BAU建筑面积计算!AA9*$D$27/1000</f>
        <v>12577.0872324985</v>
      </c>
      <c r="AB11" s="27">
        <f>BAU建筑面积计算!AB9*$D$27/1000</f>
        <v>12468.5190630751</v>
      </c>
      <c r="AC11" s="27">
        <f>BAU建筑面积计算!AC9*$D$27/1000</f>
        <v>12359.9508936517</v>
      </c>
      <c r="AD11" s="27">
        <f>BAU建筑面积计算!AD9*$D$27/1000</f>
        <v>12251.3827242283</v>
      </c>
      <c r="AE11" s="27">
        <f>BAU建筑面积计算!AE9*$D$27/1000</f>
        <v>12142.8145548049</v>
      </c>
      <c r="AF11" s="27">
        <f>BAU建筑面积计算!AF9*$D$27/1000</f>
        <v>12034.2463853816</v>
      </c>
      <c r="AG11" s="27">
        <f>BAU建筑面积计算!AG9*$D$27/1000</f>
        <v>11925.6782159582</v>
      </c>
      <c r="AH11" s="27">
        <f>BAU建筑面积计算!AH9*$D$27/1000</f>
        <v>11817.1100465348</v>
      </c>
      <c r="AI11" s="27">
        <f>BAU建筑面积计算!AI9*$D$27/1000</f>
        <v>11708.5418771114</v>
      </c>
      <c r="AJ11" s="27">
        <f>BAU建筑面积计算!AJ9*$D$27/1000</f>
        <v>11599.973707688</v>
      </c>
      <c r="AK11" s="27">
        <f>BAU建筑面积计算!AK9*$D$27/1000</f>
        <v>11491.4055382646</v>
      </c>
      <c r="AL11" s="27">
        <f>BAU建筑面积计算!AL9*$D$27/1000</f>
        <v>11382.8373688412</v>
      </c>
      <c r="AM11" s="27">
        <f>BAU建筑面积计算!AM9*$D$27/1000</f>
        <v>11274.2691994178</v>
      </c>
      <c r="AN11" s="27">
        <f>BAU建筑面积计算!AN9*$D$27/1000</f>
        <v>11165.7010299944</v>
      </c>
      <c r="AO11" s="27">
        <f>BAU建筑面积计算!AO9*$D$27/1000</f>
        <v>11057.132860571</v>
      </c>
      <c r="AP11" s="27">
        <f>BAU建筑面积计算!AP9*$D$27/1000</f>
        <v>10948.5646911476</v>
      </c>
      <c r="AQ11" s="27">
        <f>BAU建筑面积计算!AQ9*$D$27/1000</f>
        <v>10839.9965217242</v>
      </c>
      <c r="AR11" s="27">
        <f>BAU建筑面积计算!AR9*$D$27/1000</f>
        <v>10731.4283523009</v>
      </c>
    </row>
    <row r="12" s="27" customFormat="1" spans="1:44">
      <c r="A12" s="26" t="s">
        <v>1018</v>
      </c>
      <c r="B12" s="27">
        <f>BAU建筑面积计算!B17*$D$28/1000</f>
        <v>11819.9426610011</v>
      </c>
      <c r="C12" s="27">
        <f>BAU建筑面积计算!C17*$D$28/1000</f>
        <v>11736.021068108</v>
      </c>
      <c r="D12" s="27">
        <f>BAU建筑面积计算!D17*$D$28/1000</f>
        <v>11403.7386533464</v>
      </c>
      <c r="E12" s="27">
        <f>BAU建筑面积计算!E17*$D$28/1000</f>
        <v>11136.3798786708</v>
      </c>
      <c r="F12" s="27">
        <f>BAU建筑面积计算!F17*$D$28/1000</f>
        <v>11052.4582857777</v>
      </c>
      <c r="G12" s="27">
        <f>BAU建筑面积计算!G17*$D$28/1000</f>
        <v>10968.5366928846</v>
      </c>
      <c r="H12" s="27">
        <f>BAU建筑面积计算!H17*$D$28/1000</f>
        <v>10884.6150999914</v>
      </c>
      <c r="I12" s="27">
        <f>BAU建筑面积计算!I17*$D$28/1000</f>
        <v>10800.6935070983</v>
      </c>
      <c r="J12" s="27">
        <f>BAU建筑面积计算!J17*$D$28/1000</f>
        <v>10716.7719142052</v>
      </c>
      <c r="K12" s="27">
        <f>BAU建筑面积计算!K17*$D$28/1000</f>
        <v>10632.8503213121</v>
      </c>
      <c r="L12" s="27">
        <f>BAU建筑面积计算!L17*$D$28/1000</f>
        <v>10548.928728419</v>
      </c>
      <c r="M12" s="27">
        <f>BAU建筑面积计算!M17*$D$28/1000</f>
        <v>10465.0071355259</v>
      </c>
      <c r="N12" s="27">
        <f>BAU建筑面积计算!N17*$D$28/1000</f>
        <v>10381.0855426328</v>
      </c>
      <c r="O12" s="27">
        <f>BAU建筑面积计算!O17*$D$28/1000</f>
        <v>10297.1639497397</v>
      </c>
      <c r="P12" s="27">
        <f>BAU建筑面积计算!P17*$D$28/1000</f>
        <v>10213.2423568466</v>
      </c>
      <c r="Q12" s="27">
        <f>BAU建筑面积计算!Q17*$D$28/1000</f>
        <v>10129.3207639535</v>
      </c>
      <c r="R12" s="27">
        <f>BAU建筑面积计算!R17*$D$28/1000</f>
        <v>10045.3991710604</v>
      </c>
      <c r="S12" s="27">
        <f>BAU建筑面积计算!S17*$D$28/1000</f>
        <v>9958.01393264515</v>
      </c>
      <c r="T12" s="27">
        <f>BAU建筑面积计算!T17*$D$28/1000</f>
        <v>9864.25336115587</v>
      </c>
      <c r="U12" s="27">
        <f>BAU建筑面积计算!U17*$D$28/1000</f>
        <v>9764.39953975968</v>
      </c>
      <c r="V12" s="27">
        <f>BAU建筑面积计算!V17*$D$28/1000</f>
        <v>9658.74157049489</v>
      </c>
      <c r="W12" s="27">
        <f>BAU建筑面积计算!W17*$D$28/1000</f>
        <v>9547.57442269973</v>
      </c>
      <c r="X12" s="27">
        <f>BAU建筑面积计算!X17*$D$28/1000</f>
        <v>9431.19889187126</v>
      </c>
      <c r="Y12" s="27">
        <f>BAU建筑面积计算!Y17*$D$28/1000</f>
        <v>9309.92075546422</v>
      </c>
      <c r="Z12" s="27">
        <f>BAU建筑面积计算!Z17*$D$28/1000</f>
        <v>9184.05012564681</v>
      </c>
      <c r="AA12" s="27">
        <f>BAU建筑面积计算!AA17*$D$28/1000</f>
        <v>9053.90043958609</v>
      </c>
      <c r="AB12" s="27">
        <f>BAU建筑面积计算!AB17*$D$28/1000</f>
        <v>8919.78794445085</v>
      </c>
      <c r="AC12" s="27">
        <f>BAU建筑面积计算!AC17*$D$28/1000</f>
        <v>8782.0312007919</v>
      </c>
      <c r="AD12" s="27">
        <f>BAU建筑面积计算!AD17*$D$28/1000</f>
        <v>8640.9496597108</v>
      </c>
      <c r="AE12" s="27">
        <f>BAU建筑面积计算!AE17*$D$28/1000</f>
        <v>8496.8629710266</v>
      </c>
      <c r="AF12" s="27">
        <f>BAU建筑面积计算!AF17*$D$28/1000</f>
        <v>8350.09068311219</v>
      </c>
      <c r="AG12" s="27">
        <f>BAU建筑面积计算!AG17*$D$28/1000</f>
        <v>8200.95038782088</v>
      </c>
      <c r="AH12" s="27">
        <f>BAU建筑面积计算!AH17*$D$28/1000</f>
        <v>8049.75723698469</v>
      </c>
      <c r="AI12" s="27">
        <f>BAU建筑面积计算!AI17*$D$28/1000</f>
        <v>7896.82310388492</v>
      </c>
      <c r="AJ12" s="27">
        <f>BAU建筑面积计算!AJ17*$D$28/1000</f>
        <v>7742.45484450091</v>
      </c>
      <c r="AK12" s="27">
        <f>BAU建筑面积计算!AK17*$D$28/1000</f>
        <v>7586.95411503134</v>
      </c>
      <c r="AL12" s="27">
        <f>BAU建筑面积计算!AL17*$D$28/1000</f>
        <v>7430.61516145557</v>
      </c>
      <c r="AM12" s="27">
        <f>BAU建筑面积计算!AM17*$D$28/1000</f>
        <v>7273.72464467816</v>
      </c>
      <c r="AN12" s="27">
        <f>BAU建筑面积计算!AN17*$D$28/1000</f>
        <v>7116.55975080216</v>
      </c>
      <c r="AO12" s="27">
        <f>BAU建筑面积计算!AO17*$D$28/1000</f>
        <v>6959.38702886156</v>
      </c>
      <c r="AP12" s="27">
        <f>BAU建筑面积计算!AP17*$D$28/1000</f>
        <v>6802.46107802714</v>
      </c>
      <c r="AQ12" s="27">
        <f>BAU建筑面积计算!AQ17*$D$28/1000</f>
        <v>6646.02318132682</v>
      </c>
      <c r="AR12" s="27">
        <f>BAU建筑面积计算!AR17*$D$28/1000</f>
        <v>6490.3000430592</v>
      </c>
    </row>
    <row r="13" s="27" customFormat="1" spans="1:44">
      <c r="A13" s="26" t="s">
        <v>1019</v>
      </c>
      <c r="B13" s="27">
        <f>BAU建筑面积计算!B33*$D$29/1000</f>
        <v>9051.90239596651</v>
      </c>
      <c r="C13" s="27">
        <f>BAU建筑面积计算!C33*$D$29/1000</f>
        <v>8987.63388895515</v>
      </c>
      <c r="D13" s="27">
        <f>BAU建筑面积计算!D33*$D$29/1000</f>
        <v>8913.50040697201</v>
      </c>
      <c r="E13" s="27">
        <f>BAU建筑面积计算!E33*$D$29/1000</f>
        <v>8849.23189996064</v>
      </c>
      <c r="F13" s="27">
        <f>BAU建筑面积计算!F33*$D$29/1000</f>
        <v>8784.96339294928</v>
      </c>
      <c r="G13" s="27">
        <f>BAU建筑面积计算!G33*$D$29/1000</f>
        <v>8720.69488593792</v>
      </c>
      <c r="H13" s="27">
        <f>BAU建筑面积计算!H33*$D$29/1000</f>
        <v>8656.42637892656</v>
      </c>
      <c r="I13" s="27">
        <f>BAU建筑面积计算!I33*$D$29/1000</f>
        <v>8592.15787191519</v>
      </c>
      <c r="J13" s="27">
        <f>BAU建筑面积计算!J33*$D$29/1000</f>
        <v>8527.88936490383</v>
      </c>
      <c r="K13" s="27">
        <f>BAU建筑面积计算!K33*$D$29/1000</f>
        <v>8463.62085789247</v>
      </c>
      <c r="L13" s="27">
        <f>BAU建筑面积计算!L33*$D$29/1000</f>
        <v>8399.35235088111</v>
      </c>
      <c r="M13" s="27">
        <f>BAU建筑面积计算!M33*$D$29/1000</f>
        <v>8335.08384386975</v>
      </c>
      <c r="N13" s="27">
        <f>BAU建筑面积计算!N33*$D$29/1000</f>
        <v>8270.81533685838</v>
      </c>
      <c r="O13" s="27">
        <f>BAU建筑面积计算!O33*$D$29/1000</f>
        <v>8206.54682984702</v>
      </c>
      <c r="P13" s="27">
        <f>BAU建筑面积计算!P33*$D$29/1000</f>
        <v>8142.27832283566</v>
      </c>
      <c r="Q13" s="27">
        <f>BAU建筑面积计算!Q33*$D$29/1000</f>
        <v>8078.0098158243</v>
      </c>
      <c r="R13" s="27">
        <f>BAU建筑面积计算!R33*$D$29/1000</f>
        <v>8013.74130881294</v>
      </c>
      <c r="S13" s="27">
        <f>BAU建筑面积计算!S33*$D$29/1000</f>
        <v>7949.47280180157</v>
      </c>
      <c r="T13" s="27">
        <f>BAU建筑面积计算!T33*$D$29/1000</f>
        <v>7885.20429479021</v>
      </c>
      <c r="U13" s="27">
        <f>BAU建筑面积计算!U33*$D$29/1000</f>
        <v>7820.93578777885</v>
      </c>
      <c r="V13" s="27">
        <f>BAU建筑面积计算!V33*$D$29/1000</f>
        <v>7756.66728076749</v>
      </c>
      <c r="W13" s="27">
        <f>BAU建筑面积计算!W33*$D$29/1000</f>
        <v>7692.39877375612</v>
      </c>
      <c r="X13" s="27">
        <f>BAU建筑面积计算!X33*$D$29/1000</f>
        <v>7628.13026674476</v>
      </c>
      <c r="Y13" s="27">
        <f>BAU建筑面积计算!Y33*$D$29/1000</f>
        <v>7563.8617597334</v>
      </c>
      <c r="Z13" s="27">
        <f>BAU建筑面积计算!Z33*$D$29/1000</f>
        <v>7499.59325272204</v>
      </c>
      <c r="AA13" s="27">
        <f>BAU建筑面积计算!AA33*$D$29/1000</f>
        <v>7435.32474571067</v>
      </c>
      <c r="AB13" s="27">
        <f>BAU建筑面积计算!AB33*$D$29/1000</f>
        <v>7371.05623869931</v>
      </c>
      <c r="AC13" s="27">
        <f>BAU建筑面积计算!AC33*$D$29/1000</f>
        <v>7306.78773168795</v>
      </c>
      <c r="AD13" s="27">
        <f>BAU建筑面积计算!AD33*$D$29/1000</f>
        <v>7242.51922467659</v>
      </c>
      <c r="AE13" s="27">
        <f>BAU建筑面积计算!AE33*$D$29/1000</f>
        <v>7178.25071766522</v>
      </c>
      <c r="AF13" s="27">
        <f>BAU建筑面积计算!AF33*$D$29/1000</f>
        <v>7113.98221065386</v>
      </c>
      <c r="AG13" s="27">
        <f>BAU建筑面积计算!AG33*$D$29/1000</f>
        <v>7049.7137036425</v>
      </c>
      <c r="AH13" s="27">
        <f>BAU建筑面积计算!AH33*$D$29/1000</f>
        <v>6985.44519663114</v>
      </c>
      <c r="AI13" s="27">
        <f>BAU建筑面积计算!AI33*$D$29/1000</f>
        <v>6921.17668961978</v>
      </c>
      <c r="AJ13" s="27">
        <f>BAU建筑面积计算!AJ33*$D$29/1000</f>
        <v>6856.90818260841</v>
      </c>
      <c r="AK13" s="27">
        <f>BAU建筑面积计算!AK33*$D$29/1000</f>
        <v>6792.63967559705</v>
      </c>
      <c r="AL13" s="27">
        <f>BAU建筑面积计算!AL33*$D$29/1000</f>
        <v>6728.37116858569</v>
      </c>
      <c r="AM13" s="27">
        <f>BAU建筑面积计算!AM33*$D$29/1000</f>
        <v>6664.10266157433</v>
      </c>
      <c r="AN13" s="27">
        <f>BAU建筑面积计算!AN33*$D$29/1000</f>
        <v>6599.83415456296</v>
      </c>
      <c r="AO13" s="27">
        <f>BAU建筑面积计算!AO33*$D$29/1000</f>
        <v>6535.5656475516</v>
      </c>
      <c r="AP13" s="27">
        <f>BAU建筑面积计算!AP33*$D$29/1000</f>
        <v>6471.29714054024</v>
      </c>
      <c r="AQ13" s="27">
        <f>BAU建筑面积计算!AQ33*$D$29/1000</f>
        <v>6407.02863352888</v>
      </c>
      <c r="AR13" s="27">
        <f>BAU建筑面积计算!AR33*$D$29/1000</f>
        <v>6342.76012651752</v>
      </c>
    </row>
    <row r="14" s="27" customFormat="1" spans="1:44">
      <c r="A14" s="26" t="s">
        <v>1020</v>
      </c>
      <c r="B14" s="27">
        <f>BAU建筑面积计算!B41*$D$30/1000</f>
        <v>4065.12621689579</v>
      </c>
      <c r="C14" s="27">
        <f>BAU建筑面积计算!C41*$D$30/1000</f>
        <v>4036.26382075583</v>
      </c>
      <c r="D14" s="27">
        <f>BAU建筑面积计算!D41*$D$30/1000</f>
        <v>4002.97115497391</v>
      </c>
      <c r="E14" s="27">
        <f>BAU建筑面积计算!E41*$D$30/1000</f>
        <v>3974.10875883395</v>
      </c>
      <c r="F14" s="27">
        <f>BAU建筑面积计算!F41*$D$30/1000</f>
        <v>3945.24636269399</v>
      </c>
      <c r="G14" s="27">
        <f>BAU建筑面积计算!G41*$D$30/1000</f>
        <v>3916.38396655403</v>
      </c>
      <c r="H14" s="27">
        <f>BAU建筑面积计算!H41*$D$30/1000</f>
        <v>3887.52157041407</v>
      </c>
      <c r="I14" s="27">
        <f>BAU建筑面积计算!I41*$D$30/1000</f>
        <v>3858.65917427411</v>
      </c>
      <c r="J14" s="27">
        <f>BAU建筑面积计算!J41*$D$30/1000</f>
        <v>3829.79677813415</v>
      </c>
      <c r="K14" s="27">
        <f>BAU建筑面积计算!K41*$D$30/1000</f>
        <v>3800.93438199419</v>
      </c>
      <c r="L14" s="27">
        <f>BAU建筑面积计算!L41*$D$30/1000</f>
        <v>3772.07198585423</v>
      </c>
      <c r="M14" s="27">
        <f>BAU建筑面积计算!M41*$D$30/1000</f>
        <v>3743.20958971427</v>
      </c>
      <c r="N14" s="27">
        <f>BAU建筑面积计算!N41*$D$30/1000</f>
        <v>3714.34719357431</v>
      </c>
      <c r="O14" s="27">
        <f>BAU建筑面积计算!O41*$D$30/1000</f>
        <v>3685.48479743435</v>
      </c>
      <c r="P14" s="27">
        <f>BAU建筑面积计算!P41*$D$30/1000</f>
        <v>3656.62240129439</v>
      </c>
      <c r="Q14" s="27">
        <f>BAU建筑面积计算!Q41*$D$30/1000</f>
        <v>3627.76000515443</v>
      </c>
      <c r="R14" s="27">
        <f>BAU建筑面积计算!R41*$D$30/1000</f>
        <v>3598.89760901447</v>
      </c>
      <c r="S14" s="27">
        <f>BAU建筑面积计算!S41*$D$30/1000</f>
        <v>3570.03521287451</v>
      </c>
      <c r="T14" s="27">
        <f>BAU建筑面积计算!T41*$D$30/1000</f>
        <v>3541.17281673455</v>
      </c>
      <c r="U14" s="27">
        <f>BAU建筑面积计算!U41*$D$30/1000</f>
        <v>3512.31042059459</v>
      </c>
      <c r="V14" s="27">
        <f>BAU建筑面积计算!V41*$D$30/1000</f>
        <v>3483.44802445463</v>
      </c>
      <c r="W14" s="27">
        <f>BAU建筑面积计算!W41*$D$30/1000</f>
        <v>3454.58562831467</v>
      </c>
      <c r="X14" s="27">
        <f>BAU建筑面积计算!X41*$D$30/1000</f>
        <v>3425.72323217471</v>
      </c>
      <c r="Y14" s="27">
        <f>BAU建筑面积计算!Y41*$D$30/1000</f>
        <v>3396.86083603475</v>
      </c>
      <c r="Z14" s="27">
        <f>BAU建筑面积计算!Z41*$D$30/1000</f>
        <v>3367.99843989479</v>
      </c>
      <c r="AA14" s="27">
        <f>BAU建筑面积计算!AA41*$D$30/1000</f>
        <v>3339.13604375483</v>
      </c>
      <c r="AB14" s="27">
        <f>BAU建筑面积计算!AB41*$D$30/1000</f>
        <v>3310.27364761487</v>
      </c>
      <c r="AC14" s="27">
        <f>BAU建筑面积计算!AC41*$D$30/1000</f>
        <v>3281.41125147491</v>
      </c>
      <c r="AD14" s="27">
        <f>BAU建筑面积计算!AD41*$D$30/1000</f>
        <v>3252.54885533495</v>
      </c>
      <c r="AE14" s="27">
        <f>BAU建筑面积计算!AE41*$D$30/1000</f>
        <v>3223.68645919499</v>
      </c>
      <c r="AF14" s="27">
        <f>BAU建筑面积计算!AF41*$D$30/1000</f>
        <v>3194.82406305503</v>
      </c>
      <c r="AG14" s="27">
        <f>BAU建筑面积计算!AG41*$D$30/1000</f>
        <v>3165.96166691507</v>
      </c>
      <c r="AH14" s="27">
        <f>BAU建筑面积计算!AH41*$D$30/1000</f>
        <v>3137.09927077511</v>
      </c>
      <c r="AI14" s="27">
        <f>BAU建筑面积计算!AI41*$D$30/1000</f>
        <v>3108.23687463515</v>
      </c>
      <c r="AJ14" s="27">
        <f>BAU建筑面积计算!AJ41*$D$30/1000</f>
        <v>3079.37447849519</v>
      </c>
      <c r="AK14" s="27">
        <f>BAU建筑面积计算!AK41*$D$30/1000</f>
        <v>3050.51208235523</v>
      </c>
      <c r="AL14" s="27">
        <f>BAU建筑面积计算!AL41*$D$30/1000</f>
        <v>3021.64968621527</v>
      </c>
      <c r="AM14" s="27">
        <f>BAU建筑面积计算!AM41*$D$30/1000</f>
        <v>2992.78729007531</v>
      </c>
      <c r="AN14" s="27">
        <f>BAU建筑面积计算!AN41*$D$30/1000</f>
        <v>2963.92489393535</v>
      </c>
      <c r="AO14" s="27">
        <f>BAU建筑面积计算!AO41*$D$30/1000</f>
        <v>2935.06249779539</v>
      </c>
      <c r="AP14" s="27">
        <f>BAU建筑面积计算!AP41*$D$30/1000</f>
        <v>2906.20010165543</v>
      </c>
      <c r="AQ14" s="27">
        <f>BAU建筑面积计算!AQ41*$D$30/1000</f>
        <v>2877.33770551547</v>
      </c>
      <c r="AR14" s="27">
        <f>BAU建筑面积计算!AR41*$D$30/1000</f>
        <v>2848.47530937551</v>
      </c>
    </row>
    <row r="15" s="6" customFormat="1" spans="1:44">
      <c r="A15" s="14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</row>
    <row r="16" s="26" customFormat="1" spans="1:44">
      <c r="A16" s="26" t="s">
        <v>1022</v>
      </c>
      <c r="B16" s="29">
        <v>2018</v>
      </c>
      <c r="C16" s="29">
        <v>2019</v>
      </c>
      <c r="D16" s="29">
        <v>2020</v>
      </c>
      <c r="E16" s="29">
        <v>2021</v>
      </c>
      <c r="F16" s="29">
        <v>2022</v>
      </c>
      <c r="G16" s="29">
        <v>2023</v>
      </c>
      <c r="H16" s="29">
        <v>2024</v>
      </c>
      <c r="I16" s="29">
        <v>2025</v>
      </c>
      <c r="J16" s="29">
        <v>2026</v>
      </c>
      <c r="K16" s="29">
        <v>2027</v>
      </c>
      <c r="L16" s="29">
        <v>2028</v>
      </c>
      <c r="M16" s="29">
        <v>2029</v>
      </c>
      <c r="N16" s="29">
        <v>2030</v>
      </c>
      <c r="O16" s="29">
        <v>2031</v>
      </c>
      <c r="P16" s="29">
        <v>2032</v>
      </c>
      <c r="Q16" s="29">
        <v>2033</v>
      </c>
      <c r="R16" s="29">
        <v>2034</v>
      </c>
      <c r="S16" s="29">
        <v>2035</v>
      </c>
      <c r="T16" s="29">
        <v>2036</v>
      </c>
      <c r="U16" s="29">
        <v>2037</v>
      </c>
      <c r="V16" s="29">
        <v>2038</v>
      </c>
      <c r="W16" s="29">
        <v>2039</v>
      </c>
      <c r="X16" s="29">
        <v>2040</v>
      </c>
      <c r="Y16" s="29">
        <v>2041</v>
      </c>
      <c r="Z16" s="29">
        <v>2042</v>
      </c>
      <c r="AA16" s="29">
        <v>2043</v>
      </c>
      <c r="AB16" s="29">
        <v>2044</v>
      </c>
      <c r="AC16" s="29">
        <v>2045</v>
      </c>
      <c r="AD16" s="29">
        <v>2046</v>
      </c>
      <c r="AE16" s="29">
        <v>2047</v>
      </c>
      <c r="AF16" s="29">
        <v>2048</v>
      </c>
      <c r="AG16" s="29">
        <v>2049</v>
      </c>
      <c r="AH16" s="29">
        <v>2050</v>
      </c>
      <c r="AI16" s="29">
        <v>2051</v>
      </c>
      <c r="AJ16" s="29">
        <v>2052</v>
      </c>
      <c r="AK16" s="29">
        <v>2053</v>
      </c>
      <c r="AL16" s="29">
        <v>2054</v>
      </c>
      <c r="AM16" s="29">
        <v>2055</v>
      </c>
      <c r="AN16" s="29">
        <v>2056</v>
      </c>
      <c r="AO16" s="29">
        <v>2057</v>
      </c>
      <c r="AP16" s="29">
        <v>2058</v>
      </c>
      <c r="AQ16" s="29">
        <v>2059</v>
      </c>
      <c r="AR16" s="29">
        <v>2060</v>
      </c>
    </row>
    <row r="17" s="27" customFormat="1" spans="1:44">
      <c r="A17" s="26" t="s">
        <v>1016</v>
      </c>
      <c r="B17" s="27">
        <f>BAU建筑面积计算!B24*B42/1000</f>
        <v>0</v>
      </c>
      <c r="C17" s="27">
        <f>BAU建筑面积计算!C24*C42/1000</f>
        <v>433.004188950313</v>
      </c>
      <c r="D17" s="27">
        <f>BAU建筑面积计算!D24*D42/1000</f>
        <v>969.162936649331</v>
      </c>
      <c r="E17" s="27">
        <f>BAU建筑面积计算!E24*E42/1000</f>
        <v>1297.70747858782</v>
      </c>
      <c r="F17" s="27">
        <f>BAU建筑面积计算!F24*F42/1000</f>
        <v>1620.98883226766</v>
      </c>
      <c r="G17" s="27">
        <f>BAU建筑面积计算!G24*G42/1000</f>
        <v>1938.88979742509</v>
      </c>
      <c r="H17" s="27">
        <f>BAU建筑面积计算!H24*H42/1000</f>
        <v>2251.30426297373</v>
      </c>
      <c r="I17" s="27">
        <f>BAU建筑面积计算!I24*I42/1000</f>
        <v>2558.13889733379</v>
      </c>
      <c r="J17" s="27">
        <f>BAU建筑面积计算!J24*J42/1000</f>
        <v>2859.31235262416</v>
      </c>
      <c r="K17" s="27">
        <f>BAU建筑面积计算!K24*K42/1000</f>
        <v>3154.75766452334</v>
      </c>
      <c r="L17" s="27">
        <f>BAU建筑面积计算!L24*L42/1000</f>
        <v>3444.42150071418</v>
      </c>
      <c r="M17" s="27">
        <f>BAU建筑面积计算!M24*M42/1000</f>
        <v>3728.26579017689</v>
      </c>
      <c r="N17" s="27">
        <f>BAU建筑面积计算!N24*N42/1000</f>
        <v>4006.26830076378</v>
      </c>
      <c r="O17" s="27">
        <f>BAU建筑面积计算!O24*O42/1000</f>
        <v>4278.42307508171</v>
      </c>
      <c r="P17" s="27">
        <f>BAU建筑面积计算!P24*P42/1000</f>
        <v>4544.74221146078</v>
      </c>
      <c r="Q17" s="27">
        <f>BAU建筑面积计算!Q24*Q42/1000</f>
        <v>4805.25542735776</v>
      </c>
      <c r="R17" s="27">
        <f>BAU建筑面积计算!R24*R42/1000</f>
        <v>5060.01205173247</v>
      </c>
      <c r="S17" s="27">
        <f>BAU建筑面积计算!S24*S42/1000</f>
        <v>5309.08124011465</v>
      </c>
      <c r="T17" s="27">
        <f>BAU建筑面积计算!T24*T42/1000</f>
        <v>5552.55320630283</v>
      </c>
      <c r="U17" s="27">
        <f>BAU建筑面积计算!U24*U42/1000</f>
        <v>5790.54044341544</v>
      </c>
      <c r="V17" s="27">
        <f>BAU建筑面积计算!V24*V42/1000</f>
        <v>6023.17781615612</v>
      </c>
      <c r="W17" s="27">
        <f>BAU建筑面积计算!W24*W42/1000</f>
        <v>6250.62451079208</v>
      </c>
      <c r="X17" s="27">
        <f>BAU建筑面积计算!X24*X42/1000</f>
        <v>6473.064792647</v>
      </c>
      <c r="Y17" s="27">
        <f>BAU建筑面积计算!Y24*Y42/1000</f>
        <v>6690.70916280514</v>
      </c>
      <c r="Z17" s="27">
        <f>BAU建筑面积计算!Z24*Z42/1000</f>
        <v>6903.7949631516</v>
      </c>
      <c r="AA17" s="27">
        <f>BAU建筑面积计算!AA24*AA42/1000</f>
        <v>7112.58792169465</v>
      </c>
      <c r="AB17" s="27">
        <f>BAU建筑面积计算!AB24*AB42/1000</f>
        <v>7317.38388223929</v>
      </c>
      <c r="AC17" s="27">
        <f>BAU建筑面积计算!AC24*AC42/1000</f>
        <v>7518.50893411625</v>
      </c>
      <c r="AD17" s="27">
        <f>BAU建筑面积计算!AD24*AD42/1000</f>
        <v>7716.3209374456</v>
      </c>
      <c r="AE17" s="27">
        <f>BAU建筑面积计算!AE24*AE42/1000</f>
        <v>7911.21198067465</v>
      </c>
      <c r="AF17" s="27">
        <f>BAU建筑面积计算!AF24*AF42/1000</f>
        <v>8103.60793481172</v>
      </c>
      <c r="AG17" s="27">
        <f>BAU建筑面积计算!AG24*AG42/1000</f>
        <v>8293.97075321711</v>
      </c>
      <c r="AH17" s="27">
        <f>BAU建筑面积计算!AH24*AH42/1000</f>
        <v>8482.80027117374</v>
      </c>
      <c r="AI17" s="27">
        <f>BAU建筑面积计算!AI24*AI42/1000</f>
        <v>8670.63422402608</v>
      </c>
      <c r="AJ17" s="27">
        <f>BAU建筑面积计算!AJ24*AJ42/1000</f>
        <v>8858.05168620393</v>
      </c>
      <c r="AK17" s="27">
        <f>BAU建筑面积计算!AK24*AK42/1000</f>
        <v>9045.67228774414</v>
      </c>
      <c r="AL17" s="27">
        <f>BAU建筑面积计算!AL24*AL42/1000</f>
        <v>9234.16002513042</v>
      </c>
      <c r="AM17" s="27">
        <f>BAU建筑面积计算!AM24*AM42/1000</f>
        <v>9424.22343722092</v>
      </c>
      <c r="AN17" s="27">
        <f>BAU建筑面积计算!AN24*AN42/1000</f>
        <v>9616.61752214977</v>
      </c>
      <c r="AO17" s="27">
        <f>BAU建筑面积计算!AO24*AO42/1000</f>
        <v>9812.14548725927</v>
      </c>
      <c r="AP17" s="27">
        <f>BAU建筑面积计算!AP24*AP42/1000</f>
        <v>10011.6605488168</v>
      </c>
      <c r="AQ17" s="27">
        <f>BAU建筑面积计算!AQ24*AQ42/1000</f>
        <v>10216.0682080607</v>
      </c>
      <c r="AR17" s="27">
        <f>BAU建筑面积计算!AR24*AR42/1000</f>
        <v>10426.3267833259</v>
      </c>
    </row>
    <row r="18" s="27" customFormat="1" spans="1:44">
      <c r="A18" s="26" t="s">
        <v>1017</v>
      </c>
      <c r="B18" s="27">
        <f>BAU建筑面积计算!B8*B43/1000</f>
        <v>0</v>
      </c>
      <c r="C18" s="27">
        <f>BAU建筑面积计算!C8*C43/1000</f>
        <v>424.408762751705</v>
      </c>
      <c r="D18" s="27">
        <f>BAU建筑面积计算!D8*D43/1000</f>
        <v>949.924396448163</v>
      </c>
      <c r="E18" s="27">
        <f>BAU建筑面积计算!E8*E43/1000</f>
        <v>1271.94710687728</v>
      </c>
      <c r="F18" s="27">
        <f>BAU建筑面积计算!F8*F43/1000</f>
        <v>1588.8111068967</v>
      </c>
      <c r="G18" s="27">
        <f>BAU建筑面积计算!G8*G43/1000</f>
        <v>1900.4015227472</v>
      </c>
      <c r="H18" s="27">
        <f>BAU建筑面积计算!H8*H43/1000</f>
        <v>2206.6143497193</v>
      </c>
      <c r="I18" s="27">
        <f>BAU建筑面积计算!I8*I43/1000</f>
        <v>2507.35810892822</v>
      </c>
      <c r="J18" s="27">
        <f>BAU建筑面积计算!J8*J43/1000</f>
        <v>2802.55306730334</v>
      </c>
      <c r="K18" s="27">
        <f>BAU建筑面积计算!K8*K43/1000</f>
        <v>3092.13358981028</v>
      </c>
      <c r="L18" s="27">
        <f>BAU建筑面积计算!L8*L43/1000</f>
        <v>3376.04740281446</v>
      </c>
      <c r="M18" s="27">
        <f>BAU建筑面积计算!M8*M43/1000</f>
        <v>3654.25719103162</v>
      </c>
      <c r="N18" s="27">
        <f>BAU建筑面积计算!N8*N43/1000</f>
        <v>3926.74116363722</v>
      </c>
      <c r="O18" s="27">
        <f>BAU建筑面积计算!O8*O43/1000</f>
        <v>4193.49348149643</v>
      </c>
      <c r="P18" s="27">
        <f>BAU建筑面积计算!P8*P43/1000</f>
        <v>4454.5260027793</v>
      </c>
      <c r="Q18" s="27">
        <f>BAU建筑面积计算!Q8*Q43/1000</f>
        <v>4709.86785503097</v>
      </c>
      <c r="R18" s="27">
        <f>BAU建筑面积计算!R8*R43/1000</f>
        <v>4959.56738799803</v>
      </c>
      <c r="S18" s="27">
        <f>BAU建筑面积计算!S8*S43/1000</f>
        <v>5203.69238442614</v>
      </c>
      <c r="T18" s="27">
        <f>BAU建筑面积计算!T8*T43/1000</f>
        <v>5442.33126730888</v>
      </c>
      <c r="U18" s="27">
        <f>BAU建筑面积计算!U8*U43/1000</f>
        <v>5675.59429670015</v>
      </c>
      <c r="V18" s="27">
        <f>BAU建筑面积计算!V8*V43/1000</f>
        <v>5903.61366014795</v>
      </c>
      <c r="W18" s="27">
        <f>BAU建筑面积计算!W8*W43/1000</f>
        <v>6126.54538396435</v>
      </c>
      <c r="X18" s="27">
        <f>BAU建筑面积计算!X8*X43/1000</f>
        <v>6344.57007568164</v>
      </c>
      <c r="Y18" s="27">
        <f>BAU建筑面积计算!Y8*Y43/1000</f>
        <v>6557.89405779511</v>
      </c>
      <c r="Z18" s="27">
        <f>BAU建筑面积计算!Z8*Z43/1000</f>
        <v>6766.74996079278</v>
      </c>
      <c r="AA18" s="27">
        <f>BAU建筑面积计算!AA8*AA43/1000</f>
        <v>6971.39823780216</v>
      </c>
      <c r="AB18" s="27">
        <f>BAU建筑面积计算!AB8*AB43/1000</f>
        <v>7172.12885992848</v>
      </c>
      <c r="AC18" s="27">
        <f>BAU建筑面积计算!AC8*AC43/1000</f>
        <v>7369.26144340856</v>
      </c>
      <c r="AD18" s="27">
        <f>BAU建筑面积计算!AD8*AD43/1000</f>
        <v>7563.14674459691</v>
      </c>
      <c r="AE18" s="27">
        <f>BAU建筑面积计算!AE8*AE43/1000</f>
        <v>7754.16906871979</v>
      </c>
      <c r="AF18" s="27">
        <f>BAU建筑面积计算!AF8*AF43/1000</f>
        <v>7942.74583295778</v>
      </c>
      <c r="AG18" s="27">
        <f>BAU建筑面积计算!AG8*AG43/1000</f>
        <v>8129.32982058436</v>
      </c>
      <c r="AH18" s="27">
        <f>BAU建筑面积计算!AH8*AH43/1000</f>
        <v>8314.4109448138</v>
      </c>
      <c r="AI18" s="27">
        <f>BAU建筑面积计算!AI8*AI43/1000</f>
        <v>8498.51626658002</v>
      </c>
      <c r="AJ18" s="27">
        <f>BAU建筑面积计算!AJ8*AJ43/1000</f>
        <v>8682.21336529353</v>
      </c>
      <c r="AK18" s="27">
        <f>BAU建筑面积计算!AK8*AK43/1000</f>
        <v>8866.10957091557</v>
      </c>
      <c r="AL18" s="27">
        <f>BAU建筑面积计算!AL8*AL43/1000</f>
        <v>9050.85569915028</v>
      </c>
      <c r="AM18" s="27">
        <f>BAU建筑面积计算!AM8*AM43/1000</f>
        <v>9237.14622387994</v>
      </c>
      <c r="AN18" s="27">
        <f>BAU建筑面积计算!AN8*AN43/1000</f>
        <v>9425.72115601477</v>
      </c>
      <c r="AO18" s="27">
        <f>BAU建筑面积计算!AO8*AO43/1000</f>
        <v>9617.36775868772</v>
      </c>
      <c r="AP18" s="27">
        <f>BAU建筑面积计算!AP8*AP43/1000</f>
        <v>9812.92231124584</v>
      </c>
      <c r="AQ18" s="27">
        <f>BAU建筑面积计算!AQ8*AQ43/1000</f>
        <v>10013.272340115</v>
      </c>
      <c r="AR18" s="27">
        <f>BAU建筑面积计算!AR8*AR43/1000</f>
        <v>10219.3571403627</v>
      </c>
    </row>
    <row r="19" s="27" customFormat="1" spans="1:44">
      <c r="A19" s="26" t="s">
        <v>1018</v>
      </c>
      <c r="B19" s="27">
        <f>BAU建筑面积计算!B16*B44/1000</f>
        <v>0</v>
      </c>
      <c r="C19" s="27">
        <f>BAU建筑面积计算!C16*C44/1000</f>
        <v>0</v>
      </c>
      <c r="D19" s="27">
        <f>BAU建筑面积计算!D16*D44/1000</f>
        <v>0</v>
      </c>
      <c r="E19" s="27">
        <f>BAU建筑面积计算!E16*E44/1000</f>
        <v>55.2260655455877</v>
      </c>
      <c r="F19" s="27">
        <f>BAU建筑面积计算!F16*F44/1000</f>
        <v>105.424161672946</v>
      </c>
      <c r="G19" s="27">
        <f>BAU建筑面积计算!G16*G44/1000</f>
        <v>150.677295905638</v>
      </c>
      <c r="H19" s="27">
        <f>BAU建筑面积计算!H16*H44/1000</f>
        <v>191.074937243771</v>
      </c>
      <c r="I19" s="27">
        <f>BAU建筑面积计算!I16*I44/1000</f>
        <v>226.713306241968</v>
      </c>
      <c r="J19" s="27">
        <f>BAU建筑面积计算!J16*J44/1000</f>
        <v>257.694591790002</v>
      </c>
      <c r="K19" s="27">
        <f>BAU建筑面积计算!K16*K44/1000</f>
        <v>284.127486262574</v>
      </c>
      <c r="L19" s="27">
        <f>BAU建筑面积计算!L16*L44/1000</f>
        <v>306.126391586367</v>
      </c>
      <c r="M19" s="27">
        <f>BAU建筑面积计算!M16*M44/1000</f>
        <v>323.811584494259</v>
      </c>
      <c r="N19" s="27">
        <f>BAU建筑面积计算!N16*N44/1000</f>
        <v>337.308925107647</v>
      </c>
      <c r="O19" s="27">
        <f>BAU建筑面积计算!O16*O44/1000</f>
        <v>346.749498394717</v>
      </c>
      <c r="P19" s="27">
        <f>BAU建筑面积计算!P16*P44/1000</f>
        <v>352.269741088692</v>
      </c>
      <c r="Q19" s="27">
        <f>BAU建筑面积计算!Q16*Q44/1000</f>
        <v>354.010708470037</v>
      </c>
      <c r="R19" s="27">
        <f>BAU建筑面积计算!R16*R44/1000</f>
        <v>354.010708470037</v>
      </c>
      <c r="S19" s="27">
        <f>BAU建筑面积计算!S16*S44/1000</f>
        <v>354.010708470037</v>
      </c>
      <c r="T19" s="27">
        <f>BAU建筑面积计算!T16*T44/1000</f>
        <v>354.010708470037</v>
      </c>
      <c r="U19" s="27">
        <f>BAU建筑面积计算!U16*U44/1000</f>
        <v>354.010708470037</v>
      </c>
      <c r="V19" s="27">
        <f>BAU建筑面积计算!V16*V44/1000</f>
        <v>354.010708470037</v>
      </c>
      <c r="W19" s="27">
        <f>BAU建筑面积计算!W16*W44/1000</f>
        <v>354.010708470037</v>
      </c>
      <c r="X19" s="27">
        <f>BAU建筑面积计算!X16*X44/1000</f>
        <v>354.010708470037</v>
      </c>
      <c r="Y19" s="27">
        <f>BAU建筑面积计算!Y16*Y44/1000</f>
        <v>354.010708470037</v>
      </c>
      <c r="Z19" s="27">
        <f>BAU建筑面积计算!Z16*Z44/1000</f>
        <v>354.010708470037</v>
      </c>
      <c r="AA19" s="27">
        <f>BAU建筑面积计算!AA16*AA44/1000</f>
        <v>354.010708470037</v>
      </c>
      <c r="AB19" s="27">
        <f>BAU建筑面积计算!AB16*AB44/1000</f>
        <v>354.010708470037</v>
      </c>
      <c r="AC19" s="27">
        <f>BAU建筑面积计算!AC16*AC44/1000</f>
        <v>354.010708470037</v>
      </c>
      <c r="AD19" s="27">
        <f>BAU建筑面积计算!AD16*AD44/1000</f>
        <v>354.010708470037</v>
      </c>
      <c r="AE19" s="27">
        <f>BAU建筑面积计算!AE16*AE44/1000</f>
        <v>354.010708470037</v>
      </c>
      <c r="AF19" s="27">
        <f>BAU建筑面积计算!AF16*AF44/1000</f>
        <v>354.010708470037</v>
      </c>
      <c r="AG19" s="27">
        <f>BAU建筑面积计算!AG16*AG44/1000</f>
        <v>354.010708470037</v>
      </c>
      <c r="AH19" s="27">
        <f>BAU建筑面积计算!AH16*AH44/1000</f>
        <v>354.010708470037</v>
      </c>
      <c r="AI19" s="27">
        <f>BAU建筑面积计算!AI16*AI44/1000</f>
        <v>354.010708470037</v>
      </c>
      <c r="AJ19" s="27">
        <f>BAU建筑面积计算!AJ16*AJ44/1000</f>
        <v>354.010708470037</v>
      </c>
      <c r="AK19" s="27">
        <f>BAU建筑面积计算!AK16*AK44/1000</f>
        <v>354.010708470037</v>
      </c>
      <c r="AL19" s="27">
        <f>BAU建筑面积计算!AL16*AL44/1000</f>
        <v>354.010708470037</v>
      </c>
      <c r="AM19" s="27">
        <f>BAU建筑面积计算!AM16*AM44/1000</f>
        <v>354.010708470037</v>
      </c>
      <c r="AN19" s="27">
        <f>BAU建筑面积计算!AN16*AN44/1000</f>
        <v>354.010708470037</v>
      </c>
      <c r="AO19" s="27">
        <f>BAU建筑面积计算!AO16*AO44/1000</f>
        <v>354.010708470037</v>
      </c>
      <c r="AP19" s="27">
        <f>BAU建筑面积计算!AP16*AP44/1000</f>
        <v>354.010708470037</v>
      </c>
      <c r="AQ19" s="27">
        <f>BAU建筑面积计算!AQ16*AQ44/1000</f>
        <v>354.010708470037</v>
      </c>
      <c r="AR19" s="27">
        <f>BAU建筑面积计算!AR16*AR44/1000</f>
        <v>354.010708470037</v>
      </c>
    </row>
    <row r="20" s="27" customFormat="1" spans="1:44">
      <c r="A20" s="26" t="s">
        <v>1019</v>
      </c>
      <c r="B20" s="27">
        <f>BAU建筑面积计算!B32*B45/1000</f>
        <v>0</v>
      </c>
      <c r="C20" s="27">
        <f>BAU建筑面积计算!C32*C45/1000</f>
        <v>0</v>
      </c>
      <c r="D20" s="27">
        <f>BAU建筑面积计算!D32*D45/1000</f>
        <v>294.031692141378</v>
      </c>
      <c r="E20" s="27">
        <f>BAU建筑面积计算!E32*E45/1000</f>
        <v>473.971821010271</v>
      </c>
      <c r="F20" s="27">
        <f>BAU建筑面积计算!F32*F45/1000</f>
        <v>650.547882288516</v>
      </c>
      <c r="G20" s="27">
        <f>BAU建筑面积计算!G32*G45/1000</f>
        <v>823.739317700282</v>
      </c>
      <c r="H20" s="27">
        <f>BAU建筑面积计算!H32*H45/1000</f>
        <v>993.530730718673</v>
      </c>
      <c r="I20" s="27">
        <f>BAU建筑面积计算!I32*I45/1000</f>
        <v>1159.91327194633</v>
      </c>
      <c r="J20" s="27">
        <f>BAU建筑面积计算!J32*J45/1000</f>
        <v>1322.88358954177</v>
      </c>
      <c r="K20" s="27">
        <f>BAU建筑面积计算!K32*K45/1000</f>
        <v>1482.44496423183</v>
      </c>
      <c r="L20" s="27">
        <f>BAU建筑面积计算!L32*L45/1000</f>
        <v>1638.60733654151</v>
      </c>
      <c r="M20" s="27">
        <f>BAU建筑面积计算!M32*M45/1000</f>
        <v>1791.38755337064</v>
      </c>
      <c r="N20" s="27">
        <f>BAU建筑面积计算!N32*N45/1000</f>
        <v>1940.80973515369</v>
      </c>
      <c r="O20" s="27">
        <f>BAU建筑面积计算!O32*O45/1000</f>
        <v>2086.90553914169</v>
      </c>
      <c r="P20" s="27">
        <f>BAU建筑面积计算!P32*P45/1000</f>
        <v>2229.71481116287</v>
      </c>
      <c r="Q20" s="27">
        <f>BAU建筑面积计算!Q32*Q45/1000</f>
        <v>2369.28527033097</v>
      </c>
      <c r="R20" s="27">
        <f>BAU建筑面积计算!R32*R45/1000</f>
        <v>2505.67360518185</v>
      </c>
      <c r="S20" s="27">
        <f>BAU建筑面积计算!S32*S45/1000</f>
        <v>2638.94547277312</v>
      </c>
      <c r="T20" s="27">
        <f>BAU建筑面积计算!T32*T45/1000</f>
        <v>2769.17565330508</v>
      </c>
      <c r="U20" s="27">
        <f>BAU建筑面积计算!U32*U45/1000</f>
        <v>2896.44893125288</v>
      </c>
      <c r="V20" s="27">
        <f>BAU建筑面积计算!V32*V45/1000</f>
        <v>3020.85996806291</v>
      </c>
      <c r="W20" s="27">
        <f>BAU建筑面积计算!W32*W45/1000</f>
        <v>3142.51402450707</v>
      </c>
      <c r="X20" s="27">
        <f>BAU建筑面积计算!X32*X45/1000</f>
        <v>3261.52741052103</v>
      </c>
      <c r="Y20" s="27">
        <f>BAU建筑面积计算!Y32*Y45/1000</f>
        <v>3378.02796486681</v>
      </c>
      <c r="Z20" s="27">
        <f>BAU建筑面积计算!Z32*Z45/1000</f>
        <v>3492.15491119591</v>
      </c>
      <c r="AA20" s="27">
        <f>BAU建筑面积计算!AA32*AA45/1000</f>
        <v>3604.06001255991</v>
      </c>
      <c r="AB20" s="27">
        <f>BAU建筑面积计算!AB32*AB45/1000</f>
        <v>3713.90773032091</v>
      </c>
      <c r="AC20" s="27">
        <f>BAU建筑面积计算!AC32*AC45/1000</f>
        <v>3821.87579834185</v>
      </c>
      <c r="AD20" s="27">
        <f>BAU建筑面积计算!AD32*AD45/1000</f>
        <v>3928.15511599537</v>
      </c>
      <c r="AE20" s="27">
        <f>BAU建筑面积计算!AE32*AE45/1000</f>
        <v>4032.95160174536</v>
      </c>
      <c r="AF20" s="27">
        <f>BAU建筑面积计算!AF32*AF45/1000</f>
        <v>4136.48523342794</v>
      </c>
      <c r="AG20" s="27">
        <f>BAU建筑面积计算!AG32*AG45/1000</f>
        <v>4238.99147561808</v>
      </c>
      <c r="AH20" s="27">
        <f>BAU建筑面积计算!AH32*AH45/1000</f>
        <v>4340.72165675935</v>
      </c>
      <c r="AI20" s="27">
        <f>BAU建筑面积计算!AI32*AI45/1000</f>
        <v>4441.94275519348</v>
      </c>
      <c r="AJ20" s="27">
        <f>BAU建筑面积计算!AJ32*AJ45/1000</f>
        <v>4542.93971752107</v>
      </c>
      <c r="AK20" s="27">
        <f>BAU建筑面积计算!AK32*AK45/1000</f>
        <v>4644.01402241944</v>
      </c>
      <c r="AL20" s="27">
        <f>BAU建筑面积计算!AL32*AL45/1000</f>
        <v>4745.48571773868</v>
      </c>
      <c r="AM20" s="27">
        <f>BAU建筑面积计算!AM32*AM45/1000</f>
        <v>4847.69357450084</v>
      </c>
      <c r="AN20" s="27">
        <f>BAU建筑面积计算!AN32*AN45/1000</f>
        <v>4950.99518847532</v>
      </c>
      <c r="AO20" s="27">
        <f>BAU建筑面积计算!AO32*AO45/1000</f>
        <v>5055.76861911382</v>
      </c>
      <c r="AP20" s="27">
        <f>BAU建筑面积计算!AP32*AP45/1000</f>
        <v>5162.41218855026</v>
      </c>
      <c r="AQ20" s="27">
        <f>BAU建筑面积计算!AQ32*AQ45/1000</f>
        <v>5271.34626115871</v>
      </c>
      <c r="AR20" s="27">
        <f>BAU建筑面积计算!AR32*AR45/1000</f>
        <v>5383.01243590036</v>
      </c>
    </row>
    <row r="21" s="27" customFormat="1" spans="1:44">
      <c r="A21" s="26" t="s">
        <v>1020</v>
      </c>
      <c r="B21" s="27">
        <f>BAU建筑面积计算!B24*B46/1000</f>
        <v>0</v>
      </c>
      <c r="C21" s="27">
        <f>BAU建筑面积计算!C24*C46/1000</f>
        <v>238.720343293763</v>
      </c>
      <c r="D21" s="27">
        <f>BAU建筑面积计算!D24*D46/1000</f>
        <v>534.311017880402</v>
      </c>
      <c r="E21" s="27">
        <f>BAU建筑面积计算!E24*E46/1000</f>
        <v>715.441519248016</v>
      </c>
      <c r="F21" s="27">
        <f>BAU建筑面积计算!F24*F46/1000</f>
        <v>893.670362525513</v>
      </c>
      <c r="G21" s="27">
        <f>BAU建筑面积计算!G24*G46/1000</f>
        <v>1068.93293381789</v>
      </c>
      <c r="H21" s="27">
        <f>BAU建筑面积计算!H24*H46/1000</f>
        <v>1241.17073282511</v>
      </c>
      <c r="I21" s="27">
        <f>BAU建筑面积计算!I24*I46/1000</f>
        <v>1410.33230474065</v>
      </c>
      <c r="J21" s="27">
        <f>BAU建筑面积计算!J24*J46/1000</f>
        <v>1576.37280151315</v>
      </c>
      <c r="K21" s="27">
        <f>BAU建筑面积计算!K24*K46/1000</f>
        <v>1739.25530491822</v>
      </c>
      <c r="L21" s="27">
        <f>BAU建筑面积计算!L24*L46/1000</f>
        <v>1898.95041221705</v>
      </c>
      <c r="M21" s="27">
        <f>BAU建筑面积计算!M24*M46/1000</f>
        <v>2055.43713440506</v>
      </c>
      <c r="N21" s="27">
        <f>BAU建筑面积计算!N24*N46/1000</f>
        <v>2208.70321463563</v>
      </c>
      <c r="O21" s="27">
        <f>BAU建筑面积计算!O24*O46/1000</f>
        <v>2358.74536852728</v>
      </c>
      <c r="P21" s="27">
        <f>BAU建筑面积计算!P24*P46/1000</f>
        <v>2505.57026603285</v>
      </c>
      <c r="Q21" s="27">
        <f>BAU建筑面积计算!Q24*Q46/1000</f>
        <v>2649.19429073859</v>
      </c>
      <c r="R21" s="27">
        <f>BAU建筑面积计算!R24*R46/1000</f>
        <v>2789.64463828492</v>
      </c>
      <c r="S21" s="27">
        <f>BAU建筑面积计算!S24*S46/1000</f>
        <v>2926.95943493535</v>
      </c>
      <c r="T21" s="27">
        <f>BAU建筑面积计算!T24*T46/1000</f>
        <v>3061.1884166266</v>
      </c>
      <c r="U21" s="27">
        <f>BAU建筑面积计算!U24*U46/1000</f>
        <v>3192.39360214867</v>
      </c>
      <c r="V21" s="27">
        <f>BAU建筑面积计算!V24*V46/1000</f>
        <v>3320.64934401168</v>
      </c>
      <c r="W21" s="27">
        <f>BAU建筑面积计算!W24*W46/1000</f>
        <v>3446.04340349215</v>
      </c>
      <c r="X21" s="27">
        <f>BAU建筑面积计算!X24*X46/1000</f>
        <v>3568.67736824777</v>
      </c>
      <c r="Y21" s="27">
        <f>BAU建筑面积计算!Y24*Y46/1000</f>
        <v>3688.6672900221</v>
      </c>
      <c r="Z21" s="27">
        <f>BAU建筑面积计算!Z24*Z46/1000</f>
        <v>3806.14401821045</v>
      </c>
      <c r="AA21" s="27">
        <f>BAU建筑面积计算!AA24*AA46/1000</f>
        <v>3921.25405181438</v>
      </c>
      <c r="AB21" s="27">
        <f>BAU建筑面积计算!AB24*AB46/1000</f>
        <v>4034.16049303129</v>
      </c>
      <c r="AC21" s="27">
        <f>BAU建筑面积计算!AC24*AC46/1000</f>
        <v>4145.04311877548</v>
      </c>
      <c r="AD21" s="27">
        <f>BAU建筑面积计算!AD24*AD46/1000</f>
        <v>4254.09922157413</v>
      </c>
      <c r="AE21" s="27">
        <f>BAU建筑面积计算!AE24*AE46/1000</f>
        <v>4361.54496443704</v>
      </c>
      <c r="AF21" s="27">
        <f>BAU建筑面积计算!AF24*AF46/1000</f>
        <v>4467.61513510045</v>
      </c>
      <c r="AG21" s="27">
        <f>BAU建筑面积计算!AG24*AG46/1000</f>
        <v>4572.56441392906</v>
      </c>
      <c r="AH21" s="27">
        <f>BAU建筑面积计算!AH24*AH46/1000</f>
        <v>4676.66836604066</v>
      </c>
      <c r="AI21" s="27">
        <f>BAU建筑面积计算!AI24*AI46/1000</f>
        <v>4780.22345130631</v>
      </c>
      <c r="AJ21" s="27">
        <f>BAU建筑面积计算!AJ24*AJ46/1000</f>
        <v>4883.54892032499</v>
      </c>
      <c r="AK21" s="27">
        <f>BAU建筑面积计算!AK24*AK46/1000</f>
        <v>4986.98638248266</v>
      </c>
      <c r="AL21" s="27">
        <f>BAU建筑面积计算!AL24*AL46/1000</f>
        <v>5090.90190691349</v>
      </c>
      <c r="AM21" s="27">
        <f>BAU建筑面积计算!AM24*AM46/1000</f>
        <v>5195.68611949078</v>
      </c>
      <c r="AN21" s="27">
        <f>BAU建筑面积计算!AN24*AN46/1000</f>
        <v>5301.75525963754</v>
      </c>
      <c r="AO21" s="27">
        <f>BAU建筑面积计算!AO24*AO46/1000</f>
        <v>5409.55214508482</v>
      </c>
      <c r="AP21" s="27">
        <f>BAU建筑面积计算!AP24*AP46/1000</f>
        <v>5519.54716407703</v>
      </c>
      <c r="AQ21" s="27">
        <f>BAU建筑面积计算!AQ24*AQ46/1000</f>
        <v>5632.23953018293</v>
      </c>
      <c r="AR21" s="27">
        <f>BAU建筑面积计算!AR24*AR46/1000</f>
        <v>5748.15757566289</v>
      </c>
    </row>
    <row r="24" ht="30" spans="1:44">
      <c r="A24" s="30" t="s">
        <v>1023</v>
      </c>
    </row>
    <row r="25" s="3" customFormat="1" ht="40.5" spans="1:44">
      <c r="A25" s="31"/>
      <c r="B25" s="13" t="s">
        <v>1024</v>
      </c>
      <c r="C25" s="13" t="s">
        <v>1025</v>
      </c>
      <c r="D25" s="13" t="s">
        <v>1026</v>
      </c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</row>
    <row r="26" spans="1:44">
      <c r="A26" s="32" t="s">
        <v>1016</v>
      </c>
      <c r="B26" s="33">
        <f t="array" ref="B26">SUM(建筑各项能耗拆分!N4:S13/B32)-建筑各项能耗拆分!N8/建筑各项能耗拆分!B18</f>
        <v>21428.7956711263</v>
      </c>
      <c r="C26" s="34">
        <v>30.11</v>
      </c>
      <c r="D26" s="35">
        <f>B26*1000/BAU建筑面积计算!B20</f>
        <v>17.5072884250019</v>
      </c>
      <c r="R26"/>
      <c r="S26"/>
    </row>
    <row r="27" spans="1:44">
      <c r="A27" s="32" t="s">
        <v>1017</v>
      </c>
      <c r="B27" s="33">
        <f t="array" ref="B27">SUM(建筑各项能耗拆分!B4:G13/B32)-建筑各项能耗拆分!B8/建筑各项能耗拆分!B18</f>
        <v>15291.2914680833</v>
      </c>
      <c r="C27" s="34">
        <v>12.17</v>
      </c>
      <c r="D27" s="35">
        <f>B27*1000/BAU建筑面积计算!B4</f>
        <v>5.15172731838858</v>
      </c>
      <c r="R27"/>
      <c r="S27"/>
    </row>
    <row r="28" spans="1:44">
      <c r="A28" s="32" t="s">
        <v>1018</v>
      </c>
      <c r="B28" s="33">
        <f t="array" ref="B28">SUM(建筑各项能耗拆分!H4:M13/B32)</f>
        <v>11819.9426610011</v>
      </c>
      <c r="C28" s="34">
        <v>8.86</v>
      </c>
      <c r="D28" s="35">
        <f>B28*1000/BAU建筑面积计算!B12</f>
        <v>5.67549569937548</v>
      </c>
      <c r="R28"/>
      <c r="S28"/>
    </row>
    <row r="29" spans="1:44">
      <c r="A29" s="32" t="s">
        <v>1019</v>
      </c>
      <c r="B29" s="33">
        <f>SUM(建筑各项能耗拆分!B4:B13)/B32*0.5</f>
        <v>7100.20689462106</v>
      </c>
      <c r="C29" s="34">
        <v>16.6</v>
      </c>
      <c r="D29" s="34">
        <f>建筑各项能耗拆分!B8*1000/BAU建筑面积计算!B28/建筑各项能耗拆分!B18</f>
        <v>7.20220962120262</v>
      </c>
      <c r="R29"/>
      <c r="S29"/>
    </row>
    <row r="30" spans="1:44">
      <c r="A30" s="32" t="s">
        <v>1020</v>
      </c>
      <c r="B30" s="33">
        <f t="array" ref="B30">SUM(建筑各项能耗拆分!N4:N13/B32)*0.5</f>
        <v>4588.3871192794</v>
      </c>
      <c r="C30" s="34">
        <v>16.6</v>
      </c>
      <c r="D30" s="34">
        <f>建筑各项能耗拆分!N8*1000/BAU建筑面积计算!B36/建筑各项能耗拆分!B18</f>
        <v>7.84354425101932</v>
      </c>
      <c r="R30"/>
      <c r="S30"/>
    </row>
    <row r="31" spans="1:44">
      <c r="F31" s="24"/>
    </row>
    <row r="32" spans="1:44">
      <c r="A32" s="3" t="s">
        <v>1027</v>
      </c>
      <c r="B32" s="1">
        <v>277710000000</v>
      </c>
      <c r="R32"/>
      <c r="S32"/>
    </row>
    <row r="33" spans="1:44">
      <c r="C33"/>
    </row>
    <row r="34" spans="1:44">
      <c r="A34" s="36"/>
      <c r="B34" s="32" t="s">
        <v>1028</v>
      </c>
      <c r="C34" s="5" t="s">
        <v>1029</v>
      </c>
    </row>
    <row r="35" spans="1:44">
      <c r="A35" s="32" t="s">
        <v>1030</v>
      </c>
      <c r="B35" s="34">
        <v>0.65</v>
      </c>
      <c r="C35" s="34">
        <v>0.65</v>
      </c>
      <c r="D35" s="4"/>
    </row>
    <row r="36" spans="1:44">
      <c r="B36" s="4"/>
      <c r="C36" s="4"/>
      <c r="D36" s="4"/>
    </row>
    <row r="37" spans="1:44">
      <c r="A37" s="36"/>
      <c r="B37" s="32" t="s">
        <v>1031</v>
      </c>
      <c r="C37" s="5" t="s">
        <v>1032</v>
      </c>
      <c r="D37" s="4"/>
    </row>
    <row r="38" spans="1:44">
      <c r="A38" s="32" t="s">
        <v>1033</v>
      </c>
      <c r="B38" s="34">
        <v>0.65</v>
      </c>
      <c r="C38" s="34">
        <v>0.65</v>
      </c>
      <c r="D38" s="4"/>
    </row>
    <row r="39" spans="1:44">
      <c r="C39"/>
    </row>
    <row r="40" spans="1:44">
      <c r="C40"/>
    </row>
    <row r="41" s="26" customFormat="1" spans="1:44">
      <c r="A41" s="26" t="s">
        <v>1034</v>
      </c>
      <c r="B41" s="29">
        <v>2018</v>
      </c>
      <c r="C41" s="29">
        <v>2019</v>
      </c>
      <c r="D41" s="29">
        <v>2020</v>
      </c>
      <c r="E41" s="29">
        <v>2021</v>
      </c>
      <c r="F41" s="29">
        <v>2022</v>
      </c>
      <c r="G41" s="29">
        <v>2023</v>
      </c>
      <c r="H41" s="29">
        <v>2024</v>
      </c>
      <c r="I41" s="29">
        <v>2025</v>
      </c>
      <c r="J41" s="29">
        <v>2026</v>
      </c>
      <c r="K41" s="29">
        <v>2027</v>
      </c>
      <c r="L41" s="29">
        <v>2028</v>
      </c>
      <c r="M41" s="29">
        <v>2029</v>
      </c>
      <c r="N41" s="29">
        <v>2030</v>
      </c>
      <c r="O41" s="29">
        <v>2031</v>
      </c>
      <c r="P41" s="29">
        <v>2032</v>
      </c>
      <c r="Q41" s="29">
        <v>2033</v>
      </c>
      <c r="R41" s="29">
        <v>2034</v>
      </c>
      <c r="S41" s="29">
        <v>2035</v>
      </c>
      <c r="T41" s="29">
        <v>2036</v>
      </c>
      <c r="U41" s="29">
        <v>2037</v>
      </c>
      <c r="V41" s="29">
        <v>2038</v>
      </c>
      <c r="W41" s="29">
        <v>2039</v>
      </c>
      <c r="X41" s="29">
        <v>2040</v>
      </c>
      <c r="Y41" s="29">
        <v>2041</v>
      </c>
      <c r="Z41" s="29">
        <v>2042</v>
      </c>
      <c r="AA41" s="29">
        <v>2043</v>
      </c>
      <c r="AB41" s="29">
        <v>2044</v>
      </c>
      <c r="AC41" s="29">
        <v>2045</v>
      </c>
      <c r="AD41" s="29">
        <v>2046</v>
      </c>
      <c r="AE41" s="29">
        <v>2047</v>
      </c>
      <c r="AF41" s="29">
        <v>2048</v>
      </c>
      <c r="AG41" s="29">
        <v>2049</v>
      </c>
      <c r="AH41" s="29">
        <v>2050</v>
      </c>
      <c r="AI41" s="29">
        <v>2051</v>
      </c>
      <c r="AJ41" s="29">
        <v>2052</v>
      </c>
      <c r="AK41" s="29">
        <v>2053</v>
      </c>
      <c r="AL41" s="29">
        <v>2054</v>
      </c>
      <c r="AM41" s="29">
        <v>2055</v>
      </c>
      <c r="AN41" s="29">
        <v>2056</v>
      </c>
      <c r="AO41" s="29">
        <v>2057</v>
      </c>
      <c r="AP41" s="29">
        <v>2058</v>
      </c>
      <c r="AQ41" s="29">
        <v>2059</v>
      </c>
      <c r="AR41" s="29">
        <v>2060</v>
      </c>
    </row>
    <row r="42" s="27" customFormat="1" spans="1:44">
      <c r="A42" s="26" t="s">
        <v>1016</v>
      </c>
      <c r="B42" s="27">
        <f t="shared" ref="B42:AR42" si="5">$C$26*(1-$B$38)</f>
        <v>10.5385</v>
      </c>
      <c r="C42" s="27">
        <f t="shared" si="5"/>
        <v>10.5385</v>
      </c>
      <c r="D42" s="27">
        <f t="shared" si="5"/>
        <v>10.5385</v>
      </c>
      <c r="E42" s="27">
        <f t="shared" si="5"/>
        <v>10.5385</v>
      </c>
      <c r="F42" s="27">
        <f t="shared" si="5"/>
        <v>10.5385</v>
      </c>
      <c r="G42" s="27">
        <f t="shared" si="5"/>
        <v>10.5385</v>
      </c>
      <c r="H42" s="27">
        <f t="shared" si="5"/>
        <v>10.5385</v>
      </c>
      <c r="I42" s="27">
        <f t="shared" si="5"/>
        <v>10.5385</v>
      </c>
      <c r="J42" s="27">
        <f t="shared" si="5"/>
        <v>10.5385</v>
      </c>
      <c r="K42" s="27">
        <f t="shared" si="5"/>
        <v>10.5385</v>
      </c>
      <c r="L42" s="27">
        <f t="shared" si="5"/>
        <v>10.5385</v>
      </c>
      <c r="M42" s="27">
        <f t="shared" si="5"/>
        <v>10.5385</v>
      </c>
      <c r="N42" s="27">
        <f t="shared" si="5"/>
        <v>10.5385</v>
      </c>
      <c r="O42" s="27">
        <f t="shared" si="5"/>
        <v>10.5385</v>
      </c>
      <c r="P42" s="27">
        <f t="shared" si="5"/>
        <v>10.5385</v>
      </c>
      <c r="Q42" s="27">
        <f t="shared" si="5"/>
        <v>10.5385</v>
      </c>
      <c r="R42" s="27">
        <f t="shared" si="5"/>
        <v>10.5385</v>
      </c>
      <c r="S42" s="27">
        <f t="shared" si="5"/>
        <v>10.5385</v>
      </c>
      <c r="T42" s="27">
        <f t="shared" si="5"/>
        <v>10.5385</v>
      </c>
      <c r="U42" s="27">
        <f t="shared" si="5"/>
        <v>10.5385</v>
      </c>
      <c r="V42" s="27">
        <f t="shared" si="5"/>
        <v>10.5385</v>
      </c>
      <c r="W42" s="27">
        <f t="shared" si="5"/>
        <v>10.5385</v>
      </c>
      <c r="X42" s="27">
        <f t="shared" si="5"/>
        <v>10.5385</v>
      </c>
      <c r="Y42" s="27">
        <f t="shared" si="5"/>
        <v>10.5385</v>
      </c>
      <c r="Z42" s="27">
        <f t="shared" si="5"/>
        <v>10.5385</v>
      </c>
      <c r="AA42" s="27">
        <f t="shared" si="5"/>
        <v>10.5385</v>
      </c>
      <c r="AB42" s="27">
        <f t="shared" si="5"/>
        <v>10.5385</v>
      </c>
      <c r="AC42" s="27">
        <f t="shared" si="5"/>
        <v>10.5385</v>
      </c>
      <c r="AD42" s="27">
        <f t="shared" si="5"/>
        <v>10.5385</v>
      </c>
      <c r="AE42" s="27">
        <f t="shared" si="5"/>
        <v>10.5385</v>
      </c>
      <c r="AF42" s="27">
        <f t="shared" si="5"/>
        <v>10.5385</v>
      </c>
      <c r="AG42" s="27">
        <f t="shared" si="5"/>
        <v>10.5385</v>
      </c>
      <c r="AH42" s="27">
        <f t="shared" si="5"/>
        <v>10.5385</v>
      </c>
      <c r="AI42" s="27">
        <f t="shared" si="5"/>
        <v>10.5385</v>
      </c>
      <c r="AJ42" s="27">
        <f t="shared" si="5"/>
        <v>10.5385</v>
      </c>
      <c r="AK42" s="27">
        <f t="shared" si="5"/>
        <v>10.5385</v>
      </c>
      <c r="AL42" s="27">
        <f t="shared" si="5"/>
        <v>10.5385</v>
      </c>
      <c r="AM42" s="27">
        <f t="shared" si="5"/>
        <v>10.5385</v>
      </c>
      <c r="AN42" s="27">
        <f t="shared" si="5"/>
        <v>10.5385</v>
      </c>
      <c r="AO42" s="27">
        <f t="shared" si="5"/>
        <v>10.5385</v>
      </c>
      <c r="AP42" s="27">
        <f t="shared" si="5"/>
        <v>10.5385</v>
      </c>
      <c r="AQ42" s="27">
        <f t="shared" si="5"/>
        <v>10.5385</v>
      </c>
      <c r="AR42" s="27">
        <f t="shared" si="5"/>
        <v>10.5385</v>
      </c>
    </row>
    <row r="43" s="27" customFormat="1" spans="1:44">
      <c r="A43" s="26" t="s">
        <v>1017</v>
      </c>
      <c r="B43" s="27">
        <f t="shared" ref="B43:AR43" si="6">$C$27*(1-$B$35)</f>
        <v>4.2595</v>
      </c>
      <c r="C43" s="27">
        <f t="shared" si="6"/>
        <v>4.2595</v>
      </c>
      <c r="D43" s="27">
        <f t="shared" si="6"/>
        <v>4.2595</v>
      </c>
      <c r="E43" s="27">
        <f t="shared" si="6"/>
        <v>4.2595</v>
      </c>
      <c r="F43" s="27">
        <f t="shared" si="6"/>
        <v>4.2595</v>
      </c>
      <c r="G43" s="27">
        <f t="shared" si="6"/>
        <v>4.2595</v>
      </c>
      <c r="H43" s="27">
        <f t="shared" si="6"/>
        <v>4.2595</v>
      </c>
      <c r="I43" s="27">
        <f t="shared" si="6"/>
        <v>4.2595</v>
      </c>
      <c r="J43" s="27">
        <f t="shared" si="6"/>
        <v>4.2595</v>
      </c>
      <c r="K43" s="27">
        <f t="shared" si="6"/>
        <v>4.2595</v>
      </c>
      <c r="L43" s="27">
        <f t="shared" si="6"/>
        <v>4.2595</v>
      </c>
      <c r="M43" s="27">
        <f t="shared" si="6"/>
        <v>4.2595</v>
      </c>
      <c r="N43" s="27">
        <f t="shared" si="6"/>
        <v>4.2595</v>
      </c>
      <c r="O43" s="27">
        <f t="shared" si="6"/>
        <v>4.2595</v>
      </c>
      <c r="P43" s="27">
        <f t="shared" si="6"/>
        <v>4.2595</v>
      </c>
      <c r="Q43" s="27">
        <f t="shared" si="6"/>
        <v>4.2595</v>
      </c>
      <c r="R43" s="27">
        <f t="shared" si="6"/>
        <v>4.2595</v>
      </c>
      <c r="S43" s="27">
        <f t="shared" si="6"/>
        <v>4.2595</v>
      </c>
      <c r="T43" s="27">
        <f t="shared" si="6"/>
        <v>4.2595</v>
      </c>
      <c r="U43" s="27">
        <f t="shared" si="6"/>
        <v>4.2595</v>
      </c>
      <c r="V43" s="27">
        <f t="shared" si="6"/>
        <v>4.2595</v>
      </c>
      <c r="W43" s="27">
        <f t="shared" si="6"/>
        <v>4.2595</v>
      </c>
      <c r="X43" s="27">
        <f t="shared" si="6"/>
        <v>4.2595</v>
      </c>
      <c r="Y43" s="27">
        <f t="shared" si="6"/>
        <v>4.2595</v>
      </c>
      <c r="Z43" s="27">
        <f t="shared" si="6"/>
        <v>4.2595</v>
      </c>
      <c r="AA43" s="27">
        <f t="shared" si="6"/>
        <v>4.2595</v>
      </c>
      <c r="AB43" s="27">
        <f t="shared" si="6"/>
        <v>4.2595</v>
      </c>
      <c r="AC43" s="27">
        <f t="shared" si="6"/>
        <v>4.2595</v>
      </c>
      <c r="AD43" s="27">
        <f t="shared" si="6"/>
        <v>4.2595</v>
      </c>
      <c r="AE43" s="27">
        <f t="shared" si="6"/>
        <v>4.2595</v>
      </c>
      <c r="AF43" s="27">
        <f t="shared" si="6"/>
        <v>4.2595</v>
      </c>
      <c r="AG43" s="27">
        <f t="shared" si="6"/>
        <v>4.2595</v>
      </c>
      <c r="AH43" s="27">
        <f t="shared" si="6"/>
        <v>4.2595</v>
      </c>
      <c r="AI43" s="27">
        <f t="shared" si="6"/>
        <v>4.2595</v>
      </c>
      <c r="AJ43" s="27">
        <f t="shared" si="6"/>
        <v>4.2595</v>
      </c>
      <c r="AK43" s="27">
        <f t="shared" si="6"/>
        <v>4.2595</v>
      </c>
      <c r="AL43" s="27">
        <f t="shared" si="6"/>
        <v>4.2595</v>
      </c>
      <c r="AM43" s="27">
        <f t="shared" si="6"/>
        <v>4.2595</v>
      </c>
      <c r="AN43" s="27">
        <f t="shared" si="6"/>
        <v>4.2595</v>
      </c>
      <c r="AO43" s="27">
        <f t="shared" si="6"/>
        <v>4.2595</v>
      </c>
      <c r="AP43" s="27">
        <f t="shared" si="6"/>
        <v>4.2595</v>
      </c>
      <c r="AQ43" s="27">
        <f t="shared" si="6"/>
        <v>4.2595</v>
      </c>
      <c r="AR43" s="27">
        <f t="shared" si="6"/>
        <v>4.2595</v>
      </c>
    </row>
    <row r="44" s="27" customFormat="1" spans="1:44">
      <c r="A44" s="26" t="s">
        <v>1018</v>
      </c>
      <c r="B44" s="27">
        <f>$C$28*(1-$B$35)</f>
        <v>3.101</v>
      </c>
      <c r="C44" s="27">
        <f t="shared" ref="C44:AR44" si="7">$C$28*(1-$B$35)</f>
        <v>3.101</v>
      </c>
      <c r="D44" s="27">
        <f t="shared" si="7"/>
        <v>3.101</v>
      </c>
      <c r="E44" s="27">
        <f t="shared" si="7"/>
        <v>3.101</v>
      </c>
      <c r="F44" s="27">
        <f t="shared" si="7"/>
        <v>3.101</v>
      </c>
      <c r="G44" s="27">
        <f t="shared" si="7"/>
        <v>3.101</v>
      </c>
      <c r="H44" s="27">
        <f t="shared" si="7"/>
        <v>3.101</v>
      </c>
      <c r="I44" s="27">
        <f t="shared" si="7"/>
        <v>3.101</v>
      </c>
      <c r="J44" s="27">
        <f t="shared" si="7"/>
        <v>3.101</v>
      </c>
      <c r="K44" s="27">
        <f t="shared" si="7"/>
        <v>3.101</v>
      </c>
      <c r="L44" s="27">
        <f t="shared" si="7"/>
        <v>3.101</v>
      </c>
      <c r="M44" s="27">
        <f t="shared" si="7"/>
        <v>3.101</v>
      </c>
      <c r="N44" s="27">
        <f t="shared" si="7"/>
        <v>3.101</v>
      </c>
      <c r="O44" s="27">
        <f t="shared" si="7"/>
        <v>3.101</v>
      </c>
      <c r="P44" s="27">
        <f t="shared" si="7"/>
        <v>3.101</v>
      </c>
      <c r="Q44" s="27">
        <f t="shared" si="7"/>
        <v>3.101</v>
      </c>
      <c r="R44" s="27">
        <f t="shared" si="7"/>
        <v>3.101</v>
      </c>
      <c r="S44" s="27">
        <f t="shared" si="7"/>
        <v>3.101</v>
      </c>
      <c r="T44" s="27">
        <f t="shared" si="7"/>
        <v>3.101</v>
      </c>
      <c r="U44" s="27">
        <f t="shared" si="7"/>
        <v>3.101</v>
      </c>
      <c r="V44" s="27">
        <f t="shared" si="7"/>
        <v>3.101</v>
      </c>
      <c r="W44" s="27">
        <f t="shared" si="7"/>
        <v>3.101</v>
      </c>
      <c r="X44" s="27">
        <f t="shared" si="7"/>
        <v>3.101</v>
      </c>
      <c r="Y44" s="27">
        <f t="shared" si="7"/>
        <v>3.101</v>
      </c>
      <c r="Z44" s="27">
        <f t="shared" si="7"/>
        <v>3.101</v>
      </c>
      <c r="AA44" s="27">
        <f t="shared" si="7"/>
        <v>3.101</v>
      </c>
      <c r="AB44" s="27">
        <f t="shared" si="7"/>
        <v>3.101</v>
      </c>
      <c r="AC44" s="27">
        <f t="shared" si="7"/>
        <v>3.101</v>
      </c>
      <c r="AD44" s="27">
        <f t="shared" si="7"/>
        <v>3.101</v>
      </c>
      <c r="AE44" s="27">
        <f t="shared" si="7"/>
        <v>3.101</v>
      </c>
      <c r="AF44" s="27">
        <f t="shared" si="7"/>
        <v>3.101</v>
      </c>
      <c r="AG44" s="27">
        <f t="shared" si="7"/>
        <v>3.101</v>
      </c>
      <c r="AH44" s="27">
        <f t="shared" si="7"/>
        <v>3.101</v>
      </c>
      <c r="AI44" s="27">
        <f t="shared" si="7"/>
        <v>3.101</v>
      </c>
      <c r="AJ44" s="27">
        <f t="shared" si="7"/>
        <v>3.101</v>
      </c>
      <c r="AK44" s="27">
        <f t="shared" si="7"/>
        <v>3.101</v>
      </c>
      <c r="AL44" s="27">
        <f t="shared" si="7"/>
        <v>3.101</v>
      </c>
      <c r="AM44" s="27">
        <f t="shared" si="7"/>
        <v>3.101</v>
      </c>
      <c r="AN44" s="27">
        <f t="shared" si="7"/>
        <v>3.101</v>
      </c>
      <c r="AO44" s="27">
        <f t="shared" si="7"/>
        <v>3.101</v>
      </c>
      <c r="AP44" s="27">
        <f t="shared" si="7"/>
        <v>3.101</v>
      </c>
      <c r="AQ44" s="27">
        <f t="shared" si="7"/>
        <v>3.101</v>
      </c>
      <c r="AR44" s="27">
        <f t="shared" si="7"/>
        <v>3.101</v>
      </c>
    </row>
    <row r="45" s="27" customFormat="1" spans="1:44">
      <c r="A45" s="26" t="s">
        <v>1019</v>
      </c>
      <c r="B45" s="27">
        <f t="shared" ref="B45:AR45" si="8">$C$29*(1-$B$35)</f>
        <v>5.81</v>
      </c>
      <c r="C45" s="27">
        <f t="shared" si="8"/>
        <v>5.81</v>
      </c>
      <c r="D45" s="27">
        <f t="shared" si="8"/>
        <v>5.81</v>
      </c>
      <c r="E45" s="27">
        <f t="shared" si="8"/>
        <v>5.81</v>
      </c>
      <c r="F45" s="27">
        <f t="shared" si="8"/>
        <v>5.81</v>
      </c>
      <c r="G45" s="27">
        <f t="shared" si="8"/>
        <v>5.81</v>
      </c>
      <c r="H45" s="27">
        <f t="shared" si="8"/>
        <v>5.81</v>
      </c>
      <c r="I45" s="27">
        <f t="shared" si="8"/>
        <v>5.81</v>
      </c>
      <c r="J45" s="27">
        <f t="shared" si="8"/>
        <v>5.81</v>
      </c>
      <c r="K45" s="27">
        <f t="shared" si="8"/>
        <v>5.81</v>
      </c>
      <c r="L45" s="27">
        <f t="shared" si="8"/>
        <v>5.81</v>
      </c>
      <c r="M45" s="27">
        <f t="shared" si="8"/>
        <v>5.81</v>
      </c>
      <c r="N45" s="27">
        <f t="shared" si="8"/>
        <v>5.81</v>
      </c>
      <c r="O45" s="27">
        <f t="shared" si="8"/>
        <v>5.81</v>
      </c>
      <c r="P45" s="27">
        <f t="shared" si="8"/>
        <v>5.81</v>
      </c>
      <c r="Q45" s="27">
        <f t="shared" si="8"/>
        <v>5.81</v>
      </c>
      <c r="R45" s="27">
        <f t="shared" si="8"/>
        <v>5.81</v>
      </c>
      <c r="S45" s="27">
        <f t="shared" si="8"/>
        <v>5.81</v>
      </c>
      <c r="T45" s="27">
        <f t="shared" si="8"/>
        <v>5.81</v>
      </c>
      <c r="U45" s="27">
        <f t="shared" si="8"/>
        <v>5.81</v>
      </c>
      <c r="V45" s="27">
        <f t="shared" si="8"/>
        <v>5.81</v>
      </c>
      <c r="W45" s="27">
        <f t="shared" si="8"/>
        <v>5.81</v>
      </c>
      <c r="X45" s="27">
        <f t="shared" si="8"/>
        <v>5.81</v>
      </c>
      <c r="Y45" s="27">
        <f t="shared" si="8"/>
        <v>5.81</v>
      </c>
      <c r="Z45" s="27">
        <f t="shared" si="8"/>
        <v>5.81</v>
      </c>
      <c r="AA45" s="27">
        <f t="shared" si="8"/>
        <v>5.81</v>
      </c>
      <c r="AB45" s="27">
        <f t="shared" si="8"/>
        <v>5.81</v>
      </c>
      <c r="AC45" s="27">
        <f t="shared" si="8"/>
        <v>5.81</v>
      </c>
      <c r="AD45" s="27">
        <f t="shared" si="8"/>
        <v>5.81</v>
      </c>
      <c r="AE45" s="27">
        <f t="shared" si="8"/>
        <v>5.81</v>
      </c>
      <c r="AF45" s="27">
        <f t="shared" si="8"/>
        <v>5.81</v>
      </c>
      <c r="AG45" s="27">
        <f t="shared" si="8"/>
        <v>5.81</v>
      </c>
      <c r="AH45" s="27">
        <f t="shared" si="8"/>
        <v>5.81</v>
      </c>
      <c r="AI45" s="27">
        <f t="shared" si="8"/>
        <v>5.81</v>
      </c>
      <c r="AJ45" s="27">
        <f t="shared" si="8"/>
        <v>5.81</v>
      </c>
      <c r="AK45" s="27">
        <f t="shared" si="8"/>
        <v>5.81</v>
      </c>
      <c r="AL45" s="27">
        <f t="shared" si="8"/>
        <v>5.81</v>
      </c>
      <c r="AM45" s="27">
        <f t="shared" si="8"/>
        <v>5.81</v>
      </c>
      <c r="AN45" s="27">
        <f t="shared" si="8"/>
        <v>5.81</v>
      </c>
      <c r="AO45" s="27">
        <f t="shared" si="8"/>
        <v>5.81</v>
      </c>
      <c r="AP45" s="27">
        <f t="shared" si="8"/>
        <v>5.81</v>
      </c>
      <c r="AQ45" s="27">
        <f t="shared" si="8"/>
        <v>5.81</v>
      </c>
      <c r="AR45" s="27">
        <f t="shared" si="8"/>
        <v>5.81</v>
      </c>
    </row>
    <row r="46" s="27" customFormat="1" spans="1:44">
      <c r="A46" s="26" t="s">
        <v>1020</v>
      </c>
      <c r="B46" s="27">
        <f t="shared" ref="B46:AR46" si="9">$C$30*(1-$B$38)</f>
        <v>5.81</v>
      </c>
      <c r="C46" s="27">
        <f t="shared" si="9"/>
        <v>5.81</v>
      </c>
      <c r="D46" s="27">
        <f t="shared" si="9"/>
        <v>5.81</v>
      </c>
      <c r="E46" s="27">
        <f t="shared" si="9"/>
        <v>5.81</v>
      </c>
      <c r="F46" s="27">
        <f t="shared" si="9"/>
        <v>5.81</v>
      </c>
      <c r="G46" s="27">
        <f t="shared" si="9"/>
        <v>5.81</v>
      </c>
      <c r="H46" s="27">
        <f t="shared" si="9"/>
        <v>5.81</v>
      </c>
      <c r="I46" s="27">
        <f t="shared" si="9"/>
        <v>5.81</v>
      </c>
      <c r="J46" s="27">
        <f t="shared" si="9"/>
        <v>5.81</v>
      </c>
      <c r="K46" s="27">
        <f t="shared" si="9"/>
        <v>5.81</v>
      </c>
      <c r="L46" s="27">
        <f t="shared" si="9"/>
        <v>5.81</v>
      </c>
      <c r="M46" s="27">
        <f t="shared" si="9"/>
        <v>5.81</v>
      </c>
      <c r="N46" s="27">
        <f t="shared" si="9"/>
        <v>5.81</v>
      </c>
      <c r="O46" s="27">
        <f t="shared" si="9"/>
        <v>5.81</v>
      </c>
      <c r="P46" s="27">
        <f t="shared" si="9"/>
        <v>5.81</v>
      </c>
      <c r="Q46" s="27">
        <f t="shared" si="9"/>
        <v>5.81</v>
      </c>
      <c r="R46" s="27">
        <f t="shared" si="9"/>
        <v>5.81</v>
      </c>
      <c r="S46" s="27">
        <f t="shared" si="9"/>
        <v>5.81</v>
      </c>
      <c r="T46" s="27">
        <f t="shared" si="9"/>
        <v>5.81</v>
      </c>
      <c r="U46" s="27">
        <f t="shared" si="9"/>
        <v>5.81</v>
      </c>
      <c r="V46" s="27">
        <f t="shared" si="9"/>
        <v>5.81</v>
      </c>
      <c r="W46" s="27">
        <f t="shared" si="9"/>
        <v>5.81</v>
      </c>
      <c r="X46" s="27">
        <f t="shared" si="9"/>
        <v>5.81</v>
      </c>
      <c r="Y46" s="27">
        <f t="shared" si="9"/>
        <v>5.81</v>
      </c>
      <c r="Z46" s="27">
        <f t="shared" si="9"/>
        <v>5.81</v>
      </c>
      <c r="AA46" s="27">
        <f t="shared" si="9"/>
        <v>5.81</v>
      </c>
      <c r="AB46" s="27">
        <f t="shared" si="9"/>
        <v>5.81</v>
      </c>
      <c r="AC46" s="27">
        <f t="shared" si="9"/>
        <v>5.81</v>
      </c>
      <c r="AD46" s="27">
        <f t="shared" si="9"/>
        <v>5.81</v>
      </c>
      <c r="AE46" s="27">
        <f t="shared" si="9"/>
        <v>5.81</v>
      </c>
      <c r="AF46" s="27">
        <f t="shared" si="9"/>
        <v>5.81</v>
      </c>
      <c r="AG46" s="27">
        <f t="shared" si="9"/>
        <v>5.81</v>
      </c>
      <c r="AH46" s="27">
        <f t="shared" si="9"/>
        <v>5.81</v>
      </c>
      <c r="AI46" s="27">
        <f t="shared" si="9"/>
        <v>5.81</v>
      </c>
      <c r="AJ46" s="27">
        <f t="shared" si="9"/>
        <v>5.81</v>
      </c>
      <c r="AK46" s="27">
        <f t="shared" si="9"/>
        <v>5.81</v>
      </c>
      <c r="AL46" s="27">
        <f t="shared" si="9"/>
        <v>5.81</v>
      </c>
      <c r="AM46" s="27">
        <f t="shared" si="9"/>
        <v>5.81</v>
      </c>
      <c r="AN46" s="27">
        <f t="shared" si="9"/>
        <v>5.81</v>
      </c>
      <c r="AO46" s="27">
        <f t="shared" si="9"/>
        <v>5.81</v>
      </c>
      <c r="AP46" s="27">
        <f t="shared" si="9"/>
        <v>5.81</v>
      </c>
      <c r="AQ46" s="27">
        <f t="shared" si="9"/>
        <v>5.81</v>
      </c>
      <c r="AR46" s="27">
        <f t="shared" si="9"/>
        <v>5.81</v>
      </c>
    </row>
    <row r="47" spans="1:44">
      <c r="C47"/>
    </row>
    <row r="48" spans="1:44">
      <c r="C48"/>
    </row>
    <row r="49" spans="1:3">
      <c r="C49"/>
    </row>
    <row r="50" spans="1:3">
      <c r="A50" s="1" t="s">
        <v>1035</v>
      </c>
      <c r="C50"/>
    </row>
    <row r="51" spans="1:3">
      <c r="B51" s="1" t="s">
        <v>1036</v>
      </c>
      <c r="C51"/>
    </row>
    <row r="52" spans="1:3">
      <c r="A52" s="1" t="s">
        <v>1017</v>
      </c>
      <c r="B52" s="37">
        <f>SUM(BAU建筑面积计算!E7:I7)</f>
        <v>365637.683408864</v>
      </c>
      <c r="C52"/>
    </row>
    <row r="53" spans="1:3">
      <c r="A53" s="1" t="s">
        <v>1018</v>
      </c>
      <c r="B53" s="37">
        <f>SUM(BAU建筑面积计算!E15:I15)</f>
        <v>73109.7408068261</v>
      </c>
      <c r="C53"/>
    </row>
    <row r="54" spans="1:3">
      <c r="A54" s="1" t="s">
        <v>1016</v>
      </c>
      <c r="B54" s="37">
        <f>SUM(BAU建筑面积计算!E23:I23)</f>
        <v>150778.190509509</v>
      </c>
      <c r="C54"/>
    </row>
    <row r="55" spans="1:3">
      <c r="A55" s="1" t="s">
        <v>946</v>
      </c>
      <c r="B55" s="38">
        <f>SUM(B52:B54)</f>
        <v>589525.614725199</v>
      </c>
      <c r="C55"/>
    </row>
    <row r="56" ht="40.5" spans="1:3">
      <c r="B56" s="9" t="s">
        <v>1037</v>
      </c>
      <c r="C56"/>
    </row>
    <row r="57" spans="1:3">
      <c r="C57"/>
    </row>
    <row r="58" spans="1:3">
      <c r="C58"/>
    </row>
    <row r="59" spans="1:3">
      <c r="C59"/>
    </row>
    <row r="60" spans="1:3">
      <c r="C60"/>
    </row>
    <row r="61" spans="1:3">
      <c r="C61"/>
    </row>
  </sheetData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5"/>
  <sheetViews>
    <sheetView workbookViewId="0">
      <selection activeCell="A1" sqref="A1"/>
    </sheetView>
  </sheetViews>
  <sheetFormatPr defaultColWidth="9" defaultRowHeight="13.5" outlineLevelRow="4"/>
  <cols>
    <col min="1" max="1" width="62.75" customWidth="1"/>
  </cols>
  <sheetData>
    <row r="2" spans="1:1">
      <c r="A2" t="s">
        <v>960</v>
      </c>
    </row>
    <row r="3" spans="1:1">
      <c r="A3" s="25" t="s">
        <v>1038</v>
      </c>
    </row>
    <row r="4" spans="1:1">
      <c r="A4" t="s">
        <v>1039</v>
      </c>
    </row>
    <row r="5" ht="27" spans="1:1">
      <c r="A5" s="3" t="s">
        <v>1040</v>
      </c>
    </row>
  </sheetData>
  <hyperlinks>
    <hyperlink ref="A3" r:id="rId1" display="https://www.chndaqi.com/news/328990.html"/>
  </hyperlinks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9"/>
  <sheetViews>
    <sheetView workbookViewId="0">
      <selection activeCell="A1" sqref="A1"/>
    </sheetView>
  </sheetViews>
  <sheetFormatPr defaultColWidth="9" defaultRowHeight="13.5" outlineLevelCol="6"/>
  <cols>
    <col min="1" max="1" width="23.8833333333333" customWidth="1"/>
    <col min="2" max="2" width="11" customWidth="1"/>
    <col min="4" max="4" width="12.75" customWidth="1"/>
    <col min="5" max="5" width="13" customWidth="1"/>
    <col min="6" max="7" width="11.8833333333333" customWidth="1"/>
  </cols>
  <sheetData>
    <row r="1" ht="27" spans="1:7">
      <c r="A1" s="3" t="s">
        <v>1041</v>
      </c>
      <c r="B1" s="3" t="s">
        <v>1042</v>
      </c>
      <c r="C1" s="3" t="s">
        <v>1043</v>
      </c>
      <c r="D1" s="3" t="s">
        <v>1043</v>
      </c>
      <c r="E1" s="3" t="s">
        <v>1044</v>
      </c>
      <c r="F1" s="3"/>
      <c r="G1" s="3" t="s">
        <v>1027</v>
      </c>
    </row>
    <row r="2" spans="1:7">
      <c r="C2" t="s">
        <v>1045</v>
      </c>
      <c r="D2" t="s">
        <v>1046</v>
      </c>
      <c r="E2" t="s">
        <v>1047</v>
      </c>
    </row>
    <row r="3" spans="1:7">
      <c r="A3" t="s">
        <v>1048</v>
      </c>
      <c r="C3">
        <v>0</v>
      </c>
    </row>
    <row r="4" spans="1:7">
      <c r="A4" t="s">
        <v>1049</v>
      </c>
      <c r="B4" t="s">
        <v>1050</v>
      </c>
      <c r="C4">
        <v>209.08</v>
      </c>
      <c r="D4">
        <f>C4/293</f>
        <v>0.71358361774744</v>
      </c>
      <c r="E4">
        <f>D4*2.7771*10^11</f>
        <v>198169306484.642</v>
      </c>
      <c r="G4">
        <f>E4/D4</f>
        <v>277710000000</v>
      </c>
    </row>
    <row r="5" spans="1:7">
      <c r="A5" t="s">
        <v>1051</v>
      </c>
      <c r="B5" t="s">
        <v>1050</v>
      </c>
      <c r="C5">
        <v>263.44</v>
      </c>
      <c r="D5">
        <f t="shared" ref="D5:D34" si="0">C5/293</f>
        <v>0.899112627986348</v>
      </c>
      <c r="E5">
        <f t="shared" ref="E5:E34" si="1">D5*2.7771*10^11</f>
        <v>249692567918.089</v>
      </c>
    </row>
    <row r="6" spans="1:7">
      <c r="A6" t="s">
        <v>1052</v>
      </c>
      <c r="B6" t="s">
        <v>1050</v>
      </c>
      <c r="C6">
        <v>83.63</v>
      </c>
      <c r="D6">
        <f t="shared" si="0"/>
        <v>0.28542662116041</v>
      </c>
      <c r="E6">
        <f t="shared" si="1"/>
        <v>79265826962.4573</v>
      </c>
    </row>
    <row r="7" spans="1:7">
      <c r="A7" t="s">
        <v>1053</v>
      </c>
      <c r="B7" t="s">
        <v>1050</v>
      </c>
      <c r="C7">
        <v>154.73</v>
      </c>
      <c r="D7">
        <f t="shared" si="0"/>
        <v>0.528088737201365</v>
      </c>
      <c r="E7">
        <f t="shared" si="1"/>
        <v>146655523208.191</v>
      </c>
    </row>
    <row r="8" spans="1:7">
      <c r="A8" t="s">
        <v>1054</v>
      </c>
      <c r="B8" t="s">
        <v>1050</v>
      </c>
      <c r="C8">
        <v>83.74</v>
      </c>
      <c r="D8">
        <f t="shared" si="0"/>
        <v>0.28580204778157</v>
      </c>
      <c r="E8">
        <f t="shared" si="1"/>
        <v>79370086689.4198</v>
      </c>
    </row>
    <row r="9" spans="1:7">
      <c r="A9" t="s">
        <v>1055</v>
      </c>
      <c r="B9" t="s">
        <v>1050</v>
      </c>
      <c r="C9">
        <v>284.35</v>
      </c>
      <c r="D9">
        <f t="shared" si="0"/>
        <v>0.970477815699659</v>
      </c>
      <c r="E9">
        <f t="shared" si="1"/>
        <v>269511394197.952</v>
      </c>
    </row>
    <row r="10" spans="1:7">
      <c r="A10" t="s">
        <v>1056</v>
      </c>
      <c r="B10" t="s">
        <v>1057</v>
      </c>
      <c r="C10">
        <v>1735.35</v>
      </c>
      <c r="D10">
        <f t="shared" si="0"/>
        <v>5.92269624573379</v>
      </c>
      <c r="E10">
        <f t="shared" si="1"/>
        <v>1644791974402.73</v>
      </c>
    </row>
    <row r="11" spans="1:7">
      <c r="A11" t="s">
        <v>1058</v>
      </c>
      <c r="B11" t="s">
        <v>1057</v>
      </c>
      <c r="C11">
        <v>376.3</v>
      </c>
      <c r="D11">
        <f t="shared" si="0"/>
        <v>1.28430034129693</v>
      </c>
      <c r="E11">
        <f t="shared" si="1"/>
        <v>356663047781.57</v>
      </c>
    </row>
    <row r="12" spans="1:7">
      <c r="A12" t="s">
        <v>1059</v>
      </c>
      <c r="B12" t="s">
        <v>1057</v>
      </c>
      <c r="C12">
        <v>794.5</v>
      </c>
      <c r="D12">
        <f t="shared" si="0"/>
        <v>2.71160409556314</v>
      </c>
      <c r="E12">
        <f t="shared" si="1"/>
        <v>753039573378.84</v>
      </c>
    </row>
    <row r="13" spans="1:7">
      <c r="A13" t="s">
        <v>1060</v>
      </c>
      <c r="B13" t="s">
        <v>1057</v>
      </c>
      <c r="C13">
        <v>522.7</v>
      </c>
      <c r="D13">
        <f t="shared" si="0"/>
        <v>1.7839590443686</v>
      </c>
      <c r="E13">
        <f t="shared" si="1"/>
        <v>495423266211.604</v>
      </c>
    </row>
    <row r="14" spans="1:7">
      <c r="A14" t="s">
        <v>1061</v>
      </c>
      <c r="B14" t="s">
        <v>1050</v>
      </c>
      <c r="C14">
        <v>334.53</v>
      </c>
      <c r="D14">
        <f t="shared" si="0"/>
        <v>1.14174061433447</v>
      </c>
      <c r="E14">
        <f t="shared" si="1"/>
        <v>317072786006.826</v>
      </c>
    </row>
    <row r="15" spans="1:7">
      <c r="A15" t="s">
        <v>1062</v>
      </c>
      <c r="C15">
        <v>0</v>
      </c>
      <c r="D15">
        <f t="shared" si="0"/>
        <v>0</v>
      </c>
      <c r="E15">
        <f t="shared" si="1"/>
        <v>0</v>
      </c>
    </row>
    <row r="16" spans="1:7">
      <c r="A16" t="s">
        <v>1063</v>
      </c>
      <c r="B16" t="s">
        <v>1050</v>
      </c>
      <c r="C16">
        <v>418.16</v>
      </c>
      <c r="D16">
        <f t="shared" si="0"/>
        <v>1.42716723549488</v>
      </c>
      <c r="E16">
        <f t="shared" si="1"/>
        <v>396338612969.283</v>
      </c>
    </row>
    <row r="17" spans="1:5">
      <c r="A17" t="s">
        <v>1064</v>
      </c>
      <c r="B17" t="s">
        <v>1050</v>
      </c>
      <c r="C17">
        <v>430.7</v>
      </c>
      <c r="D17">
        <f t="shared" si="0"/>
        <v>1.46996587030717</v>
      </c>
      <c r="E17">
        <f t="shared" si="1"/>
        <v>408224221843.003</v>
      </c>
    </row>
    <row r="18" spans="1:5">
      <c r="A18" t="s">
        <v>1065</v>
      </c>
      <c r="B18" t="s">
        <v>1050</v>
      </c>
      <c r="C18">
        <v>430.7</v>
      </c>
      <c r="D18">
        <f t="shared" si="0"/>
        <v>1.46996587030717</v>
      </c>
      <c r="E18">
        <f t="shared" si="1"/>
        <v>408224221843.003</v>
      </c>
    </row>
    <row r="19" spans="1:5">
      <c r="A19" t="s">
        <v>1066</v>
      </c>
      <c r="B19" t="s">
        <v>1050</v>
      </c>
      <c r="C19">
        <v>426.52</v>
      </c>
      <c r="D19">
        <f t="shared" si="0"/>
        <v>1.45569965870307</v>
      </c>
      <c r="E19">
        <f t="shared" si="1"/>
        <v>404262352218.43</v>
      </c>
    </row>
    <row r="20" spans="1:5">
      <c r="A20" t="s">
        <v>1067</v>
      </c>
      <c r="B20" t="s">
        <v>1050</v>
      </c>
      <c r="C20">
        <v>418.16</v>
      </c>
      <c r="D20">
        <f t="shared" si="0"/>
        <v>1.42716723549488</v>
      </c>
      <c r="E20">
        <f t="shared" si="1"/>
        <v>396338612969.283</v>
      </c>
    </row>
    <row r="21" spans="1:5">
      <c r="A21" t="s">
        <v>1068</v>
      </c>
      <c r="B21" t="s">
        <v>1050</v>
      </c>
      <c r="C21">
        <v>439.07</v>
      </c>
      <c r="D21">
        <f t="shared" si="0"/>
        <v>1.49853242320819</v>
      </c>
      <c r="E21">
        <f t="shared" si="1"/>
        <v>416157439249.147</v>
      </c>
    </row>
    <row r="22" spans="1:5">
      <c r="A22" t="s">
        <v>1069</v>
      </c>
      <c r="B22" t="s">
        <v>1050</v>
      </c>
      <c r="C22">
        <v>413.98</v>
      </c>
      <c r="D22">
        <f t="shared" si="0"/>
        <v>1.41290102389079</v>
      </c>
      <c r="E22">
        <f t="shared" si="1"/>
        <v>392376743344.71</v>
      </c>
    </row>
    <row r="23" spans="1:5">
      <c r="A23" t="s">
        <v>1070</v>
      </c>
      <c r="B23" t="s">
        <v>1050</v>
      </c>
      <c r="C23">
        <v>399.25</v>
      </c>
      <c r="D23">
        <f t="shared" si="0"/>
        <v>1.36262798634812</v>
      </c>
      <c r="E23">
        <f t="shared" si="1"/>
        <v>378415418088.737</v>
      </c>
    </row>
    <row r="24" spans="1:5">
      <c r="A24" t="s">
        <v>1071</v>
      </c>
      <c r="B24" t="s">
        <v>1050</v>
      </c>
      <c r="C24">
        <v>429.45</v>
      </c>
      <c r="D24">
        <f t="shared" si="0"/>
        <v>1.46569965870307</v>
      </c>
      <c r="E24">
        <f t="shared" si="1"/>
        <v>407039452218.43</v>
      </c>
    </row>
    <row r="25" spans="1:5">
      <c r="A25" t="s">
        <v>1072</v>
      </c>
      <c r="B25" t="s">
        <v>1050</v>
      </c>
      <c r="C25">
        <v>389.31</v>
      </c>
      <c r="D25">
        <f t="shared" si="0"/>
        <v>1.32870307167235</v>
      </c>
      <c r="E25">
        <f t="shared" si="1"/>
        <v>368994130034.13</v>
      </c>
    </row>
    <row r="26" spans="1:5">
      <c r="A26" t="s">
        <v>1073</v>
      </c>
      <c r="B26" t="s">
        <v>1050</v>
      </c>
      <c r="C26">
        <v>319.47</v>
      </c>
      <c r="D26">
        <f t="shared" si="0"/>
        <v>1.09034129692833</v>
      </c>
      <c r="E26">
        <f t="shared" si="1"/>
        <v>302798681569.966</v>
      </c>
    </row>
    <row r="27" spans="1:5">
      <c r="A27" t="s">
        <v>1074</v>
      </c>
      <c r="B27" t="s">
        <v>1050</v>
      </c>
      <c r="C27">
        <v>501.79</v>
      </c>
      <c r="D27">
        <f t="shared" si="0"/>
        <v>1.71259385665529</v>
      </c>
      <c r="E27">
        <f t="shared" si="1"/>
        <v>475604439931.741</v>
      </c>
    </row>
    <row r="28" spans="1:5">
      <c r="A28" t="s">
        <v>1075</v>
      </c>
      <c r="B28" t="s">
        <v>1050</v>
      </c>
      <c r="C28">
        <v>459.98</v>
      </c>
      <c r="D28">
        <f t="shared" si="0"/>
        <v>1.5698976109215</v>
      </c>
      <c r="E28">
        <f t="shared" si="1"/>
        <v>435976265529.01</v>
      </c>
    </row>
    <row r="29" spans="1:5">
      <c r="A29" t="s">
        <v>1076</v>
      </c>
      <c r="B29" t="s">
        <v>1050</v>
      </c>
      <c r="C29">
        <v>409.8</v>
      </c>
      <c r="D29">
        <f t="shared" si="0"/>
        <v>1.39863481228669</v>
      </c>
      <c r="E29">
        <f t="shared" si="1"/>
        <v>388414873720.136</v>
      </c>
    </row>
    <row r="30" spans="1:5">
      <c r="A30" t="s">
        <v>1077</v>
      </c>
      <c r="B30" t="s">
        <v>1057</v>
      </c>
      <c r="C30">
        <v>3558.45</v>
      </c>
      <c r="D30">
        <f t="shared" si="0"/>
        <v>12.1448805460751</v>
      </c>
      <c r="E30">
        <f t="shared" si="1"/>
        <v>3372754776450.51</v>
      </c>
    </row>
    <row r="31" spans="1:5">
      <c r="A31" t="s">
        <v>1078</v>
      </c>
      <c r="B31" t="s">
        <v>1050</v>
      </c>
      <c r="C31">
        <v>514.34</v>
      </c>
      <c r="D31">
        <f t="shared" si="0"/>
        <v>1.75542662116041</v>
      </c>
      <c r="E31">
        <f t="shared" si="1"/>
        <v>487499526962.457</v>
      </c>
    </row>
    <row r="32" spans="1:5">
      <c r="A32" t="s">
        <v>1079</v>
      </c>
      <c r="B32" t="s">
        <v>1080</v>
      </c>
      <c r="C32">
        <v>10</v>
      </c>
      <c r="D32">
        <f t="shared" si="0"/>
        <v>0.0341296928327645</v>
      </c>
      <c r="E32">
        <f t="shared" si="1"/>
        <v>9478156996.58703</v>
      </c>
    </row>
    <row r="33" spans="1:5">
      <c r="A33" t="s">
        <v>1081</v>
      </c>
      <c r="B33" t="s">
        <v>1082</v>
      </c>
      <c r="C33">
        <v>360</v>
      </c>
      <c r="D33">
        <f t="shared" si="0"/>
        <v>1.22866894197952</v>
      </c>
      <c r="E33">
        <f t="shared" si="1"/>
        <v>341213651877.133</v>
      </c>
    </row>
    <row r="34" spans="1:5">
      <c r="A34" t="s">
        <v>1083</v>
      </c>
      <c r="B34" t="s">
        <v>1084</v>
      </c>
      <c r="C34">
        <v>292.71</v>
      </c>
      <c r="D34">
        <f t="shared" si="0"/>
        <v>0.99901023890785</v>
      </c>
      <c r="E34">
        <f t="shared" si="1"/>
        <v>277435133447.099</v>
      </c>
    </row>
    <row r="39" spans="1:5">
      <c r="A39" t="s">
        <v>1085</v>
      </c>
    </row>
  </sheetData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9"/>
  <sheetViews>
    <sheetView workbookViewId="0">
      <selection activeCell="A1" sqref="A1"/>
    </sheetView>
  </sheetViews>
  <sheetFormatPr defaultColWidth="9" defaultRowHeight="13.5"/>
  <cols>
    <col min="1" max="1" width="16.6333333333333" customWidth="1"/>
  </cols>
  <sheetData>
    <row r="1" spans="1:43">
      <c r="A1" t="s">
        <v>1086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  <c r="AH1">
        <v>2051</v>
      </c>
      <c r="AI1">
        <v>2052</v>
      </c>
      <c r="AJ1">
        <v>2053</v>
      </c>
      <c r="AK1">
        <v>2054</v>
      </c>
      <c r="AL1">
        <v>2055</v>
      </c>
      <c r="AM1">
        <v>2056</v>
      </c>
      <c r="AN1">
        <v>2057</v>
      </c>
      <c r="AO1">
        <v>2058</v>
      </c>
      <c r="AP1">
        <v>2059</v>
      </c>
      <c r="AQ1">
        <v>2060</v>
      </c>
    </row>
    <row r="2" spans="1:43">
      <c r="A2" t="s">
        <v>1017</v>
      </c>
      <c r="B2">
        <f>BAU建筑面积计算!C7/BAU建筑面积计算!C4</f>
        <v>0.0327030842445633</v>
      </c>
      <c r="C2">
        <f>BAU建筑面积计算!D7/BAU建筑面积计算!D4</f>
        <v>0.039178442470045</v>
      </c>
      <c r="D2">
        <f>BAU建筑面积计算!E7/BAU建筑面积计算!E4</f>
        <v>0.023598936478233</v>
      </c>
      <c r="E2">
        <f>BAU建筑面积计算!F7/BAU建筑面积计算!F4</f>
        <v>0.0228407591899031</v>
      </c>
      <c r="F2">
        <f>BAU建筑面积计算!G7/BAU建筑面积计算!G4</f>
        <v>0.0221071263071194</v>
      </c>
      <c r="G2">
        <f>BAU建筑面积计算!H7/BAU建筑面积计算!H4</f>
        <v>0.0213970004627633</v>
      </c>
      <c r="H2">
        <f>BAU建筑面积计算!I7/BAU建筑面积计算!I4</f>
        <v>0.0207095346636149</v>
      </c>
      <c r="I2">
        <f>BAU建筑面积计算!J7/BAU建筑面积计算!J4</f>
        <v>0.0200438952475263</v>
      </c>
      <c r="J2">
        <f>BAU建筑面积计算!K7/BAU建筑面积计算!K4</f>
        <v>0.0193994685375882</v>
      </c>
      <c r="K2">
        <f>BAU建筑面积计算!L7/BAU建筑面积计算!L4</f>
        <v>0.0187756443225056</v>
      </c>
      <c r="L2">
        <f>BAU建筑面积计算!M7/BAU建筑面积计算!M4</f>
        <v>0.0181719674394861</v>
      </c>
      <c r="M2">
        <f>BAU建筑面积计算!N7/BAU建筑面积计算!N4</f>
        <v>0.0175880627146243</v>
      </c>
      <c r="N2">
        <f>BAU建筑面积计算!O7/BAU建筑面积计算!O4</f>
        <v>0.0170236227280379</v>
      </c>
      <c r="O2">
        <f>BAU建筑面积计算!P7/BAU建筑面积计算!P4</f>
        <v>0.0164784872197231</v>
      </c>
      <c r="P2">
        <f>BAU建筑面积计算!Q7/BAU建筑面积计算!Q4</f>
        <v>0.0159525019915117</v>
      </c>
      <c r="Q2">
        <f>BAU建筑面积计算!R7/BAU建筑面积计算!R4</f>
        <v>0.0154456660084827</v>
      </c>
      <c r="R2">
        <f>BAU建筑面积计算!S7/BAU建筑面积计算!S4</f>
        <v>0.0149580192231944</v>
      </c>
      <c r="S2">
        <f>BAU建筑面积计算!T7/BAU建筑面积计算!T4</f>
        <v>0.0144897023622707</v>
      </c>
      <c r="T2">
        <f>BAU建筑面积计算!U7/BAU建筑面积计算!U4</f>
        <v>0.0140409530740919</v>
      </c>
      <c r="U2">
        <f>BAU建筑面积计算!V7/BAU建筑面积计算!V4</f>
        <v>0.0136120380392224</v>
      </c>
      <c r="V2">
        <f>BAU建筑面积计算!W7/BAU建筑面积计算!W4</f>
        <v>0.013203360290351</v>
      </c>
      <c r="W2">
        <f>BAU建筑面积计算!X7/BAU建筑面积计算!X4</f>
        <v>0.0128153867925675</v>
      </c>
      <c r="X2">
        <f>BAU建筑面积计算!Y7/BAU建筑面积计算!Y4</f>
        <v>0.0124486700981506</v>
      </c>
      <c r="Y2">
        <f>BAU建筑面积计算!Z7/BAU建筑面积计算!Z4</f>
        <v>0.0121038153251435</v>
      </c>
      <c r="Z2">
        <f>BAU建筑面积计算!AA7/BAU建筑面积计算!AA4</f>
        <v>0.0117815317963001</v>
      </c>
      <c r="AA2">
        <f>BAU建筑面积计算!AB7/BAU建筑面积计算!AB4</f>
        <v>0.0114826398933284</v>
      </c>
      <c r="AB2">
        <f>BAU建筑面积计算!AC7/BAU建筑面积计算!AC4</f>
        <v>0.0112079789841401</v>
      </c>
      <c r="AC2">
        <f>BAU建筑面积计算!AD7/BAU建筑面积计算!AD4</f>
        <v>0.0109584831885939</v>
      </c>
      <c r="AD2">
        <f>BAU建筑面积计算!AE7/BAU建筑面积计算!AE4</f>
        <v>0.0107352277334239</v>
      </c>
      <c r="AE2">
        <f>BAU建筑面积计算!AF7/BAU建筑面积计算!AF4</f>
        <v>0.0105392646930281</v>
      </c>
      <c r="AF2">
        <f>BAU建筑面积计算!AG7/BAU建筑面积计算!AG4</f>
        <v>0.0103717693202493</v>
      </c>
      <c r="AG2">
        <f>BAU建筑面积计算!AH7/BAU建筑面积计算!AH4</f>
        <v>0.0102340049237914</v>
      </c>
      <c r="AH2">
        <f>BAU建筑面积计算!AI7/BAU建筑面积计算!AI4</f>
        <v>0.0101272195244902</v>
      </c>
      <c r="AI2">
        <f>BAU建筑面积计算!AJ7/BAU建筑面积计算!AJ4</f>
        <v>0.010052821372212</v>
      </c>
      <c r="AJ2">
        <f>BAU建筑面积计算!AK7/BAU建筑面积计算!AK4</f>
        <v>0.01001214179847</v>
      </c>
      <c r="AK2">
        <f>BAU建筑面积计算!AL7/BAU建筑面积计算!AL4</f>
        <v>0.0100066690591699</v>
      </c>
      <c r="AL2">
        <f>BAU建筑面积计算!AM7/BAU建筑面积计算!AM4</f>
        <v>0.0100378402164219</v>
      </c>
      <c r="AM2">
        <f>BAU建筑面积计算!AN7/BAU建筑面积计算!AN4</f>
        <v>0.0101071186456594</v>
      </c>
      <c r="AN2">
        <f>BAU建筑面积计算!AO7/BAU建筑面积计算!AO4</f>
        <v>0.0102159670625055</v>
      </c>
      <c r="AO2">
        <f>BAU建筑面积计算!AP7/BAU建筑面积计算!AP4</f>
        <v>0.0103658299875263</v>
      </c>
      <c r="AP2">
        <f>BAU建筑面积计算!AQ7/BAU建筑面积计算!AQ4</f>
        <v>0.0105581357628342</v>
      </c>
      <c r="AQ2">
        <f>BAU建筑面积计算!AR7/BAU建筑面积计算!AR4</f>
        <v>0.0107941824961877</v>
      </c>
    </row>
    <row r="3" spans="1:43">
      <c r="A3" t="s">
        <v>1018</v>
      </c>
      <c r="B3">
        <f>BAU建筑面积计算!C15/BAU建筑面积计算!C12</f>
        <v>0</v>
      </c>
      <c r="C3">
        <f>BAU建筑面积计算!D15/BAU建筑面积计算!D12</f>
        <v>0</v>
      </c>
      <c r="D3">
        <f>BAU建筑面积计算!E15/BAU建筑面积计算!E12</f>
        <v>0.00899452336496994</v>
      </c>
      <c r="E3">
        <f>BAU建筑面积计算!F15/BAU建筑面积计算!F12</f>
        <v>0.00816985023076586</v>
      </c>
      <c r="F3">
        <f>BAU建筑面积计算!G15/BAU建筑面积计算!G12</f>
        <v>0.00736576645130151</v>
      </c>
      <c r="G3">
        <f>BAU建筑面积计算!H15/BAU建筑面积计算!H12</f>
        <v>0.00658129147980664</v>
      </c>
      <c r="H3">
        <f>BAU建筑面积计算!I15/BAU建筑面积计算!I12</f>
        <v>0.00581562339593199</v>
      </c>
      <c r="I3">
        <f>BAU建筑面积计算!J15/BAU建筑面积计算!J12</f>
        <v>0.00506795977353955</v>
      </c>
      <c r="J3">
        <f>BAU建筑面积计算!K15/BAU建筑面积计算!K12</f>
        <v>0.0043377081106676</v>
      </c>
      <c r="K3">
        <f>BAU建筑面积计算!L15/BAU建筑面积计算!L12</f>
        <v>0.00362426623806472</v>
      </c>
      <c r="L3">
        <f>BAU建筑面积计算!M15/BAU建筑面积计算!M12</f>
        <v>0.00292717658223982</v>
      </c>
      <c r="M3">
        <f>BAU建筑面积计算!N15/BAU建筑面积计算!N12</f>
        <v>0.00224604997699215</v>
      </c>
      <c r="N3">
        <f>BAU建筑面积计算!O15/BAU建筑面积计算!O12</f>
        <v>0.00158055321178541</v>
      </c>
      <c r="O3">
        <f>BAU建筑面积计算!P15/BAU建筑面积计算!P12</f>
        <v>0.000930489555611246</v>
      </c>
      <c r="P3">
        <f>BAU建筑面积计算!Q15/BAU建筑面积计算!Q12</f>
        <v>0.000295655021395251</v>
      </c>
      <c r="Q3">
        <f>BAU建筑面积计算!R15/BAU建筑面积计算!R12</f>
        <v>0</v>
      </c>
      <c r="R3">
        <f>BAU建筑面积计算!S15/BAU建筑面积计算!S12</f>
        <v>0</v>
      </c>
      <c r="S3">
        <f>BAU建筑面积计算!T15/BAU建筑面积计算!T12</f>
        <v>0</v>
      </c>
      <c r="T3">
        <f>BAU建筑面积计算!U15/BAU建筑面积计算!U12</f>
        <v>0</v>
      </c>
      <c r="U3">
        <f>BAU建筑面积计算!V15/BAU建筑面积计算!V12</f>
        <v>0</v>
      </c>
      <c r="V3">
        <f>BAU建筑面积计算!W15/BAU建筑面积计算!W12</f>
        <v>0</v>
      </c>
      <c r="W3">
        <f>BAU建筑面积计算!X15/BAU建筑面积计算!X12</f>
        <v>0</v>
      </c>
      <c r="X3">
        <f>BAU建筑面积计算!Y15/BAU建筑面积计算!Y12</f>
        <v>0</v>
      </c>
      <c r="Y3">
        <f>BAU建筑面积计算!Z15/BAU建筑面积计算!Z12</f>
        <v>0</v>
      </c>
      <c r="Z3">
        <f>BAU建筑面积计算!AA15/BAU建筑面积计算!AA12</f>
        <v>0</v>
      </c>
      <c r="AA3">
        <f>BAU建筑面积计算!AB15/BAU建筑面积计算!AB12</f>
        <v>0</v>
      </c>
      <c r="AB3">
        <f>BAU建筑面积计算!AC15/BAU建筑面积计算!AC12</f>
        <v>0</v>
      </c>
      <c r="AC3">
        <f>BAU建筑面积计算!AD15/BAU建筑面积计算!AD12</f>
        <v>0</v>
      </c>
      <c r="AD3">
        <f>BAU建筑面积计算!AE15/BAU建筑面积计算!AE12</f>
        <v>0</v>
      </c>
      <c r="AE3">
        <f>BAU建筑面积计算!AF15/BAU建筑面积计算!AF12</f>
        <v>0</v>
      </c>
      <c r="AF3">
        <f>BAU建筑面积计算!AG15/BAU建筑面积计算!AG12</f>
        <v>0</v>
      </c>
      <c r="AG3">
        <f>BAU建筑面积计算!AH15/BAU建筑面积计算!AH12</f>
        <v>0</v>
      </c>
      <c r="AH3">
        <f>BAU建筑面积计算!AI15/BAU建筑面积计算!AI12</f>
        <v>0</v>
      </c>
      <c r="AI3">
        <f>BAU建筑面积计算!AJ15/BAU建筑面积计算!AJ12</f>
        <v>0</v>
      </c>
      <c r="AJ3">
        <f>BAU建筑面积计算!AK15/BAU建筑面积计算!AK12</f>
        <v>0</v>
      </c>
      <c r="AK3">
        <f>BAU建筑面积计算!AL15/BAU建筑面积计算!AL12</f>
        <v>0</v>
      </c>
      <c r="AL3">
        <f>BAU建筑面积计算!AM15/BAU建筑面积计算!AM12</f>
        <v>0</v>
      </c>
      <c r="AM3">
        <f>BAU建筑面积计算!AN15/BAU建筑面积计算!AN12</f>
        <v>0</v>
      </c>
      <c r="AN3">
        <f>BAU建筑面积计算!AO15/BAU建筑面积计算!AO12</f>
        <v>0</v>
      </c>
      <c r="AO3">
        <f>BAU建筑面积计算!AP15/BAU建筑面积计算!AP12</f>
        <v>0</v>
      </c>
      <c r="AP3">
        <f>BAU建筑面积计算!AQ15/BAU建筑面积计算!AQ12</f>
        <v>0</v>
      </c>
      <c r="AQ3">
        <f>BAU建筑面积计算!AR15/BAU建筑面积计算!AR12</f>
        <v>0</v>
      </c>
    </row>
    <row r="4" spans="1:43">
      <c r="A4" t="s">
        <v>1016</v>
      </c>
      <c r="B4">
        <f>BAU建筑面积计算!C23/BAU建筑面积计算!C20</f>
        <v>0.0327030842445636</v>
      </c>
      <c r="C4">
        <f>BAU建筑面积计算!D23/BAU建筑面积计算!D20</f>
        <v>0.0391784424700451</v>
      </c>
      <c r="D4">
        <f>BAU建筑面积计算!E23/BAU建筑面积计算!E20</f>
        <v>0.0235989364782327</v>
      </c>
      <c r="E4">
        <f>BAU建筑面积计算!F23/BAU建筑面积计算!F20</f>
        <v>0.0228407591899032</v>
      </c>
      <c r="F4">
        <f>BAU建筑面积计算!G23/BAU建筑面积计算!G20</f>
        <v>0.0221071263071193</v>
      </c>
      <c r="G4">
        <f>BAU建筑面积计算!H23/BAU建筑面积计算!H20</f>
        <v>0.0213970004627634</v>
      </c>
      <c r="H4">
        <f>BAU建筑面积计算!I23/BAU建筑面积计算!I20</f>
        <v>0.0207095346636149</v>
      </c>
      <c r="I4">
        <f>BAU建筑面积计算!J23/BAU建筑面积计算!J20</f>
        <v>0.0200438952475264</v>
      </c>
      <c r="J4">
        <f>BAU建筑面积计算!K23/BAU建筑面积计算!K20</f>
        <v>0.0193994685375882</v>
      </c>
      <c r="K4">
        <f>BAU建筑面积计算!L23/BAU建筑面积计算!L20</f>
        <v>0.0187756443225056</v>
      </c>
      <c r="L4">
        <f>BAU建筑面积计算!M23/BAU建筑面积计算!M20</f>
        <v>0.0181719674394859</v>
      </c>
      <c r="M4">
        <f>BAU建筑面积计算!N23/BAU建筑面积计算!N20</f>
        <v>0.0175880627146245</v>
      </c>
      <c r="N4">
        <f>BAU建筑面积计算!O23/BAU建筑面积计算!O20</f>
        <v>0.0170236227280379</v>
      </c>
      <c r="O4">
        <f>BAU建筑面积计算!P23/BAU建筑面积计算!P20</f>
        <v>0.0164784872197233</v>
      </c>
      <c r="P4">
        <f>BAU建筑面积计算!Q23/BAU建筑面积计算!Q20</f>
        <v>0.0159525019915114</v>
      </c>
      <c r="Q4">
        <f>BAU建筑面积计算!R23/BAU建筑面积计算!R20</f>
        <v>0.0154456660084828</v>
      </c>
      <c r="R4">
        <f>BAU建筑面积计算!S23/BAU建筑面积计算!S20</f>
        <v>0.0149580192231943</v>
      </c>
      <c r="S4">
        <f>BAU建筑面积计算!T23/BAU建筑面积计算!T20</f>
        <v>0.0144897023622708</v>
      </c>
      <c r="T4">
        <f>BAU建筑面积计算!U23/BAU建筑面积计算!U20</f>
        <v>0.014040953074092</v>
      </c>
      <c r="U4">
        <f>BAU建筑面积计算!V23/BAU建筑面积计算!V20</f>
        <v>0.0136120380392222</v>
      </c>
      <c r="V4">
        <f>BAU建筑面积计算!W23/BAU建筑面积计算!W20</f>
        <v>0.0132033602903509</v>
      </c>
      <c r="W4">
        <f>BAU建筑面积计算!X23/BAU建筑面积计算!X20</f>
        <v>0.0128153867925676</v>
      </c>
      <c r="X4">
        <f>BAU建筑面积计算!Y23/BAU建筑面积计算!Y20</f>
        <v>0.0124486700981504</v>
      </c>
      <c r="Y4">
        <f>BAU建筑面积计算!Z23/BAU建筑面积计算!Z20</f>
        <v>0.0121038153251438</v>
      </c>
      <c r="Z4">
        <f>BAU建筑面积计算!AA23/BAU建筑面积计算!AA20</f>
        <v>0.0117815317962999</v>
      </c>
      <c r="AA4">
        <f>BAU建筑面积计算!AB23/BAU建筑面积计算!AB20</f>
        <v>0.0114826398933285</v>
      </c>
      <c r="AB4">
        <f>BAU建筑面积计算!AC23/BAU建筑面积计算!AC20</f>
        <v>0.0112079789841401</v>
      </c>
      <c r="AC4">
        <f>BAU建筑面积计算!AD23/BAU建筑面积计算!AD20</f>
        <v>0.0109584831885937</v>
      </c>
      <c r="AD4">
        <f>BAU建筑面积计算!AE23/BAU建筑面积计算!AE20</f>
        <v>0.0107352277334239</v>
      </c>
      <c r="AE4">
        <f>BAU建筑面积计算!AF23/BAU建筑面积计算!AF20</f>
        <v>0.0105392646930283</v>
      </c>
      <c r="AF4">
        <f>BAU建筑面积计算!AG23/BAU建筑面积计算!AG20</f>
        <v>0.010371769320249</v>
      </c>
      <c r="AG4">
        <f>BAU建筑面积计算!AH23/BAU建筑面积计算!AH20</f>
        <v>0.0102340049237913</v>
      </c>
      <c r="AH4">
        <f>BAU建筑面积计算!AI23/BAU建筑面积计算!AI20</f>
        <v>0.0101272195244906</v>
      </c>
      <c r="AI4">
        <f>BAU建筑面积计算!AJ23/BAU建筑面积计算!AJ20</f>
        <v>0.010052821372212</v>
      </c>
      <c r="AJ4">
        <f>BAU建筑面积计算!AK23/BAU建筑面积计算!AK20</f>
        <v>0.0100121417984699</v>
      </c>
      <c r="AK4">
        <f>BAU建筑面积计算!AL23/BAU建筑面积计算!AL20</f>
        <v>0.0100066690591699</v>
      </c>
      <c r="AL4">
        <f>BAU建筑面积计算!AM23/BAU建筑面积计算!AM20</f>
        <v>0.0100378402164221</v>
      </c>
      <c r="AM4">
        <f>BAU建筑面积计算!AN23/BAU建筑面积计算!AN20</f>
        <v>0.0101071186456593</v>
      </c>
      <c r="AN4">
        <f>BAU建筑面积计算!AO23/BAU建筑面积计算!AO20</f>
        <v>0.0102159670625053</v>
      </c>
      <c r="AO4">
        <f>BAU建筑面积计算!AP23/BAU建筑面积计算!AP20</f>
        <v>0.0103658299875265</v>
      </c>
      <c r="AP4">
        <f>BAU建筑面积计算!AQ23/BAU建筑面积计算!AQ20</f>
        <v>0.010558135762834</v>
      </c>
      <c r="AQ4">
        <f>BAU建筑面积计算!AR23/BAU建筑面积计算!AR20</f>
        <v>0.0107941824961878</v>
      </c>
    </row>
    <row r="6" spans="1:43">
      <c r="A6" t="s">
        <v>1087</v>
      </c>
    </row>
    <row r="7" spans="1:43">
      <c r="A7" t="s">
        <v>1017</v>
      </c>
      <c r="B7">
        <f>AVERAGE(B2:AQ2)</f>
        <v>0.0152065469449774</v>
      </c>
    </row>
    <row r="8" spans="1:43">
      <c r="A8" t="s">
        <v>1018</v>
      </c>
      <c r="B8">
        <f>AVERAGE(B3:AQ3)</f>
        <v>0.00137945031888266</v>
      </c>
    </row>
    <row r="9" spans="1:43">
      <c r="A9" t="s">
        <v>1016</v>
      </c>
      <c r="B9">
        <f>AVERAGE(B4:AQ4)</f>
        <v>0.0152065469449774</v>
      </c>
    </row>
  </sheetData>
  <pageMargins left="0.7" right="0.7" top="0.75" bottom="0.75" header="0.3" footer="0.3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4"/>
  <sheetViews>
    <sheetView workbookViewId="0">
      <selection activeCell="A1" sqref="A1"/>
    </sheetView>
  </sheetViews>
  <sheetFormatPr defaultColWidth="9" defaultRowHeight="13.5" outlineLevelRow="3" outlineLevelCol="1"/>
  <cols>
    <col min="2" max="2" width="32.25" customWidth="1"/>
  </cols>
  <sheetData>
    <row r="1" spans="1:2">
      <c r="B1" t="s">
        <v>95</v>
      </c>
    </row>
    <row r="2" spans="1:2">
      <c r="A2" t="s">
        <v>1017</v>
      </c>
      <c r="B2" s="24">
        <v>0.4</v>
      </c>
    </row>
    <row r="3" spans="1:2">
      <c r="A3" t="s">
        <v>1018</v>
      </c>
      <c r="B3" s="24">
        <v>0.4</v>
      </c>
    </row>
    <row r="4" spans="1:2">
      <c r="A4" t="s">
        <v>36</v>
      </c>
      <c r="B4" s="24">
        <v>0.4</v>
      </c>
    </row>
  </sheetData>
  <pageMargins left="0.7" right="0.7" top="0.75" bottom="0.75" header="0.3" footer="0.3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P18"/>
  <sheetViews>
    <sheetView workbookViewId="0">
      <selection activeCell="A1" sqref="A1"/>
    </sheetView>
  </sheetViews>
  <sheetFormatPr defaultColWidth="9" defaultRowHeight="13.5"/>
  <cols>
    <col min="1" max="1" width="23.6333333333333" customWidth="1"/>
  </cols>
  <sheetData>
    <row r="1" spans="1:42">
      <c r="A1" s="21" t="s">
        <v>1088</v>
      </c>
      <c r="B1" s="22"/>
      <c r="C1" s="22"/>
      <c r="D1" s="22"/>
      <c r="E1" s="22"/>
    </row>
    <row r="2" spans="1:42">
      <c r="B2">
        <v>2020</v>
      </c>
      <c r="C2">
        <v>2021</v>
      </c>
      <c r="D2">
        <v>2022</v>
      </c>
      <c r="E2">
        <v>2023</v>
      </c>
      <c r="F2">
        <v>2024</v>
      </c>
      <c r="G2">
        <v>2025</v>
      </c>
      <c r="H2">
        <v>2026</v>
      </c>
      <c r="I2">
        <v>2027</v>
      </c>
      <c r="J2">
        <v>2028</v>
      </c>
      <c r="K2">
        <v>2029</v>
      </c>
      <c r="L2">
        <v>2030</v>
      </c>
      <c r="M2">
        <v>2031</v>
      </c>
      <c r="N2">
        <v>2032</v>
      </c>
      <c r="O2">
        <v>2033</v>
      </c>
      <c r="P2">
        <v>2034</v>
      </c>
      <c r="Q2">
        <v>2035</v>
      </c>
      <c r="R2">
        <v>2036</v>
      </c>
      <c r="S2">
        <v>2037</v>
      </c>
      <c r="T2">
        <v>2038</v>
      </c>
      <c r="U2">
        <v>2039</v>
      </c>
      <c r="V2">
        <v>2040</v>
      </c>
      <c r="W2">
        <v>2041</v>
      </c>
      <c r="X2">
        <v>2042</v>
      </c>
      <c r="Y2">
        <v>2043</v>
      </c>
      <c r="Z2">
        <v>2044</v>
      </c>
      <c r="AA2">
        <v>2045</v>
      </c>
      <c r="AB2">
        <v>2046</v>
      </c>
      <c r="AC2">
        <v>2047</v>
      </c>
      <c r="AD2">
        <v>2048</v>
      </c>
      <c r="AE2">
        <v>2049</v>
      </c>
      <c r="AF2">
        <v>2050</v>
      </c>
      <c r="AG2">
        <v>2051</v>
      </c>
      <c r="AH2">
        <v>2052</v>
      </c>
      <c r="AI2">
        <v>2053</v>
      </c>
      <c r="AJ2">
        <v>2054</v>
      </c>
      <c r="AK2">
        <v>2055</v>
      </c>
      <c r="AL2">
        <v>2056</v>
      </c>
      <c r="AM2">
        <v>2057</v>
      </c>
      <c r="AN2">
        <v>2058</v>
      </c>
      <c r="AO2">
        <v>2059</v>
      </c>
      <c r="AP2">
        <v>2060</v>
      </c>
    </row>
    <row r="3" spans="1:42">
      <c r="A3" t="s">
        <v>1089</v>
      </c>
      <c r="B3">
        <f>'改造情景建筑面积计算 '!D7/'改造情景建筑面积计算 '!D4</f>
        <v>0.00969443010985865</v>
      </c>
      <c r="C3">
        <f>'改造情景建筑面积计算 '!E7/'改造情景建筑面积计算 '!E4</f>
        <v>0.00954842666027342</v>
      </c>
      <c r="D3">
        <f>'改造情景建筑面积计算 '!F7/'改造情景建筑面积计算 '!F4</f>
        <v>0.00941084563911113</v>
      </c>
      <c r="E3">
        <f>'改造情景建筑面积计算 '!G7/'改造情景建筑面积计算 '!G4</f>
        <v>0.00928120458128348</v>
      </c>
      <c r="F3">
        <f>'改造情景建筑面积计算 '!H7/'改造情景建筑面积计算 '!H4</f>
        <v>0.00915905759215535</v>
      </c>
      <c r="G3">
        <f>'改造情景建筑面积计算 '!I7/'改造情景建筑面积计算 '!I4</f>
        <v>0.00904399092825432</v>
      </c>
      <c r="H3">
        <f>'改造情景建筑面积计算 '!J7/'改造情景建筑面积计算 '!J4</f>
        <v>0.00893562055915508</v>
      </c>
      <c r="I3">
        <f>'改造情景建筑面积计算 '!K7/'改造情景建筑面积计算 '!K4</f>
        <v>0.00883358808137891</v>
      </c>
      <c r="J3">
        <f>'改造情景建筑面积计算 '!L7/'改造情景建筑面积计算 '!L4</f>
        <v>0.00873755887062904</v>
      </c>
      <c r="K3">
        <f>'改造情景建筑面积计算 '!M7/'改造情景建筑面积计算 '!M4</f>
        <v>0.00864721905298644</v>
      </c>
      <c r="L3">
        <f>'改造情景建筑面积计算 '!N7/'改造情景建筑面积计算 '!N4</f>
        <v>0.00856227334618021</v>
      </c>
      <c r="M3">
        <f>'改造情景建筑面积计算 '!O7/'改造情景建筑面积计算 '!O4</f>
        <v>0.00848244315961815</v>
      </c>
      <c r="N3">
        <f>'改造情景建筑面积计算 '!P7/'改造情景建筑面积计算 '!P4</f>
        <v>0.00840746414623831</v>
      </c>
      <c r="O3">
        <f>'改造情景建筑面积计算 '!Q7/'改造情景建筑面积计算 '!Q4</f>
        <v>0.00833708509812522</v>
      </c>
      <c r="P3">
        <f>'改造情景建筑面积计算 '!R7/'改造情景建筑面积计算 '!R4</f>
        <v>0.00827106568143357</v>
      </c>
      <c r="Q3">
        <f>'改造情景建筑面积计算 '!S7/'改造情景建筑面积计算 '!S4</f>
        <v>0.00820917522732486</v>
      </c>
      <c r="R3">
        <f>'改造情景建筑面积计算 '!T7/'改造情景建筑面积计算 '!T4</f>
        <v>0.00815119109566133</v>
      </c>
      <c r="S3">
        <f>'改造情景建筑面积计算 '!U7/'改造情景建筑面积计算 '!U4</f>
        <v>0.00809689714935874</v>
      </c>
      <c r="T3">
        <f>'改造情景建筑面积计算 '!V7/'改造情景建筑面积计算 '!V4</f>
        <v>0.00804608285036137</v>
      </c>
      <c r="U3">
        <f>'改造情景建筑面积计算 '!W7/'改造情景建筑面积计算 '!W4</f>
        <v>0.00799854152725363</v>
      </c>
      <c r="V3">
        <f>'改造情景建筑面积计算 '!X7/'改造情景建筑面积计算 '!X4</f>
        <v>0.00795406929113458</v>
      </c>
      <c r="W3">
        <f>'改造情景建筑面积计算 '!Y7/'改造情景建筑面积计算 '!Y4</f>
        <v>0.00791246381750958</v>
      </c>
      <c r="X3">
        <f>'改造情景建筑面积计算 '!Z7/'改造情景建筑面积计算 '!Z4</f>
        <v>0.00787352343219994</v>
      </c>
      <c r="Y3">
        <f>'改造情景建筑面积计算 '!AA7/'改造情景建筑面积计算 '!AA4</f>
        <v>0.00783704581870345</v>
      </c>
      <c r="Z3">
        <f>'改造情景建筑面积计算 '!AB7/'改造情景建筑面积计算 '!AB4</f>
        <v>0.00780282671085579</v>
      </c>
      <c r="AA3">
        <f>'改造情景建筑面积计算 '!AC7/'改造情景建筑面积计算 '!AC4</f>
        <v>0.00777065934729416</v>
      </c>
      <c r="AB3">
        <f>'改造情景建筑面积计算 '!AD7/'改造情景建筑面积计算 '!AD4</f>
        <v>0.00774033335583384</v>
      </c>
      <c r="AC3">
        <f>'改造情景建筑面积计算 '!AE7/'改造情景建筑面积计算 '!AE4</f>
        <v>0.00771163331379836</v>
      </c>
      <c r="AD3">
        <f>'改造情景建筑面积计算 '!AF7/'改造情景建筑面积计算 '!AF4</f>
        <v>0.00768433862928872</v>
      </c>
      <c r="AE3">
        <f>'改造情景建筑面积计算 '!AG7/'改造情景建筑面积计算 '!AG4</f>
        <v>0.00765822231667549</v>
      </c>
      <c r="AF3">
        <f>'改造情景建筑面积计算 '!AH7/'改造情景建筑面积计算 '!AH4</f>
        <v>0.00763305009473888</v>
      </c>
      <c r="AG3">
        <f>'改造情景建筑面积计算 '!AI7/'改造情景建筑面积计算 '!AI4</f>
        <v>0.00760858033234341</v>
      </c>
      <c r="AH3">
        <f>'改造情景建筑面积计算 '!AJ7/'改造情景建筑面积计算 '!AJ4</f>
        <v>0.00758456269908543</v>
      </c>
      <c r="AI3">
        <f>'改造情景建筑面积计算 '!AK7/'改造情景建筑面积计算 '!AK4</f>
        <v>0.00756073870611268</v>
      </c>
      <c r="AJ3">
        <f>'改造情景建筑面积计算 '!AL7/'改造情景建筑面积计算 '!AL4</f>
        <v>0.00753684053068124</v>
      </c>
      <c r="AK3">
        <f>'改造情景建筑面积计算 '!AM7/'改造情景建筑面积计算 '!AM4</f>
        <v>0.00751259152169824</v>
      </c>
      <c r="AL3">
        <f>'改造情景建筑面积计算 '!AN7/'改造情景建筑面积计算 '!AN4</f>
        <v>0.00748770621150894</v>
      </c>
      <c r="AM3">
        <f>'改造情景建筑面积计算 '!AO7/'改造情景建筑面积计算 '!AO4</f>
        <v>0.00746189064600763</v>
      </c>
      <c r="AN3">
        <f>'改造情景建筑面积计算 '!AP7/'改造情景建筑面积计算 '!AP4</f>
        <v>0.00743484297294921</v>
      </c>
      <c r="AO3">
        <f>'改造情景建筑面积计算 '!AQ7/'改造情景建筑面积计算 '!AQ4</f>
        <v>0.00740625415394199</v>
      </c>
      <c r="AP3">
        <f>'改造情景建筑面积计算 '!AR7/'改造情景建筑面积计算 '!AR4</f>
        <v>0.00737580967985596</v>
      </c>
    </row>
    <row r="4" spans="1:42">
      <c r="A4" t="s">
        <v>1090</v>
      </c>
      <c r="B4" s="2">
        <v>0.69</v>
      </c>
      <c r="C4" s="2">
        <v>0.69</v>
      </c>
      <c r="D4" s="2">
        <v>0.69</v>
      </c>
      <c r="E4" s="2">
        <v>0.69</v>
      </c>
      <c r="F4" s="2">
        <v>0.69</v>
      </c>
      <c r="G4" s="2">
        <v>0.69</v>
      </c>
      <c r="H4" s="2">
        <v>0.69</v>
      </c>
      <c r="I4" s="2">
        <v>0.69</v>
      </c>
      <c r="J4" s="2">
        <v>0.69</v>
      </c>
      <c r="K4" s="2">
        <v>0.69</v>
      </c>
      <c r="L4" s="2">
        <v>0.69</v>
      </c>
      <c r="M4" s="2">
        <v>0.69</v>
      </c>
      <c r="N4" s="2">
        <v>0.69</v>
      </c>
      <c r="O4" s="2">
        <v>0.69</v>
      </c>
      <c r="P4" s="2">
        <v>0.69</v>
      </c>
      <c r="Q4" s="2">
        <v>0.69</v>
      </c>
      <c r="R4" s="2">
        <v>0.69</v>
      </c>
      <c r="S4" s="2">
        <v>0.69</v>
      </c>
      <c r="T4" s="2">
        <v>0.69</v>
      </c>
      <c r="U4" s="2">
        <v>0.69</v>
      </c>
      <c r="V4" s="2">
        <v>0.69</v>
      </c>
      <c r="W4" s="2">
        <v>0.69</v>
      </c>
      <c r="X4" s="2">
        <v>0.69</v>
      </c>
      <c r="Y4" s="2">
        <v>0.69</v>
      </c>
      <c r="Z4" s="2">
        <v>0.69</v>
      </c>
      <c r="AA4" s="2">
        <v>0.69</v>
      </c>
      <c r="AB4" s="2">
        <v>0.69</v>
      </c>
      <c r="AC4" s="2">
        <v>0.69</v>
      </c>
      <c r="AD4" s="2">
        <v>0.69</v>
      </c>
      <c r="AE4" s="2">
        <v>0.69</v>
      </c>
      <c r="AF4" s="2">
        <v>0.69</v>
      </c>
      <c r="AG4" s="2">
        <v>0.69</v>
      </c>
      <c r="AH4" s="2">
        <v>0.69</v>
      </c>
      <c r="AI4" s="2">
        <v>0.69</v>
      </c>
      <c r="AJ4" s="2">
        <v>0.69</v>
      </c>
      <c r="AK4" s="2">
        <v>0.69</v>
      </c>
      <c r="AL4" s="2">
        <v>0.69</v>
      </c>
      <c r="AM4" s="2">
        <v>0.69</v>
      </c>
      <c r="AN4" s="2">
        <v>0.69</v>
      </c>
      <c r="AO4" s="2">
        <v>0.69</v>
      </c>
      <c r="AP4" s="2">
        <v>0.69</v>
      </c>
    </row>
    <row r="5" spans="1:42">
      <c r="A5" t="s">
        <v>1091</v>
      </c>
      <c r="B5" s="23">
        <f>AVERAGE(B3:AP3)</f>
        <v>0.00815614987655753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</row>
    <row r="6" spans="1:42">
      <c r="A6" t="s">
        <v>1092</v>
      </c>
      <c r="B6" s="23">
        <f>AVERAGE(B4:AP4)</f>
        <v>0.69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</row>
    <row r="8" spans="1:42">
      <c r="B8">
        <v>2020</v>
      </c>
      <c r="C8">
        <v>2021</v>
      </c>
      <c r="D8">
        <v>2022</v>
      </c>
      <c r="E8">
        <v>2023</v>
      </c>
      <c r="F8">
        <v>2024</v>
      </c>
      <c r="G8">
        <v>2025</v>
      </c>
      <c r="H8">
        <v>2026</v>
      </c>
      <c r="I8">
        <v>2027</v>
      </c>
      <c r="J8">
        <v>2028</v>
      </c>
      <c r="K8">
        <v>2029</v>
      </c>
      <c r="L8">
        <v>2030</v>
      </c>
      <c r="M8">
        <v>2031</v>
      </c>
      <c r="N8">
        <v>2032</v>
      </c>
      <c r="O8">
        <v>2033</v>
      </c>
      <c r="P8">
        <v>2034</v>
      </c>
      <c r="Q8">
        <v>2035</v>
      </c>
      <c r="R8">
        <v>2036</v>
      </c>
      <c r="S8">
        <v>2037</v>
      </c>
      <c r="T8">
        <v>2038</v>
      </c>
      <c r="U8">
        <v>2039</v>
      </c>
      <c r="V8">
        <v>2040</v>
      </c>
      <c r="W8">
        <v>2041</v>
      </c>
      <c r="X8">
        <v>2042</v>
      </c>
      <c r="Y8">
        <v>2043</v>
      </c>
      <c r="Z8">
        <v>2044</v>
      </c>
      <c r="AA8">
        <v>2045</v>
      </c>
      <c r="AB8">
        <v>2046</v>
      </c>
      <c r="AC8">
        <v>2047</v>
      </c>
      <c r="AD8">
        <v>2048</v>
      </c>
      <c r="AE8">
        <v>2049</v>
      </c>
      <c r="AF8">
        <v>2050</v>
      </c>
      <c r="AG8">
        <v>2051</v>
      </c>
      <c r="AH8">
        <v>2052</v>
      </c>
      <c r="AI8">
        <v>2053</v>
      </c>
      <c r="AJ8">
        <v>2054</v>
      </c>
      <c r="AK8">
        <v>2055</v>
      </c>
      <c r="AL8">
        <v>2056</v>
      </c>
      <c r="AM8">
        <v>2057</v>
      </c>
      <c r="AN8">
        <v>2058</v>
      </c>
      <c r="AO8">
        <v>2059</v>
      </c>
      <c r="AP8">
        <v>2060</v>
      </c>
    </row>
    <row r="9" spans="1:42">
      <c r="A9" t="s">
        <v>1093</v>
      </c>
      <c r="B9">
        <f>'改造情景建筑面积计算 '!D16/'改造情景建筑面积计算 '!D13</f>
        <v>0.0102586965921564</v>
      </c>
      <c r="C9">
        <f>'改造情景建筑面积计算 '!E16/'改造情景建筑面积计算 '!E13</f>
        <v>0.010263461502822</v>
      </c>
      <c r="D9">
        <f>'改造情景建筑面积计算 '!F16/'改造情景建筑面积计算 '!F13</f>
        <v>0.0102766551987977</v>
      </c>
      <c r="E9">
        <f>'改造情景建筑面积计算 '!G16/'改造情景建筑面积计算 '!G13</f>
        <v>0.0102981531324522</v>
      </c>
      <c r="F9">
        <f>'改造情景建筑面积计算 '!H16/'改造情景建筑面积计算 '!H13</f>
        <v>0.0103278592409382</v>
      </c>
      <c r="G9">
        <f>'改造情景建筑面积计算 '!I16/'改造情景建筑面积计算 '!I13</f>
        <v>0.0103657033810009</v>
      </c>
      <c r="H9">
        <f>'改造情景建筑面积计算 '!J16/'改造情景建筑面积计算 '!J13</f>
        <v>0.0104116407748438</v>
      </c>
      <c r="I9">
        <f>'改造情景建筑面积计算 '!K16/'改造情景建筑面积计算 '!K13</f>
        <v>0.0104656494094953</v>
      </c>
      <c r="J9">
        <f>'改造情景建筑面积计算 '!L16/'改造情景建筑面积计算 '!L13</f>
        <v>0.0105277298304973</v>
      </c>
      <c r="K9">
        <f>'改造情景建筑面积计算 '!M16/'改造情景建筑面积计算 '!M13</f>
        <v>0.0105979034329447</v>
      </c>
      <c r="L9">
        <f>'改造情景建筑面积计算 '!N16/'改造情景建筑面积计算 '!N13</f>
        <v>0.0106762116254146</v>
      </c>
      <c r="M9">
        <f>'改造情景建筑面积计算 '!O16/'改造情景建筑面积计算 '!O13</f>
        <v>0.0107627152026158</v>
      </c>
      <c r="N9">
        <f>'改造情景建筑面积计算 '!P16/'改造情景建筑面积计算 '!P13</f>
        <v>0.010857492912856</v>
      </c>
      <c r="O9">
        <f>'改造情景建筑面积计算 '!Q16/'改造情景建筑面积计算 '!Q13</f>
        <v>0.0109606416077966</v>
      </c>
      <c r="P9">
        <f>'改造情景建筑面积计算 '!R16/'改造情景建筑面积计算 '!R13</f>
        <v>0.011072274827443</v>
      </c>
      <c r="Q9">
        <f>'改造情景建筑面积计算 '!S16/'改造情景建筑面积计算 '!S13</f>
        <v>0.0111925226402632</v>
      </c>
      <c r="R9">
        <f>'改造情景建筑面积计算 '!T16/'改造情景建筑面积计算 '!T13</f>
        <v>0.0113215308462759</v>
      </c>
      <c r="S9">
        <f>'改造情景建筑面积计算 '!U16/'改造情景建筑面积计算 '!U13</f>
        <v>0.0114594602205023</v>
      </c>
      <c r="T9">
        <f>'改造情景建筑面积计算 '!V16/'改造情景建筑面积计算 '!V13</f>
        <v>0.0116064865414356</v>
      </c>
      <c r="U9">
        <f>'改造情景建筑面积计算 '!W16/'改造情景建筑面积计算 '!W13</f>
        <v>0.0117627993813347</v>
      </c>
      <c r="V9">
        <f>'改造情景建筑面积计算 '!X16/'改造情景建筑面积计算 '!X13</f>
        <v>0.0119286017017529</v>
      </c>
      <c r="W9">
        <f>'改造情景建筑面积计算 '!Y16/'改造情景建筑面积计算 '!Y13</f>
        <v>0.012104109173853</v>
      </c>
      <c r="X9">
        <f>'改造情景建筑面积计算 '!Z16/'改造情景建筑面积计算 '!Z13</f>
        <v>0.0122895498692509</v>
      </c>
      <c r="Y9">
        <f>'改造情景建筑面积计算 '!AA16/'改造情景建筑面积计算 '!AA13</f>
        <v>0.012485163289486</v>
      </c>
      <c r="Z9">
        <f>'改造情景建筑面积计算 '!AB16/'改造情景建筑面积计算 '!AB13</f>
        <v>0.0126911992299197</v>
      </c>
      <c r="AA9">
        <f>'改造情景建筑面积计算 '!AC16/'改造情景建筑面积计算 '!AC13</f>
        <v>0.0129079177459561</v>
      </c>
      <c r="AB9">
        <f>'改造情景建筑面积计算 '!AD16/'改造情景建筑面积计算 '!AD13</f>
        <v>0.0131355881313458</v>
      </c>
      <c r="AC9">
        <f>'改造情景建筑面积计算 '!AE16/'改造情景建筑面积计算 '!AE13</f>
        <v>0.0133744871836229</v>
      </c>
      <c r="AD9">
        <f>'改造情景建筑面积计算 '!AF16/'改造情景建筑面积计算 '!AF13</f>
        <v>0.0136248995647933</v>
      </c>
      <c r="AE9">
        <f>'改造情景建筑面积计算 '!AG16/'改造情景建筑面积计算 '!AG13</f>
        <v>0.0138871161948747</v>
      </c>
      <c r="AF9">
        <f>'改造情景建筑面积计算 '!AH16/'改造情景建筑面积计算 '!AH13</f>
        <v>0.0141614330092742</v>
      </c>
      <c r="AG9">
        <f>'改造情景建筑面积计算 '!AI16/'改造情景建筑面积计算 '!AI13</f>
        <v>0.0144481511412907</v>
      </c>
      <c r="AH9">
        <f>'改造情景建筑面积计算 '!AJ16/'改造情景建筑面积计算 '!AJ13</f>
        <v>0.0147475746063363</v>
      </c>
      <c r="AI9">
        <f>'改造情景建筑面积计算 '!AK16/'改造情景建筑面积计算 '!AK13</f>
        <v>0.0150600114051854</v>
      </c>
      <c r="AJ9">
        <f>'改造情景建筑面积计算 '!AL16/'改造情景建筑面积计算 '!AL13</f>
        <v>0.0153857712861865</v>
      </c>
      <c r="AK9">
        <f>'改造情景建筑面积计算 '!AM16/'改造情景建筑面积计算 '!AM13</f>
        <v>0.0157251666811453</v>
      </c>
      <c r="AL9">
        <f>'改造情景建筑面积计算 '!AN16/'改造情景建筑面积计算 '!AN13</f>
        <v>0.0160785127266114</v>
      </c>
      <c r="AM9">
        <f>'改造情景建筑面积计算 '!AO16/'改造情景建筑面积计算 '!AO13</f>
        <v>0.0164461279884579</v>
      </c>
      <c r="AN9">
        <f>'改造情景建筑面积计算 '!AP16/'改造情景建筑面积计算 '!AP13</f>
        <v>0.0168283358863694</v>
      </c>
      <c r="AO9">
        <f>'改造情景建筑面积计算 '!AQ16/'改造情景建筑面积计算 '!AQ13</f>
        <v>0.0172254666380303</v>
      </c>
      <c r="AP9">
        <f>'改造情景建筑面积计算 '!AR16/'改造情景建筑面积计算 '!AR13</f>
        <v>0.0176378619245123</v>
      </c>
    </row>
    <row r="10" spans="1:42">
      <c r="A10" t="s">
        <v>1090</v>
      </c>
      <c r="B10" s="2">
        <f>B4</f>
        <v>0.69</v>
      </c>
      <c r="C10" s="2">
        <f t="shared" ref="C10:AP10" si="0">C4</f>
        <v>0.69</v>
      </c>
      <c r="D10" s="2">
        <f t="shared" si="0"/>
        <v>0.69</v>
      </c>
      <c r="E10" s="2">
        <f t="shared" si="0"/>
        <v>0.69</v>
      </c>
      <c r="F10" s="2">
        <f t="shared" si="0"/>
        <v>0.69</v>
      </c>
      <c r="G10" s="2">
        <f t="shared" si="0"/>
        <v>0.69</v>
      </c>
      <c r="H10" s="2">
        <f t="shared" si="0"/>
        <v>0.69</v>
      </c>
      <c r="I10" s="2">
        <f t="shared" si="0"/>
        <v>0.69</v>
      </c>
      <c r="J10" s="2">
        <f t="shared" si="0"/>
        <v>0.69</v>
      </c>
      <c r="K10" s="2">
        <f t="shared" si="0"/>
        <v>0.69</v>
      </c>
      <c r="L10" s="2">
        <f t="shared" si="0"/>
        <v>0.69</v>
      </c>
      <c r="M10" s="2">
        <f t="shared" si="0"/>
        <v>0.69</v>
      </c>
      <c r="N10" s="2">
        <f t="shared" si="0"/>
        <v>0.69</v>
      </c>
      <c r="O10" s="2">
        <f t="shared" si="0"/>
        <v>0.69</v>
      </c>
      <c r="P10" s="2">
        <f t="shared" si="0"/>
        <v>0.69</v>
      </c>
      <c r="Q10" s="2">
        <f t="shared" si="0"/>
        <v>0.69</v>
      </c>
      <c r="R10" s="2">
        <f t="shared" si="0"/>
        <v>0.69</v>
      </c>
      <c r="S10" s="2">
        <f t="shared" si="0"/>
        <v>0.69</v>
      </c>
      <c r="T10" s="2">
        <f t="shared" si="0"/>
        <v>0.69</v>
      </c>
      <c r="U10" s="2">
        <f t="shared" si="0"/>
        <v>0.69</v>
      </c>
      <c r="V10" s="2">
        <f t="shared" si="0"/>
        <v>0.69</v>
      </c>
      <c r="W10" s="2">
        <f t="shared" si="0"/>
        <v>0.69</v>
      </c>
      <c r="X10" s="2">
        <f t="shared" si="0"/>
        <v>0.69</v>
      </c>
      <c r="Y10" s="2">
        <f t="shared" si="0"/>
        <v>0.69</v>
      </c>
      <c r="Z10" s="2">
        <f t="shared" si="0"/>
        <v>0.69</v>
      </c>
      <c r="AA10" s="2">
        <f t="shared" si="0"/>
        <v>0.69</v>
      </c>
      <c r="AB10" s="2">
        <f t="shared" si="0"/>
        <v>0.69</v>
      </c>
      <c r="AC10" s="2">
        <f t="shared" si="0"/>
        <v>0.69</v>
      </c>
      <c r="AD10" s="2">
        <f t="shared" si="0"/>
        <v>0.69</v>
      </c>
      <c r="AE10" s="2">
        <f t="shared" si="0"/>
        <v>0.69</v>
      </c>
      <c r="AF10" s="2">
        <f t="shared" si="0"/>
        <v>0.69</v>
      </c>
      <c r="AG10" s="2">
        <f t="shared" si="0"/>
        <v>0.69</v>
      </c>
      <c r="AH10" s="2">
        <f t="shared" si="0"/>
        <v>0.69</v>
      </c>
      <c r="AI10" s="2">
        <f t="shared" si="0"/>
        <v>0.69</v>
      </c>
      <c r="AJ10" s="2">
        <f t="shared" si="0"/>
        <v>0.69</v>
      </c>
      <c r="AK10" s="2">
        <f t="shared" si="0"/>
        <v>0.69</v>
      </c>
      <c r="AL10" s="2">
        <f t="shared" si="0"/>
        <v>0.69</v>
      </c>
      <c r="AM10" s="2">
        <f t="shared" si="0"/>
        <v>0.69</v>
      </c>
      <c r="AN10" s="2">
        <f t="shared" si="0"/>
        <v>0.69</v>
      </c>
      <c r="AO10" s="2">
        <f t="shared" si="0"/>
        <v>0.69</v>
      </c>
      <c r="AP10" s="2">
        <f t="shared" si="0"/>
        <v>0.69</v>
      </c>
    </row>
    <row r="11" spans="1:42">
      <c r="A11" t="s">
        <v>1091</v>
      </c>
      <c r="B11" s="23">
        <f>AVERAGE(B9:AP9)</f>
        <v>0.0126253325287839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</row>
    <row r="12" spans="1:42">
      <c r="A12" t="s">
        <v>1092</v>
      </c>
      <c r="B12" s="23">
        <f>AVERAGE(B10:AP10)</f>
        <v>0.69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</row>
    <row r="14" spans="1:42">
      <c r="B14">
        <v>2020</v>
      </c>
      <c r="C14">
        <v>2021</v>
      </c>
      <c r="D14">
        <v>2022</v>
      </c>
      <c r="E14">
        <v>2023</v>
      </c>
      <c r="F14">
        <v>2024</v>
      </c>
      <c r="G14">
        <v>2025</v>
      </c>
      <c r="H14">
        <v>2026</v>
      </c>
      <c r="I14">
        <v>2027</v>
      </c>
      <c r="J14">
        <v>2028</v>
      </c>
      <c r="K14">
        <v>2029</v>
      </c>
      <c r="L14">
        <v>2030</v>
      </c>
      <c r="M14">
        <v>2031</v>
      </c>
      <c r="N14">
        <v>2032</v>
      </c>
      <c r="O14">
        <v>2033</v>
      </c>
      <c r="P14">
        <v>2034</v>
      </c>
      <c r="Q14">
        <v>2035</v>
      </c>
      <c r="R14">
        <v>2036</v>
      </c>
      <c r="S14">
        <v>2037</v>
      </c>
      <c r="T14">
        <v>2038</v>
      </c>
      <c r="U14">
        <v>2039</v>
      </c>
      <c r="V14">
        <v>2040</v>
      </c>
      <c r="W14">
        <v>2041</v>
      </c>
      <c r="X14">
        <v>2042</v>
      </c>
      <c r="Y14">
        <v>2043</v>
      </c>
      <c r="Z14">
        <v>2044</v>
      </c>
      <c r="AA14">
        <v>2045</v>
      </c>
      <c r="AB14">
        <v>2046</v>
      </c>
      <c r="AC14">
        <v>2047</v>
      </c>
      <c r="AD14">
        <v>2048</v>
      </c>
      <c r="AE14">
        <v>2049</v>
      </c>
      <c r="AF14">
        <v>2050</v>
      </c>
      <c r="AG14">
        <v>2051</v>
      </c>
      <c r="AH14">
        <v>2052</v>
      </c>
      <c r="AI14">
        <v>2053</v>
      </c>
      <c r="AJ14">
        <v>2054</v>
      </c>
      <c r="AK14">
        <v>2055</v>
      </c>
      <c r="AL14">
        <v>2056</v>
      </c>
      <c r="AM14">
        <v>2057</v>
      </c>
      <c r="AN14">
        <v>2058</v>
      </c>
      <c r="AO14">
        <v>2059</v>
      </c>
      <c r="AP14">
        <v>2060</v>
      </c>
    </row>
    <row r="15" spans="1:42">
      <c r="A15" t="s">
        <v>1094</v>
      </c>
      <c r="B15">
        <f>'改造情景建筑面积计算 '!D25/'改造情景建筑面积计算 '!D22</f>
        <v>0.00969443010985865</v>
      </c>
      <c r="C15">
        <f>'改造情景建筑面积计算 '!E25/'改造情景建筑面积计算 '!E22</f>
        <v>0.00954842666027342</v>
      </c>
      <c r="D15">
        <f>'改造情景建筑面积计算 '!F25/'改造情景建筑面积计算 '!F22</f>
        <v>0.00941084563911113</v>
      </c>
      <c r="E15">
        <f>'改造情景建筑面积计算 '!G25/'改造情景建筑面积计算 '!G22</f>
        <v>0.00928120458128348</v>
      </c>
      <c r="F15">
        <f>'改造情景建筑面积计算 '!H25/'改造情景建筑面积计算 '!H22</f>
        <v>0.00915905759215535</v>
      </c>
      <c r="G15">
        <f>'改造情景建筑面积计算 '!I25/'改造情景建筑面积计算 '!I22</f>
        <v>0.00904399092825432</v>
      </c>
      <c r="H15">
        <f>'改造情景建筑面积计算 '!J25/'改造情景建筑面积计算 '!J22</f>
        <v>0.00893562055915508</v>
      </c>
      <c r="I15">
        <f>'改造情景建筑面积计算 '!K25/'改造情景建筑面积计算 '!K22</f>
        <v>0.00883358808137892</v>
      </c>
      <c r="J15">
        <f>'改造情景建筑面积计算 '!L25/'改造情景建筑面积计算 '!L22</f>
        <v>0.00873755887062904</v>
      </c>
      <c r="K15">
        <f>'改造情景建筑面积计算 '!M25/'改造情景建筑面积计算 '!M22</f>
        <v>0.00864721905298644</v>
      </c>
      <c r="L15">
        <f>'改造情景建筑面积计算 '!N25/'改造情景建筑面积计算 '!N22</f>
        <v>0.00856227334618022</v>
      </c>
      <c r="M15">
        <f>'改造情景建筑面积计算 '!O25/'改造情景建筑面积计算 '!O22</f>
        <v>0.00848244315961815</v>
      </c>
      <c r="N15">
        <f>'改造情景建筑面积计算 '!P25/'改造情景建筑面积计算 '!P22</f>
        <v>0.00840746414623831</v>
      </c>
      <c r="O15">
        <f>'改造情景建筑面积计算 '!Q25/'改造情景建筑面积计算 '!Q22</f>
        <v>0.00833708509812522</v>
      </c>
      <c r="P15">
        <f>'改造情景建筑面积计算 '!R25/'改造情景建筑面积计算 '!R22</f>
        <v>0.00827106568143357</v>
      </c>
      <c r="Q15">
        <f>'改造情景建筑面积计算 '!S25/'改造情景建筑面积计算 '!S22</f>
        <v>0.00820917522732486</v>
      </c>
      <c r="R15">
        <f>'改造情景建筑面积计算 '!T25/'改造情景建筑面积计算 '!T22</f>
        <v>0.00815119109566133</v>
      </c>
      <c r="S15">
        <f>'改造情景建筑面积计算 '!U25/'改造情景建筑面积计算 '!U22</f>
        <v>0.00809689714935874</v>
      </c>
      <c r="T15">
        <f>'改造情景建筑面积计算 '!V25/'改造情景建筑面积计算 '!V22</f>
        <v>0.00804608285036137</v>
      </c>
      <c r="U15">
        <f>'改造情景建筑面积计算 '!W25/'改造情景建筑面积计算 '!W22</f>
        <v>0.00799854152725363</v>
      </c>
      <c r="V15">
        <f>'改造情景建筑面积计算 '!X25/'改造情景建筑面积计算 '!X22</f>
        <v>0.00795406929113459</v>
      </c>
      <c r="W15">
        <f>'改造情景建筑面积计算 '!Y25/'改造情景建筑面积计算 '!Y22</f>
        <v>0.00791246381750958</v>
      </c>
      <c r="X15">
        <f>'改造情景建筑面积计算 '!Z25/'改造情景建筑面积计算 '!Z22</f>
        <v>0.00787352343219994</v>
      </c>
      <c r="Y15">
        <f>'改造情景建筑面积计算 '!AA25/'改造情景建筑面积计算 '!AA22</f>
        <v>0.00783704581870345</v>
      </c>
      <c r="Z15">
        <f>'改造情景建筑面积计算 '!AB25/'改造情景建筑面积计算 '!AB22</f>
        <v>0.00780282671085579</v>
      </c>
      <c r="AA15">
        <f>'改造情景建筑面积计算 '!AC25/'改造情景建筑面积计算 '!AC22</f>
        <v>0.00777065934729416</v>
      </c>
      <c r="AB15">
        <f>'改造情景建筑面积计算 '!AD25/'改造情景建筑面积计算 '!AD22</f>
        <v>0.00774033335583385</v>
      </c>
      <c r="AC15">
        <f>'改造情景建筑面积计算 '!AE25/'改造情景建筑面积计算 '!AE22</f>
        <v>0.00771163331379836</v>
      </c>
      <c r="AD15">
        <f>'改造情景建筑面积计算 '!AF25/'改造情景建筑面积计算 '!AF22</f>
        <v>0.00768433862928871</v>
      </c>
      <c r="AE15">
        <f>'改造情景建筑面积计算 '!AG25/'改造情景建筑面积计算 '!AG22</f>
        <v>0.00765822231667549</v>
      </c>
      <c r="AF15">
        <f>'改造情景建筑面积计算 '!AH25/'改造情景建筑面积计算 '!AH22</f>
        <v>0.00763305009473888</v>
      </c>
      <c r="AG15">
        <f>'改造情景建筑面积计算 '!AI25/'改造情景建筑面积计算 '!AI22</f>
        <v>0.00760858033234341</v>
      </c>
      <c r="AH15">
        <f>'改造情景建筑面积计算 '!AJ25/'改造情景建筑面积计算 '!AJ22</f>
        <v>0.00758456269908543</v>
      </c>
      <c r="AI15">
        <f>'改造情景建筑面积计算 '!AK25/'改造情景建筑面积计算 '!AK22</f>
        <v>0.00756073870611268</v>
      </c>
      <c r="AJ15">
        <f>'改造情景建筑面积计算 '!AL25/'改造情景建筑面积计算 '!AL22</f>
        <v>0.00753684053068124</v>
      </c>
      <c r="AK15">
        <f>'改造情景建筑面积计算 '!AM25/'改造情景建筑面积计算 '!AM22</f>
        <v>0.00751259152169824</v>
      </c>
      <c r="AL15">
        <f>'改造情景建筑面积计算 '!AN25/'改造情景建筑面积计算 '!AN22</f>
        <v>0.00748770621150894</v>
      </c>
      <c r="AM15">
        <f>'改造情景建筑面积计算 '!AO25/'改造情景建筑面积计算 '!AO22</f>
        <v>0.00746189064600763</v>
      </c>
      <c r="AN15">
        <f>'改造情景建筑面积计算 '!AP25/'改造情景建筑面积计算 '!AP22</f>
        <v>0.00743484297294921</v>
      </c>
      <c r="AO15">
        <f>'改造情景建筑面积计算 '!AQ25/'改造情景建筑面积计算 '!AQ22</f>
        <v>0.00740625415394199</v>
      </c>
      <c r="AP15">
        <f>'改造情景建筑面积计算 '!AR25/'改造情景建筑面积计算 '!AR22</f>
        <v>0.00737580967985596</v>
      </c>
    </row>
    <row r="16" spans="1:42">
      <c r="A16" t="s">
        <v>1095</v>
      </c>
      <c r="B16" s="2">
        <f t="shared" ref="B16:AP16" si="1">72%</f>
        <v>0.72</v>
      </c>
      <c r="C16" s="2">
        <f t="shared" si="1"/>
        <v>0.72</v>
      </c>
      <c r="D16" s="2">
        <f t="shared" si="1"/>
        <v>0.72</v>
      </c>
      <c r="E16" s="2">
        <f t="shared" si="1"/>
        <v>0.72</v>
      </c>
      <c r="F16" s="2">
        <f t="shared" si="1"/>
        <v>0.72</v>
      </c>
      <c r="G16" s="2">
        <f t="shared" si="1"/>
        <v>0.72</v>
      </c>
      <c r="H16" s="2">
        <f t="shared" si="1"/>
        <v>0.72</v>
      </c>
      <c r="I16" s="2">
        <f t="shared" si="1"/>
        <v>0.72</v>
      </c>
      <c r="J16" s="2">
        <f t="shared" si="1"/>
        <v>0.72</v>
      </c>
      <c r="K16" s="2">
        <f t="shared" si="1"/>
        <v>0.72</v>
      </c>
      <c r="L16" s="2">
        <f t="shared" si="1"/>
        <v>0.72</v>
      </c>
      <c r="M16" s="2">
        <f t="shared" si="1"/>
        <v>0.72</v>
      </c>
      <c r="N16" s="2">
        <f t="shared" si="1"/>
        <v>0.72</v>
      </c>
      <c r="O16" s="2">
        <f t="shared" si="1"/>
        <v>0.72</v>
      </c>
      <c r="P16" s="2">
        <f t="shared" si="1"/>
        <v>0.72</v>
      </c>
      <c r="Q16" s="2">
        <f t="shared" si="1"/>
        <v>0.72</v>
      </c>
      <c r="R16" s="2">
        <f t="shared" si="1"/>
        <v>0.72</v>
      </c>
      <c r="S16" s="2">
        <f t="shared" si="1"/>
        <v>0.72</v>
      </c>
      <c r="T16" s="2">
        <f t="shared" si="1"/>
        <v>0.72</v>
      </c>
      <c r="U16" s="2">
        <f t="shared" si="1"/>
        <v>0.72</v>
      </c>
      <c r="V16" s="2">
        <f t="shared" si="1"/>
        <v>0.72</v>
      </c>
      <c r="W16" s="2">
        <f t="shared" si="1"/>
        <v>0.72</v>
      </c>
      <c r="X16" s="2">
        <f t="shared" si="1"/>
        <v>0.72</v>
      </c>
      <c r="Y16" s="2">
        <f t="shared" si="1"/>
        <v>0.72</v>
      </c>
      <c r="Z16" s="2">
        <f t="shared" si="1"/>
        <v>0.72</v>
      </c>
      <c r="AA16" s="2">
        <f t="shared" si="1"/>
        <v>0.72</v>
      </c>
      <c r="AB16" s="2">
        <f t="shared" si="1"/>
        <v>0.72</v>
      </c>
      <c r="AC16" s="2">
        <f t="shared" si="1"/>
        <v>0.72</v>
      </c>
      <c r="AD16" s="2">
        <f t="shared" si="1"/>
        <v>0.72</v>
      </c>
      <c r="AE16" s="2">
        <f t="shared" si="1"/>
        <v>0.72</v>
      </c>
      <c r="AF16" s="2">
        <f t="shared" si="1"/>
        <v>0.72</v>
      </c>
      <c r="AG16" s="2">
        <f t="shared" si="1"/>
        <v>0.72</v>
      </c>
      <c r="AH16" s="2">
        <f t="shared" si="1"/>
        <v>0.72</v>
      </c>
      <c r="AI16" s="2">
        <f t="shared" si="1"/>
        <v>0.72</v>
      </c>
      <c r="AJ16" s="2">
        <f t="shared" si="1"/>
        <v>0.72</v>
      </c>
      <c r="AK16" s="2">
        <f t="shared" si="1"/>
        <v>0.72</v>
      </c>
      <c r="AL16" s="2">
        <f t="shared" si="1"/>
        <v>0.72</v>
      </c>
      <c r="AM16" s="2">
        <f t="shared" si="1"/>
        <v>0.72</v>
      </c>
      <c r="AN16" s="2">
        <f t="shared" si="1"/>
        <v>0.72</v>
      </c>
      <c r="AO16" s="2">
        <f t="shared" si="1"/>
        <v>0.72</v>
      </c>
      <c r="AP16" s="2">
        <f t="shared" si="1"/>
        <v>0.72</v>
      </c>
    </row>
    <row r="17" spans="1:42">
      <c r="A17" t="s">
        <v>1091</v>
      </c>
      <c r="B17" s="23">
        <f>AVERAGE(B15:AP15)</f>
        <v>0.00815614987655753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</row>
    <row r="18" spans="1:42">
      <c r="A18" t="s">
        <v>1092</v>
      </c>
      <c r="B18" s="23">
        <f>AVERAGE(B16:AP16)</f>
        <v>0.72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</row>
  </sheetData>
  <pageMargins left="0.7" right="0.7" top="0.75" bottom="0.75" header="0.3" footer="0.3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A1:D7"/>
  <sheetViews>
    <sheetView workbookViewId="0">
      <selection activeCell="A1" sqref="A1"/>
    </sheetView>
  </sheetViews>
  <sheetFormatPr defaultColWidth="9" defaultRowHeight="13.5" outlineLevelRow="6" outlineLevelCol="3"/>
  <cols>
    <col min="1" max="1" width="22.6333333333333" customWidth="1"/>
    <col min="2" max="2" width="27.1333333333333" customWidth="1"/>
    <col min="3" max="3" width="25.5" customWidth="1"/>
    <col min="4" max="4" width="28.75" customWidth="1"/>
  </cols>
  <sheetData>
    <row r="1" ht="42.4" customHeight="1" spans="1:4">
      <c r="A1" s="17" t="s">
        <v>1096</v>
      </c>
      <c r="B1" s="18" t="s">
        <v>1097</v>
      </c>
      <c r="C1" s="18" t="s">
        <v>1098</v>
      </c>
      <c r="D1" s="18" t="s">
        <v>1099</v>
      </c>
    </row>
    <row r="2" spans="1:4">
      <c r="A2" s="19" t="s">
        <v>1100</v>
      </c>
      <c r="B2" s="20">
        <f>建筑改造情景参数!$B$6</f>
        <v>0.69</v>
      </c>
      <c r="C2" s="20">
        <f>建筑改造情景参数!$B$12</f>
        <v>0.69</v>
      </c>
      <c r="D2" s="20">
        <f>建筑改造情景参数!$B$18</f>
        <v>0.72</v>
      </c>
    </row>
    <row r="3" spans="1:4">
      <c r="A3" s="19" t="s">
        <v>1101</v>
      </c>
      <c r="B3" s="20">
        <f>建筑改造情景参数!$B$6</f>
        <v>0.69</v>
      </c>
      <c r="C3" s="20">
        <f>建筑改造情景参数!$B$12</f>
        <v>0.69</v>
      </c>
      <c r="D3" s="20">
        <f>建筑改造情景参数!$B$18</f>
        <v>0.72</v>
      </c>
    </row>
    <row r="4" spans="1:4">
      <c r="A4" s="19" t="s">
        <v>1102</v>
      </c>
      <c r="B4" s="20">
        <v>0</v>
      </c>
      <c r="C4" s="20">
        <v>0</v>
      </c>
      <c r="D4" s="20">
        <v>0</v>
      </c>
    </row>
    <row r="5" spans="1:4">
      <c r="A5" s="19" t="s">
        <v>1103</v>
      </c>
      <c r="B5" s="20">
        <f>建筑改造情景参数!$B$6</f>
        <v>0.69</v>
      </c>
      <c r="C5" s="20">
        <f>建筑改造情景参数!$B$12</f>
        <v>0.69</v>
      </c>
      <c r="D5" s="20">
        <f>建筑改造情景参数!$B$18</f>
        <v>0.72</v>
      </c>
    </row>
    <row r="6" spans="1:4">
      <c r="A6" s="19" t="s">
        <v>1104</v>
      </c>
      <c r="B6" s="20">
        <v>0</v>
      </c>
      <c r="C6" s="20">
        <v>0</v>
      </c>
      <c r="D6" s="20">
        <v>0</v>
      </c>
    </row>
    <row r="7" spans="1:4">
      <c r="A7" s="19" t="s">
        <v>1105</v>
      </c>
      <c r="B7" s="20">
        <v>0</v>
      </c>
      <c r="C7" s="20">
        <v>0</v>
      </c>
      <c r="D7" s="20">
        <v>0</v>
      </c>
    </row>
  </sheetData>
  <pageMargins left="0.7" right="0.7" top="0.75" bottom="0.75" header="0.3" footer="0.3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249977111117893"/>
  </sheetPr>
  <dimension ref="A1:D7"/>
  <sheetViews>
    <sheetView workbookViewId="0">
      <selection activeCell="G8" sqref="G8"/>
    </sheetView>
  </sheetViews>
  <sheetFormatPr defaultColWidth="9" defaultRowHeight="13.5" outlineLevelRow="6" outlineLevelCol="3"/>
  <cols>
    <col min="1" max="2" width="29.3833333333333" customWidth="1"/>
    <col min="3" max="3" width="21.75" customWidth="1"/>
    <col min="4" max="4" width="19" customWidth="1"/>
  </cols>
  <sheetData>
    <row r="1" ht="14.25" spans="1:4">
      <c r="A1" s="15" t="s">
        <v>1106</v>
      </c>
      <c r="B1" s="15" t="s">
        <v>1097</v>
      </c>
      <c r="C1" s="15" t="s">
        <v>1098</v>
      </c>
      <c r="D1" s="15" t="s">
        <v>1099</v>
      </c>
    </row>
    <row r="2" ht="14.25" spans="1:4">
      <c r="A2" s="15" t="s">
        <v>1100</v>
      </c>
      <c r="B2" s="15">
        <f>建筑新建率!$B$7</f>
        <v>0.0152065469449774</v>
      </c>
      <c r="C2" s="16">
        <f>建筑新建率!$B$8</f>
        <v>0.00137945031888266</v>
      </c>
      <c r="D2" s="16">
        <f>建筑新建率!$B$9</f>
        <v>0.0152065469449774</v>
      </c>
    </row>
    <row r="3" ht="14.25" spans="1:4">
      <c r="A3" s="15" t="s">
        <v>1101</v>
      </c>
      <c r="B3" s="15">
        <f>建筑新建率!$B$7</f>
        <v>0.0152065469449774</v>
      </c>
      <c r="C3" s="16">
        <f>建筑新建率!$B$8</f>
        <v>0.00137945031888266</v>
      </c>
      <c r="D3" s="16">
        <f>建筑新建率!$B$9</f>
        <v>0.0152065469449774</v>
      </c>
    </row>
    <row r="4" ht="14.25" spans="1:4">
      <c r="A4" s="15" t="s">
        <v>1102</v>
      </c>
      <c r="B4" s="15">
        <f>建筑新建率!$B$7</f>
        <v>0.0152065469449774</v>
      </c>
      <c r="C4" s="16">
        <f>建筑新建率!$B$8</f>
        <v>0.00137945031888266</v>
      </c>
      <c r="D4" s="16">
        <f>建筑新建率!$B$9</f>
        <v>0.0152065469449774</v>
      </c>
    </row>
    <row r="5" ht="14.25" spans="1:4">
      <c r="A5" s="15" t="s">
        <v>1103</v>
      </c>
      <c r="B5" s="15">
        <f>建筑新建率!$B$7</f>
        <v>0.0152065469449774</v>
      </c>
      <c r="C5" s="16">
        <f>建筑新建率!$B$8</f>
        <v>0.00137945031888266</v>
      </c>
      <c r="D5" s="16">
        <f>建筑新建率!$B$9</f>
        <v>0.0152065469449774</v>
      </c>
    </row>
    <row r="6" ht="14.25" spans="1:4">
      <c r="A6" s="15" t="s">
        <v>1107</v>
      </c>
      <c r="B6" s="15">
        <f>建筑新建率!$B$7</f>
        <v>0.0152065469449774</v>
      </c>
      <c r="C6" s="16">
        <f>建筑新建率!$B$8</f>
        <v>0.00137945031888266</v>
      </c>
      <c r="D6" s="16">
        <f>建筑新建率!$B$9</f>
        <v>0.0152065469449774</v>
      </c>
    </row>
    <row r="7" ht="14.25" spans="1:4">
      <c r="A7" s="15" t="s">
        <v>1105</v>
      </c>
      <c r="B7" s="15">
        <f>建筑新建率!$B$7</f>
        <v>0.0152065469449774</v>
      </c>
      <c r="C7" s="16">
        <f>建筑新建率!$B$8</f>
        <v>0.00137945031888266</v>
      </c>
      <c r="D7" s="16">
        <f>建筑新建率!$B$9</f>
        <v>0.0152065469449774</v>
      </c>
    </row>
  </sheetData>
  <pageMargins left="0.7" right="0.7" top="0.75" bottom="0.75" header="0.3" footer="0.3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R255"/>
  <sheetViews>
    <sheetView workbookViewId="0">
      <selection activeCell="D11" sqref="D11"/>
    </sheetView>
  </sheetViews>
  <sheetFormatPr defaultColWidth="13.6333333333333" defaultRowHeight="13.5"/>
  <cols>
    <col min="1" max="1" width="34.6333333333333" customWidth="1"/>
    <col min="4" max="4" width="22.75" customWidth="1"/>
    <col min="7" max="7" width="21.75" customWidth="1"/>
  </cols>
  <sheetData>
    <row r="2" ht="14.25" spans="1:19">
      <c r="A2" s="8" t="s">
        <v>1108</v>
      </c>
      <c r="B2" s="8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="3" customFormat="1" ht="40.5" spans="1:19">
      <c r="A3" s="9">
        <v>2018</v>
      </c>
      <c r="B3" s="9" t="s">
        <v>98</v>
      </c>
      <c r="C3" s="9" t="s">
        <v>99</v>
      </c>
      <c r="D3" s="9" t="s">
        <v>100</v>
      </c>
      <c r="E3" s="9" t="s">
        <v>101</v>
      </c>
      <c r="F3" s="9" t="s">
        <v>102</v>
      </c>
      <c r="G3" s="9" t="s">
        <v>103</v>
      </c>
      <c r="H3" s="9" t="s">
        <v>104</v>
      </c>
      <c r="I3" s="9" t="s">
        <v>105</v>
      </c>
      <c r="J3" s="9" t="s">
        <v>106</v>
      </c>
      <c r="K3" s="9" t="s">
        <v>107</v>
      </c>
      <c r="L3" s="9" t="s">
        <v>108</v>
      </c>
      <c r="M3" s="9" t="s">
        <v>109</v>
      </c>
      <c r="N3" s="9" t="s">
        <v>110</v>
      </c>
      <c r="O3" s="9" t="s">
        <v>111</v>
      </c>
      <c r="P3" s="9" t="s">
        <v>112</v>
      </c>
      <c r="Q3" s="9" t="s">
        <v>113</v>
      </c>
      <c r="R3" s="9" t="s">
        <v>114</v>
      </c>
      <c r="S3" s="9" t="s">
        <v>115</v>
      </c>
    </row>
    <row r="4" spans="1:19">
      <c r="A4" s="1" t="s">
        <v>1109</v>
      </c>
      <c r="B4" s="10">
        <v>344913250404708</v>
      </c>
      <c r="C4" s="10">
        <v>255290122346792</v>
      </c>
      <c r="D4" s="10">
        <v>0</v>
      </c>
      <c r="E4" s="10">
        <v>184677960846615</v>
      </c>
      <c r="F4" s="10">
        <v>738711843386462</v>
      </c>
      <c r="G4" s="10">
        <v>463505470360133</v>
      </c>
      <c r="H4" s="10">
        <v>411725623274289</v>
      </c>
      <c r="I4" s="10">
        <v>35849460601719.1</v>
      </c>
      <c r="J4" s="10">
        <v>0</v>
      </c>
      <c r="K4" s="10">
        <v>144484189697837</v>
      </c>
      <c r="L4" s="10">
        <v>577936758791350</v>
      </c>
      <c r="M4" s="10">
        <v>332422271034122</v>
      </c>
      <c r="N4" s="11">
        <v>0</v>
      </c>
      <c r="O4" s="11">
        <v>956676023777197</v>
      </c>
      <c r="P4" s="11">
        <v>0</v>
      </c>
      <c r="Q4" s="11">
        <v>1492944244718050</v>
      </c>
      <c r="R4" s="11">
        <v>959986321437325</v>
      </c>
      <c r="S4" s="11">
        <v>61792222989069.2</v>
      </c>
    </row>
    <row r="5" spans="1:19">
      <c r="A5" s="1" t="s">
        <v>1110</v>
      </c>
      <c r="B5" s="10">
        <v>271500655409593</v>
      </c>
      <c r="C5" s="10">
        <v>0</v>
      </c>
      <c r="D5" s="10">
        <v>0</v>
      </c>
      <c r="E5" s="10">
        <v>0</v>
      </c>
      <c r="F5" s="10">
        <v>0</v>
      </c>
      <c r="G5" s="10">
        <v>14235989422225.9</v>
      </c>
      <c r="H5" s="10">
        <v>990599214954608</v>
      </c>
      <c r="I5" s="10">
        <v>0</v>
      </c>
      <c r="J5" s="10">
        <v>0</v>
      </c>
      <c r="K5" s="10">
        <v>0</v>
      </c>
      <c r="L5" s="10">
        <v>0</v>
      </c>
      <c r="M5" s="10">
        <v>51941531870279.1</v>
      </c>
      <c r="N5" s="11">
        <v>967555566556948</v>
      </c>
      <c r="O5" s="11">
        <v>0</v>
      </c>
      <c r="P5" s="11">
        <v>0</v>
      </c>
      <c r="Q5" s="11">
        <v>0</v>
      </c>
      <c r="R5" s="11">
        <v>0</v>
      </c>
      <c r="S5" s="11">
        <v>50733250680888.7</v>
      </c>
    </row>
    <row r="6" spans="1:19">
      <c r="A6" s="1" t="s">
        <v>1111</v>
      </c>
      <c r="B6" s="10">
        <v>641782999104440</v>
      </c>
      <c r="C6" s="10">
        <v>0</v>
      </c>
      <c r="D6" s="10">
        <v>0</v>
      </c>
      <c r="E6" s="10">
        <v>0</v>
      </c>
      <c r="F6" s="10">
        <v>0</v>
      </c>
      <c r="G6" s="10">
        <v>735795241987648</v>
      </c>
      <c r="H6" s="10">
        <v>208997925062877</v>
      </c>
      <c r="I6" s="10">
        <v>0</v>
      </c>
      <c r="J6" s="10">
        <v>0</v>
      </c>
      <c r="K6" s="10">
        <v>0</v>
      </c>
      <c r="L6" s="10">
        <v>0</v>
      </c>
      <c r="M6" s="10">
        <v>38436400011563.5</v>
      </c>
      <c r="N6" s="11">
        <v>0</v>
      </c>
      <c r="O6" s="11">
        <v>0</v>
      </c>
      <c r="P6" s="11">
        <v>0</v>
      </c>
      <c r="Q6" s="11">
        <v>0</v>
      </c>
      <c r="R6" s="11">
        <v>817412131033464</v>
      </c>
      <c r="S6" s="11">
        <v>0</v>
      </c>
    </row>
    <row r="7" spans="1:19">
      <c r="A7" s="1" t="s">
        <v>1112</v>
      </c>
      <c r="B7" s="10">
        <v>5061971043303.07</v>
      </c>
      <c r="C7" s="10">
        <v>0</v>
      </c>
      <c r="D7" s="10">
        <v>0</v>
      </c>
      <c r="E7" s="10">
        <v>0</v>
      </c>
      <c r="F7" s="10">
        <v>0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  <c r="L7" s="10">
        <v>0</v>
      </c>
      <c r="M7" s="10">
        <v>0</v>
      </c>
      <c r="N7" s="11">
        <v>433453366979259</v>
      </c>
      <c r="O7" s="11">
        <v>0</v>
      </c>
      <c r="P7" s="11">
        <v>0</v>
      </c>
      <c r="Q7" s="11">
        <v>0</v>
      </c>
      <c r="R7" s="11">
        <v>0</v>
      </c>
      <c r="S7" s="11">
        <v>22727891901534.2</v>
      </c>
    </row>
    <row r="8" spans="1:19">
      <c r="A8" s="1" t="s">
        <v>1113</v>
      </c>
      <c r="B8" s="10">
        <v>2513803814383860</v>
      </c>
      <c r="C8" s="10">
        <v>0</v>
      </c>
      <c r="D8" s="10">
        <v>0</v>
      </c>
      <c r="E8" s="10">
        <v>0</v>
      </c>
      <c r="F8" s="10">
        <v>0</v>
      </c>
      <c r="G8" s="10">
        <v>0</v>
      </c>
      <c r="H8" s="10">
        <v>77854165833273.8</v>
      </c>
      <c r="I8" s="10">
        <v>0</v>
      </c>
      <c r="J8" s="10">
        <v>0</v>
      </c>
      <c r="K8" s="10">
        <v>0</v>
      </c>
      <c r="L8" s="10">
        <v>0</v>
      </c>
      <c r="M8" s="10">
        <v>0</v>
      </c>
      <c r="N8" s="11">
        <v>1128926201694130</v>
      </c>
      <c r="O8" s="11">
        <v>0</v>
      </c>
      <c r="P8" s="11">
        <v>0</v>
      </c>
      <c r="Q8" s="11">
        <v>0</v>
      </c>
      <c r="R8" s="11">
        <v>0</v>
      </c>
      <c r="S8" s="11">
        <v>0</v>
      </c>
    </row>
    <row r="9" spans="1:19">
      <c r="A9" s="1" t="s">
        <v>1114</v>
      </c>
      <c r="B9" s="10">
        <v>23171382345501.7</v>
      </c>
      <c r="C9" s="10">
        <v>0</v>
      </c>
      <c r="D9" s="10">
        <v>0</v>
      </c>
      <c r="E9" s="10">
        <v>0</v>
      </c>
      <c r="F9" s="10">
        <v>0</v>
      </c>
      <c r="G9" s="10">
        <v>9550928206927.23</v>
      </c>
      <c r="H9" s="10">
        <v>46335810613569.6</v>
      </c>
      <c r="I9" s="10">
        <v>0</v>
      </c>
      <c r="J9" s="10">
        <v>0</v>
      </c>
      <c r="K9" s="10">
        <v>0</v>
      </c>
      <c r="L9" s="10">
        <v>0</v>
      </c>
      <c r="M9" s="10">
        <v>65641037312631.7</v>
      </c>
      <c r="N9" s="11">
        <v>14562570154638.2</v>
      </c>
      <c r="O9" s="11">
        <v>0</v>
      </c>
      <c r="P9" s="11">
        <v>0</v>
      </c>
      <c r="Q9" s="11">
        <v>0</v>
      </c>
      <c r="R9" s="11">
        <v>0</v>
      </c>
      <c r="S9" s="11">
        <v>0</v>
      </c>
    </row>
    <row r="10" spans="1:19">
      <c r="A10" s="1" t="s">
        <v>1115</v>
      </c>
      <c r="B10" s="10">
        <v>146960719863.481</v>
      </c>
      <c r="C10" s="10">
        <v>0</v>
      </c>
      <c r="D10" s="10">
        <v>0</v>
      </c>
      <c r="E10" s="10">
        <v>0</v>
      </c>
      <c r="F10" s="10">
        <v>0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  <c r="L10" s="10">
        <v>0</v>
      </c>
      <c r="M10" s="10">
        <v>0</v>
      </c>
      <c r="N10" s="11">
        <v>3984268405187.71</v>
      </c>
      <c r="O10" s="11">
        <v>0</v>
      </c>
      <c r="P10" s="11">
        <v>0</v>
      </c>
      <c r="Q10" s="11">
        <v>0</v>
      </c>
      <c r="R10" s="11">
        <v>0</v>
      </c>
      <c r="S10" s="11">
        <v>0</v>
      </c>
    </row>
    <row r="11" spans="1:19">
      <c r="A11" s="1" t="s">
        <v>1116</v>
      </c>
      <c r="B11" s="10">
        <v>0</v>
      </c>
      <c r="C11" s="10">
        <v>0</v>
      </c>
      <c r="D11" s="10">
        <v>0</v>
      </c>
      <c r="E11" s="10">
        <v>0</v>
      </c>
      <c r="F11" s="10">
        <v>0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  <c r="L11" s="10">
        <v>0</v>
      </c>
      <c r="M11" s="10">
        <v>0</v>
      </c>
      <c r="N11" s="11">
        <v>0</v>
      </c>
      <c r="O11" s="11">
        <v>0</v>
      </c>
      <c r="P11" s="11">
        <v>0</v>
      </c>
      <c r="Q11" s="11">
        <v>0</v>
      </c>
      <c r="R11" s="11">
        <v>0</v>
      </c>
      <c r="S11" s="11">
        <v>0</v>
      </c>
    </row>
    <row r="12" spans="1:19">
      <c r="A12" s="1" t="s">
        <v>1117</v>
      </c>
      <c r="B12" s="10">
        <v>143215879999159</v>
      </c>
      <c r="C12" s="10">
        <v>0</v>
      </c>
      <c r="D12" s="10">
        <v>0</v>
      </c>
      <c r="E12" s="10">
        <v>0</v>
      </c>
      <c r="F12" s="10">
        <v>0</v>
      </c>
      <c r="G12" s="10">
        <v>414983898018041</v>
      </c>
      <c r="H12" s="10">
        <v>107192800286883</v>
      </c>
      <c r="I12" s="10">
        <v>0</v>
      </c>
      <c r="J12" s="10">
        <v>0</v>
      </c>
      <c r="K12" s="10">
        <v>0</v>
      </c>
      <c r="L12" s="10">
        <v>0</v>
      </c>
      <c r="M12" s="10">
        <v>193099087041619</v>
      </c>
      <c r="N12" s="11">
        <v>0</v>
      </c>
      <c r="O12" s="11">
        <v>0</v>
      </c>
      <c r="P12" s="11">
        <v>0</v>
      </c>
      <c r="Q12" s="11">
        <v>0</v>
      </c>
      <c r="R12" s="11">
        <v>0</v>
      </c>
      <c r="S12" s="11">
        <v>169162987194921</v>
      </c>
    </row>
    <row r="13" spans="1:19">
      <c r="A13" s="1" t="s">
        <v>1118</v>
      </c>
      <c r="B13" s="10">
        <v>0</v>
      </c>
      <c r="C13" s="10">
        <v>0</v>
      </c>
      <c r="D13" s="10">
        <v>0</v>
      </c>
      <c r="E13" s="10">
        <v>0</v>
      </c>
      <c r="F13" s="10">
        <v>0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  <c r="L13" s="10">
        <v>0</v>
      </c>
      <c r="M13" s="10">
        <v>0</v>
      </c>
      <c r="N13" s="11">
        <v>0</v>
      </c>
      <c r="O13" s="11">
        <v>0</v>
      </c>
      <c r="P13" s="11">
        <v>0</v>
      </c>
      <c r="Q13" s="11">
        <v>0</v>
      </c>
      <c r="R13" s="11">
        <v>0</v>
      </c>
      <c r="S13" s="11">
        <v>0</v>
      </c>
    </row>
    <row r="14" spans="1:19">
      <c r="A14" s="1" t="s">
        <v>1119</v>
      </c>
      <c r="B14" s="1">
        <f>SUM(B4:B13)</f>
        <v>3943596913410430</v>
      </c>
      <c r="C14" s="1">
        <f t="shared" ref="C14:S14" si="0">SUM(C4:C13)</f>
        <v>255290122346792</v>
      </c>
      <c r="D14" s="1">
        <f t="shared" si="0"/>
        <v>0</v>
      </c>
      <c r="E14" s="1">
        <f t="shared" si="0"/>
        <v>184677960846615</v>
      </c>
      <c r="F14" s="1">
        <f t="shared" si="0"/>
        <v>738711843386462</v>
      </c>
      <c r="G14" s="1">
        <f t="shared" si="0"/>
        <v>1638071527994980</v>
      </c>
      <c r="H14" s="1">
        <f t="shared" si="0"/>
        <v>1842705540025500</v>
      </c>
      <c r="I14" s="1">
        <f t="shared" si="0"/>
        <v>35849460601719.1</v>
      </c>
      <c r="J14" s="1">
        <f t="shared" si="0"/>
        <v>0</v>
      </c>
      <c r="K14" s="1">
        <f t="shared" si="0"/>
        <v>144484189697837</v>
      </c>
      <c r="L14" s="1">
        <f t="shared" si="0"/>
        <v>577936758791350</v>
      </c>
      <c r="M14" s="1">
        <f t="shared" si="0"/>
        <v>681540327270215</v>
      </c>
      <c r="N14" s="1">
        <f t="shared" si="0"/>
        <v>2548481973790160</v>
      </c>
      <c r="O14" s="1">
        <f t="shared" si="0"/>
        <v>956676023777197</v>
      </c>
      <c r="P14" s="1">
        <f t="shared" si="0"/>
        <v>0</v>
      </c>
      <c r="Q14" s="1">
        <f t="shared" si="0"/>
        <v>1492944244718050</v>
      </c>
      <c r="R14" s="1">
        <f t="shared" si="0"/>
        <v>1777398452470790</v>
      </c>
      <c r="S14" s="1">
        <f t="shared" si="0"/>
        <v>304416352766413</v>
      </c>
    </row>
    <row r="15" spans="1:19">
      <c r="A15" s="1"/>
      <c r="B15" s="1">
        <f>B14</f>
        <v>3943596913410430</v>
      </c>
      <c r="C15" s="1">
        <f>SUM(C14:G14)</f>
        <v>2816751454574840</v>
      </c>
      <c r="D15" s="1"/>
      <c r="E15" s="1"/>
      <c r="F15" s="1"/>
      <c r="G15" s="1"/>
      <c r="H15" s="1">
        <f>SUM(H14:M14)</f>
        <v>3282516276386620</v>
      </c>
      <c r="I15" s="1"/>
      <c r="J15" s="1"/>
      <c r="K15" s="1"/>
      <c r="L15" s="1"/>
      <c r="M15" s="1"/>
      <c r="N15" s="1">
        <f>N14</f>
        <v>2548481973790160</v>
      </c>
      <c r="O15" s="1">
        <f>SUM(O14:S14)</f>
        <v>4531435073732450</v>
      </c>
      <c r="P15" s="1"/>
      <c r="Q15" s="1"/>
      <c r="R15" s="1"/>
      <c r="S15" s="1"/>
    </row>
    <row r="16" s="4" customFormat="1" spans="1:19">
      <c r="B16" s="4">
        <v>1</v>
      </c>
      <c r="C16" s="4">
        <f>C14/$C$15</f>
        <v>0.0906328181466494</v>
      </c>
      <c r="D16" s="4">
        <f t="shared" ref="D16:G16" si="1">D14/$C$15</f>
        <v>0</v>
      </c>
      <c r="E16" s="4">
        <f t="shared" si="1"/>
        <v>0.0655641663188526</v>
      </c>
      <c r="F16" s="4">
        <f t="shared" si="1"/>
        <v>0.262256665275411</v>
      </c>
      <c r="G16" s="4">
        <f t="shared" si="1"/>
        <v>0.581546350259087</v>
      </c>
      <c r="H16" s="4">
        <f>H14/$H$15</f>
        <v>0.561369810496094</v>
      </c>
      <c r="I16" s="4">
        <f t="shared" ref="I16:M16" si="2">I14/$H$15</f>
        <v>0.0109213352145757</v>
      </c>
      <c r="J16" s="4">
        <f t="shared" si="2"/>
        <v>0</v>
      </c>
      <c r="K16" s="4">
        <f t="shared" si="2"/>
        <v>0.0440162904102595</v>
      </c>
      <c r="L16" s="4">
        <f t="shared" si="2"/>
        <v>0.176065161641038</v>
      </c>
      <c r="M16" s="4">
        <f t="shared" si="2"/>
        <v>0.207627402238033</v>
      </c>
      <c r="N16" s="4">
        <v>1</v>
      </c>
      <c r="O16" s="4">
        <f>O14/$O$15</f>
        <v>0.211119878848712</v>
      </c>
      <c r="P16" s="4">
        <f t="shared" ref="P16:S16" si="3">P14/$O$15</f>
        <v>0</v>
      </c>
      <c r="Q16" s="4">
        <f t="shared" si="3"/>
        <v>0.3294638939819</v>
      </c>
      <c r="R16" s="4">
        <f t="shared" si="3"/>
        <v>0.392237431089746</v>
      </c>
      <c r="S16" s="4">
        <f t="shared" si="3"/>
        <v>0.0671787960796427</v>
      </c>
    </row>
    <row r="17" s="4" customFormat="1"/>
    <row r="18" s="4" customFormat="1" spans="1:44">
      <c r="A18" s="3" t="s">
        <v>1027</v>
      </c>
      <c r="B18" s="1">
        <v>277710000000</v>
      </c>
      <c r="C18" s="4" t="s">
        <v>1120</v>
      </c>
      <c r="D18" s="1">
        <f>(D22+D35+D48+D61+D74+D87+D100+D113+D126+D139+D152+D165+D178+D191+D204+D217+D230+D243)*B18</f>
        <v>7559451994553560</v>
      </c>
      <c r="E18" s="4">
        <f>D18/G18</f>
        <v>0.923727527543865</v>
      </c>
      <c r="F18" s="4">
        <f>21.8*8.18/11.2+5.2</f>
        <v>21.1217857142857</v>
      </c>
      <c r="G18" s="1">
        <v>8183638323146740</v>
      </c>
      <c r="I18" s="4">
        <f>1.1*19.9</f>
        <v>21.89</v>
      </c>
    </row>
    <row r="19" s="4" customFormat="1" spans="1:44">
      <c r="A19" s="3"/>
      <c r="B19" s="1"/>
      <c r="C19" s="4" t="s">
        <v>1121</v>
      </c>
      <c r="D19" s="1">
        <f>(D32+D45+D58+D71+D84+D97+D110+D123+D136+D149+D162+D175+D188+D201+D214+D227+D240+D253)*B18</f>
        <v>0</v>
      </c>
      <c r="E19" s="4">
        <f>D19/G19</f>
        <v>0</v>
      </c>
      <c r="G19" s="1">
        <v>1.69635975946528e+16</v>
      </c>
    </row>
    <row r="20" spans="1:44">
      <c r="A20" s="12" t="s">
        <v>1122</v>
      </c>
    </row>
    <row r="21" s="5" customFormat="1" spans="1:44">
      <c r="A21" s="13" t="s">
        <v>98</v>
      </c>
      <c r="B21" s="5">
        <v>2018</v>
      </c>
      <c r="C21" s="5">
        <v>2019</v>
      </c>
      <c r="D21" s="5">
        <v>2020</v>
      </c>
      <c r="E21" s="5">
        <v>2021</v>
      </c>
      <c r="F21" s="5">
        <v>2022</v>
      </c>
      <c r="G21" s="5">
        <v>2023</v>
      </c>
      <c r="H21" s="5">
        <v>2024</v>
      </c>
      <c r="I21" s="5">
        <v>2025</v>
      </c>
      <c r="J21" s="5">
        <v>2026</v>
      </c>
      <c r="K21" s="5">
        <v>2027</v>
      </c>
      <c r="L21" s="5">
        <v>2028</v>
      </c>
      <c r="M21" s="5">
        <v>2029</v>
      </c>
      <c r="N21" s="5">
        <v>2030</v>
      </c>
      <c r="O21" s="5">
        <v>2031</v>
      </c>
      <c r="P21" s="5">
        <v>2032</v>
      </c>
      <c r="Q21" s="5">
        <v>2033</v>
      </c>
      <c r="R21" s="5">
        <v>2034</v>
      </c>
      <c r="S21" s="5">
        <v>2035</v>
      </c>
      <c r="T21" s="5">
        <v>2036</v>
      </c>
      <c r="U21" s="5">
        <v>2037</v>
      </c>
      <c r="V21" s="5">
        <v>2038</v>
      </c>
      <c r="W21" s="5">
        <v>2039</v>
      </c>
      <c r="X21" s="5">
        <v>2040</v>
      </c>
      <c r="Y21" s="5">
        <v>2041</v>
      </c>
      <c r="Z21" s="5">
        <v>2042</v>
      </c>
      <c r="AA21" s="5">
        <v>2043</v>
      </c>
      <c r="AB21" s="5">
        <v>2044</v>
      </c>
      <c r="AC21" s="5">
        <v>2045</v>
      </c>
      <c r="AD21" s="5">
        <v>2046</v>
      </c>
      <c r="AE21" s="5">
        <v>2047</v>
      </c>
      <c r="AF21" s="5">
        <v>2048</v>
      </c>
      <c r="AG21" s="5">
        <v>2049</v>
      </c>
      <c r="AH21" s="5">
        <v>2050</v>
      </c>
      <c r="AI21" s="5">
        <v>2051</v>
      </c>
      <c r="AJ21" s="5">
        <v>2052</v>
      </c>
      <c r="AK21" s="5">
        <v>2053</v>
      </c>
      <c r="AL21" s="5">
        <v>2054</v>
      </c>
      <c r="AM21" s="5">
        <v>2055</v>
      </c>
      <c r="AN21" s="5">
        <v>2056</v>
      </c>
      <c r="AO21" s="5">
        <v>2057</v>
      </c>
      <c r="AP21" s="5">
        <v>2058</v>
      </c>
      <c r="AQ21" s="5">
        <v>2059</v>
      </c>
      <c r="AR21" s="5">
        <v>2060</v>
      </c>
    </row>
    <row r="22" s="6" customFormat="1" spans="1:44">
      <c r="A22" s="5" t="s">
        <v>1123</v>
      </c>
      <c r="B22" s="14">
        <f t="shared" ref="B22:B31" si="4">B$32*$B4/$B$14</f>
        <v>791.693762392911</v>
      </c>
      <c r="C22" s="14">
        <v>232.025176372163</v>
      </c>
      <c r="D22" s="14">
        <v>244.223028636971</v>
      </c>
      <c r="E22" s="14">
        <v>262.934824377929</v>
      </c>
      <c r="F22" s="14">
        <v>289.559643257927</v>
      </c>
      <c r="G22" s="14">
        <v>292.173087891929</v>
      </c>
      <c r="H22" s="14">
        <v>313.339940692248</v>
      </c>
      <c r="I22" s="14">
        <v>335.905301577537</v>
      </c>
      <c r="J22" s="14">
        <v>352.475709087931</v>
      </c>
      <c r="K22" s="14">
        <v>369.525169441381</v>
      </c>
      <c r="L22" s="14">
        <v>385.813019490273</v>
      </c>
      <c r="M22" s="14">
        <v>402.241478329902</v>
      </c>
      <c r="N22" s="14">
        <v>418.527330261919</v>
      </c>
      <c r="O22" s="14">
        <v>434.646860639111</v>
      </c>
      <c r="P22" s="14">
        <v>450.418987092519</v>
      </c>
      <c r="Q22" s="14">
        <v>466.078665120826</v>
      </c>
      <c r="R22" s="14">
        <v>481.317089769241</v>
      </c>
      <c r="S22" s="14">
        <v>497.327780526205</v>
      </c>
      <c r="T22" s="14">
        <v>511.10970768869</v>
      </c>
      <c r="U22" s="14">
        <v>524.500101833781</v>
      </c>
      <c r="V22" s="14">
        <v>539.233916659155</v>
      </c>
      <c r="W22" s="14">
        <v>554.042707554975</v>
      </c>
      <c r="X22" s="14">
        <v>568.634734623047</v>
      </c>
      <c r="Y22" s="14">
        <v>581.691410594572</v>
      </c>
      <c r="Z22" s="14">
        <v>594.499752042498</v>
      </c>
      <c r="AA22" s="14">
        <v>607.079915645517</v>
      </c>
      <c r="AB22" s="14">
        <v>619.437886284548</v>
      </c>
      <c r="AC22" s="14">
        <v>631.586359145337</v>
      </c>
      <c r="AD22" s="14">
        <v>642.968943648318</v>
      </c>
      <c r="AE22" s="14">
        <v>654.097387389081</v>
      </c>
      <c r="AF22" s="14">
        <v>664.982292627729</v>
      </c>
      <c r="AG22" s="14">
        <v>675.682647357496</v>
      </c>
      <c r="AH22" s="14">
        <v>686.144161770703</v>
      </c>
      <c r="AI22" s="14">
        <v>695.505453361991</v>
      </c>
      <c r="AJ22" s="14">
        <v>704.600027590963</v>
      </c>
      <c r="AK22" s="14">
        <v>713.429515173887</v>
      </c>
      <c r="AL22" s="14">
        <v>722.012755879517</v>
      </c>
      <c r="AM22" s="14">
        <v>730.340340694056</v>
      </c>
      <c r="AN22" s="14">
        <v>737.591457802246</v>
      </c>
      <c r="AO22" s="14">
        <v>744.549371415196</v>
      </c>
      <c r="AP22" s="14">
        <v>751.227764014075</v>
      </c>
      <c r="AQ22" s="14">
        <v>757.633768833957</v>
      </c>
      <c r="AR22" s="14">
        <v>763.757535231082</v>
      </c>
    </row>
    <row r="23" s="6" customFormat="1" spans="1:44">
      <c r="A23" s="5" t="s">
        <v>1124</v>
      </c>
      <c r="B23" s="14">
        <f t="shared" si="4"/>
        <v>623.186772677342</v>
      </c>
      <c r="C23" s="14">
        <v>515.691589160626</v>
      </c>
      <c r="D23" s="14">
        <v>393.300246717607</v>
      </c>
      <c r="E23" s="14">
        <v>350.843435928147</v>
      </c>
      <c r="F23" s="14">
        <v>311.762217986378</v>
      </c>
      <c r="G23" s="14">
        <v>269.269364868989</v>
      </c>
      <c r="H23" s="14">
        <v>260.054694182462</v>
      </c>
      <c r="I23" s="14">
        <v>266.772058749436</v>
      </c>
      <c r="J23" s="14">
        <v>272.24624412551</v>
      </c>
      <c r="K23" s="14">
        <v>277.812251200314</v>
      </c>
      <c r="L23" s="14">
        <v>283.472623822169</v>
      </c>
      <c r="M23" s="14">
        <v>289.228981428151</v>
      </c>
      <c r="N23" s="14">
        <v>295.08149686883</v>
      </c>
      <c r="O23" s="14">
        <v>300.841681459512</v>
      </c>
      <c r="P23" s="14">
        <v>306.691508358348</v>
      </c>
      <c r="Q23" s="14">
        <v>312.633603114481</v>
      </c>
      <c r="R23" s="14">
        <v>318.669088631488</v>
      </c>
      <c r="S23" s="14">
        <v>324.79806048854</v>
      </c>
      <c r="T23" s="14">
        <v>327.556986929744</v>
      </c>
      <c r="U23" s="14">
        <v>330.316574770436</v>
      </c>
      <c r="V23" s="14">
        <v>333.074644643065</v>
      </c>
      <c r="W23" s="14">
        <v>335.832712476115</v>
      </c>
      <c r="X23" s="14">
        <v>338.590233131656</v>
      </c>
      <c r="Y23" s="14">
        <v>339.412802801126</v>
      </c>
      <c r="Z23" s="14">
        <v>340.221455462265</v>
      </c>
      <c r="AA23" s="14">
        <v>341.015924020652</v>
      </c>
      <c r="AB23" s="14">
        <v>341.79645504927</v>
      </c>
      <c r="AC23" s="14">
        <v>342.563332691113</v>
      </c>
      <c r="AD23" s="14">
        <v>342.783692216138</v>
      </c>
      <c r="AE23" s="14">
        <v>342.982593261948</v>
      </c>
      <c r="AF23" s="14">
        <v>343.163448701663</v>
      </c>
      <c r="AG23" s="14">
        <v>343.323478985332</v>
      </c>
      <c r="AH23" s="14">
        <v>343.461773276792</v>
      </c>
      <c r="AI23" s="14">
        <v>341.07342414489</v>
      </c>
      <c r="AJ23" s="14">
        <v>338.685409670297</v>
      </c>
      <c r="AK23" s="14">
        <v>336.294714464375</v>
      </c>
      <c r="AL23" s="14">
        <v>333.904255728571</v>
      </c>
      <c r="AM23" s="14">
        <v>331.512487093544</v>
      </c>
      <c r="AN23" s="14">
        <v>328.635445154937</v>
      </c>
      <c r="AO23" s="14">
        <v>325.758000680416</v>
      </c>
      <c r="AP23" s="14">
        <v>322.879108023748</v>
      </c>
      <c r="AQ23" s="14">
        <v>319.998932619301</v>
      </c>
      <c r="AR23" s="14">
        <v>317.11755718426</v>
      </c>
    </row>
    <row r="24" s="6" customFormat="1" spans="1:44">
      <c r="A24" s="5" t="s">
        <v>1125</v>
      </c>
      <c r="B24" s="14">
        <f t="shared" si="4"/>
        <v>1473.11127248553</v>
      </c>
      <c r="C24" s="14">
        <v>1306.4731837573</v>
      </c>
      <c r="D24" s="14">
        <v>1454.27223090251</v>
      </c>
      <c r="E24" s="14">
        <v>1533.22796854574</v>
      </c>
      <c r="F24" s="14">
        <v>1522.16996270815</v>
      </c>
      <c r="G24" s="14">
        <v>1624.63965910908</v>
      </c>
      <c r="H24" s="14">
        <v>1666.79715858833</v>
      </c>
      <c r="I24" s="14">
        <v>1709.8515022472</v>
      </c>
      <c r="J24" s="14">
        <v>1744.93780076263</v>
      </c>
      <c r="K24" s="14">
        <v>1780.61262219253</v>
      </c>
      <c r="L24" s="14">
        <v>1816.89227110377</v>
      </c>
      <c r="M24" s="14">
        <v>1853.78712713254</v>
      </c>
      <c r="N24" s="14">
        <v>1891.29829814903</v>
      </c>
      <c r="O24" s="14">
        <v>1928.21768289183</v>
      </c>
      <c r="P24" s="14">
        <v>1965.71162194133</v>
      </c>
      <c r="Q24" s="14">
        <v>2003.79694351847</v>
      </c>
      <c r="R24" s="14">
        <v>2042.48084477268</v>
      </c>
      <c r="S24" s="14">
        <v>2081.76393831005</v>
      </c>
      <c r="T24" s="14">
        <v>2099.44702904376</v>
      </c>
      <c r="U24" s="14">
        <v>2117.13435895795</v>
      </c>
      <c r="V24" s="14">
        <v>2134.81195959245</v>
      </c>
      <c r="W24" s="14">
        <v>2152.48954715447</v>
      </c>
      <c r="X24" s="14">
        <v>2170.16362763147</v>
      </c>
      <c r="Y24" s="14">
        <v>2175.4358139003</v>
      </c>
      <c r="Z24" s="14">
        <v>2180.6188003567</v>
      </c>
      <c r="AA24" s="14">
        <v>2185.71087508302</v>
      </c>
      <c r="AB24" s="14">
        <v>2190.7136184666</v>
      </c>
      <c r="AC24" s="14">
        <v>2195.6288516964</v>
      </c>
      <c r="AD24" s="14">
        <v>2197.04122624066</v>
      </c>
      <c r="AE24" s="14">
        <v>2198.31606459356</v>
      </c>
      <c r="AF24" s="14">
        <v>2199.47524125822</v>
      </c>
      <c r="AG24" s="14">
        <v>2200.50094095938</v>
      </c>
      <c r="AH24" s="14">
        <v>2201.38732577462</v>
      </c>
      <c r="AI24" s="14">
        <v>2186.07941695457</v>
      </c>
      <c r="AJ24" s="14">
        <v>2170.77365309042</v>
      </c>
      <c r="AK24" s="14">
        <v>2155.45070732008</v>
      </c>
      <c r="AL24" s="14">
        <v>2140.12927718367</v>
      </c>
      <c r="AM24" s="14">
        <v>2124.79945136608</v>
      </c>
      <c r="AN24" s="14">
        <v>2106.35930998165</v>
      </c>
      <c r="AO24" s="14">
        <v>2087.91658857951</v>
      </c>
      <c r="AP24" s="14">
        <v>2069.46458518422</v>
      </c>
      <c r="AQ24" s="14">
        <v>2051.00436013248</v>
      </c>
      <c r="AR24" s="14">
        <v>2032.53644359265</v>
      </c>
    </row>
    <row r="25" s="6" customFormat="1" spans="1:44">
      <c r="A25" s="5" t="s">
        <v>1126</v>
      </c>
      <c r="B25" s="14">
        <f t="shared" si="4"/>
        <v>11.6189531590749</v>
      </c>
      <c r="C25" s="14">
        <v>0</v>
      </c>
      <c r="D25" s="14">
        <v>0</v>
      </c>
      <c r="E25" s="14">
        <v>0</v>
      </c>
      <c r="F25" s="14">
        <v>0</v>
      </c>
      <c r="G25" s="14">
        <v>0</v>
      </c>
      <c r="H25" s="14">
        <v>0</v>
      </c>
      <c r="I25" s="14">
        <v>0</v>
      </c>
      <c r="J25" s="14">
        <v>0</v>
      </c>
      <c r="K25" s="14">
        <v>0</v>
      </c>
      <c r="L25" s="14">
        <v>0</v>
      </c>
      <c r="M25" s="14">
        <v>0</v>
      </c>
      <c r="N25" s="14">
        <v>0</v>
      </c>
      <c r="O25" s="14">
        <v>0</v>
      </c>
      <c r="P25" s="14">
        <v>0</v>
      </c>
      <c r="Q25" s="14">
        <v>0</v>
      </c>
      <c r="R25" s="14">
        <v>0</v>
      </c>
      <c r="S25" s="14">
        <v>0</v>
      </c>
      <c r="T25" s="14">
        <v>0</v>
      </c>
      <c r="U25" s="14">
        <v>0</v>
      </c>
      <c r="V25" s="14">
        <v>0</v>
      </c>
      <c r="W25" s="14">
        <v>0</v>
      </c>
      <c r="X25" s="14">
        <v>0</v>
      </c>
      <c r="Y25" s="14">
        <v>0</v>
      </c>
      <c r="Z25" s="14">
        <v>0</v>
      </c>
      <c r="AA25" s="14">
        <v>0</v>
      </c>
      <c r="AB25" s="14">
        <v>0</v>
      </c>
      <c r="AC25" s="14">
        <v>0</v>
      </c>
      <c r="AD25" s="14">
        <v>0</v>
      </c>
      <c r="AE25" s="14">
        <v>0</v>
      </c>
      <c r="AF25" s="14">
        <v>0</v>
      </c>
      <c r="AG25" s="14">
        <v>0</v>
      </c>
      <c r="AH25" s="14">
        <v>0</v>
      </c>
      <c r="AI25" s="14">
        <v>0</v>
      </c>
      <c r="AJ25" s="14">
        <v>0</v>
      </c>
      <c r="AK25" s="14">
        <v>0</v>
      </c>
      <c r="AL25" s="14">
        <v>0</v>
      </c>
      <c r="AM25" s="14">
        <v>0</v>
      </c>
      <c r="AN25" s="14">
        <v>0</v>
      </c>
      <c r="AO25" s="14">
        <v>0</v>
      </c>
      <c r="AP25" s="14">
        <v>0</v>
      </c>
      <c r="AQ25" s="14">
        <v>0</v>
      </c>
      <c r="AR25" s="14">
        <v>0</v>
      </c>
    </row>
    <row r="26" s="6" customFormat="1" spans="1:44">
      <c r="A26" s="5" t="s">
        <v>1127</v>
      </c>
      <c r="B26" s="14">
        <f t="shared" si="4"/>
        <v>5770.03869057518</v>
      </c>
      <c r="C26" s="14">
        <v>9848.68259385665</v>
      </c>
      <c r="D26" s="14">
        <v>10337.6928327645</v>
      </c>
      <c r="E26" s="14">
        <v>10754.499112628</v>
      </c>
      <c r="F26" s="14">
        <v>10784.4550853242</v>
      </c>
      <c r="G26" s="14">
        <v>10871.3037542662</v>
      </c>
      <c r="H26" s="14">
        <v>11101.0821192621</v>
      </c>
      <c r="I26" s="14">
        <v>11362.9509919351</v>
      </c>
      <c r="J26" s="14">
        <v>11581.8733311186</v>
      </c>
      <c r="K26" s="14">
        <v>11804.390516104</v>
      </c>
      <c r="L26" s="14">
        <v>12030.6841971903</v>
      </c>
      <c r="M26" s="14">
        <v>12260.7681528824</v>
      </c>
      <c r="N26" s="14">
        <v>12494.692089142</v>
      </c>
      <c r="O26" s="14">
        <v>12720.2805736908</v>
      </c>
      <c r="P26" s="14">
        <v>12949.2551474454</v>
      </c>
      <c r="Q26" s="14">
        <v>13181.6723583636</v>
      </c>
      <c r="R26" s="14">
        <v>13417.6268034052</v>
      </c>
      <c r="S26" s="14">
        <v>13657.0318312129</v>
      </c>
      <c r="T26" s="14">
        <v>13754.7683363069</v>
      </c>
      <c r="U26" s="14">
        <v>13852.057996623</v>
      </c>
      <c r="V26" s="14">
        <v>13948.8920895117</v>
      </c>
      <c r="W26" s="14">
        <v>14045.2908745629</v>
      </c>
      <c r="X26" s="14">
        <v>14141.1876639008</v>
      </c>
      <c r="Y26" s="14">
        <v>14149.600491593</v>
      </c>
      <c r="Z26" s="14">
        <v>14157.1407831208</v>
      </c>
      <c r="AA26" s="14">
        <v>14163.7312046525</v>
      </c>
      <c r="AB26" s="14">
        <v>14169.4838295108</v>
      </c>
      <c r="AC26" s="14">
        <v>14174.3888188888</v>
      </c>
      <c r="AD26" s="14">
        <v>14155.8351774987</v>
      </c>
      <c r="AE26" s="14">
        <v>14136.0463407135</v>
      </c>
      <c r="AF26" s="14">
        <v>14115.2709509732</v>
      </c>
      <c r="AG26" s="14">
        <v>14093.2923115934</v>
      </c>
      <c r="AH26" s="14">
        <v>14070.1227312048</v>
      </c>
      <c r="AI26" s="14">
        <v>13944.5853860123</v>
      </c>
      <c r="AJ26" s="14">
        <v>13819.0882463145</v>
      </c>
      <c r="AK26" s="14">
        <v>13693.4548209217</v>
      </c>
      <c r="AL26" s="14">
        <v>13567.7688004255</v>
      </c>
      <c r="AM26" s="14">
        <v>13442.0957363827</v>
      </c>
      <c r="AN26" s="14">
        <v>13297.9347444624</v>
      </c>
      <c r="AO26" s="14">
        <v>13153.8173591059</v>
      </c>
      <c r="AP26" s="14">
        <v>13009.5611372525</v>
      </c>
      <c r="AQ26" s="14">
        <v>12865.2941858361</v>
      </c>
      <c r="AR26" s="14">
        <v>12720.9522489451</v>
      </c>
    </row>
    <row r="27" s="6" customFormat="1" spans="1:44">
      <c r="A27" s="5" t="s">
        <v>1128</v>
      </c>
      <c r="B27" s="14">
        <f t="shared" si="4"/>
        <v>53.1862398659084</v>
      </c>
      <c r="C27" s="14">
        <v>242.02022050014</v>
      </c>
      <c r="D27" s="14">
        <v>237.764436882</v>
      </c>
      <c r="E27" s="14">
        <v>162.15934199448</v>
      </c>
      <c r="F27" s="14">
        <v>147.89347578156</v>
      </c>
      <c r="G27" s="14">
        <v>112.01</v>
      </c>
      <c r="H27" s="14">
        <v>114.916528527846</v>
      </c>
      <c r="I27" s="14">
        <v>117.88488954636</v>
      </c>
      <c r="J27" s="14">
        <v>120.303897524331</v>
      </c>
      <c r="K27" s="14">
        <v>122.763480931617</v>
      </c>
      <c r="L27" s="14">
        <v>125.264763878739</v>
      </c>
      <c r="M27" s="14">
        <v>127.808461984723</v>
      </c>
      <c r="N27" s="14">
        <v>130.394651631147</v>
      </c>
      <c r="O27" s="14">
        <v>132.940040857523</v>
      </c>
      <c r="P27" s="14">
        <v>135.52504245427</v>
      </c>
      <c r="Q27" s="14">
        <v>138.150816634986</v>
      </c>
      <c r="R27" s="14">
        <v>140.817859603677</v>
      </c>
      <c r="S27" s="14">
        <v>143.526213596177</v>
      </c>
      <c r="T27" s="14">
        <v>144.745365782926</v>
      </c>
      <c r="U27" s="14">
        <v>145.964810237935</v>
      </c>
      <c r="V27" s="14">
        <v>147.183583912435</v>
      </c>
      <c r="W27" s="14">
        <v>148.402356685658</v>
      </c>
      <c r="X27" s="14">
        <v>149.620887664592</v>
      </c>
      <c r="Y27" s="14">
        <v>149.984376011476</v>
      </c>
      <c r="Z27" s="14">
        <v>150.341714520189</v>
      </c>
      <c r="AA27" s="14">
        <v>150.692785163391</v>
      </c>
      <c r="AB27" s="14">
        <v>151.037696900128</v>
      </c>
      <c r="AC27" s="14">
        <v>151.376575291396</v>
      </c>
      <c r="AD27" s="14">
        <v>151.473950775132</v>
      </c>
      <c r="AE27" s="14">
        <v>151.561843892297</v>
      </c>
      <c r="AF27" s="14">
        <v>151.641762769988</v>
      </c>
      <c r="AG27" s="14">
        <v>151.712479142621</v>
      </c>
      <c r="AH27" s="14">
        <v>151.77359051744</v>
      </c>
      <c r="AI27" s="14">
        <v>150.718194105491</v>
      </c>
      <c r="AJ27" s="14">
        <v>149.662945576496</v>
      </c>
      <c r="AK27" s="14">
        <v>148.60651244924</v>
      </c>
      <c r="AL27" s="14">
        <v>147.550183816637</v>
      </c>
      <c r="AM27" s="14">
        <v>146.493276347833</v>
      </c>
      <c r="AN27" s="14">
        <v>145.221929668038</v>
      </c>
      <c r="AO27" s="14">
        <v>143.950405110164</v>
      </c>
      <c r="AP27" s="14">
        <v>142.678240609736</v>
      </c>
      <c r="AQ27" s="14">
        <v>141.405509271158</v>
      </c>
      <c r="AR27" s="14">
        <v>140.132247646632</v>
      </c>
    </row>
    <row r="28" s="6" customFormat="1" spans="1:44">
      <c r="A28" s="5" t="s">
        <v>1129</v>
      </c>
      <c r="B28" s="14">
        <f t="shared" si="4"/>
        <v>0.337325066799179</v>
      </c>
      <c r="C28" s="14">
        <v>0.529187713200001</v>
      </c>
      <c r="D28" s="14">
        <v>0.5291877132</v>
      </c>
      <c r="E28" s="14">
        <v>0.5585870306</v>
      </c>
      <c r="F28" s="14">
        <v>0.455689419700001</v>
      </c>
      <c r="G28" s="14">
        <v>0.49</v>
      </c>
      <c r="H28" s="14">
        <v>0.502714927047983</v>
      </c>
      <c r="I28" s="14">
        <v>0.515700347091476</v>
      </c>
      <c r="J28" s="14">
        <v>0.526282562154469</v>
      </c>
      <c r="K28" s="14">
        <v>0.537042278872352</v>
      </c>
      <c r="L28" s="14">
        <v>0.547984414789589</v>
      </c>
      <c r="M28" s="14">
        <v>0.559112100459908</v>
      </c>
      <c r="N28" s="14">
        <v>0.570425670022871</v>
      </c>
      <c r="O28" s="14">
        <v>0.581560753684372</v>
      </c>
      <c r="P28" s="14">
        <v>0.592869125994037</v>
      </c>
      <c r="Q28" s="14">
        <v>0.604355862433203</v>
      </c>
      <c r="R28" s="14">
        <v>0.616023133700579</v>
      </c>
      <c r="S28" s="14">
        <v>0.627871124561437</v>
      </c>
      <c r="T28" s="14">
        <v>0.633204439189657</v>
      </c>
      <c r="U28" s="14">
        <v>0.638539032377359</v>
      </c>
      <c r="V28" s="14">
        <v>0.643870691162334</v>
      </c>
      <c r="W28" s="14">
        <v>0.649202346004576</v>
      </c>
      <c r="X28" s="14">
        <v>0.654532943091244</v>
      </c>
      <c r="Y28" s="14">
        <v>0.656123062633901</v>
      </c>
      <c r="Z28" s="14">
        <v>0.657686279036627</v>
      </c>
      <c r="AA28" s="14">
        <v>0.65922207597591</v>
      </c>
      <c r="AB28" s="14">
        <v>0.660730930105013</v>
      </c>
      <c r="AC28" s="14">
        <v>0.662213390704259</v>
      </c>
      <c r="AD28" s="14">
        <v>0.662639370411702</v>
      </c>
      <c r="AE28" s="14">
        <v>0.663023868469115</v>
      </c>
      <c r="AF28" s="14">
        <v>0.663373482343488</v>
      </c>
      <c r="AG28" s="14">
        <v>0.663682838852639</v>
      </c>
      <c r="AH28" s="14">
        <v>0.663950177247975</v>
      </c>
      <c r="AI28" s="14">
        <v>0.659333230173116</v>
      </c>
      <c r="AJ28" s="14">
        <v>0.654716930028415</v>
      </c>
      <c r="AK28" s="14">
        <v>0.65009544772902</v>
      </c>
      <c r="AL28" s="14">
        <v>0.645474422552915</v>
      </c>
      <c r="AM28" s="14">
        <v>0.640850865194518</v>
      </c>
      <c r="AN28" s="14">
        <v>0.635289220045878</v>
      </c>
      <c r="AO28" s="14">
        <v>0.629726796750114</v>
      </c>
      <c r="AP28" s="14">
        <v>0.624161573955634</v>
      </c>
      <c r="AQ28" s="14">
        <v>0.618593871465649</v>
      </c>
      <c r="AR28" s="14">
        <v>0.613023849181766</v>
      </c>
    </row>
    <row r="29" s="6" customFormat="1" spans="1:44">
      <c r="A29" s="5" t="s">
        <v>1130</v>
      </c>
      <c r="B29" s="14">
        <f t="shared" si="4"/>
        <v>0</v>
      </c>
      <c r="C29" s="14">
        <v>0</v>
      </c>
      <c r="D29" s="14">
        <v>0</v>
      </c>
      <c r="E29" s="14">
        <v>0</v>
      </c>
      <c r="F29" s="14">
        <v>0</v>
      </c>
      <c r="G29" s="14">
        <v>0</v>
      </c>
      <c r="H29" s="14">
        <v>0</v>
      </c>
      <c r="I29" s="14">
        <v>0</v>
      </c>
      <c r="J29" s="14">
        <v>0</v>
      </c>
      <c r="K29" s="14">
        <v>0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0</v>
      </c>
      <c r="R29" s="14">
        <v>0</v>
      </c>
      <c r="S29" s="14">
        <v>0</v>
      </c>
      <c r="T29" s="14">
        <v>0</v>
      </c>
      <c r="U29" s="14">
        <v>0</v>
      </c>
      <c r="V29" s="14">
        <v>0</v>
      </c>
      <c r="W29" s="14">
        <v>0</v>
      </c>
      <c r="X29" s="14">
        <v>0</v>
      </c>
      <c r="Y29" s="14">
        <v>0</v>
      </c>
      <c r="Z29" s="14">
        <v>0</v>
      </c>
      <c r="AA29" s="14">
        <v>0</v>
      </c>
      <c r="AB29" s="14">
        <v>0</v>
      </c>
      <c r="AC29" s="14">
        <v>0</v>
      </c>
      <c r="AD29" s="14">
        <v>0</v>
      </c>
      <c r="AE29" s="14">
        <v>0</v>
      </c>
      <c r="AF29" s="14">
        <v>0</v>
      </c>
      <c r="AG29" s="14">
        <v>0</v>
      </c>
      <c r="AH29" s="14">
        <v>0</v>
      </c>
      <c r="AI29" s="14">
        <v>0</v>
      </c>
      <c r="AJ29" s="14">
        <v>0</v>
      </c>
      <c r="AK29" s="14">
        <v>0</v>
      </c>
      <c r="AL29" s="14">
        <v>0</v>
      </c>
      <c r="AM29" s="14">
        <v>0</v>
      </c>
      <c r="AN29" s="14">
        <v>0</v>
      </c>
      <c r="AO29" s="14">
        <v>0</v>
      </c>
      <c r="AP29" s="14">
        <v>0</v>
      </c>
      <c r="AQ29" s="14">
        <v>0</v>
      </c>
      <c r="AR29" s="14">
        <v>0</v>
      </c>
    </row>
    <row r="30" s="6" customFormat="1" spans="1:44">
      <c r="A30" s="5" t="s">
        <v>1131</v>
      </c>
      <c r="B30" s="14">
        <f t="shared" si="4"/>
        <v>328.729379743766</v>
      </c>
      <c r="C30" s="14">
        <v>0</v>
      </c>
      <c r="D30" s="14">
        <v>0</v>
      </c>
      <c r="E30" s="14">
        <v>0</v>
      </c>
      <c r="F30" s="14">
        <v>0</v>
      </c>
      <c r="G30" s="14">
        <v>0</v>
      </c>
      <c r="H30" s="14">
        <v>0</v>
      </c>
      <c r="I30" s="14">
        <v>0</v>
      </c>
      <c r="J30" s="14">
        <v>0</v>
      </c>
      <c r="K30" s="14">
        <v>0</v>
      </c>
      <c r="L30" s="14">
        <v>0</v>
      </c>
      <c r="M30" s="14">
        <v>0</v>
      </c>
      <c r="N30" s="14">
        <v>0</v>
      </c>
      <c r="O30" s="14">
        <v>0</v>
      </c>
      <c r="P30" s="14">
        <v>0</v>
      </c>
      <c r="Q30" s="14">
        <v>0</v>
      </c>
      <c r="R30" s="14">
        <v>0</v>
      </c>
      <c r="S30" s="14">
        <v>0</v>
      </c>
      <c r="T30" s="14">
        <v>0</v>
      </c>
      <c r="U30" s="14">
        <v>0</v>
      </c>
      <c r="V30" s="14">
        <v>0</v>
      </c>
      <c r="W30" s="14">
        <v>0</v>
      </c>
      <c r="X30" s="14">
        <v>0</v>
      </c>
      <c r="Y30" s="14">
        <v>0</v>
      </c>
      <c r="Z30" s="14">
        <v>0</v>
      </c>
      <c r="AA30" s="14">
        <v>0</v>
      </c>
      <c r="AB30" s="14">
        <v>0</v>
      </c>
      <c r="AC30" s="14">
        <v>0</v>
      </c>
      <c r="AD30" s="14">
        <v>0</v>
      </c>
      <c r="AE30" s="14">
        <v>0</v>
      </c>
      <c r="AF30" s="14">
        <v>0</v>
      </c>
      <c r="AG30" s="14">
        <v>0</v>
      </c>
      <c r="AH30" s="14">
        <v>0</v>
      </c>
      <c r="AI30" s="14">
        <v>0</v>
      </c>
      <c r="AJ30" s="14">
        <v>0</v>
      </c>
      <c r="AK30" s="14">
        <v>0</v>
      </c>
      <c r="AL30" s="14">
        <v>0</v>
      </c>
      <c r="AM30" s="14">
        <v>0</v>
      </c>
      <c r="AN30" s="14">
        <v>0</v>
      </c>
      <c r="AO30" s="14">
        <v>0</v>
      </c>
      <c r="AP30" s="14">
        <v>0</v>
      </c>
      <c r="AQ30" s="14">
        <v>0</v>
      </c>
      <c r="AR30" s="14">
        <v>0</v>
      </c>
    </row>
    <row r="31" s="6" customFormat="1" spans="1:44">
      <c r="A31" s="5" t="s">
        <v>1132</v>
      </c>
      <c r="B31" s="14">
        <f t="shared" si="4"/>
        <v>0</v>
      </c>
      <c r="C31" s="14">
        <v>0</v>
      </c>
      <c r="D31" s="14">
        <v>0</v>
      </c>
      <c r="E31" s="14">
        <v>0</v>
      </c>
      <c r="F31" s="14">
        <v>0</v>
      </c>
      <c r="G31" s="14">
        <v>0</v>
      </c>
      <c r="H31" s="14">
        <v>0</v>
      </c>
      <c r="I31" s="14">
        <v>0</v>
      </c>
      <c r="J31" s="14">
        <v>0</v>
      </c>
      <c r="K31" s="14">
        <v>0</v>
      </c>
      <c r="L31" s="14">
        <v>0</v>
      </c>
      <c r="M31" s="14">
        <v>0</v>
      </c>
      <c r="N31" s="14">
        <v>0</v>
      </c>
      <c r="O31" s="14">
        <v>0</v>
      </c>
      <c r="P31" s="14">
        <v>0</v>
      </c>
      <c r="Q31" s="14">
        <v>0</v>
      </c>
      <c r="R31" s="14">
        <v>0</v>
      </c>
      <c r="S31" s="14">
        <v>0</v>
      </c>
      <c r="T31" s="14">
        <v>0</v>
      </c>
      <c r="U31" s="14">
        <v>0</v>
      </c>
      <c r="V31" s="14">
        <v>0</v>
      </c>
      <c r="W31" s="14">
        <v>0</v>
      </c>
      <c r="X31" s="14">
        <v>0</v>
      </c>
      <c r="Y31" s="14">
        <v>0</v>
      </c>
      <c r="Z31" s="14">
        <v>0</v>
      </c>
      <c r="AA31" s="14">
        <v>0</v>
      </c>
      <c r="AB31" s="14">
        <v>0</v>
      </c>
      <c r="AC31" s="14">
        <v>0</v>
      </c>
      <c r="AD31" s="14">
        <v>0</v>
      </c>
      <c r="AE31" s="14">
        <v>0</v>
      </c>
      <c r="AF31" s="14">
        <v>0</v>
      </c>
      <c r="AG31" s="14">
        <v>0</v>
      </c>
      <c r="AH31" s="14">
        <v>0</v>
      </c>
      <c r="AI31" s="14">
        <v>0</v>
      </c>
      <c r="AJ31" s="14">
        <v>0</v>
      </c>
      <c r="AK31" s="14">
        <v>0</v>
      </c>
      <c r="AL31" s="14">
        <v>0</v>
      </c>
      <c r="AM31" s="14">
        <v>0</v>
      </c>
      <c r="AN31" s="14">
        <v>0</v>
      </c>
      <c r="AO31" s="14">
        <v>0</v>
      </c>
      <c r="AP31" s="14">
        <v>0</v>
      </c>
      <c r="AQ31" s="14">
        <v>0</v>
      </c>
      <c r="AR31" s="14">
        <v>0</v>
      </c>
    </row>
    <row r="32" s="7" customFormat="1" spans="1:44">
      <c r="A32" s="5" t="s">
        <v>1119</v>
      </c>
      <c r="B32" s="7">
        <f>BAU建筑总能耗计算!B6*$B$16</f>
        <v>9051.90239596651</v>
      </c>
      <c r="C32" s="7">
        <v>0</v>
      </c>
      <c r="D32" s="7">
        <v>0</v>
      </c>
      <c r="E32" s="7">
        <v>0</v>
      </c>
      <c r="F32" s="7">
        <v>0</v>
      </c>
      <c r="G32" s="7">
        <v>0</v>
      </c>
      <c r="H32" s="7">
        <v>0</v>
      </c>
      <c r="I32" s="7">
        <v>0</v>
      </c>
      <c r="J32" s="7">
        <v>0</v>
      </c>
      <c r="K32" s="7">
        <v>0</v>
      </c>
      <c r="L32" s="7">
        <v>0</v>
      </c>
      <c r="M32" s="7">
        <v>0</v>
      </c>
      <c r="N32" s="7">
        <v>0</v>
      </c>
      <c r="O32" s="7">
        <v>0</v>
      </c>
      <c r="P32" s="7">
        <v>0</v>
      </c>
      <c r="Q32" s="7">
        <v>0</v>
      </c>
      <c r="R32" s="7">
        <v>0</v>
      </c>
      <c r="S32" s="7">
        <v>0</v>
      </c>
      <c r="T32" s="7">
        <v>0</v>
      </c>
      <c r="U32" s="7">
        <v>0</v>
      </c>
      <c r="V32" s="7">
        <v>0</v>
      </c>
      <c r="W32" s="7">
        <v>0</v>
      </c>
      <c r="X32" s="7">
        <v>0</v>
      </c>
      <c r="Y32" s="7">
        <v>0</v>
      </c>
      <c r="Z32" s="7">
        <v>0</v>
      </c>
      <c r="AA32" s="7">
        <v>0</v>
      </c>
      <c r="AB32" s="7">
        <v>0</v>
      </c>
      <c r="AC32" s="7">
        <v>0</v>
      </c>
      <c r="AD32" s="7">
        <v>0</v>
      </c>
      <c r="AE32" s="7">
        <v>0</v>
      </c>
      <c r="AF32" s="7">
        <v>0</v>
      </c>
      <c r="AG32" s="7">
        <v>0</v>
      </c>
      <c r="AH32" s="7">
        <v>0</v>
      </c>
      <c r="AI32" s="7">
        <v>0</v>
      </c>
      <c r="AJ32" s="7">
        <v>0</v>
      </c>
      <c r="AK32" s="7">
        <v>0</v>
      </c>
      <c r="AL32" s="7">
        <v>0</v>
      </c>
      <c r="AM32" s="7">
        <v>0</v>
      </c>
      <c r="AN32" s="7">
        <v>0</v>
      </c>
      <c r="AO32" s="7">
        <v>0</v>
      </c>
      <c r="AP32" s="7">
        <v>0</v>
      </c>
      <c r="AQ32" s="7">
        <v>0</v>
      </c>
      <c r="AR32" s="7">
        <v>0</v>
      </c>
    </row>
    <row r="33" spans="1:44">
      <c r="AR33" s="1"/>
    </row>
    <row r="34" s="5" customFormat="1" spans="1:44">
      <c r="A34" s="13" t="s">
        <v>99</v>
      </c>
      <c r="B34" s="5">
        <v>2018</v>
      </c>
      <c r="C34" s="5">
        <v>2019</v>
      </c>
      <c r="D34" s="5">
        <v>2020</v>
      </c>
      <c r="E34" s="5">
        <v>2021</v>
      </c>
      <c r="F34" s="5">
        <v>2022</v>
      </c>
      <c r="G34" s="5">
        <v>2023</v>
      </c>
      <c r="H34" s="5">
        <v>2024</v>
      </c>
      <c r="I34" s="5">
        <v>2025</v>
      </c>
      <c r="J34" s="5">
        <v>2026</v>
      </c>
      <c r="K34" s="5">
        <v>2027</v>
      </c>
      <c r="L34" s="5">
        <v>2028</v>
      </c>
      <c r="M34" s="5">
        <v>2029</v>
      </c>
      <c r="N34" s="5">
        <v>2030</v>
      </c>
      <c r="O34" s="5">
        <v>2031</v>
      </c>
      <c r="P34" s="5">
        <v>2032</v>
      </c>
      <c r="Q34" s="5">
        <v>2033</v>
      </c>
      <c r="R34" s="5">
        <v>2034</v>
      </c>
      <c r="S34" s="5">
        <v>2035</v>
      </c>
      <c r="T34" s="5">
        <v>2036</v>
      </c>
      <c r="U34" s="5">
        <v>2037</v>
      </c>
      <c r="V34" s="5">
        <v>2038</v>
      </c>
      <c r="W34" s="5">
        <v>2039</v>
      </c>
      <c r="X34" s="5">
        <v>2040</v>
      </c>
      <c r="Y34" s="5">
        <v>2041</v>
      </c>
      <c r="Z34" s="5">
        <v>2042</v>
      </c>
      <c r="AA34" s="5">
        <v>2043</v>
      </c>
      <c r="AB34" s="5">
        <v>2044</v>
      </c>
      <c r="AC34" s="5">
        <v>2045</v>
      </c>
      <c r="AD34" s="5">
        <v>2046</v>
      </c>
      <c r="AE34" s="5">
        <v>2047</v>
      </c>
      <c r="AF34" s="5">
        <v>2048</v>
      </c>
      <c r="AG34" s="5">
        <v>2049</v>
      </c>
      <c r="AH34" s="5">
        <v>2050</v>
      </c>
      <c r="AI34" s="5">
        <v>2051</v>
      </c>
      <c r="AJ34" s="5">
        <v>2052</v>
      </c>
      <c r="AK34" s="5">
        <v>2053</v>
      </c>
      <c r="AL34" s="5">
        <v>2054</v>
      </c>
      <c r="AM34" s="5">
        <v>2055</v>
      </c>
      <c r="AN34" s="5">
        <v>2056</v>
      </c>
      <c r="AO34" s="5">
        <v>2057</v>
      </c>
      <c r="AP34" s="5">
        <v>2058</v>
      </c>
      <c r="AQ34" s="5">
        <v>2059</v>
      </c>
      <c r="AR34" s="5">
        <v>2060</v>
      </c>
    </row>
    <row r="35" s="6" customFormat="1" spans="1:44">
      <c r="A35" s="5" t="s">
        <v>1123</v>
      </c>
      <c r="B35" s="14">
        <f t="shared" ref="B35:B44" si="5">B$45*$C4/$C$14</f>
        <v>1385.8928388542</v>
      </c>
      <c r="C35" s="14">
        <v>3262.69130340272</v>
      </c>
      <c r="D35" s="14">
        <v>3434.21504546744</v>
      </c>
      <c r="E35" s="14">
        <v>3697.33654887337</v>
      </c>
      <c r="F35" s="14">
        <v>4071.72939008431</v>
      </c>
      <c r="G35" s="14">
        <v>4108.47912221513</v>
      </c>
      <c r="H35" s="14">
        <v>4406.1231435744</v>
      </c>
      <c r="I35" s="14">
        <v>4723.43270398386</v>
      </c>
      <c r="J35" s="14">
        <v>4956.44243733833</v>
      </c>
      <c r="K35" s="14">
        <v>5196.18851529706</v>
      </c>
      <c r="L35" s="14">
        <v>5425.22498253116</v>
      </c>
      <c r="M35" s="14">
        <v>5656.23866226388</v>
      </c>
      <c r="N35" s="14">
        <v>5885.24703238087</v>
      </c>
      <c r="O35" s="14">
        <v>6111.91662228883</v>
      </c>
      <c r="P35" s="14">
        <v>6333.70108818301</v>
      </c>
      <c r="Q35" s="14">
        <v>6553.90432696901</v>
      </c>
      <c r="R35" s="14">
        <v>6768.18398556172</v>
      </c>
      <c r="S35" s="14">
        <v>6993.32309464887</v>
      </c>
      <c r="T35" s="14">
        <v>7187.1217789134</v>
      </c>
      <c r="U35" s="14">
        <v>7375.4148047368</v>
      </c>
      <c r="V35" s="14">
        <v>7582.59874161952</v>
      </c>
      <c r="W35" s="14">
        <v>7790.83697690569</v>
      </c>
      <c r="X35" s="14">
        <v>7996.02712289938</v>
      </c>
      <c r="Y35" s="14">
        <v>8179.62747097244</v>
      </c>
      <c r="Z35" s="14">
        <v>8359.73578898587</v>
      </c>
      <c r="AA35" s="14">
        <v>8536.63551609616</v>
      </c>
      <c r="AB35" s="14">
        <v>8710.41081049352</v>
      </c>
      <c r="AC35" s="14">
        <v>8881.24018932327</v>
      </c>
      <c r="AD35" s="14">
        <v>9041.29980030512</v>
      </c>
      <c r="AE35" s="14">
        <v>9197.78573506919</v>
      </c>
      <c r="AF35" s="14">
        <v>9350.84708046188</v>
      </c>
      <c r="AG35" s="14">
        <v>9501.31331376466</v>
      </c>
      <c r="AH35" s="14">
        <v>9648.42102263521</v>
      </c>
      <c r="AI35" s="14">
        <v>9780.05761975397</v>
      </c>
      <c r="AJ35" s="14">
        <v>9907.94369103713</v>
      </c>
      <c r="AK35" s="14">
        <v>10032.1021672884</v>
      </c>
      <c r="AL35" s="14">
        <v>10152.797969542</v>
      </c>
      <c r="AM35" s="14">
        <v>10269.8987901408</v>
      </c>
      <c r="AN35" s="14">
        <v>10371.8625386389</v>
      </c>
      <c r="AO35" s="14">
        <v>10469.7033186342</v>
      </c>
      <c r="AP35" s="14">
        <v>10563.6135304214</v>
      </c>
      <c r="AQ35" s="14">
        <v>10653.6934801156</v>
      </c>
      <c r="AR35" s="14">
        <v>10739.8046499479</v>
      </c>
    </row>
    <row r="36" s="6" customFormat="1" spans="1:44">
      <c r="A36" s="5" t="s">
        <v>1124</v>
      </c>
      <c r="B36" s="14">
        <f t="shared" si="5"/>
        <v>0</v>
      </c>
      <c r="C36" s="14">
        <v>0</v>
      </c>
      <c r="D36" s="14">
        <v>0</v>
      </c>
      <c r="E36" s="14">
        <v>0</v>
      </c>
      <c r="F36" s="14">
        <v>0</v>
      </c>
      <c r="G36" s="14">
        <v>0</v>
      </c>
      <c r="H36" s="14">
        <v>0</v>
      </c>
      <c r="I36" s="14">
        <v>0</v>
      </c>
      <c r="J36" s="14">
        <v>0</v>
      </c>
      <c r="K36" s="14">
        <v>0</v>
      </c>
      <c r="L36" s="14">
        <v>0</v>
      </c>
      <c r="M36" s="14">
        <v>0</v>
      </c>
      <c r="N36" s="14">
        <v>0</v>
      </c>
      <c r="O36" s="14">
        <v>0</v>
      </c>
      <c r="P36" s="14">
        <v>0</v>
      </c>
      <c r="Q36" s="14">
        <v>0</v>
      </c>
      <c r="R36" s="14">
        <v>0</v>
      </c>
      <c r="S36" s="14">
        <v>0</v>
      </c>
      <c r="T36" s="14">
        <v>0</v>
      </c>
      <c r="U36" s="14">
        <v>0</v>
      </c>
      <c r="V36" s="14">
        <v>0</v>
      </c>
      <c r="W36" s="14">
        <v>0</v>
      </c>
      <c r="X36" s="14">
        <v>0</v>
      </c>
      <c r="Y36" s="14">
        <v>0</v>
      </c>
      <c r="Z36" s="14">
        <v>0</v>
      </c>
      <c r="AA36" s="14">
        <v>0</v>
      </c>
      <c r="AB36" s="14">
        <v>0</v>
      </c>
      <c r="AC36" s="14">
        <v>0</v>
      </c>
      <c r="AD36" s="14">
        <v>0</v>
      </c>
      <c r="AE36" s="14">
        <v>0</v>
      </c>
      <c r="AF36" s="14">
        <v>0</v>
      </c>
      <c r="AG36" s="14">
        <v>0</v>
      </c>
      <c r="AH36" s="14">
        <v>0</v>
      </c>
      <c r="AI36" s="14">
        <v>0</v>
      </c>
      <c r="AJ36" s="14">
        <v>0</v>
      </c>
      <c r="AK36" s="14">
        <v>0</v>
      </c>
      <c r="AL36" s="14">
        <v>0</v>
      </c>
      <c r="AM36" s="14">
        <v>0</v>
      </c>
      <c r="AN36" s="14">
        <v>0</v>
      </c>
      <c r="AO36" s="14">
        <v>0</v>
      </c>
      <c r="AP36" s="14">
        <v>0</v>
      </c>
      <c r="AQ36" s="14">
        <v>0</v>
      </c>
      <c r="AR36" s="14">
        <v>0</v>
      </c>
    </row>
    <row r="37" s="6" customFormat="1" spans="1:44">
      <c r="A37" s="5" t="s">
        <v>1125</v>
      </c>
      <c r="B37" s="14">
        <f t="shared" si="5"/>
        <v>0</v>
      </c>
      <c r="C37" s="14">
        <v>0</v>
      </c>
      <c r="D37" s="14">
        <v>0</v>
      </c>
      <c r="E37" s="14">
        <v>0</v>
      </c>
      <c r="F37" s="14">
        <v>0</v>
      </c>
      <c r="G37" s="14">
        <v>0</v>
      </c>
      <c r="H37" s="14">
        <v>0</v>
      </c>
      <c r="I37" s="14">
        <v>0</v>
      </c>
      <c r="J37" s="14">
        <v>0</v>
      </c>
      <c r="K37" s="14">
        <v>0</v>
      </c>
      <c r="L37" s="14">
        <v>0</v>
      </c>
      <c r="M37" s="14">
        <v>0</v>
      </c>
      <c r="N37" s="14">
        <v>0</v>
      </c>
      <c r="O37" s="14">
        <v>0</v>
      </c>
      <c r="P37" s="14">
        <v>0</v>
      </c>
      <c r="Q37" s="14">
        <v>0</v>
      </c>
      <c r="R37" s="14">
        <v>0</v>
      </c>
      <c r="S37" s="14">
        <v>0</v>
      </c>
      <c r="T37" s="14">
        <v>0</v>
      </c>
      <c r="U37" s="14">
        <v>0</v>
      </c>
      <c r="V37" s="14">
        <v>0</v>
      </c>
      <c r="W37" s="14">
        <v>0</v>
      </c>
      <c r="X37" s="14">
        <v>0</v>
      </c>
      <c r="Y37" s="14">
        <v>0</v>
      </c>
      <c r="Z37" s="14">
        <v>0</v>
      </c>
      <c r="AA37" s="14">
        <v>0</v>
      </c>
      <c r="AB37" s="14">
        <v>0</v>
      </c>
      <c r="AC37" s="14">
        <v>0</v>
      </c>
      <c r="AD37" s="14">
        <v>0</v>
      </c>
      <c r="AE37" s="14">
        <v>0</v>
      </c>
      <c r="AF37" s="14">
        <v>0</v>
      </c>
      <c r="AG37" s="14">
        <v>0</v>
      </c>
      <c r="AH37" s="14">
        <v>0</v>
      </c>
      <c r="AI37" s="14">
        <v>0</v>
      </c>
      <c r="AJ37" s="14">
        <v>0</v>
      </c>
      <c r="AK37" s="14">
        <v>0</v>
      </c>
      <c r="AL37" s="14">
        <v>0</v>
      </c>
      <c r="AM37" s="14">
        <v>0</v>
      </c>
      <c r="AN37" s="14">
        <v>0</v>
      </c>
      <c r="AO37" s="14">
        <v>0</v>
      </c>
      <c r="AP37" s="14">
        <v>0</v>
      </c>
      <c r="AQ37" s="14">
        <v>0</v>
      </c>
      <c r="AR37" s="14">
        <v>0</v>
      </c>
    </row>
    <row r="38" s="6" customFormat="1" spans="1:44">
      <c r="A38" s="5" t="s">
        <v>1126</v>
      </c>
      <c r="B38" s="14">
        <f t="shared" si="5"/>
        <v>0</v>
      </c>
      <c r="C38" s="14">
        <v>0</v>
      </c>
      <c r="D38" s="14">
        <v>0</v>
      </c>
      <c r="E38" s="14">
        <v>0</v>
      </c>
      <c r="F38" s="14">
        <v>0</v>
      </c>
      <c r="G38" s="14">
        <v>0</v>
      </c>
      <c r="H38" s="14">
        <v>0</v>
      </c>
      <c r="I38" s="14">
        <v>0</v>
      </c>
      <c r="J38" s="14">
        <v>0</v>
      </c>
      <c r="K38" s="14">
        <v>0</v>
      </c>
      <c r="L38" s="14">
        <v>0</v>
      </c>
      <c r="M38" s="14">
        <v>0</v>
      </c>
      <c r="N38" s="14">
        <v>0</v>
      </c>
      <c r="O38" s="14">
        <v>0</v>
      </c>
      <c r="P38" s="14">
        <v>0</v>
      </c>
      <c r="Q38" s="14">
        <v>0</v>
      </c>
      <c r="R38" s="14">
        <v>0</v>
      </c>
      <c r="S38" s="14">
        <v>0</v>
      </c>
      <c r="T38" s="14">
        <v>0</v>
      </c>
      <c r="U38" s="14">
        <v>0</v>
      </c>
      <c r="V38" s="14">
        <v>0</v>
      </c>
      <c r="W38" s="14">
        <v>0</v>
      </c>
      <c r="X38" s="14">
        <v>0</v>
      </c>
      <c r="Y38" s="14">
        <v>0</v>
      </c>
      <c r="Z38" s="14">
        <v>0</v>
      </c>
      <c r="AA38" s="14">
        <v>0</v>
      </c>
      <c r="AB38" s="14">
        <v>0</v>
      </c>
      <c r="AC38" s="14">
        <v>0</v>
      </c>
      <c r="AD38" s="14">
        <v>0</v>
      </c>
      <c r="AE38" s="14">
        <v>0</v>
      </c>
      <c r="AF38" s="14">
        <v>0</v>
      </c>
      <c r="AG38" s="14">
        <v>0</v>
      </c>
      <c r="AH38" s="14">
        <v>0</v>
      </c>
      <c r="AI38" s="14">
        <v>0</v>
      </c>
      <c r="AJ38" s="14">
        <v>0</v>
      </c>
      <c r="AK38" s="14">
        <v>0</v>
      </c>
      <c r="AL38" s="14">
        <v>0</v>
      </c>
      <c r="AM38" s="14">
        <v>0</v>
      </c>
      <c r="AN38" s="14">
        <v>0</v>
      </c>
      <c r="AO38" s="14">
        <v>0</v>
      </c>
      <c r="AP38" s="14">
        <v>0</v>
      </c>
      <c r="AQ38" s="14">
        <v>0</v>
      </c>
      <c r="AR38" s="14">
        <v>0</v>
      </c>
    </row>
    <row r="39" s="6" customFormat="1" spans="1:44">
      <c r="A39" s="5" t="s">
        <v>1127</v>
      </c>
      <c r="B39" s="14">
        <f t="shared" si="5"/>
        <v>0</v>
      </c>
      <c r="C39" s="14">
        <v>0</v>
      </c>
      <c r="D39" s="14">
        <v>0</v>
      </c>
      <c r="E39" s="14">
        <v>0</v>
      </c>
      <c r="F39" s="14">
        <v>0</v>
      </c>
      <c r="G39" s="14">
        <v>0</v>
      </c>
      <c r="H39" s="14">
        <v>0</v>
      </c>
      <c r="I39" s="14">
        <v>0</v>
      </c>
      <c r="J39" s="14">
        <v>0</v>
      </c>
      <c r="K39" s="14">
        <v>0</v>
      </c>
      <c r="L39" s="14">
        <v>0</v>
      </c>
      <c r="M39" s="14">
        <v>0</v>
      </c>
      <c r="N39" s="14">
        <v>0</v>
      </c>
      <c r="O39" s="14">
        <v>0</v>
      </c>
      <c r="P39" s="14">
        <v>0</v>
      </c>
      <c r="Q39" s="14">
        <v>0</v>
      </c>
      <c r="R39" s="14">
        <v>0</v>
      </c>
      <c r="S39" s="14">
        <v>0</v>
      </c>
      <c r="T39" s="14">
        <v>0</v>
      </c>
      <c r="U39" s="14">
        <v>0</v>
      </c>
      <c r="V39" s="14">
        <v>0</v>
      </c>
      <c r="W39" s="14">
        <v>0</v>
      </c>
      <c r="X39" s="14">
        <v>0</v>
      </c>
      <c r="Y39" s="14">
        <v>0</v>
      </c>
      <c r="Z39" s="14">
        <v>0</v>
      </c>
      <c r="AA39" s="14">
        <v>0</v>
      </c>
      <c r="AB39" s="14">
        <v>0</v>
      </c>
      <c r="AC39" s="14">
        <v>0</v>
      </c>
      <c r="AD39" s="14">
        <v>0</v>
      </c>
      <c r="AE39" s="14">
        <v>0</v>
      </c>
      <c r="AF39" s="14">
        <v>0</v>
      </c>
      <c r="AG39" s="14">
        <v>0</v>
      </c>
      <c r="AH39" s="14">
        <v>0</v>
      </c>
      <c r="AI39" s="14">
        <v>0</v>
      </c>
      <c r="AJ39" s="14">
        <v>0</v>
      </c>
      <c r="AK39" s="14">
        <v>0</v>
      </c>
      <c r="AL39" s="14">
        <v>0</v>
      </c>
      <c r="AM39" s="14">
        <v>0</v>
      </c>
      <c r="AN39" s="14">
        <v>0</v>
      </c>
      <c r="AO39" s="14">
        <v>0</v>
      </c>
      <c r="AP39" s="14">
        <v>0</v>
      </c>
      <c r="AQ39" s="14">
        <v>0</v>
      </c>
      <c r="AR39" s="14">
        <v>0</v>
      </c>
    </row>
    <row r="40" s="6" customFormat="1" spans="1:44">
      <c r="A40" s="5" t="s">
        <v>1128</v>
      </c>
      <c r="B40" s="14">
        <f t="shared" si="5"/>
        <v>0</v>
      </c>
      <c r="C40" s="14">
        <v>0</v>
      </c>
      <c r="D40" s="14">
        <v>0</v>
      </c>
      <c r="E40" s="14">
        <v>0</v>
      </c>
      <c r="F40" s="14">
        <v>0</v>
      </c>
      <c r="G40" s="14">
        <v>0</v>
      </c>
      <c r="H40" s="14">
        <v>0</v>
      </c>
      <c r="I40" s="14">
        <v>0</v>
      </c>
      <c r="J40" s="14">
        <v>0</v>
      </c>
      <c r="K40" s="14">
        <v>0</v>
      </c>
      <c r="L40" s="14">
        <v>0</v>
      </c>
      <c r="M40" s="14">
        <v>0</v>
      </c>
      <c r="N40" s="14">
        <v>0</v>
      </c>
      <c r="O40" s="14">
        <v>0</v>
      </c>
      <c r="P40" s="14">
        <v>0</v>
      </c>
      <c r="Q40" s="14">
        <v>0</v>
      </c>
      <c r="R40" s="14">
        <v>0</v>
      </c>
      <c r="S40" s="14">
        <v>0</v>
      </c>
      <c r="T40" s="14">
        <v>0</v>
      </c>
      <c r="U40" s="14">
        <v>0</v>
      </c>
      <c r="V40" s="14">
        <v>0</v>
      </c>
      <c r="W40" s="14">
        <v>0</v>
      </c>
      <c r="X40" s="14">
        <v>0</v>
      </c>
      <c r="Y40" s="14">
        <v>0</v>
      </c>
      <c r="Z40" s="14">
        <v>0</v>
      </c>
      <c r="AA40" s="14">
        <v>0</v>
      </c>
      <c r="AB40" s="14">
        <v>0</v>
      </c>
      <c r="AC40" s="14">
        <v>0</v>
      </c>
      <c r="AD40" s="14">
        <v>0</v>
      </c>
      <c r="AE40" s="14">
        <v>0</v>
      </c>
      <c r="AF40" s="14">
        <v>0</v>
      </c>
      <c r="AG40" s="14">
        <v>0</v>
      </c>
      <c r="AH40" s="14">
        <v>0</v>
      </c>
      <c r="AI40" s="14">
        <v>0</v>
      </c>
      <c r="AJ40" s="14">
        <v>0</v>
      </c>
      <c r="AK40" s="14">
        <v>0</v>
      </c>
      <c r="AL40" s="14">
        <v>0</v>
      </c>
      <c r="AM40" s="14">
        <v>0</v>
      </c>
      <c r="AN40" s="14">
        <v>0</v>
      </c>
      <c r="AO40" s="14">
        <v>0</v>
      </c>
      <c r="AP40" s="14">
        <v>0</v>
      </c>
      <c r="AQ40" s="14">
        <v>0</v>
      </c>
      <c r="AR40" s="14">
        <v>0</v>
      </c>
    </row>
    <row r="41" s="6" customFormat="1" spans="1:44">
      <c r="A41" s="5" t="s">
        <v>1129</v>
      </c>
      <c r="B41" s="14">
        <f t="shared" si="5"/>
        <v>0</v>
      </c>
      <c r="C41" s="14">
        <v>0</v>
      </c>
      <c r="D41" s="14">
        <v>0</v>
      </c>
      <c r="E41" s="14">
        <v>0</v>
      </c>
      <c r="F41" s="14">
        <v>0</v>
      </c>
      <c r="G41" s="14">
        <v>0</v>
      </c>
      <c r="H41" s="14">
        <v>0</v>
      </c>
      <c r="I41" s="14">
        <v>0</v>
      </c>
      <c r="J41" s="14">
        <v>0</v>
      </c>
      <c r="K41" s="14">
        <v>0</v>
      </c>
      <c r="L41" s="14">
        <v>0</v>
      </c>
      <c r="M41" s="14">
        <v>0</v>
      </c>
      <c r="N41" s="14">
        <v>0</v>
      </c>
      <c r="O41" s="14">
        <v>0</v>
      </c>
      <c r="P41" s="14">
        <v>0</v>
      </c>
      <c r="Q41" s="14">
        <v>0</v>
      </c>
      <c r="R41" s="14">
        <v>0</v>
      </c>
      <c r="S41" s="14">
        <v>0</v>
      </c>
      <c r="T41" s="14">
        <v>0</v>
      </c>
      <c r="U41" s="14">
        <v>0</v>
      </c>
      <c r="V41" s="14">
        <v>0</v>
      </c>
      <c r="W41" s="14">
        <v>0</v>
      </c>
      <c r="X41" s="14">
        <v>0</v>
      </c>
      <c r="Y41" s="14">
        <v>0</v>
      </c>
      <c r="Z41" s="14">
        <v>0</v>
      </c>
      <c r="AA41" s="14">
        <v>0</v>
      </c>
      <c r="AB41" s="14">
        <v>0</v>
      </c>
      <c r="AC41" s="14">
        <v>0</v>
      </c>
      <c r="AD41" s="14">
        <v>0</v>
      </c>
      <c r="AE41" s="14">
        <v>0</v>
      </c>
      <c r="AF41" s="14">
        <v>0</v>
      </c>
      <c r="AG41" s="14">
        <v>0</v>
      </c>
      <c r="AH41" s="14">
        <v>0</v>
      </c>
      <c r="AI41" s="14">
        <v>0</v>
      </c>
      <c r="AJ41" s="14">
        <v>0</v>
      </c>
      <c r="AK41" s="14">
        <v>0</v>
      </c>
      <c r="AL41" s="14">
        <v>0</v>
      </c>
      <c r="AM41" s="14">
        <v>0</v>
      </c>
      <c r="AN41" s="14">
        <v>0</v>
      </c>
      <c r="AO41" s="14">
        <v>0</v>
      </c>
      <c r="AP41" s="14">
        <v>0</v>
      </c>
      <c r="AQ41" s="14">
        <v>0</v>
      </c>
      <c r="AR41" s="14">
        <v>0</v>
      </c>
    </row>
    <row r="42" s="6" customFormat="1" spans="1:44">
      <c r="A42" s="5" t="s">
        <v>1130</v>
      </c>
      <c r="B42" s="14">
        <f t="shared" si="5"/>
        <v>0</v>
      </c>
      <c r="C42" s="14">
        <v>0</v>
      </c>
      <c r="D42" s="14">
        <v>0</v>
      </c>
      <c r="E42" s="14">
        <v>0</v>
      </c>
      <c r="F42" s="14">
        <v>0</v>
      </c>
      <c r="G42" s="14">
        <v>0</v>
      </c>
      <c r="H42" s="14">
        <v>0</v>
      </c>
      <c r="I42" s="14">
        <v>0</v>
      </c>
      <c r="J42" s="14">
        <v>0</v>
      </c>
      <c r="K42" s="14">
        <v>0</v>
      </c>
      <c r="L42" s="14">
        <v>0</v>
      </c>
      <c r="M42" s="14">
        <v>0</v>
      </c>
      <c r="N42" s="14">
        <v>0</v>
      </c>
      <c r="O42" s="14">
        <v>0</v>
      </c>
      <c r="P42" s="14">
        <v>0</v>
      </c>
      <c r="Q42" s="14">
        <v>0</v>
      </c>
      <c r="R42" s="14">
        <v>0</v>
      </c>
      <c r="S42" s="14">
        <v>0</v>
      </c>
      <c r="T42" s="14">
        <v>0</v>
      </c>
      <c r="U42" s="14">
        <v>0</v>
      </c>
      <c r="V42" s="14">
        <v>0</v>
      </c>
      <c r="W42" s="14">
        <v>0</v>
      </c>
      <c r="X42" s="14">
        <v>0</v>
      </c>
      <c r="Y42" s="14">
        <v>0</v>
      </c>
      <c r="Z42" s="14">
        <v>0</v>
      </c>
      <c r="AA42" s="14">
        <v>0</v>
      </c>
      <c r="AB42" s="14">
        <v>0</v>
      </c>
      <c r="AC42" s="14">
        <v>0</v>
      </c>
      <c r="AD42" s="14">
        <v>0</v>
      </c>
      <c r="AE42" s="14">
        <v>0</v>
      </c>
      <c r="AF42" s="14">
        <v>0</v>
      </c>
      <c r="AG42" s="14">
        <v>0</v>
      </c>
      <c r="AH42" s="14">
        <v>0</v>
      </c>
      <c r="AI42" s="14">
        <v>0</v>
      </c>
      <c r="AJ42" s="14">
        <v>0</v>
      </c>
      <c r="AK42" s="14">
        <v>0</v>
      </c>
      <c r="AL42" s="14">
        <v>0</v>
      </c>
      <c r="AM42" s="14">
        <v>0</v>
      </c>
      <c r="AN42" s="14">
        <v>0</v>
      </c>
      <c r="AO42" s="14">
        <v>0</v>
      </c>
      <c r="AP42" s="14">
        <v>0</v>
      </c>
      <c r="AQ42" s="14">
        <v>0</v>
      </c>
      <c r="AR42" s="14">
        <v>0</v>
      </c>
    </row>
    <row r="43" s="6" customFormat="1" spans="1:44">
      <c r="A43" s="5" t="s">
        <v>1131</v>
      </c>
      <c r="B43" s="14">
        <f t="shared" si="5"/>
        <v>0</v>
      </c>
      <c r="C43" s="14">
        <v>0</v>
      </c>
      <c r="D43" s="14">
        <v>0</v>
      </c>
      <c r="E43" s="14">
        <v>0</v>
      </c>
      <c r="F43" s="14">
        <v>0</v>
      </c>
      <c r="G43" s="14">
        <v>0</v>
      </c>
      <c r="H43" s="14">
        <v>0</v>
      </c>
      <c r="I43" s="14">
        <v>0</v>
      </c>
      <c r="J43" s="14">
        <v>0</v>
      </c>
      <c r="K43" s="14">
        <v>0</v>
      </c>
      <c r="L43" s="14">
        <v>0</v>
      </c>
      <c r="M43" s="14">
        <v>0</v>
      </c>
      <c r="N43" s="14">
        <v>0</v>
      </c>
      <c r="O43" s="14">
        <v>0</v>
      </c>
      <c r="P43" s="14">
        <v>0</v>
      </c>
      <c r="Q43" s="14">
        <v>0</v>
      </c>
      <c r="R43" s="14">
        <v>0</v>
      </c>
      <c r="S43" s="14">
        <v>0</v>
      </c>
      <c r="T43" s="14">
        <v>0</v>
      </c>
      <c r="U43" s="14">
        <v>0</v>
      </c>
      <c r="V43" s="14">
        <v>0</v>
      </c>
      <c r="W43" s="14">
        <v>0</v>
      </c>
      <c r="X43" s="14">
        <v>0</v>
      </c>
      <c r="Y43" s="14">
        <v>0</v>
      </c>
      <c r="Z43" s="14">
        <v>0</v>
      </c>
      <c r="AA43" s="14">
        <v>0</v>
      </c>
      <c r="AB43" s="14">
        <v>0</v>
      </c>
      <c r="AC43" s="14">
        <v>0</v>
      </c>
      <c r="AD43" s="14">
        <v>0</v>
      </c>
      <c r="AE43" s="14">
        <v>0</v>
      </c>
      <c r="AF43" s="14">
        <v>0</v>
      </c>
      <c r="AG43" s="14">
        <v>0</v>
      </c>
      <c r="AH43" s="14">
        <v>0</v>
      </c>
      <c r="AI43" s="14">
        <v>0</v>
      </c>
      <c r="AJ43" s="14">
        <v>0</v>
      </c>
      <c r="AK43" s="14">
        <v>0</v>
      </c>
      <c r="AL43" s="14">
        <v>0</v>
      </c>
      <c r="AM43" s="14">
        <v>0</v>
      </c>
      <c r="AN43" s="14">
        <v>0</v>
      </c>
      <c r="AO43" s="14">
        <v>0</v>
      </c>
      <c r="AP43" s="14">
        <v>0</v>
      </c>
      <c r="AQ43" s="14">
        <v>0</v>
      </c>
      <c r="AR43" s="14">
        <v>0</v>
      </c>
    </row>
    <row r="44" s="6" customFormat="1" spans="1:44">
      <c r="A44" s="5" t="s">
        <v>1132</v>
      </c>
      <c r="B44" s="14">
        <f t="shared" si="5"/>
        <v>0</v>
      </c>
      <c r="C44" s="14">
        <v>0</v>
      </c>
      <c r="D44" s="14">
        <v>0</v>
      </c>
      <c r="E44" s="14">
        <v>0</v>
      </c>
      <c r="F44" s="14">
        <v>0</v>
      </c>
      <c r="G44" s="14">
        <v>0</v>
      </c>
      <c r="H44" s="14">
        <v>0</v>
      </c>
      <c r="I44" s="14">
        <v>0</v>
      </c>
      <c r="J44" s="14">
        <v>0</v>
      </c>
      <c r="K44" s="14">
        <v>0</v>
      </c>
      <c r="L44" s="14">
        <v>0</v>
      </c>
      <c r="M44" s="14">
        <v>0</v>
      </c>
      <c r="N44" s="14">
        <v>0</v>
      </c>
      <c r="O44" s="14">
        <v>0</v>
      </c>
      <c r="P44" s="14">
        <v>0</v>
      </c>
      <c r="Q44" s="14">
        <v>0</v>
      </c>
      <c r="R44" s="14">
        <v>0</v>
      </c>
      <c r="S44" s="14">
        <v>0</v>
      </c>
      <c r="T44" s="14">
        <v>0</v>
      </c>
      <c r="U44" s="14">
        <v>0</v>
      </c>
      <c r="V44" s="14">
        <v>0</v>
      </c>
      <c r="W44" s="14">
        <v>0</v>
      </c>
      <c r="X44" s="14">
        <v>0</v>
      </c>
      <c r="Y44" s="14">
        <v>0</v>
      </c>
      <c r="Z44" s="14">
        <v>0</v>
      </c>
      <c r="AA44" s="14">
        <v>0</v>
      </c>
      <c r="AB44" s="14">
        <v>0</v>
      </c>
      <c r="AC44" s="14">
        <v>0</v>
      </c>
      <c r="AD44" s="14">
        <v>0</v>
      </c>
      <c r="AE44" s="14">
        <v>0</v>
      </c>
      <c r="AF44" s="14">
        <v>0</v>
      </c>
      <c r="AG44" s="14">
        <v>0</v>
      </c>
      <c r="AH44" s="14">
        <v>0</v>
      </c>
      <c r="AI44" s="14">
        <v>0</v>
      </c>
      <c r="AJ44" s="14">
        <v>0</v>
      </c>
      <c r="AK44" s="14">
        <v>0</v>
      </c>
      <c r="AL44" s="14">
        <v>0</v>
      </c>
      <c r="AM44" s="14">
        <v>0</v>
      </c>
      <c r="AN44" s="14">
        <v>0</v>
      </c>
      <c r="AO44" s="14">
        <v>0</v>
      </c>
      <c r="AP44" s="14">
        <v>0</v>
      </c>
      <c r="AQ44" s="14">
        <v>0</v>
      </c>
      <c r="AR44" s="14">
        <v>0</v>
      </c>
    </row>
    <row r="45" s="7" customFormat="1" spans="1:44">
      <c r="A45" s="5" t="s">
        <v>1119</v>
      </c>
      <c r="B45" s="7">
        <f>BAU建筑总能耗计算!B$4*$C$16</f>
        <v>1385.8928388542</v>
      </c>
      <c r="C45" s="7">
        <v>0</v>
      </c>
      <c r="D45" s="7">
        <v>0</v>
      </c>
      <c r="E45" s="7">
        <v>0</v>
      </c>
      <c r="F45" s="7">
        <v>0</v>
      </c>
      <c r="G45" s="7">
        <v>0</v>
      </c>
      <c r="H45" s="7">
        <v>0</v>
      </c>
      <c r="I45" s="7">
        <v>0</v>
      </c>
      <c r="J45" s="7">
        <v>0</v>
      </c>
      <c r="K45" s="7">
        <v>0</v>
      </c>
      <c r="L45" s="7">
        <v>0</v>
      </c>
      <c r="M45" s="7">
        <v>0</v>
      </c>
      <c r="N45" s="7">
        <v>0</v>
      </c>
      <c r="O45" s="7">
        <v>0</v>
      </c>
      <c r="P45" s="7">
        <v>0</v>
      </c>
      <c r="Q45" s="7">
        <v>0</v>
      </c>
      <c r="R45" s="7">
        <v>0</v>
      </c>
      <c r="S45" s="7">
        <v>0</v>
      </c>
      <c r="T45" s="7">
        <v>0</v>
      </c>
      <c r="U45" s="7">
        <v>0</v>
      </c>
      <c r="V45" s="7">
        <v>0</v>
      </c>
      <c r="W45" s="7">
        <v>0</v>
      </c>
      <c r="X45" s="7">
        <v>0</v>
      </c>
      <c r="Y45" s="7">
        <v>0</v>
      </c>
      <c r="Z45" s="7">
        <v>0</v>
      </c>
      <c r="AA45" s="7">
        <v>0</v>
      </c>
      <c r="AB45" s="7">
        <v>0</v>
      </c>
      <c r="AC45" s="7">
        <v>0</v>
      </c>
      <c r="AD45" s="7">
        <v>0</v>
      </c>
      <c r="AE45" s="7">
        <v>0</v>
      </c>
      <c r="AF45" s="7">
        <v>0</v>
      </c>
      <c r="AG45" s="7">
        <v>0</v>
      </c>
      <c r="AH45" s="7">
        <v>0</v>
      </c>
      <c r="AI45" s="7">
        <v>0</v>
      </c>
      <c r="AJ45" s="7">
        <v>0</v>
      </c>
      <c r="AK45" s="7">
        <v>0</v>
      </c>
      <c r="AL45" s="7">
        <v>0</v>
      </c>
      <c r="AM45" s="7">
        <v>0</v>
      </c>
      <c r="AN45" s="7">
        <v>0</v>
      </c>
      <c r="AO45" s="7">
        <v>0</v>
      </c>
      <c r="AP45" s="7">
        <v>0</v>
      </c>
      <c r="AQ45" s="7">
        <v>0</v>
      </c>
      <c r="AR45" s="7">
        <v>0</v>
      </c>
    </row>
    <row r="46" s="6" customFormat="1"/>
    <row r="47" s="5" customFormat="1" spans="1:44">
      <c r="A47" s="13" t="s">
        <v>100</v>
      </c>
      <c r="B47" s="5">
        <v>2018</v>
      </c>
      <c r="C47" s="5">
        <v>2019</v>
      </c>
      <c r="D47" s="5">
        <v>2020</v>
      </c>
      <c r="E47" s="5">
        <v>2021</v>
      </c>
      <c r="F47" s="5">
        <v>2022</v>
      </c>
      <c r="G47" s="5">
        <v>2023</v>
      </c>
      <c r="H47" s="5">
        <v>2024</v>
      </c>
      <c r="I47" s="5">
        <v>2025</v>
      </c>
      <c r="J47" s="5">
        <v>2026</v>
      </c>
      <c r="K47" s="5">
        <v>2027</v>
      </c>
      <c r="L47" s="5">
        <v>2028</v>
      </c>
      <c r="M47" s="5">
        <v>2029</v>
      </c>
      <c r="N47" s="5">
        <v>2030</v>
      </c>
      <c r="O47" s="5">
        <v>2031</v>
      </c>
      <c r="P47" s="5">
        <v>2032</v>
      </c>
      <c r="Q47" s="5">
        <v>2033</v>
      </c>
      <c r="R47" s="5">
        <v>2034</v>
      </c>
      <c r="S47" s="5">
        <v>2035</v>
      </c>
      <c r="T47" s="5">
        <v>2036</v>
      </c>
      <c r="U47" s="5">
        <v>2037</v>
      </c>
      <c r="V47" s="5">
        <v>2038</v>
      </c>
      <c r="W47" s="5">
        <v>2039</v>
      </c>
      <c r="X47" s="5">
        <v>2040</v>
      </c>
      <c r="Y47" s="5">
        <v>2041</v>
      </c>
      <c r="Z47" s="5">
        <v>2042</v>
      </c>
      <c r="AA47" s="5">
        <v>2043</v>
      </c>
      <c r="AB47" s="5">
        <v>2044</v>
      </c>
      <c r="AC47" s="5">
        <v>2045</v>
      </c>
      <c r="AD47" s="5">
        <v>2046</v>
      </c>
      <c r="AE47" s="5">
        <v>2047</v>
      </c>
      <c r="AF47" s="5">
        <v>2048</v>
      </c>
      <c r="AG47" s="5">
        <v>2049</v>
      </c>
      <c r="AH47" s="5">
        <v>2050</v>
      </c>
      <c r="AI47" s="5">
        <v>2051</v>
      </c>
      <c r="AJ47" s="5">
        <v>2052</v>
      </c>
      <c r="AK47" s="5">
        <v>2053</v>
      </c>
      <c r="AL47" s="5">
        <v>2054</v>
      </c>
      <c r="AM47" s="5">
        <v>2055</v>
      </c>
      <c r="AN47" s="5">
        <v>2056</v>
      </c>
      <c r="AO47" s="5">
        <v>2057</v>
      </c>
      <c r="AP47" s="5">
        <v>2058</v>
      </c>
      <c r="AQ47" s="5">
        <v>2059</v>
      </c>
      <c r="AR47" s="5">
        <v>2060</v>
      </c>
    </row>
    <row r="48" s="6" customFormat="1" spans="1:44">
      <c r="A48" s="5" t="s">
        <v>1123</v>
      </c>
      <c r="B48" s="6">
        <f t="shared" ref="B48:B57" si="6">IFERROR(B$58*$D4/D$14,0)</f>
        <v>0</v>
      </c>
      <c r="C48" s="6">
        <v>0</v>
      </c>
      <c r="D48" s="6">
        <v>0</v>
      </c>
      <c r="E48" s="6">
        <v>0</v>
      </c>
      <c r="F48" s="6">
        <v>0</v>
      </c>
      <c r="G48" s="6">
        <v>0</v>
      </c>
      <c r="H48" s="6">
        <v>0</v>
      </c>
      <c r="I48" s="6">
        <v>0</v>
      </c>
      <c r="J48" s="6">
        <v>0</v>
      </c>
      <c r="K48" s="6">
        <v>0</v>
      </c>
      <c r="L48" s="6">
        <v>0</v>
      </c>
      <c r="M48" s="6">
        <v>0</v>
      </c>
      <c r="N48" s="6">
        <v>0</v>
      </c>
      <c r="O48" s="6">
        <v>0</v>
      </c>
      <c r="P48" s="6">
        <v>0</v>
      </c>
      <c r="Q48" s="6">
        <v>0</v>
      </c>
      <c r="R48" s="6">
        <v>0</v>
      </c>
      <c r="S48" s="6">
        <v>0</v>
      </c>
      <c r="T48" s="6">
        <v>0</v>
      </c>
      <c r="U48" s="6">
        <v>0</v>
      </c>
      <c r="V48" s="6">
        <v>0</v>
      </c>
      <c r="W48" s="6">
        <v>0</v>
      </c>
      <c r="X48" s="6">
        <v>0</v>
      </c>
      <c r="Y48" s="6">
        <v>0</v>
      </c>
      <c r="Z48" s="6">
        <v>0</v>
      </c>
      <c r="AA48" s="6">
        <v>0</v>
      </c>
      <c r="AB48" s="6">
        <v>0</v>
      </c>
      <c r="AC48" s="6">
        <v>0</v>
      </c>
      <c r="AD48" s="6">
        <v>0</v>
      </c>
      <c r="AE48" s="6">
        <v>0</v>
      </c>
      <c r="AF48" s="6">
        <v>0</v>
      </c>
      <c r="AG48" s="6">
        <v>0</v>
      </c>
      <c r="AH48" s="6">
        <v>0</v>
      </c>
      <c r="AI48" s="6">
        <v>0</v>
      </c>
      <c r="AJ48" s="6">
        <v>0</v>
      </c>
      <c r="AK48" s="6">
        <v>0</v>
      </c>
      <c r="AL48" s="6">
        <v>0</v>
      </c>
      <c r="AM48" s="6">
        <v>0</v>
      </c>
      <c r="AN48" s="6">
        <v>0</v>
      </c>
      <c r="AO48" s="6">
        <v>0</v>
      </c>
      <c r="AP48" s="6">
        <v>0</v>
      </c>
      <c r="AQ48" s="6">
        <v>0</v>
      </c>
      <c r="AR48" s="6">
        <v>0</v>
      </c>
    </row>
    <row r="49" s="6" customFormat="1" spans="1:44">
      <c r="A49" s="5" t="s">
        <v>1124</v>
      </c>
      <c r="B49" s="6">
        <f t="shared" si="6"/>
        <v>0</v>
      </c>
      <c r="C49" s="6">
        <v>0</v>
      </c>
      <c r="D49" s="6">
        <v>0</v>
      </c>
      <c r="E49" s="6">
        <v>0</v>
      </c>
      <c r="F49" s="6">
        <v>0</v>
      </c>
      <c r="G49" s="6">
        <v>0</v>
      </c>
      <c r="H49" s="6">
        <v>0</v>
      </c>
      <c r="I49" s="6">
        <v>0</v>
      </c>
      <c r="J49" s="6">
        <v>0</v>
      </c>
      <c r="K49" s="6">
        <v>0</v>
      </c>
      <c r="L49" s="6">
        <v>0</v>
      </c>
      <c r="M49" s="6">
        <v>0</v>
      </c>
      <c r="N49" s="6">
        <v>0</v>
      </c>
      <c r="O49" s="6">
        <v>0</v>
      </c>
      <c r="P49" s="6">
        <v>0</v>
      </c>
      <c r="Q49" s="6">
        <v>0</v>
      </c>
      <c r="R49" s="6">
        <v>0</v>
      </c>
      <c r="S49" s="6">
        <v>0</v>
      </c>
      <c r="T49" s="6">
        <v>0</v>
      </c>
      <c r="U49" s="6">
        <v>0</v>
      </c>
      <c r="V49" s="6">
        <v>0</v>
      </c>
      <c r="W49" s="6">
        <v>0</v>
      </c>
      <c r="X49" s="6">
        <v>0</v>
      </c>
      <c r="Y49" s="6">
        <v>0</v>
      </c>
      <c r="Z49" s="6">
        <v>0</v>
      </c>
      <c r="AA49" s="6">
        <v>0</v>
      </c>
      <c r="AB49" s="6">
        <v>0</v>
      </c>
      <c r="AC49" s="6">
        <v>0</v>
      </c>
      <c r="AD49" s="6">
        <v>0</v>
      </c>
      <c r="AE49" s="6">
        <v>0</v>
      </c>
      <c r="AF49" s="6">
        <v>0</v>
      </c>
      <c r="AG49" s="6">
        <v>0</v>
      </c>
      <c r="AH49" s="6">
        <v>0</v>
      </c>
      <c r="AI49" s="6">
        <v>0</v>
      </c>
      <c r="AJ49" s="6">
        <v>0</v>
      </c>
      <c r="AK49" s="6">
        <v>0</v>
      </c>
      <c r="AL49" s="6">
        <v>0</v>
      </c>
      <c r="AM49" s="6">
        <v>0</v>
      </c>
      <c r="AN49" s="6">
        <v>0</v>
      </c>
      <c r="AO49" s="6">
        <v>0</v>
      </c>
      <c r="AP49" s="6">
        <v>0</v>
      </c>
      <c r="AQ49" s="6">
        <v>0</v>
      </c>
      <c r="AR49" s="6">
        <v>0</v>
      </c>
    </row>
    <row r="50" s="6" customFormat="1" spans="1:44">
      <c r="A50" s="5" t="s">
        <v>1125</v>
      </c>
      <c r="B50" s="6">
        <f t="shared" si="6"/>
        <v>0</v>
      </c>
      <c r="C50" s="6">
        <v>0</v>
      </c>
      <c r="D50" s="6">
        <v>0</v>
      </c>
      <c r="E50" s="6">
        <v>0</v>
      </c>
      <c r="F50" s="6">
        <v>0</v>
      </c>
      <c r="G50" s="6">
        <v>0</v>
      </c>
      <c r="H50" s="6">
        <v>0</v>
      </c>
      <c r="I50" s="6">
        <v>0</v>
      </c>
      <c r="J50" s="6">
        <v>0</v>
      </c>
      <c r="K50" s="6">
        <v>0</v>
      </c>
      <c r="L50" s="6">
        <v>0</v>
      </c>
      <c r="M50" s="6">
        <v>0</v>
      </c>
      <c r="N50" s="6">
        <v>0</v>
      </c>
      <c r="O50" s="6">
        <v>0</v>
      </c>
      <c r="P50" s="6">
        <v>0</v>
      </c>
      <c r="Q50" s="6">
        <v>0</v>
      </c>
      <c r="R50" s="6">
        <v>0</v>
      </c>
      <c r="S50" s="6">
        <v>0</v>
      </c>
      <c r="T50" s="6">
        <v>0</v>
      </c>
      <c r="U50" s="6">
        <v>0</v>
      </c>
      <c r="V50" s="6">
        <v>0</v>
      </c>
      <c r="W50" s="6">
        <v>0</v>
      </c>
      <c r="X50" s="6">
        <v>0</v>
      </c>
      <c r="Y50" s="6">
        <v>0</v>
      </c>
      <c r="Z50" s="6">
        <v>0</v>
      </c>
      <c r="AA50" s="6">
        <v>0</v>
      </c>
      <c r="AB50" s="6">
        <v>0</v>
      </c>
      <c r="AC50" s="6">
        <v>0</v>
      </c>
      <c r="AD50" s="6">
        <v>0</v>
      </c>
      <c r="AE50" s="6">
        <v>0</v>
      </c>
      <c r="AF50" s="6">
        <v>0</v>
      </c>
      <c r="AG50" s="6">
        <v>0</v>
      </c>
      <c r="AH50" s="6">
        <v>0</v>
      </c>
      <c r="AI50" s="6">
        <v>0</v>
      </c>
      <c r="AJ50" s="6">
        <v>0</v>
      </c>
      <c r="AK50" s="6">
        <v>0</v>
      </c>
      <c r="AL50" s="6">
        <v>0</v>
      </c>
      <c r="AM50" s="6">
        <v>0</v>
      </c>
      <c r="AN50" s="6">
        <v>0</v>
      </c>
      <c r="AO50" s="6">
        <v>0</v>
      </c>
      <c r="AP50" s="6">
        <v>0</v>
      </c>
      <c r="AQ50" s="6">
        <v>0</v>
      </c>
      <c r="AR50" s="6">
        <v>0</v>
      </c>
    </row>
    <row r="51" s="6" customFormat="1" spans="1:44">
      <c r="A51" s="5" t="s">
        <v>1126</v>
      </c>
      <c r="B51" s="6">
        <f t="shared" si="6"/>
        <v>0</v>
      </c>
      <c r="C51" s="6">
        <v>0</v>
      </c>
      <c r="D51" s="6">
        <v>0</v>
      </c>
      <c r="E51" s="6">
        <v>0</v>
      </c>
      <c r="F51" s="6">
        <v>0</v>
      </c>
      <c r="G51" s="6">
        <v>0</v>
      </c>
      <c r="H51" s="6">
        <v>0</v>
      </c>
      <c r="I51" s="6">
        <v>0</v>
      </c>
      <c r="J51" s="6">
        <v>0</v>
      </c>
      <c r="K51" s="6">
        <v>0</v>
      </c>
      <c r="L51" s="6">
        <v>0</v>
      </c>
      <c r="M51" s="6">
        <v>0</v>
      </c>
      <c r="N51" s="6">
        <v>0</v>
      </c>
      <c r="O51" s="6">
        <v>0</v>
      </c>
      <c r="P51" s="6">
        <v>0</v>
      </c>
      <c r="Q51" s="6">
        <v>0</v>
      </c>
      <c r="R51" s="6">
        <v>0</v>
      </c>
      <c r="S51" s="6">
        <v>0</v>
      </c>
      <c r="T51" s="6">
        <v>0</v>
      </c>
      <c r="U51" s="6">
        <v>0</v>
      </c>
      <c r="V51" s="6">
        <v>0</v>
      </c>
      <c r="W51" s="6">
        <v>0</v>
      </c>
      <c r="X51" s="6">
        <v>0</v>
      </c>
      <c r="Y51" s="6">
        <v>0</v>
      </c>
      <c r="Z51" s="6">
        <v>0</v>
      </c>
      <c r="AA51" s="6">
        <v>0</v>
      </c>
      <c r="AB51" s="6">
        <v>0</v>
      </c>
      <c r="AC51" s="6">
        <v>0</v>
      </c>
      <c r="AD51" s="6">
        <v>0</v>
      </c>
      <c r="AE51" s="6">
        <v>0</v>
      </c>
      <c r="AF51" s="6">
        <v>0</v>
      </c>
      <c r="AG51" s="6">
        <v>0</v>
      </c>
      <c r="AH51" s="6">
        <v>0</v>
      </c>
      <c r="AI51" s="6">
        <v>0</v>
      </c>
      <c r="AJ51" s="6">
        <v>0</v>
      </c>
      <c r="AK51" s="6">
        <v>0</v>
      </c>
      <c r="AL51" s="6">
        <v>0</v>
      </c>
      <c r="AM51" s="6">
        <v>0</v>
      </c>
      <c r="AN51" s="6">
        <v>0</v>
      </c>
      <c r="AO51" s="6">
        <v>0</v>
      </c>
      <c r="AP51" s="6">
        <v>0</v>
      </c>
      <c r="AQ51" s="6">
        <v>0</v>
      </c>
      <c r="AR51" s="6">
        <v>0</v>
      </c>
    </row>
    <row r="52" s="6" customFormat="1" spans="1:44">
      <c r="A52" s="5" t="s">
        <v>1127</v>
      </c>
      <c r="B52" s="6">
        <f t="shared" si="6"/>
        <v>0</v>
      </c>
      <c r="C52" s="6">
        <v>0</v>
      </c>
      <c r="D52" s="6">
        <v>0</v>
      </c>
      <c r="E52" s="6">
        <v>0</v>
      </c>
      <c r="F52" s="6">
        <v>0</v>
      </c>
      <c r="G52" s="6">
        <v>0</v>
      </c>
      <c r="H52" s="6">
        <v>0</v>
      </c>
      <c r="I52" s="6">
        <v>0</v>
      </c>
      <c r="J52" s="6">
        <v>0</v>
      </c>
      <c r="K52" s="6">
        <v>0</v>
      </c>
      <c r="L52" s="6">
        <v>0</v>
      </c>
      <c r="M52" s="6">
        <v>0</v>
      </c>
      <c r="N52" s="6">
        <v>0</v>
      </c>
      <c r="O52" s="6">
        <v>0</v>
      </c>
      <c r="P52" s="6">
        <v>0</v>
      </c>
      <c r="Q52" s="6">
        <v>0</v>
      </c>
      <c r="R52" s="6">
        <v>0</v>
      </c>
      <c r="S52" s="6">
        <v>0</v>
      </c>
      <c r="T52" s="6">
        <v>0</v>
      </c>
      <c r="U52" s="6">
        <v>0</v>
      </c>
      <c r="V52" s="6">
        <v>0</v>
      </c>
      <c r="W52" s="6">
        <v>0</v>
      </c>
      <c r="X52" s="6">
        <v>0</v>
      </c>
      <c r="Y52" s="6">
        <v>0</v>
      </c>
      <c r="Z52" s="6">
        <v>0</v>
      </c>
      <c r="AA52" s="6">
        <v>0</v>
      </c>
      <c r="AB52" s="6">
        <v>0</v>
      </c>
      <c r="AC52" s="6">
        <v>0</v>
      </c>
      <c r="AD52" s="6">
        <v>0</v>
      </c>
      <c r="AE52" s="6">
        <v>0</v>
      </c>
      <c r="AF52" s="6">
        <v>0</v>
      </c>
      <c r="AG52" s="6">
        <v>0</v>
      </c>
      <c r="AH52" s="6">
        <v>0</v>
      </c>
      <c r="AI52" s="6">
        <v>0</v>
      </c>
      <c r="AJ52" s="6">
        <v>0</v>
      </c>
      <c r="AK52" s="6">
        <v>0</v>
      </c>
      <c r="AL52" s="6">
        <v>0</v>
      </c>
      <c r="AM52" s="6">
        <v>0</v>
      </c>
      <c r="AN52" s="6">
        <v>0</v>
      </c>
      <c r="AO52" s="6">
        <v>0</v>
      </c>
      <c r="AP52" s="6">
        <v>0</v>
      </c>
      <c r="AQ52" s="6">
        <v>0</v>
      </c>
      <c r="AR52" s="6">
        <v>0</v>
      </c>
    </row>
    <row r="53" s="6" customFormat="1" spans="1:44">
      <c r="A53" s="5" t="s">
        <v>1128</v>
      </c>
      <c r="B53" s="6">
        <f t="shared" si="6"/>
        <v>0</v>
      </c>
      <c r="C53" s="6">
        <v>0</v>
      </c>
      <c r="D53" s="6">
        <v>0</v>
      </c>
      <c r="E53" s="6">
        <v>0</v>
      </c>
      <c r="F53" s="6">
        <v>0</v>
      </c>
      <c r="G53" s="6">
        <v>0</v>
      </c>
      <c r="H53" s="6">
        <v>0</v>
      </c>
      <c r="I53" s="6">
        <v>0</v>
      </c>
      <c r="J53" s="6">
        <v>0</v>
      </c>
      <c r="K53" s="6">
        <v>0</v>
      </c>
      <c r="L53" s="6">
        <v>0</v>
      </c>
      <c r="M53" s="6">
        <v>0</v>
      </c>
      <c r="N53" s="6">
        <v>0</v>
      </c>
      <c r="O53" s="6">
        <v>0</v>
      </c>
      <c r="P53" s="6">
        <v>0</v>
      </c>
      <c r="Q53" s="6">
        <v>0</v>
      </c>
      <c r="R53" s="6">
        <v>0</v>
      </c>
      <c r="S53" s="6">
        <v>0</v>
      </c>
      <c r="T53" s="6">
        <v>0</v>
      </c>
      <c r="U53" s="6">
        <v>0</v>
      </c>
      <c r="V53" s="6">
        <v>0</v>
      </c>
      <c r="W53" s="6">
        <v>0</v>
      </c>
      <c r="X53" s="6">
        <v>0</v>
      </c>
      <c r="Y53" s="6">
        <v>0</v>
      </c>
      <c r="Z53" s="6">
        <v>0</v>
      </c>
      <c r="AA53" s="6">
        <v>0</v>
      </c>
      <c r="AB53" s="6">
        <v>0</v>
      </c>
      <c r="AC53" s="6">
        <v>0</v>
      </c>
      <c r="AD53" s="6">
        <v>0</v>
      </c>
      <c r="AE53" s="6">
        <v>0</v>
      </c>
      <c r="AF53" s="6">
        <v>0</v>
      </c>
      <c r="AG53" s="6">
        <v>0</v>
      </c>
      <c r="AH53" s="6">
        <v>0</v>
      </c>
      <c r="AI53" s="6">
        <v>0</v>
      </c>
      <c r="AJ53" s="6">
        <v>0</v>
      </c>
      <c r="AK53" s="6">
        <v>0</v>
      </c>
      <c r="AL53" s="6">
        <v>0</v>
      </c>
      <c r="AM53" s="6">
        <v>0</v>
      </c>
      <c r="AN53" s="6">
        <v>0</v>
      </c>
      <c r="AO53" s="6">
        <v>0</v>
      </c>
      <c r="AP53" s="6">
        <v>0</v>
      </c>
      <c r="AQ53" s="6">
        <v>0</v>
      </c>
      <c r="AR53" s="6">
        <v>0</v>
      </c>
    </row>
    <row r="54" s="6" customFormat="1" spans="1:44">
      <c r="A54" s="5" t="s">
        <v>1129</v>
      </c>
      <c r="B54" s="6">
        <f t="shared" si="6"/>
        <v>0</v>
      </c>
      <c r="C54" s="6">
        <v>0</v>
      </c>
      <c r="D54" s="6">
        <v>0</v>
      </c>
      <c r="E54" s="6">
        <v>0</v>
      </c>
      <c r="F54" s="6">
        <v>0</v>
      </c>
      <c r="G54" s="6">
        <v>0</v>
      </c>
      <c r="H54" s="6">
        <v>0</v>
      </c>
      <c r="I54" s="6">
        <v>0</v>
      </c>
      <c r="J54" s="6">
        <v>0</v>
      </c>
      <c r="K54" s="6">
        <v>0</v>
      </c>
      <c r="L54" s="6">
        <v>0</v>
      </c>
      <c r="M54" s="6">
        <v>0</v>
      </c>
      <c r="N54" s="6">
        <v>0</v>
      </c>
      <c r="O54" s="6">
        <v>0</v>
      </c>
      <c r="P54" s="6">
        <v>0</v>
      </c>
      <c r="Q54" s="6">
        <v>0</v>
      </c>
      <c r="R54" s="6">
        <v>0</v>
      </c>
      <c r="S54" s="6">
        <v>0</v>
      </c>
      <c r="T54" s="6">
        <v>0</v>
      </c>
      <c r="U54" s="6">
        <v>0</v>
      </c>
      <c r="V54" s="6">
        <v>0</v>
      </c>
      <c r="W54" s="6">
        <v>0</v>
      </c>
      <c r="X54" s="6">
        <v>0</v>
      </c>
      <c r="Y54" s="6">
        <v>0</v>
      </c>
      <c r="Z54" s="6">
        <v>0</v>
      </c>
      <c r="AA54" s="6">
        <v>0</v>
      </c>
      <c r="AB54" s="6">
        <v>0</v>
      </c>
      <c r="AC54" s="6">
        <v>0</v>
      </c>
      <c r="AD54" s="6">
        <v>0</v>
      </c>
      <c r="AE54" s="6">
        <v>0</v>
      </c>
      <c r="AF54" s="6">
        <v>0</v>
      </c>
      <c r="AG54" s="6">
        <v>0</v>
      </c>
      <c r="AH54" s="6">
        <v>0</v>
      </c>
      <c r="AI54" s="6">
        <v>0</v>
      </c>
      <c r="AJ54" s="6">
        <v>0</v>
      </c>
      <c r="AK54" s="6">
        <v>0</v>
      </c>
      <c r="AL54" s="6">
        <v>0</v>
      </c>
      <c r="AM54" s="6">
        <v>0</v>
      </c>
      <c r="AN54" s="6">
        <v>0</v>
      </c>
      <c r="AO54" s="6">
        <v>0</v>
      </c>
      <c r="AP54" s="6">
        <v>0</v>
      </c>
      <c r="AQ54" s="6">
        <v>0</v>
      </c>
      <c r="AR54" s="6">
        <v>0</v>
      </c>
    </row>
    <row r="55" s="6" customFormat="1" spans="1:44">
      <c r="A55" s="5" t="s">
        <v>1130</v>
      </c>
      <c r="B55" s="6">
        <f t="shared" si="6"/>
        <v>0</v>
      </c>
      <c r="C55" s="6">
        <v>0</v>
      </c>
      <c r="D55" s="6">
        <v>0</v>
      </c>
      <c r="E55" s="6">
        <v>0</v>
      </c>
      <c r="F55" s="6">
        <v>0</v>
      </c>
      <c r="G55" s="6">
        <v>0</v>
      </c>
      <c r="H55" s="6">
        <v>0</v>
      </c>
      <c r="I55" s="6">
        <v>0</v>
      </c>
      <c r="J55" s="6">
        <v>0</v>
      </c>
      <c r="K55" s="6">
        <v>0</v>
      </c>
      <c r="L55" s="6">
        <v>0</v>
      </c>
      <c r="M55" s="6">
        <v>0</v>
      </c>
      <c r="N55" s="6">
        <v>0</v>
      </c>
      <c r="O55" s="6">
        <v>0</v>
      </c>
      <c r="P55" s="6">
        <v>0</v>
      </c>
      <c r="Q55" s="6">
        <v>0</v>
      </c>
      <c r="R55" s="6">
        <v>0</v>
      </c>
      <c r="S55" s="6">
        <v>0</v>
      </c>
      <c r="T55" s="6">
        <v>0</v>
      </c>
      <c r="U55" s="6">
        <v>0</v>
      </c>
      <c r="V55" s="6">
        <v>0</v>
      </c>
      <c r="W55" s="6">
        <v>0</v>
      </c>
      <c r="X55" s="6">
        <v>0</v>
      </c>
      <c r="Y55" s="6">
        <v>0</v>
      </c>
      <c r="Z55" s="6">
        <v>0</v>
      </c>
      <c r="AA55" s="6">
        <v>0</v>
      </c>
      <c r="AB55" s="6">
        <v>0</v>
      </c>
      <c r="AC55" s="6">
        <v>0</v>
      </c>
      <c r="AD55" s="6">
        <v>0</v>
      </c>
      <c r="AE55" s="6">
        <v>0</v>
      </c>
      <c r="AF55" s="6">
        <v>0</v>
      </c>
      <c r="AG55" s="6">
        <v>0</v>
      </c>
      <c r="AH55" s="6">
        <v>0</v>
      </c>
      <c r="AI55" s="6">
        <v>0</v>
      </c>
      <c r="AJ55" s="6">
        <v>0</v>
      </c>
      <c r="AK55" s="6">
        <v>0</v>
      </c>
      <c r="AL55" s="6">
        <v>0</v>
      </c>
      <c r="AM55" s="6">
        <v>0</v>
      </c>
      <c r="AN55" s="6">
        <v>0</v>
      </c>
      <c r="AO55" s="6">
        <v>0</v>
      </c>
      <c r="AP55" s="6">
        <v>0</v>
      </c>
      <c r="AQ55" s="6">
        <v>0</v>
      </c>
      <c r="AR55" s="6">
        <v>0</v>
      </c>
    </row>
    <row r="56" s="6" customFormat="1" spans="1:44">
      <c r="A56" s="5" t="s">
        <v>1131</v>
      </c>
      <c r="B56" s="6">
        <f t="shared" si="6"/>
        <v>0</v>
      </c>
      <c r="C56" s="6">
        <v>0</v>
      </c>
      <c r="D56" s="6">
        <v>0</v>
      </c>
      <c r="E56" s="6">
        <v>0</v>
      </c>
      <c r="F56" s="6">
        <v>0</v>
      </c>
      <c r="G56" s="6">
        <v>0</v>
      </c>
      <c r="H56" s="6">
        <v>0</v>
      </c>
      <c r="I56" s="6">
        <v>0</v>
      </c>
      <c r="J56" s="6">
        <v>0</v>
      </c>
      <c r="K56" s="6">
        <v>0</v>
      </c>
      <c r="L56" s="6">
        <v>0</v>
      </c>
      <c r="M56" s="6">
        <v>0</v>
      </c>
      <c r="N56" s="6">
        <v>0</v>
      </c>
      <c r="O56" s="6">
        <v>0</v>
      </c>
      <c r="P56" s="6">
        <v>0</v>
      </c>
      <c r="Q56" s="6">
        <v>0</v>
      </c>
      <c r="R56" s="6">
        <v>0</v>
      </c>
      <c r="S56" s="6">
        <v>0</v>
      </c>
      <c r="T56" s="6">
        <v>0</v>
      </c>
      <c r="U56" s="6">
        <v>0</v>
      </c>
      <c r="V56" s="6">
        <v>0</v>
      </c>
      <c r="W56" s="6">
        <v>0</v>
      </c>
      <c r="X56" s="6">
        <v>0</v>
      </c>
      <c r="Y56" s="6">
        <v>0</v>
      </c>
      <c r="Z56" s="6">
        <v>0</v>
      </c>
      <c r="AA56" s="6">
        <v>0</v>
      </c>
      <c r="AB56" s="6">
        <v>0</v>
      </c>
      <c r="AC56" s="6">
        <v>0</v>
      </c>
      <c r="AD56" s="6">
        <v>0</v>
      </c>
      <c r="AE56" s="6">
        <v>0</v>
      </c>
      <c r="AF56" s="6">
        <v>0</v>
      </c>
      <c r="AG56" s="6">
        <v>0</v>
      </c>
      <c r="AH56" s="6">
        <v>0</v>
      </c>
      <c r="AI56" s="6">
        <v>0</v>
      </c>
      <c r="AJ56" s="6">
        <v>0</v>
      </c>
      <c r="AK56" s="6">
        <v>0</v>
      </c>
      <c r="AL56" s="6">
        <v>0</v>
      </c>
      <c r="AM56" s="6">
        <v>0</v>
      </c>
      <c r="AN56" s="6">
        <v>0</v>
      </c>
      <c r="AO56" s="6">
        <v>0</v>
      </c>
      <c r="AP56" s="6">
        <v>0</v>
      </c>
      <c r="AQ56" s="6">
        <v>0</v>
      </c>
      <c r="AR56" s="6">
        <v>0</v>
      </c>
    </row>
    <row r="57" s="6" customFormat="1" spans="1:44">
      <c r="A57" s="5" t="s">
        <v>1132</v>
      </c>
      <c r="B57" s="6">
        <f t="shared" si="6"/>
        <v>0</v>
      </c>
      <c r="C57" s="6">
        <v>0</v>
      </c>
      <c r="D57" s="6">
        <v>0</v>
      </c>
      <c r="E57" s="6">
        <v>0</v>
      </c>
      <c r="F57" s="6">
        <v>0</v>
      </c>
      <c r="G57" s="6">
        <v>0</v>
      </c>
      <c r="H57" s="6">
        <v>0</v>
      </c>
      <c r="I57" s="6">
        <v>0</v>
      </c>
      <c r="J57" s="6">
        <v>0</v>
      </c>
      <c r="K57" s="6">
        <v>0</v>
      </c>
      <c r="L57" s="6">
        <v>0</v>
      </c>
      <c r="M57" s="6">
        <v>0</v>
      </c>
      <c r="N57" s="6">
        <v>0</v>
      </c>
      <c r="O57" s="6">
        <v>0</v>
      </c>
      <c r="P57" s="6">
        <v>0</v>
      </c>
      <c r="Q57" s="6">
        <v>0</v>
      </c>
      <c r="R57" s="6">
        <v>0</v>
      </c>
      <c r="S57" s="6">
        <v>0</v>
      </c>
      <c r="T57" s="6">
        <v>0</v>
      </c>
      <c r="U57" s="6">
        <v>0</v>
      </c>
      <c r="V57" s="6">
        <v>0</v>
      </c>
      <c r="W57" s="6">
        <v>0</v>
      </c>
      <c r="X57" s="6">
        <v>0</v>
      </c>
      <c r="Y57" s="6">
        <v>0</v>
      </c>
      <c r="Z57" s="6">
        <v>0</v>
      </c>
      <c r="AA57" s="6">
        <v>0</v>
      </c>
      <c r="AB57" s="6">
        <v>0</v>
      </c>
      <c r="AC57" s="6">
        <v>0</v>
      </c>
      <c r="AD57" s="6">
        <v>0</v>
      </c>
      <c r="AE57" s="6">
        <v>0</v>
      </c>
      <c r="AF57" s="6">
        <v>0</v>
      </c>
      <c r="AG57" s="6">
        <v>0</v>
      </c>
      <c r="AH57" s="6">
        <v>0</v>
      </c>
      <c r="AI57" s="6">
        <v>0</v>
      </c>
      <c r="AJ57" s="6">
        <v>0</v>
      </c>
      <c r="AK57" s="6">
        <v>0</v>
      </c>
      <c r="AL57" s="6">
        <v>0</v>
      </c>
      <c r="AM57" s="6">
        <v>0</v>
      </c>
      <c r="AN57" s="6">
        <v>0</v>
      </c>
      <c r="AO57" s="6">
        <v>0</v>
      </c>
      <c r="AP57" s="6">
        <v>0</v>
      </c>
      <c r="AQ57" s="6">
        <v>0</v>
      </c>
      <c r="AR57" s="6">
        <v>0</v>
      </c>
    </row>
    <row r="58" s="6" customFormat="1" spans="1:44">
      <c r="A58" s="5" t="s">
        <v>1119</v>
      </c>
      <c r="B58" s="6">
        <f>BAU建筑总能耗计算!B$4*$D$16</f>
        <v>0</v>
      </c>
      <c r="C58" s="6">
        <v>0</v>
      </c>
      <c r="D58" s="6">
        <v>0</v>
      </c>
      <c r="E58" s="6">
        <v>0</v>
      </c>
      <c r="F58" s="6">
        <v>0</v>
      </c>
      <c r="G58" s="6">
        <v>0</v>
      </c>
      <c r="H58" s="6">
        <v>0</v>
      </c>
      <c r="I58" s="6">
        <v>0</v>
      </c>
      <c r="J58" s="6">
        <v>0</v>
      </c>
      <c r="K58" s="6">
        <v>0</v>
      </c>
      <c r="L58" s="6">
        <v>0</v>
      </c>
      <c r="M58" s="6">
        <v>0</v>
      </c>
      <c r="N58" s="6">
        <v>0</v>
      </c>
      <c r="O58" s="6">
        <v>0</v>
      </c>
      <c r="P58" s="6">
        <v>0</v>
      </c>
      <c r="Q58" s="6">
        <v>0</v>
      </c>
      <c r="R58" s="6">
        <v>0</v>
      </c>
      <c r="S58" s="6">
        <v>0</v>
      </c>
      <c r="T58" s="6">
        <v>0</v>
      </c>
      <c r="U58" s="6">
        <v>0</v>
      </c>
      <c r="V58" s="6">
        <v>0</v>
      </c>
      <c r="W58" s="6">
        <v>0</v>
      </c>
      <c r="X58" s="6">
        <v>0</v>
      </c>
      <c r="Y58" s="6">
        <v>0</v>
      </c>
      <c r="Z58" s="6">
        <v>0</v>
      </c>
      <c r="AA58" s="6">
        <v>0</v>
      </c>
      <c r="AB58" s="6">
        <v>0</v>
      </c>
      <c r="AC58" s="6">
        <v>0</v>
      </c>
      <c r="AD58" s="6">
        <v>0</v>
      </c>
      <c r="AE58" s="6">
        <v>0</v>
      </c>
      <c r="AF58" s="6">
        <v>0</v>
      </c>
      <c r="AG58" s="6">
        <v>0</v>
      </c>
      <c r="AH58" s="6">
        <v>0</v>
      </c>
      <c r="AI58" s="6">
        <v>0</v>
      </c>
      <c r="AJ58" s="6">
        <v>0</v>
      </c>
      <c r="AK58" s="6">
        <v>0</v>
      </c>
      <c r="AL58" s="6">
        <v>0</v>
      </c>
      <c r="AM58" s="6">
        <v>0</v>
      </c>
      <c r="AN58" s="6">
        <v>0</v>
      </c>
      <c r="AO58" s="6">
        <v>0</v>
      </c>
      <c r="AP58" s="6">
        <v>0</v>
      </c>
      <c r="AQ58" s="6">
        <v>0</v>
      </c>
      <c r="AR58" s="6">
        <v>0</v>
      </c>
    </row>
    <row r="59" s="6" customFormat="1"/>
    <row r="60" s="5" customFormat="1" spans="1:44">
      <c r="A60" s="13" t="s">
        <v>101</v>
      </c>
      <c r="B60" s="5">
        <v>2018</v>
      </c>
      <c r="C60" s="5">
        <v>2019</v>
      </c>
      <c r="D60" s="5">
        <v>2020</v>
      </c>
      <c r="E60" s="5">
        <v>2021</v>
      </c>
      <c r="F60" s="5">
        <v>2022</v>
      </c>
      <c r="G60" s="5">
        <v>2023</v>
      </c>
      <c r="H60" s="5">
        <v>2024</v>
      </c>
      <c r="I60" s="5">
        <v>2025</v>
      </c>
      <c r="J60" s="5">
        <v>2026</v>
      </c>
      <c r="K60" s="5">
        <v>2027</v>
      </c>
      <c r="L60" s="5">
        <v>2028</v>
      </c>
      <c r="M60" s="5">
        <v>2029</v>
      </c>
      <c r="N60" s="5">
        <v>2030</v>
      </c>
      <c r="O60" s="5">
        <v>2031</v>
      </c>
      <c r="P60" s="5">
        <v>2032</v>
      </c>
      <c r="Q60" s="5">
        <v>2033</v>
      </c>
      <c r="R60" s="5">
        <v>2034</v>
      </c>
      <c r="S60" s="5">
        <v>2035</v>
      </c>
      <c r="T60" s="5">
        <v>2036</v>
      </c>
      <c r="U60" s="5">
        <v>2037</v>
      </c>
      <c r="V60" s="5">
        <v>2038</v>
      </c>
      <c r="W60" s="5">
        <v>2039</v>
      </c>
      <c r="X60" s="5">
        <v>2040</v>
      </c>
      <c r="Y60" s="5">
        <v>2041</v>
      </c>
      <c r="Z60" s="5">
        <v>2042</v>
      </c>
      <c r="AA60" s="5">
        <v>2043</v>
      </c>
      <c r="AB60" s="5">
        <v>2044</v>
      </c>
      <c r="AC60" s="5">
        <v>2045</v>
      </c>
      <c r="AD60" s="5">
        <v>2046</v>
      </c>
      <c r="AE60" s="5">
        <v>2047</v>
      </c>
      <c r="AF60" s="5">
        <v>2048</v>
      </c>
      <c r="AG60" s="5">
        <v>2049</v>
      </c>
      <c r="AH60" s="5">
        <v>2050</v>
      </c>
      <c r="AI60" s="5">
        <v>2051</v>
      </c>
      <c r="AJ60" s="5">
        <v>2052</v>
      </c>
      <c r="AK60" s="5">
        <v>2053</v>
      </c>
      <c r="AL60" s="5">
        <v>2054</v>
      </c>
      <c r="AM60" s="5">
        <v>2055</v>
      </c>
      <c r="AN60" s="5">
        <v>2056</v>
      </c>
      <c r="AO60" s="5">
        <v>2057</v>
      </c>
      <c r="AP60" s="5">
        <v>2058</v>
      </c>
      <c r="AQ60" s="5">
        <v>2059</v>
      </c>
      <c r="AR60" s="5">
        <v>2060</v>
      </c>
    </row>
    <row r="61" s="6" customFormat="1" spans="1:44">
      <c r="A61" s="5" t="s">
        <v>1123</v>
      </c>
      <c r="B61" s="14">
        <f t="shared" ref="B61:B70" si="7">B$71*$E4/$E$14</f>
        <v>1002.56077704346</v>
      </c>
      <c r="C61" s="14">
        <v>1439.75282073506</v>
      </c>
      <c r="D61" s="14">
        <v>1515.44241821649</v>
      </c>
      <c r="E61" s="14">
        <v>1631.55206252445</v>
      </c>
      <c r="F61" s="14">
        <v>1796.76326366821</v>
      </c>
      <c r="G61" s="14">
        <v>1812.98009988603</v>
      </c>
      <c r="H61" s="14">
        <v>1944.32376052595</v>
      </c>
      <c r="I61" s="14">
        <v>2084.34538444399</v>
      </c>
      <c r="J61" s="14">
        <v>2187.16737698308</v>
      </c>
      <c r="K61" s="14">
        <v>2292.96196798262</v>
      </c>
      <c r="L61" s="14">
        <v>2394.03064690041</v>
      </c>
      <c r="M61" s="14">
        <v>2495.97182554539</v>
      </c>
      <c r="N61" s="14">
        <v>2597.02810583277</v>
      </c>
      <c r="O61" s="14">
        <v>2697.05233463569</v>
      </c>
      <c r="P61" s="14">
        <v>2794.9208672895</v>
      </c>
      <c r="Q61" s="14">
        <v>2892.09163972712</v>
      </c>
      <c r="R61" s="14">
        <v>2986.64846849092</v>
      </c>
      <c r="S61" s="14">
        <v>3085.99733028117</v>
      </c>
      <c r="T61" s="14">
        <v>3171.51636238623</v>
      </c>
      <c r="U61" s="14">
        <v>3254.60587035508</v>
      </c>
      <c r="V61" s="14">
        <v>3346.03151556608</v>
      </c>
      <c r="W61" s="14">
        <v>3437.92239912146</v>
      </c>
      <c r="X61" s="14">
        <v>3528.46822893176</v>
      </c>
      <c r="Y61" s="14">
        <v>3609.4869629905</v>
      </c>
      <c r="Z61" s="14">
        <v>3688.9647421562</v>
      </c>
      <c r="AA61" s="14">
        <v>3767.02664179981</v>
      </c>
      <c r="AB61" s="14">
        <v>3843.70979905153</v>
      </c>
      <c r="AC61" s="14">
        <v>3919.09298954155</v>
      </c>
      <c r="AD61" s="14">
        <v>3989.72372195456</v>
      </c>
      <c r="AE61" s="14">
        <v>4058.77747084798</v>
      </c>
      <c r="AF61" s="14">
        <v>4126.32002491824</v>
      </c>
      <c r="AG61" s="14">
        <v>4192.71741396854</v>
      </c>
      <c r="AH61" s="14">
        <v>4257.63276117817</v>
      </c>
      <c r="AI61" s="14">
        <v>4315.72105222062</v>
      </c>
      <c r="AJ61" s="14">
        <v>4372.15431995594</v>
      </c>
      <c r="AK61" s="14">
        <v>4426.94268323584</v>
      </c>
      <c r="AL61" s="14">
        <v>4480.20304579734</v>
      </c>
      <c r="AM61" s="14">
        <v>4531.8770232256</v>
      </c>
      <c r="AN61" s="14">
        <v>4576.87134872609</v>
      </c>
      <c r="AO61" s="14">
        <v>4620.04630028655</v>
      </c>
      <c r="AP61" s="14">
        <v>4661.48677986102</v>
      </c>
      <c r="AQ61" s="14">
        <v>4701.23705029837</v>
      </c>
      <c r="AR61" s="14">
        <v>4739.23598680016</v>
      </c>
    </row>
    <row r="62" s="6" customFormat="1" spans="1:44">
      <c r="A62" s="5" t="s">
        <v>1124</v>
      </c>
      <c r="B62" s="14">
        <f t="shared" si="7"/>
        <v>0</v>
      </c>
      <c r="C62" s="14">
        <v>0</v>
      </c>
      <c r="D62" s="14">
        <v>0</v>
      </c>
      <c r="E62" s="14">
        <v>0</v>
      </c>
      <c r="F62" s="14">
        <v>0</v>
      </c>
      <c r="G62" s="14">
        <v>0</v>
      </c>
      <c r="H62" s="14">
        <v>0</v>
      </c>
      <c r="I62" s="14">
        <v>0</v>
      </c>
      <c r="J62" s="14">
        <v>0</v>
      </c>
      <c r="K62" s="14">
        <v>0</v>
      </c>
      <c r="L62" s="14">
        <v>0</v>
      </c>
      <c r="M62" s="14">
        <v>0</v>
      </c>
      <c r="N62" s="14">
        <v>0</v>
      </c>
      <c r="O62" s="14">
        <v>0</v>
      </c>
      <c r="P62" s="14">
        <v>0</v>
      </c>
      <c r="Q62" s="14">
        <v>0</v>
      </c>
      <c r="R62" s="14">
        <v>0</v>
      </c>
      <c r="S62" s="14">
        <v>0</v>
      </c>
      <c r="T62" s="14">
        <v>0</v>
      </c>
      <c r="U62" s="14">
        <v>0</v>
      </c>
      <c r="V62" s="14">
        <v>0</v>
      </c>
      <c r="W62" s="14">
        <v>0</v>
      </c>
      <c r="X62" s="14">
        <v>0</v>
      </c>
      <c r="Y62" s="14">
        <v>0</v>
      </c>
      <c r="Z62" s="14">
        <v>0</v>
      </c>
      <c r="AA62" s="14">
        <v>0</v>
      </c>
      <c r="AB62" s="14">
        <v>0</v>
      </c>
      <c r="AC62" s="14">
        <v>0</v>
      </c>
      <c r="AD62" s="14">
        <v>0</v>
      </c>
      <c r="AE62" s="14">
        <v>0</v>
      </c>
      <c r="AF62" s="14">
        <v>0</v>
      </c>
      <c r="AG62" s="14">
        <v>0</v>
      </c>
      <c r="AH62" s="14">
        <v>0</v>
      </c>
      <c r="AI62" s="14">
        <v>0</v>
      </c>
      <c r="AJ62" s="14">
        <v>0</v>
      </c>
      <c r="AK62" s="14">
        <v>0</v>
      </c>
      <c r="AL62" s="14">
        <v>0</v>
      </c>
      <c r="AM62" s="14">
        <v>0</v>
      </c>
      <c r="AN62" s="14">
        <v>0</v>
      </c>
      <c r="AO62" s="14">
        <v>0</v>
      </c>
      <c r="AP62" s="14">
        <v>0</v>
      </c>
      <c r="AQ62" s="14">
        <v>0</v>
      </c>
      <c r="AR62" s="14">
        <v>0</v>
      </c>
    </row>
    <row r="63" s="6" customFormat="1" spans="1:44">
      <c r="A63" s="5" t="s">
        <v>1125</v>
      </c>
      <c r="B63" s="14">
        <f t="shared" si="7"/>
        <v>0</v>
      </c>
      <c r="C63" s="14">
        <v>0</v>
      </c>
      <c r="D63" s="14">
        <v>0</v>
      </c>
      <c r="E63" s="14">
        <v>0</v>
      </c>
      <c r="F63" s="14">
        <v>0</v>
      </c>
      <c r="G63" s="14">
        <v>0</v>
      </c>
      <c r="H63" s="14">
        <v>0</v>
      </c>
      <c r="I63" s="14">
        <v>0</v>
      </c>
      <c r="J63" s="14">
        <v>0</v>
      </c>
      <c r="K63" s="14">
        <v>0</v>
      </c>
      <c r="L63" s="14">
        <v>0</v>
      </c>
      <c r="M63" s="14">
        <v>0</v>
      </c>
      <c r="N63" s="14">
        <v>0</v>
      </c>
      <c r="O63" s="14">
        <v>0</v>
      </c>
      <c r="P63" s="14">
        <v>0</v>
      </c>
      <c r="Q63" s="14">
        <v>0</v>
      </c>
      <c r="R63" s="14">
        <v>0</v>
      </c>
      <c r="S63" s="14">
        <v>0</v>
      </c>
      <c r="T63" s="14">
        <v>0</v>
      </c>
      <c r="U63" s="14">
        <v>0</v>
      </c>
      <c r="V63" s="14">
        <v>0</v>
      </c>
      <c r="W63" s="14">
        <v>0</v>
      </c>
      <c r="X63" s="14">
        <v>0</v>
      </c>
      <c r="Y63" s="14">
        <v>0</v>
      </c>
      <c r="Z63" s="14">
        <v>0</v>
      </c>
      <c r="AA63" s="14">
        <v>0</v>
      </c>
      <c r="AB63" s="14">
        <v>0</v>
      </c>
      <c r="AC63" s="14">
        <v>0</v>
      </c>
      <c r="AD63" s="14">
        <v>0</v>
      </c>
      <c r="AE63" s="14">
        <v>0</v>
      </c>
      <c r="AF63" s="14">
        <v>0</v>
      </c>
      <c r="AG63" s="14">
        <v>0</v>
      </c>
      <c r="AH63" s="14">
        <v>0</v>
      </c>
      <c r="AI63" s="14">
        <v>0</v>
      </c>
      <c r="AJ63" s="14">
        <v>0</v>
      </c>
      <c r="AK63" s="14">
        <v>0</v>
      </c>
      <c r="AL63" s="14">
        <v>0</v>
      </c>
      <c r="AM63" s="14">
        <v>0</v>
      </c>
      <c r="AN63" s="14">
        <v>0</v>
      </c>
      <c r="AO63" s="14">
        <v>0</v>
      </c>
      <c r="AP63" s="14">
        <v>0</v>
      </c>
      <c r="AQ63" s="14">
        <v>0</v>
      </c>
      <c r="AR63" s="14">
        <v>0</v>
      </c>
    </row>
    <row r="64" s="6" customFormat="1" spans="1:44">
      <c r="A64" s="5" t="s">
        <v>1126</v>
      </c>
      <c r="B64" s="14">
        <f t="shared" si="7"/>
        <v>0</v>
      </c>
      <c r="C64" s="14">
        <v>0</v>
      </c>
      <c r="D64" s="14">
        <v>0</v>
      </c>
      <c r="E64" s="14">
        <v>0</v>
      </c>
      <c r="F64" s="14">
        <v>0</v>
      </c>
      <c r="G64" s="14">
        <v>0</v>
      </c>
      <c r="H64" s="14">
        <v>0</v>
      </c>
      <c r="I64" s="14">
        <v>0</v>
      </c>
      <c r="J64" s="14">
        <v>0</v>
      </c>
      <c r="K64" s="14">
        <v>0</v>
      </c>
      <c r="L64" s="14">
        <v>0</v>
      </c>
      <c r="M64" s="14">
        <v>0</v>
      </c>
      <c r="N64" s="14">
        <v>0</v>
      </c>
      <c r="O64" s="14">
        <v>0</v>
      </c>
      <c r="P64" s="14">
        <v>0</v>
      </c>
      <c r="Q64" s="14">
        <v>0</v>
      </c>
      <c r="R64" s="14">
        <v>0</v>
      </c>
      <c r="S64" s="14">
        <v>0</v>
      </c>
      <c r="T64" s="14">
        <v>0</v>
      </c>
      <c r="U64" s="14">
        <v>0</v>
      </c>
      <c r="V64" s="14">
        <v>0</v>
      </c>
      <c r="W64" s="14">
        <v>0</v>
      </c>
      <c r="X64" s="14">
        <v>0</v>
      </c>
      <c r="Y64" s="14">
        <v>0</v>
      </c>
      <c r="Z64" s="14">
        <v>0</v>
      </c>
      <c r="AA64" s="14">
        <v>0</v>
      </c>
      <c r="AB64" s="14">
        <v>0</v>
      </c>
      <c r="AC64" s="14">
        <v>0</v>
      </c>
      <c r="AD64" s="14">
        <v>0</v>
      </c>
      <c r="AE64" s="14">
        <v>0</v>
      </c>
      <c r="AF64" s="14">
        <v>0</v>
      </c>
      <c r="AG64" s="14">
        <v>0</v>
      </c>
      <c r="AH64" s="14">
        <v>0</v>
      </c>
      <c r="AI64" s="14">
        <v>0</v>
      </c>
      <c r="AJ64" s="14">
        <v>0</v>
      </c>
      <c r="AK64" s="14">
        <v>0</v>
      </c>
      <c r="AL64" s="14">
        <v>0</v>
      </c>
      <c r="AM64" s="14">
        <v>0</v>
      </c>
      <c r="AN64" s="14">
        <v>0</v>
      </c>
      <c r="AO64" s="14">
        <v>0</v>
      </c>
      <c r="AP64" s="14">
        <v>0</v>
      </c>
      <c r="AQ64" s="14">
        <v>0</v>
      </c>
      <c r="AR64" s="14">
        <v>0</v>
      </c>
    </row>
    <row r="65" s="6" customFormat="1" spans="1:44">
      <c r="A65" s="5" t="s">
        <v>1127</v>
      </c>
      <c r="B65" s="14">
        <f t="shared" si="7"/>
        <v>0</v>
      </c>
      <c r="C65" s="14">
        <v>0</v>
      </c>
      <c r="D65" s="14">
        <v>0</v>
      </c>
      <c r="E65" s="14">
        <v>0</v>
      </c>
      <c r="F65" s="14">
        <v>0</v>
      </c>
      <c r="G65" s="14">
        <v>0</v>
      </c>
      <c r="H65" s="14">
        <v>0</v>
      </c>
      <c r="I65" s="14">
        <v>0</v>
      </c>
      <c r="J65" s="14">
        <v>0</v>
      </c>
      <c r="K65" s="14">
        <v>0</v>
      </c>
      <c r="L65" s="14">
        <v>0</v>
      </c>
      <c r="M65" s="14">
        <v>0</v>
      </c>
      <c r="N65" s="14">
        <v>0</v>
      </c>
      <c r="O65" s="14">
        <v>0</v>
      </c>
      <c r="P65" s="14">
        <v>0</v>
      </c>
      <c r="Q65" s="14">
        <v>0</v>
      </c>
      <c r="R65" s="14">
        <v>0</v>
      </c>
      <c r="S65" s="14">
        <v>0</v>
      </c>
      <c r="T65" s="14">
        <v>0</v>
      </c>
      <c r="U65" s="14">
        <v>0</v>
      </c>
      <c r="V65" s="14">
        <v>0</v>
      </c>
      <c r="W65" s="14">
        <v>0</v>
      </c>
      <c r="X65" s="14">
        <v>0</v>
      </c>
      <c r="Y65" s="14">
        <v>0</v>
      </c>
      <c r="Z65" s="14">
        <v>0</v>
      </c>
      <c r="AA65" s="14">
        <v>0</v>
      </c>
      <c r="AB65" s="14">
        <v>0</v>
      </c>
      <c r="AC65" s="14">
        <v>0</v>
      </c>
      <c r="AD65" s="14">
        <v>0</v>
      </c>
      <c r="AE65" s="14">
        <v>0</v>
      </c>
      <c r="AF65" s="14">
        <v>0</v>
      </c>
      <c r="AG65" s="14">
        <v>0</v>
      </c>
      <c r="AH65" s="14">
        <v>0</v>
      </c>
      <c r="AI65" s="14">
        <v>0</v>
      </c>
      <c r="AJ65" s="14">
        <v>0</v>
      </c>
      <c r="AK65" s="14">
        <v>0</v>
      </c>
      <c r="AL65" s="14">
        <v>0</v>
      </c>
      <c r="AM65" s="14">
        <v>0</v>
      </c>
      <c r="AN65" s="14">
        <v>0</v>
      </c>
      <c r="AO65" s="14">
        <v>0</v>
      </c>
      <c r="AP65" s="14">
        <v>0</v>
      </c>
      <c r="AQ65" s="14">
        <v>0</v>
      </c>
      <c r="AR65" s="14">
        <v>0</v>
      </c>
    </row>
    <row r="66" s="6" customFormat="1" spans="1:44">
      <c r="A66" s="5" t="s">
        <v>1128</v>
      </c>
      <c r="B66" s="14">
        <f t="shared" si="7"/>
        <v>0</v>
      </c>
      <c r="C66" s="14">
        <v>0</v>
      </c>
      <c r="D66" s="14">
        <v>0</v>
      </c>
      <c r="E66" s="14">
        <v>0</v>
      </c>
      <c r="F66" s="14">
        <v>0</v>
      </c>
      <c r="G66" s="14">
        <v>0</v>
      </c>
      <c r="H66" s="14">
        <v>0</v>
      </c>
      <c r="I66" s="14">
        <v>0</v>
      </c>
      <c r="J66" s="14">
        <v>0</v>
      </c>
      <c r="K66" s="14">
        <v>0</v>
      </c>
      <c r="L66" s="14">
        <v>0</v>
      </c>
      <c r="M66" s="14">
        <v>0</v>
      </c>
      <c r="N66" s="14">
        <v>0</v>
      </c>
      <c r="O66" s="14">
        <v>0</v>
      </c>
      <c r="P66" s="14">
        <v>0</v>
      </c>
      <c r="Q66" s="14">
        <v>0</v>
      </c>
      <c r="R66" s="14">
        <v>0</v>
      </c>
      <c r="S66" s="14">
        <v>0</v>
      </c>
      <c r="T66" s="14">
        <v>0</v>
      </c>
      <c r="U66" s="14">
        <v>0</v>
      </c>
      <c r="V66" s="14">
        <v>0</v>
      </c>
      <c r="W66" s="14">
        <v>0</v>
      </c>
      <c r="X66" s="14">
        <v>0</v>
      </c>
      <c r="Y66" s="14">
        <v>0</v>
      </c>
      <c r="Z66" s="14">
        <v>0</v>
      </c>
      <c r="AA66" s="14">
        <v>0</v>
      </c>
      <c r="AB66" s="14">
        <v>0</v>
      </c>
      <c r="AC66" s="14">
        <v>0</v>
      </c>
      <c r="AD66" s="14">
        <v>0</v>
      </c>
      <c r="AE66" s="14">
        <v>0</v>
      </c>
      <c r="AF66" s="14">
        <v>0</v>
      </c>
      <c r="AG66" s="14">
        <v>0</v>
      </c>
      <c r="AH66" s="14">
        <v>0</v>
      </c>
      <c r="AI66" s="14">
        <v>0</v>
      </c>
      <c r="AJ66" s="14">
        <v>0</v>
      </c>
      <c r="AK66" s="14">
        <v>0</v>
      </c>
      <c r="AL66" s="14">
        <v>0</v>
      </c>
      <c r="AM66" s="14">
        <v>0</v>
      </c>
      <c r="AN66" s="14">
        <v>0</v>
      </c>
      <c r="AO66" s="14">
        <v>0</v>
      </c>
      <c r="AP66" s="14">
        <v>0</v>
      </c>
      <c r="AQ66" s="14">
        <v>0</v>
      </c>
      <c r="AR66" s="14">
        <v>0</v>
      </c>
    </row>
    <row r="67" s="6" customFormat="1" spans="1:44">
      <c r="A67" s="5" t="s">
        <v>1129</v>
      </c>
      <c r="B67" s="14">
        <f t="shared" si="7"/>
        <v>0</v>
      </c>
      <c r="C67" s="14">
        <v>0</v>
      </c>
      <c r="D67" s="14">
        <v>0</v>
      </c>
      <c r="E67" s="14">
        <v>0</v>
      </c>
      <c r="F67" s="14">
        <v>0</v>
      </c>
      <c r="G67" s="14">
        <v>0</v>
      </c>
      <c r="H67" s="14">
        <v>0</v>
      </c>
      <c r="I67" s="14">
        <v>0</v>
      </c>
      <c r="J67" s="14">
        <v>0</v>
      </c>
      <c r="K67" s="14">
        <v>0</v>
      </c>
      <c r="L67" s="14">
        <v>0</v>
      </c>
      <c r="M67" s="14">
        <v>0</v>
      </c>
      <c r="N67" s="14">
        <v>0</v>
      </c>
      <c r="O67" s="14">
        <v>0</v>
      </c>
      <c r="P67" s="14">
        <v>0</v>
      </c>
      <c r="Q67" s="14">
        <v>0</v>
      </c>
      <c r="R67" s="14">
        <v>0</v>
      </c>
      <c r="S67" s="14">
        <v>0</v>
      </c>
      <c r="T67" s="14">
        <v>0</v>
      </c>
      <c r="U67" s="14">
        <v>0</v>
      </c>
      <c r="V67" s="14">
        <v>0</v>
      </c>
      <c r="W67" s="14">
        <v>0</v>
      </c>
      <c r="X67" s="14">
        <v>0</v>
      </c>
      <c r="Y67" s="14">
        <v>0</v>
      </c>
      <c r="Z67" s="14">
        <v>0</v>
      </c>
      <c r="AA67" s="14">
        <v>0</v>
      </c>
      <c r="AB67" s="14">
        <v>0</v>
      </c>
      <c r="AC67" s="14">
        <v>0</v>
      </c>
      <c r="AD67" s="14">
        <v>0</v>
      </c>
      <c r="AE67" s="14">
        <v>0</v>
      </c>
      <c r="AF67" s="14">
        <v>0</v>
      </c>
      <c r="AG67" s="14">
        <v>0</v>
      </c>
      <c r="AH67" s="14">
        <v>0</v>
      </c>
      <c r="AI67" s="14">
        <v>0</v>
      </c>
      <c r="AJ67" s="14">
        <v>0</v>
      </c>
      <c r="AK67" s="14">
        <v>0</v>
      </c>
      <c r="AL67" s="14">
        <v>0</v>
      </c>
      <c r="AM67" s="14">
        <v>0</v>
      </c>
      <c r="AN67" s="14">
        <v>0</v>
      </c>
      <c r="AO67" s="14">
        <v>0</v>
      </c>
      <c r="AP67" s="14">
        <v>0</v>
      </c>
      <c r="AQ67" s="14">
        <v>0</v>
      </c>
      <c r="AR67" s="14">
        <v>0</v>
      </c>
    </row>
    <row r="68" s="6" customFormat="1" spans="1:44">
      <c r="A68" s="5" t="s">
        <v>1130</v>
      </c>
      <c r="B68" s="14">
        <f t="shared" si="7"/>
        <v>0</v>
      </c>
      <c r="C68" s="14">
        <v>0</v>
      </c>
      <c r="D68" s="14">
        <v>0</v>
      </c>
      <c r="E68" s="14">
        <v>0</v>
      </c>
      <c r="F68" s="14">
        <v>0</v>
      </c>
      <c r="G68" s="14">
        <v>0</v>
      </c>
      <c r="H68" s="14">
        <v>0</v>
      </c>
      <c r="I68" s="14">
        <v>0</v>
      </c>
      <c r="J68" s="14">
        <v>0</v>
      </c>
      <c r="K68" s="14">
        <v>0</v>
      </c>
      <c r="L68" s="14">
        <v>0</v>
      </c>
      <c r="M68" s="14">
        <v>0</v>
      </c>
      <c r="N68" s="14">
        <v>0</v>
      </c>
      <c r="O68" s="14">
        <v>0</v>
      </c>
      <c r="P68" s="14">
        <v>0</v>
      </c>
      <c r="Q68" s="14">
        <v>0</v>
      </c>
      <c r="R68" s="14">
        <v>0</v>
      </c>
      <c r="S68" s="14">
        <v>0</v>
      </c>
      <c r="T68" s="14">
        <v>0</v>
      </c>
      <c r="U68" s="14">
        <v>0</v>
      </c>
      <c r="V68" s="14">
        <v>0</v>
      </c>
      <c r="W68" s="14">
        <v>0</v>
      </c>
      <c r="X68" s="14">
        <v>0</v>
      </c>
      <c r="Y68" s="14">
        <v>0</v>
      </c>
      <c r="Z68" s="14">
        <v>0</v>
      </c>
      <c r="AA68" s="14">
        <v>0</v>
      </c>
      <c r="AB68" s="14">
        <v>0</v>
      </c>
      <c r="AC68" s="14">
        <v>0</v>
      </c>
      <c r="AD68" s="14">
        <v>0</v>
      </c>
      <c r="AE68" s="14">
        <v>0</v>
      </c>
      <c r="AF68" s="14">
        <v>0</v>
      </c>
      <c r="AG68" s="14">
        <v>0</v>
      </c>
      <c r="AH68" s="14">
        <v>0</v>
      </c>
      <c r="AI68" s="14">
        <v>0</v>
      </c>
      <c r="AJ68" s="14">
        <v>0</v>
      </c>
      <c r="AK68" s="14">
        <v>0</v>
      </c>
      <c r="AL68" s="14">
        <v>0</v>
      </c>
      <c r="AM68" s="14">
        <v>0</v>
      </c>
      <c r="AN68" s="14">
        <v>0</v>
      </c>
      <c r="AO68" s="14">
        <v>0</v>
      </c>
      <c r="AP68" s="14">
        <v>0</v>
      </c>
      <c r="AQ68" s="14">
        <v>0</v>
      </c>
      <c r="AR68" s="14">
        <v>0</v>
      </c>
    </row>
    <row r="69" s="6" customFormat="1" spans="1:44">
      <c r="A69" s="5" t="s">
        <v>1131</v>
      </c>
      <c r="B69" s="14">
        <f t="shared" si="7"/>
        <v>0</v>
      </c>
      <c r="C69" s="14">
        <v>0</v>
      </c>
      <c r="D69" s="14">
        <v>0</v>
      </c>
      <c r="E69" s="14">
        <v>0</v>
      </c>
      <c r="F69" s="14">
        <v>0</v>
      </c>
      <c r="G69" s="14">
        <v>0</v>
      </c>
      <c r="H69" s="14">
        <v>0</v>
      </c>
      <c r="I69" s="14">
        <v>0</v>
      </c>
      <c r="J69" s="14">
        <v>0</v>
      </c>
      <c r="K69" s="14">
        <v>0</v>
      </c>
      <c r="L69" s="14">
        <v>0</v>
      </c>
      <c r="M69" s="14">
        <v>0</v>
      </c>
      <c r="N69" s="14">
        <v>0</v>
      </c>
      <c r="O69" s="14">
        <v>0</v>
      </c>
      <c r="P69" s="14">
        <v>0</v>
      </c>
      <c r="Q69" s="14">
        <v>0</v>
      </c>
      <c r="R69" s="14">
        <v>0</v>
      </c>
      <c r="S69" s="14">
        <v>0</v>
      </c>
      <c r="T69" s="14">
        <v>0</v>
      </c>
      <c r="U69" s="14">
        <v>0</v>
      </c>
      <c r="V69" s="14">
        <v>0</v>
      </c>
      <c r="W69" s="14">
        <v>0</v>
      </c>
      <c r="X69" s="14">
        <v>0</v>
      </c>
      <c r="Y69" s="14">
        <v>0</v>
      </c>
      <c r="Z69" s="14">
        <v>0</v>
      </c>
      <c r="AA69" s="14">
        <v>0</v>
      </c>
      <c r="AB69" s="14">
        <v>0</v>
      </c>
      <c r="AC69" s="14">
        <v>0</v>
      </c>
      <c r="AD69" s="14">
        <v>0</v>
      </c>
      <c r="AE69" s="14">
        <v>0</v>
      </c>
      <c r="AF69" s="14">
        <v>0</v>
      </c>
      <c r="AG69" s="14">
        <v>0</v>
      </c>
      <c r="AH69" s="14">
        <v>0</v>
      </c>
      <c r="AI69" s="14">
        <v>0</v>
      </c>
      <c r="AJ69" s="14">
        <v>0</v>
      </c>
      <c r="AK69" s="14">
        <v>0</v>
      </c>
      <c r="AL69" s="14">
        <v>0</v>
      </c>
      <c r="AM69" s="14">
        <v>0</v>
      </c>
      <c r="AN69" s="14">
        <v>0</v>
      </c>
      <c r="AO69" s="14">
        <v>0</v>
      </c>
      <c r="AP69" s="14">
        <v>0</v>
      </c>
      <c r="AQ69" s="14">
        <v>0</v>
      </c>
      <c r="AR69" s="14">
        <v>0</v>
      </c>
    </row>
    <row r="70" s="6" customFormat="1" spans="1:44">
      <c r="A70" s="5" t="s">
        <v>1132</v>
      </c>
      <c r="B70" s="14">
        <f t="shared" si="7"/>
        <v>0</v>
      </c>
      <c r="C70" s="14">
        <v>0</v>
      </c>
      <c r="D70" s="14">
        <v>0</v>
      </c>
      <c r="E70" s="14">
        <v>0</v>
      </c>
      <c r="F70" s="14">
        <v>0</v>
      </c>
      <c r="G70" s="14">
        <v>0</v>
      </c>
      <c r="H70" s="14">
        <v>0</v>
      </c>
      <c r="I70" s="14">
        <v>0</v>
      </c>
      <c r="J70" s="14">
        <v>0</v>
      </c>
      <c r="K70" s="14">
        <v>0</v>
      </c>
      <c r="L70" s="14">
        <v>0</v>
      </c>
      <c r="M70" s="14">
        <v>0</v>
      </c>
      <c r="N70" s="14">
        <v>0</v>
      </c>
      <c r="O70" s="14">
        <v>0</v>
      </c>
      <c r="P70" s="14">
        <v>0</v>
      </c>
      <c r="Q70" s="14">
        <v>0</v>
      </c>
      <c r="R70" s="14">
        <v>0</v>
      </c>
      <c r="S70" s="14">
        <v>0</v>
      </c>
      <c r="T70" s="14">
        <v>0</v>
      </c>
      <c r="U70" s="14">
        <v>0</v>
      </c>
      <c r="V70" s="14">
        <v>0</v>
      </c>
      <c r="W70" s="14">
        <v>0</v>
      </c>
      <c r="X70" s="14">
        <v>0</v>
      </c>
      <c r="Y70" s="14">
        <v>0</v>
      </c>
      <c r="Z70" s="14">
        <v>0</v>
      </c>
      <c r="AA70" s="14">
        <v>0</v>
      </c>
      <c r="AB70" s="14">
        <v>0</v>
      </c>
      <c r="AC70" s="14">
        <v>0</v>
      </c>
      <c r="AD70" s="14">
        <v>0</v>
      </c>
      <c r="AE70" s="14">
        <v>0</v>
      </c>
      <c r="AF70" s="14">
        <v>0</v>
      </c>
      <c r="AG70" s="14">
        <v>0</v>
      </c>
      <c r="AH70" s="14">
        <v>0</v>
      </c>
      <c r="AI70" s="14">
        <v>0</v>
      </c>
      <c r="AJ70" s="14">
        <v>0</v>
      </c>
      <c r="AK70" s="14">
        <v>0</v>
      </c>
      <c r="AL70" s="14">
        <v>0</v>
      </c>
      <c r="AM70" s="14">
        <v>0</v>
      </c>
      <c r="AN70" s="14">
        <v>0</v>
      </c>
      <c r="AO70" s="14">
        <v>0</v>
      </c>
      <c r="AP70" s="14">
        <v>0</v>
      </c>
      <c r="AQ70" s="14">
        <v>0</v>
      </c>
      <c r="AR70" s="14">
        <v>0</v>
      </c>
    </row>
    <row r="71" s="7" customFormat="1" spans="1:44">
      <c r="A71" s="5" t="s">
        <v>1119</v>
      </c>
      <c r="B71" s="7">
        <f>BAU建筑总能耗计算!B$4*$E$16</f>
        <v>1002.56077704346</v>
      </c>
      <c r="C71" s="7">
        <v>0</v>
      </c>
      <c r="D71" s="7">
        <v>0</v>
      </c>
      <c r="E71" s="7">
        <v>0</v>
      </c>
      <c r="F71" s="7">
        <v>0</v>
      </c>
      <c r="G71" s="7">
        <v>0</v>
      </c>
      <c r="H71" s="7">
        <v>0</v>
      </c>
      <c r="I71" s="7">
        <v>0</v>
      </c>
      <c r="J71" s="7">
        <v>0</v>
      </c>
      <c r="K71" s="7">
        <v>0</v>
      </c>
      <c r="L71" s="7">
        <v>0</v>
      </c>
      <c r="M71" s="7">
        <v>0</v>
      </c>
      <c r="N71" s="7">
        <v>0</v>
      </c>
      <c r="O71" s="7">
        <v>0</v>
      </c>
      <c r="P71" s="7">
        <v>0</v>
      </c>
      <c r="Q71" s="7">
        <v>0</v>
      </c>
      <c r="R71" s="7">
        <v>0</v>
      </c>
      <c r="S71" s="7">
        <v>0</v>
      </c>
      <c r="T71" s="7">
        <v>0</v>
      </c>
      <c r="U71" s="7">
        <v>0</v>
      </c>
      <c r="V71" s="7">
        <v>0</v>
      </c>
      <c r="W71" s="7">
        <v>0</v>
      </c>
      <c r="X71" s="7">
        <v>0</v>
      </c>
      <c r="Y71" s="7">
        <v>0</v>
      </c>
      <c r="Z71" s="7">
        <v>0</v>
      </c>
      <c r="AA71" s="7">
        <v>0</v>
      </c>
      <c r="AB71" s="7">
        <v>0</v>
      </c>
      <c r="AC71" s="7">
        <v>0</v>
      </c>
      <c r="AD71" s="7">
        <v>0</v>
      </c>
      <c r="AE71" s="7">
        <v>0</v>
      </c>
      <c r="AF71" s="7">
        <v>0</v>
      </c>
      <c r="AG71" s="7">
        <v>0</v>
      </c>
      <c r="AH71" s="7">
        <v>0</v>
      </c>
      <c r="AI71" s="7">
        <v>0</v>
      </c>
      <c r="AJ71" s="7">
        <v>0</v>
      </c>
      <c r="AK71" s="7">
        <v>0</v>
      </c>
      <c r="AL71" s="7">
        <v>0</v>
      </c>
      <c r="AM71" s="7">
        <v>0</v>
      </c>
      <c r="AN71" s="7">
        <v>0</v>
      </c>
      <c r="AO71" s="7">
        <v>0</v>
      </c>
      <c r="AP71" s="7">
        <v>0</v>
      </c>
      <c r="AQ71" s="7">
        <v>0</v>
      </c>
      <c r="AR71" s="7">
        <v>0</v>
      </c>
    </row>
    <row r="72" s="6" customFormat="1"/>
    <row r="73" s="5" customFormat="1" spans="1:44">
      <c r="A73" s="13" t="s">
        <v>102</v>
      </c>
      <c r="B73" s="5">
        <v>2018</v>
      </c>
      <c r="C73" s="5">
        <v>2019</v>
      </c>
      <c r="D73" s="5">
        <v>2020</v>
      </c>
      <c r="E73" s="5">
        <v>2021</v>
      </c>
      <c r="F73" s="5">
        <v>2022</v>
      </c>
      <c r="G73" s="5">
        <v>2023</v>
      </c>
      <c r="H73" s="5">
        <v>2024</v>
      </c>
      <c r="I73" s="5">
        <v>2025</v>
      </c>
      <c r="J73" s="5">
        <v>2026</v>
      </c>
      <c r="K73" s="5">
        <v>2027</v>
      </c>
      <c r="L73" s="5">
        <v>2028</v>
      </c>
      <c r="M73" s="5">
        <v>2029</v>
      </c>
      <c r="N73" s="5">
        <v>2030</v>
      </c>
      <c r="O73" s="5">
        <v>2031</v>
      </c>
      <c r="P73" s="5">
        <v>2032</v>
      </c>
      <c r="Q73" s="5">
        <v>2033</v>
      </c>
      <c r="R73" s="5">
        <v>2034</v>
      </c>
      <c r="S73" s="5">
        <v>2035</v>
      </c>
      <c r="T73" s="5">
        <v>2036</v>
      </c>
      <c r="U73" s="5">
        <v>2037</v>
      </c>
      <c r="V73" s="5">
        <v>2038</v>
      </c>
      <c r="W73" s="5">
        <v>2039</v>
      </c>
      <c r="X73" s="5">
        <v>2040</v>
      </c>
      <c r="Y73" s="5">
        <v>2041</v>
      </c>
      <c r="Z73" s="5">
        <v>2042</v>
      </c>
      <c r="AA73" s="5">
        <v>2043</v>
      </c>
      <c r="AB73" s="5">
        <v>2044</v>
      </c>
      <c r="AC73" s="5">
        <v>2045</v>
      </c>
      <c r="AD73" s="5">
        <v>2046</v>
      </c>
      <c r="AE73" s="5">
        <v>2047</v>
      </c>
      <c r="AF73" s="5">
        <v>2048</v>
      </c>
      <c r="AG73" s="5">
        <v>2049</v>
      </c>
      <c r="AH73" s="5">
        <v>2050</v>
      </c>
      <c r="AI73" s="5">
        <v>2051</v>
      </c>
      <c r="AJ73" s="5">
        <v>2052</v>
      </c>
      <c r="AK73" s="5">
        <v>2053</v>
      </c>
      <c r="AL73" s="5">
        <v>2054</v>
      </c>
      <c r="AM73" s="5">
        <v>2055</v>
      </c>
      <c r="AN73" s="5">
        <v>2056</v>
      </c>
      <c r="AO73" s="5">
        <v>2057</v>
      </c>
      <c r="AP73" s="5">
        <v>2058</v>
      </c>
      <c r="AQ73" s="5">
        <v>2059</v>
      </c>
      <c r="AR73" s="5">
        <v>2060</v>
      </c>
    </row>
    <row r="74" s="6" customFormat="1" spans="1:44">
      <c r="A74" s="5" t="s">
        <v>1123</v>
      </c>
      <c r="B74" s="14">
        <f t="shared" ref="B74:B83" si="8">B$84*$F4/$F$14</f>
        <v>4010.24310817387</v>
      </c>
      <c r="C74" s="14">
        <v>172.093278596744</v>
      </c>
      <c r="D74" s="14">
        <v>181.140436413457</v>
      </c>
      <c r="E74" s="14">
        <v>195.018991869564</v>
      </c>
      <c r="F74" s="14">
        <v>214.76664358885</v>
      </c>
      <c r="G74" s="14">
        <v>216.705037786103</v>
      </c>
      <c r="H74" s="14">
        <v>232.40451123522</v>
      </c>
      <c r="I74" s="14">
        <v>249.141259368274</v>
      </c>
      <c r="J74" s="14">
        <v>261.431545279204</v>
      </c>
      <c r="K74" s="14">
        <v>274.077145107664</v>
      </c>
      <c r="L74" s="14">
        <v>286.157857899409</v>
      </c>
      <c r="M74" s="14">
        <v>298.342860355645</v>
      </c>
      <c r="N74" s="14">
        <v>310.422091142336</v>
      </c>
      <c r="O74" s="14">
        <v>322.377961084661</v>
      </c>
      <c r="P74" s="14">
        <v>334.076161229355</v>
      </c>
      <c r="Q74" s="14">
        <v>345.690958277664</v>
      </c>
      <c r="R74" s="14">
        <v>356.993311321408</v>
      </c>
      <c r="S74" s="14">
        <v>368.868454821116</v>
      </c>
      <c r="T74" s="14">
        <v>379.090522390928</v>
      </c>
      <c r="U74" s="14">
        <v>389.022189575333</v>
      </c>
      <c r="V74" s="14">
        <v>399.95027306688</v>
      </c>
      <c r="W74" s="14">
        <v>410.933966376211</v>
      </c>
      <c r="X74" s="14">
        <v>421.756885762722</v>
      </c>
      <c r="Y74" s="14">
        <v>431.441033882541</v>
      </c>
      <c r="Z74" s="14">
        <v>440.940992066495</v>
      </c>
      <c r="AA74" s="14">
        <v>450.271710541004</v>
      </c>
      <c r="AB74" s="14">
        <v>459.43762829754</v>
      </c>
      <c r="AC74" s="14">
        <v>468.448161366604</v>
      </c>
      <c r="AD74" s="14">
        <v>476.890634363072</v>
      </c>
      <c r="AE74" s="14">
        <v>485.144610931354</v>
      </c>
      <c r="AF74" s="14">
        <v>493.217954777149</v>
      </c>
      <c r="AG74" s="14">
        <v>501.154417347228</v>
      </c>
      <c r="AH74" s="14">
        <v>508.913731843205</v>
      </c>
      <c r="AI74" s="14">
        <v>515.857010098754</v>
      </c>
      <c r="AJ74" s="14">
        <v>522.602463850699</v>
      </c>
      <c r="AK74" s="14">
        <v>529.151302602737</v>
      </c>
      <c r="AL74" s="14">
        <v>535.517499828023</v>
      </c>
      <c r="AM74" s="14">
        <v>541.694076852698</v>
      </c>
      <c r="AN74" s="14">
        <v>547.072236827183</v>
      </c>
      <c r="AO74" s="14">
        <v>552.232927509838</v>
      </c>
      <c r="AP74" s="14">
        <v>557.186297209056</v>
      </c>
      <c r="AQ74" s="14">
        <v>561.937636651598</v>
      </c>
      <c r="AR74" s="14">
        <v>566.479639606275</v>
      </c>
    </row>
    <row r="75" s="6" customFormat="1" spans="1:44">
      <c r="A75" s="5" t="s">
        <v>1124</v>
      </c>
      <c r="B75" s="14">
        <f t="shared" si="8"/>
        <v>0</v>
      </c>
      <c r="C75" s="14">
        <v>12.2773365616537</v>
      </c>
      <c r="D75" s="14">
        <v>9.3635025279217</v>
      </c>
      <c r="E75" s="14">
        <v>8.35271125974322</v>
      </c>
      <c r="F75" s="14">
        <v>7.42228447754301</v>
      </c>
      <c r="G75" s="14">
        <v>6.41063513100965</v>
      </c>
      <c r="H75" s="14">
        <v>6.19125669688113</v>
      </c>
      <c r="I75" s="14">
        <v>6.35118047172941</v>
      </c>
      <c r="J75" s="14">
        <v>6.4815072361669</v>
      </c>
      <c r="K75" s="14">
        <v>6.61402004730883</v>
      </c>
      <c r="L75" s="14">
        <v>6.74877946786869</v>
      </c>
      <c r="M75" s="14">
        <v>6.88582405262313</v>
      </c>
      <c r="N75" s="14">
        <v>7.02515791671513</v>
      </c>
      <c r="O75" s="14">
        <v>7.162293612475</v>
      </c>
      <c r="P75" s="14">
        <v>7.30156346905986</v>
      </c>
      <c r="Q75" s="14">
        <v>7.44302999427705</v>
      </c>
      <c r="R75" s="14">
        <v>7.58671992167318</v>
      </c>
      <c r="S75" s="14">
        <v>7.73263552675103</v>
      </c>
      <c r="T75" s="14">
        <v>7.79831871643159</v>
      </c>
      <c r="U75" s="14">
        <v>7.86401765239206</v>
      </c>
      <c r="V75" s="14">
        <v>7.92968044930123</v>
      </c>
      <c r="W75" s="14">
        <v>7.99534319765311</v>
      </c>
      <c r="X75" s="14">
        <v>8.06099291906682</v>
      </c>
      <c r="Y75" s="14">
        <v>8.08057626091252</v>
      </c>
      <c r="Z75" s="14">
        <v>8.09982827333809</v>
      </c>
      <c r="AA75" s="14">
        <v>8.1187425974884</v>
      </c>
      <c r="AB75" s="14">
        <v>8.13732510365404</v>
      </c>
      <c r="AC75" s="14">
        <v>8.1555825565744</v>
      </c>
      <c r="AD75" s="14">
        <v>8.16082876983474</v>
      </c>
      <c r="AE75" s="14">
        <v>8.16556410997446</v>
      </c>
      <c r="AF75" s="14">
        <v>8.16986982903029</v>
      </c>
      <c r="AG75" s="14">
        <v>8.17367975281801</v>
      </c>
      <c r="AH75" s="14">
        <v>8.17697219658962</v>
      </c>
      <c r="AI75" s="14">
        <v>8.12011153270558</v>
      </c>
      <c r="AJ75" s="14">
        <v>8.06325883618129</v>
      </c>
      <c r="AK75" s="14">
        <v>8.00634231809882</v>
      </c>
      <c r="AL75" s="14">
        <v>7.94943142978283</v>
      </c>
      <c r="AM75" s="14">
        <v>7.89248935601811</v>
      </c>
      <c r="AN75" s="14">
        <v>7.82399412955967</v>
      </c>
      <c r="AO75" s="14">
        <v>7.75548931972039</v>
      </c>
      <c r="AP75" s="14">
        <v>7.68695003225923</v>
      </c>
      <c r="AQ75" s="14">
        <v>7.61838020575779</v>
      </c>
      <c r="AR75" s="14">
        <v>7.54978180950692</v>
      </c>
    </row>
    <row r="76" s="6" customFormat="1" spans="1:44">
      <c r="A76" s="5" t="s">
        <v>1125</v>
      </c>
      <c r="B76" s="14">
        <f t="shared" si="8"/>
        <v>0</v>
      </c>
      <c r="C76" s="14">
        <v>4734.39040181269</v>
      </c>
      <c r="D76" s="14">
        <v>5269.98378321599</v>
      </c>
      <c r="E76" s="14">
        <v>5556.10315490576</v>
      </c>
      <c r="F76" s="14">
        <v>5516.03121362786</v>
      </c>
      <c r="G76" s="14">
        <v>5887.36034089093</v>
      </c>
      <c r="H76" s="14">
        <v>6040.13045770647</v>
      </c>
      <c r="I76" s="14">
        <v>6196.15055357152</v>
      </c>
      <c r="J76" s="14">
        <v>6323.29609087896</v>
      </c>
      <c r="K76" s="14">
        <v>6452.57431431587</v>
      </c>
      <c r="L76" s="14">
        <v>6584.04430828277</v>
      </c>
      <c r="M76" s="14">
        <v>6717.74368644876</v>
      </c>
      <c r="N76" s="14">
        <v>6853.67646350773</v>
      </c>
      <c r="O76" s="14">
        <v>6987.4647286939</v>
      </c>
      <c r="P76" s="14">
        <v>7123.33506064482</v>
      </c>
      <c r="Q76" s="14">
        <v>7261.34844137586</v>
      </c>
      <c r="R76" s="14">
        <v>7401.53095187784</v>
      </c>
      <c r="S76" s="14">
        <v>7543.88481210938</v>
      </c>
      <c r="T76" s="14">
        <v>7607.96469992097</v>
      </c>
      <c r="U76" s="14">
        <v>7672.05994965171</v>
      </c>
      <c r="V76" s="14">
        <v>7736.11994247175</v>
      </c>
      <c r="W76" s="14">
        <v>7800.17988791978</v>
      </c>
      <c r="X76" s="14">
        <v>7864.22712441227</v>
      </c>
      <c r="Y76" s="14">
        <v>7883.33244427496</v>
      </c>
      <c r="Z76" s="14">
        <v>7902.1145223436</v>
      </c>
      <c r="AA76" s="14">
        <v>7920.56715498033</v>
      </c>
      <c r="AB76" s="14">
        <v>7938.69606918415</v>
      </c>
      <c r="AC76" s="14">
        <v>7956.50786456973</v>
      </c>
      <c r="AD76" s="14">
        <v>7961.62601974448</v>
      </c>
      <c r="AE76" s="14">
        <v>7966.24577201868</v>
      </c>
      <c r="AF76" s="14">
        <v>7970.44639009748</v>
      </c>
      <c r="AG76" s="14">
        <v>7974.16331508354</v>
      </c>
      <c r="AH76" s="14">
        <v>7977.37539154537</v>
      </c>
      <c r="AI76" s="14">
        <v>7921.90267500554</v>
      </c>
      <c r="AJ76" s="14">
        <v>7866.43773134521</v>
      </c>
      <c r="AK76" s="14">
        <v>7810.91052398687</v>
      </c>
      <c r="AL76" s="14">
        <v>7755.38880897451</v>
      </c>
      <c r="AM76" s="14">
        <v>7699.83666973846</v>
      </c>
      <c r="AN76" s="14">
        <v>7633.01338590538</v>
      </c>
      <c r="AO76" s="14">
        <v>7566.18075261818</v>
      </c>
      <c r="AP76" s="14">
        <v>7499.31448329482</v>
      </c>
      <c r="AQ76" s="14">
        <v>7432.41842037765</v>
      </c>
      <c r="AR76" s="14">
        <v>7365.49448508783</v>
      </c>
    </row>
    <row r="77" s="6" customFormat="1" spans="1:44">
      <c r="A77" s="5" t="s">
        <v>1126</v>
      </c>
      <c r="B77" s="14">
        <f t="shared" si="8"/>
        <v>0</v>
      </c>
      <c r="C77" s="14">
        <v>0</v>
      </c>
      <c r="D77" s="14">
        <v>0</v>
      </c>
      <c r="E77" s="14">
        <v>0</v>
      </c>
      <c r="F77" s="14">
        <v>0</v>
      </c>
      <c r="G77" s="14">
        <v>0</v>
      </c>
      <c r="H77" s="14">
        <v>0</v>
      </c>
      <c r="I77" s="14">
        <v>0</v>
      </c>
      <c r="J77" s="14">
        <v>0</v>
      </c>
      <c r="K77" s="14">
        <v>0</v>
      </c>
      <c r="L77" s="14">
        <v>0</v>
      </c>
      <c r="M77" s="14">
        <v>0</v>
      </c>
      <c r="N77" s="14">
        <v>0</v>
      </c>
      <c r="O77" s="14">
        <v>0</v>
      </c>
      <c r="P77" s="14">
        <v>0</v>
      </c>
      <c r="Q77" s="14">
        <v>0</v>
      </c>
      <c r="R77" s="14">
        <v>0</v>
      </c>
      <c r="S77" s="14">
        <v>0</v>
      </c>
      <c r="T77" s="14">
        <v>0</v>
      </c>
      <c r="U77" s="14">
        <v>0</v>
      </c>
      <c r="V77" s="14">
        <v>0</v>
      </c>
      <c r="W77" s="14">
        <v>0</v>
      </c>
      <c r="X77" s="14">
        <v>0</v>
      </c>
      <c r="Y77" s="14">
        <v>0</v>
      </c>
      <c r="Z77" s="14">
        <v>0</v>
      </c>
      <c r="AA77" s="14">
        <v>0</v>
      </c>
      <c r="AB77" s="14">
        <v>0</v>
      </c>
      <c r="AC77" s="14">
        <v>0</v>
      </c>
      <c r="AD77" s="14">
        <v>0</v>
      </c>
      <c r="AE77" s="14">
        <v>0</v>
      </c>
      <c r="AF77" s="14">
        <v>0</v>
      </c>
      <c r="AG77" s="14">
        <v>0</v>
      </c>
      <c r="AH77" s="14">
        <v>0</v>
      </c>
      <c r="AI77" s="14">
        <v>0</v>
      </c>
      <c r="AJ77" s="14">
        <v>0</v>
      </c>
      <c r="AK77" s="14">
        <v>0</v>
      </c>
      <c r="AL77" s="14">
        <v>0</v>
      </c>
      <c r="AM77" s="14">
        <v>0</v>
      </c>
      <c r="AN77" s="14">
        <v>0</v>
      </c>
      <c r="AO77" s="14">
        <v>0</v>
      </c>
      <c r="AP77" s="14">
        <v>0</v>
      </c>
      <c r="AQ77" s="14">
        <v>0</v>
      </c>
      <c r="AR77" s="14">
        <v>0</v>
      </c>
    </row>
    <row r="78" s="6" customFormat="1" spans="1:44">
      <c r="A78" s="5" t="s">
        <v>1127</v>
      </c>
      <c r="B78" s="14">
        <f t="shared" si="8"/>
        <v>0</v>
      </c>
      <c r="C78" s="14">
        <v>0</v>
      </c>
      <c r="D78" s="14">
        <v>0</v>
      </c>
      <c r="E78" s="14">
        <v>0</v>
      </c>
      <c r="F78" s="14">
        <v>0</v>
      </c>
      <c r="G78" s="14">
        <v>0</v>
      </c>
      <c r="H78" s="14">
        <v>0</v>
      </c>
      <c r="I78" s="14">
        <v>0</v>
      </c>
      <c r="J78" s="14">
        <v>0</v>
      </c>
      <c r="K78" s="14">
        <v>0</v>
      </c>
      <c r="L78" s="14">
        <v>0</v>
      </c>
      <c r="M78" s="14">
        <v>0</v>
      </c>
      <c r="N78" s="14">
        <v>0</v>
      </c>
      <c r="O78" s="14">
        <v>0</v>
      </c>
      <c r="P78" s="14">
        <v>0</v>
      </c>
      <c r="Q78" s="14">
        <v>0</v>
      </c>
      <c r="R78" s="14">
        <v>0</v>
      </c>
      <c r="S78" s="14">
        <v>0</v>
      </c>
      <c r="T78" s="14">
        <v>0</v>
      </c>
      <c r="U78" s="14">
        <v>0</v>
      </c>
      <c r="V78" s="14">
        <v>0</v>
      </c>
      <c r="W78" s="14">
        <v>0</v>
      </c>
      <c r="X78" s="14">
        <v>0</v>
      </c>
      <c r="Y78" s="14">
        <v>0</v>
      </c>
      <c r="Z78" s="14">
        <v>0</v>
      </c>
      <c r="AA78" s="14">
        <v>0</v>
      </c>
      <c r="AB78" s="14">
        <v>0</v>
      </c>
      <c r="AC78" s="14">
        <v>0</v>
      </c>
      <c r="AD78" s="14">
        <v>0</v>
      </c>
      <c r="AE78" s="14">
        <v>0</v>
      </c>
      <c r="AF78" s="14">
        <v>0</v>
      </c>
      <c r="AG78" s="14">
        <v>0</v>
      </c>
      <c r="AH78" s="14">
        <v>0</v>
      </c>
      <c r="AI78" s="14">
        <v>0</v>
      </c>
      <c r="AJ78" s="14">
        <v>0</v>
      </c>
      <c r="AK78" s="14">
        <v>0</v>
      </c>
      <c r="AL78" s="14">
        <v>0</v>
      </c>
      <c r="AM78" s="14">
        <v>0</v>
      </c>
      <c r="AN78" s="14">
        <v>0</v>
      </c>
      <c r="AO78" s="14">
        <v>0</v>
      </c>
      <c r="AP78" s="14">
        <v>0</v>
      </c>
      <c r="AQ78" s="14">
        <v>0</v>
      </c>
      <c r="AR78" s="14">
        <v>0</v>
      </c>
    </row>
    <row r="79" s="6" customFormat="1" spans="1:44">
      <c r="A79" s="5" t="s">
        <v>1128</v>
      </c>
      <c r="B79" s="14">
        <f t="shared" si="8"/>
        <v>0</v>
      </c>
      <c r="C79" s="14">
        <v>0</v>
      </c>
      <c r="D79" s="14">
        <v>0</v>
      </c>
      <c r="E79" s="14">
        <v>0</v>
      </c>
      <c r="F79" s="14">
        <v>0</v>
      </c>
      <c r="G79" s="14">
        <v>0</v>
      </c>
      <c r="H79" s="14">
        <v>0</v>
      </c>
      <c r="I79" s="14">
        <v>0</v>
      </c>
      <c r="J79" s="14">
        <v>0</v>
      </c>
      <c r="K79" s="14">
        <v>0</v>
      </c>
      <c r="L79" s="14">
        <v>0</v>
      </c>
      <c r="M79" s="14">
        <v>0</v>
      </c>
      <c r="N79" s="14">
        <v>0</v>
      </c>
      <c r="O79" s="14">
        <v>0</v>
      </c>
      <c r="P79" s="14">
        <v>0</v>
      </c>
      <c r="Q79" s="14">
        <v>0</v>
      </c>
      <c r="R79" s="14">
        <v>0</v>
      </c>
      <c r="S79" s="14">
        <v>0</v>
      </c>
      <c r="T79" s="14">
        <v>0</v>
      </c>
      <c r="U79" s="14">
        <v>0</v>
      </c>
      <c r="V79" s="14">
        <v>0</v>
      </c>
      <c r="W79" s="14">
        <v>0</v>
      </c>
      <c r="X79" s="14">
        <v>0</v>
      </c>
      <c r="Y79" s="14">
        <v>0</v>
      </c>
      <c r="Z79" s="14">
        <v>0</v>
      </c>
      <c r="AA79" s="14">
        <v>0</v>
      </c>
      <c r="AB79" s="14">
        <v>0</v>
      </c>
      <c r="AC79" s="14">
        <v>0</v>
      </c>
      <c r="AD79" s="14">
        <v>0</v>
      </c>
      <c r="AE79" s="14">
        <v>0</v>
      </c>
      <c r="AF79" s="14">
        <v>0</v>
      </c>
      <c r="AG79" s="14">
        <v>0</v>
      </c>
      <c r="AH79" s="14">
        <v>0</v>
      </c>
      <c r="AI79" s="14">
        <v>0</v>
      </c>
      <c r="AJ79" s="14">
        <v>0</v>
      </c>
      <c r="AK79" s="14">
        <v>0</v>
      </c>
      <c r="AL79" s="14">
        <v>0</v>
      </c>
      <c r="AM79" s="14">
        <v>0</v>
      </c>
      <c r="AN79" s="14">
        <v>0</v>
      </c>
      <c r="AO79" s="14">
        <v>0</v>
      </c>
      <c r="AP79" s="14">
        <v>0</v>
      </c>
      <c r="AQ79" s="14">
        <v>0</v>
      </c>
      <c r="AR79" s="14">
        <v>0</v>
      </c>
    </row>
    <row r="80" s="6" customFormat="1" spans="1:44">
      <c r="A80" s="5" t="s">
        <v>1129</v>
      </c>
      <c r="B80" s="14">
        <f t="shared" si="8"/>
        <v>0</v>
      </c>
      <c r="C80" s="14">
        <v>0</v>
      </c>
      <c r="D80" s="14">
        <v>0</v>
      </c>
      <c r="E80" s="14">
        <v>0</v>
      </c>
      <c r="F80" s="14">
        <v>0</v>
      </c>
      <c r="G80" s="14">
        <v>0</v>
      </c>
      <c r="H80" s="14">
        <v>0</v>
      </c>
      <c r="I80" s="14">
        <v>0</v>
      </c>
      <c r="J80" s="14">
        <v>0</v>
      </c>
      <c r="K80" s="14">
        <v>0</v>
      </c>
      <c r="L80" s="14">
        <v>0</v>
      </c>
      <c r="M80" s="14">
        <v>0</v>
      </c>
      <c r="N80" s="14">
        <v>0</v>
      </c>
      <c r="O80" s="14">
        <v>0</v>
      </c>
      <c r="P80" s="14">
        <v>0</v>
      </c>
      <c r="Q80" s="14">
        <v>0</v>
      </c>
      <c r="R80" s="14">
        <v>0</v>
      </c>
      <c r="S80" s="14">
        <v>0</v>
      </c>
      <c r="T80" s="14">
        <v>0</v>
      </c>
      <c r="U80" s="14">
        <v>0</v>
      </c>
      <c r="V80" s="14">
        <v>0</v>
      </c>
      <c r="W80" s="14">
        <v>0</v>
      </c>
      <c r="X80" s="14">
        <v>0</v>
      </c>
      <c r="Y80" s="14">
        <v>0</v>
      </c>
      <c r="Z80" s="14">
        <v>0</v>
      </c>
      <c r="AA80" s="14">
        <v>0</v>
      </c>
      <c r="AB80" s="14">
        <v>0</v>
      </c>
      <c r="AC80" s="14">
        <v>0</v>
      </c>
      <c r="AD80" s="14">
        <v>0</v>
      </c>
      <c r="AE80" s="14">
        <v>0</v>
      </c>
      <c r="AF80" s="14">
        <v>0</v>
      </c>
      <c r="AG80" s="14">
        <v>0</v>
      </c>
      <c r="AH80" s="14">
        <v>0</v>
      </c>
      <c r="AI80" s="14">
        <v>0</v>
      </c>
      <c r="AJ80" s="14">
        <v>0</v>
      </c>
      <c r="AK80" s="14">
        <v>0</v>
      </c>
      <c r="AL80" s="14">
        <v>0</v>
      </c>
      <c r="AM80" s="14">
        <v>0</v>
      </c>
      <c r="AN80" s="14">
        <v>0</v>
      </c>
      <c r="AO80" s="14">
        <v>0</v>
      </c>
      <c r="AP80" s="14">
        <v>0</v>
      </c>
      <c r="AQ80" s="14">
        <v>0</v>
      </c>
      <c r="AR80" s="14">
        <v>0</v>
      </c>
    </row>
    <row r="81" s="6" customFormat="1" spans="1:44">
      <c r="A81" s="5" t="s">
        <v>1130</v>
      </c>
      <c r="B81" s="14">
        <f t="shared" si="8"/>
        <v>0</v>
      </c>
      <c r="C81" s="14">
        <v>0</v>
      </c>
      <c r="D81" s="14">
        <v>0</v>
      </c>
      <c r="E81" s="14">
        <v>0</v>
      </c>
      <c r="F81" s="14">
        <v>0</v>
      </c>
      <c r="G81" s="14">
        <v>0</v>
      </c>
      <c r="H81" s="14">
        <v>0</v>
      </c>
      <c r="I81" s="14">
        <v>0</v>
      </c>
      <c r="J81" s="14">
        <v>0</v>
      </c>
      <c r="K81" s="14">
        <v>0</v>
      </c>
      <c r="L81" s="14">
        <v>0</v>
      </c>
      <c r="M81" s="14">
        <v>0</v>
      </c>
      <c r="N81" s="14">
        <v>0</v>
      </c>
      <c r="O81" s="14">
        <v>0</v>
      </c>
      <c r="P81" s="14">
        <v>0</v>
      </c>
      <c r="Q81" s="14">
        <v>0</v>
      </c>
      <c r="R81" s="14">
        <v>0</v>
      </c>
      <c r="S81" s="14">
        <v>0</v>
      </c>
      <c r="T81" s="14">
        <v>0</v>
      </c>
      <c r="U81" s="14">
        <v>0</v>
      </c>
      <c r="V81" s="14">
        <v>0</v>
      </c>
      <c r="W81" s="14">
        <v>0</v>
      </c>
      <c r="X81" s="14">
        <v>0</v>
      </c>
      <c r="Y81" s="14">
        <v>0</v>
      </c>
      <c r="Z81" s="14">
        <v>0</v>
      </c>
      <c r="AA81" s="14">
        <v>0</v>
      </c>
      <c r="AB81" s="14">
        <v>0</v>
      </c>
      <c r="AC81" s="14">
        <v>0</v>
      </c>
      <c r="AD81" s="14">
        <v>0</v>
      </c>
      <c r="AE81" s="14">
        <v>0</v>
      </c>
      <c r="AF81" s="14">
        <v>0</v>
      </c>
      <c r="AG81" s="14">
        <v>0</v>
      </c>
      <c r="AH81" s="14">
        <v>0</v>
      </c>
      <c r="AI81" s="14">
        <v>0</v>
      </c>
      <c r="AJ81" s="14">
        <v>0</v>
      </c>
      <c r="AK81" s="14">
        <v>0</v>
      </c>
      <c r="AL81" s="14">
        <v>0</v>
      </c>
      <c r="AM81" s="14">
        <v>0</v>
      </c>
      <c r="AN81" s="14">
        <v>0</v>
      </c>
      <c r="AO81" s="14">
        <v>0</v>
      </c>
      <c r="AP81" s="14">
        <v>0</v>
      </c>
      <c r="AQ81" s="14">
        <v>0</v>
      </c>
      <c r="AR81" s="14">
        <v>0</v>
      </c>
    </row>
    <row r="82" s="6" customFormat="1" spans="1:44">
      <c r="A82" s="5" t="s">
        <v>1131</v>
      </c>
      <c r="B82" s="14">
        <f t="shared" si="8"/>
        <v>0</v>
      </c>
      <c r="C82" s="14">
        <v>3340.20633736021</v>
      </c>
      <c r="D82" s="14">
        <v>3334.06832673714</v>
      </c>
      <c r="E82" s="14">
        <v>3215.99332874227</v>
      </c>
      <c r="F82" s="14">
        <v>3016.35316997153</v>
      </c>
      <c r="G82" s="14">
        <v>2747.75282987782</v>
      </c>
      <c r="H82" s="14">
        <v>2819.05380289371</v>
      </c>
      <c r="I82" s="14">
        <v>2891.87160834608</v>
      </c>
      <c r="J82" s="14">
        <v>2951.21306015366</v>
      </c>
      <c r="K82" s="14">
        <v>3011.54988068478</v>
      </c>
      <c r="L82" s="14">
        <v>3072.9096458511</v>
      </c>
      <c r="M82" s="14">
        <v>3135.30991072989</v>
      </c>
      <c r="N82" s="14">
        <v>3198.75254906183</v>
      </c>
      <c r="O82" s="14">
        <v>3261.19429935125</v>
      </c>
      <c r="P82" s="14">
        <v>3324.60779325981</v>
      </c>
      <c r="Q82" s="14">
        <v>3389.02149235528</v>
      </c>
      <c r="R82" s="14">
        <v>3454.44756917545</v>
      </c>
      <c r="S82" s="14">
        <v>3520.88705982094</v>
      </c>
      <c r="T82" s="14">
        <v>3550.79446872364</v>
      </c>
      <c r="U82" s="14">
        <v>3580.70904735171</v>
      </c>
      <c r="V82" s="14">
        <v>3610.6071708504</v>
      </c>
      <c r="W82" s="14">
        <v>3640.50527223958</v>
      </c>
      <c r="X82" s="14">
        <v>3670.39744209638</v>
      </c>
      <c r="Y82" s="14">
        <v>3679.31429000083</v>
      </c>
      <c r="Z82" s="14">
        <v>3688.08027427491</v>
      </c>
      <c r="AA82" s="14">
        <v>3696.69249955253</v>
      </c>
      <c r="AB82" s="14">
        <v>3705.15363874257</v>
      </c>
      <c r="AC82" s="14">
        <v>3713.46677202167</v>
      </c>
      <c r="AD82" s="14">
        <v>3715.85552089228</v>
      </c>
      <c r="AE82" s="14">
        <v>3718.01165482153</v>
      </c>
      <c r="AF82" s="14">
        <v>3719.97217015352</v>
      </c>
      <c r="AG82" s="14">
        <v>3721.70693591568</v>
      </c>
      <c r="AH82" s="14">
        <v>3723.20607843062</v>
      </c>
      <c r="AI82" s="14">
        <v>3697.31581436871</v>
      </c>
      <c r="AJ82" s="14">
        <v>3671.4291780704</v>
      </c>
      <c r="AK82" s="14">
        <v>3645.51348201654</v>
      </c>
      <c r="AL82" s="14">
        <v>3619.60034935414</v>
      </c>
      <c r="AM82" s="14">
        <v>3593.67301707732</v>
      </c>
      <c r="AN82" s="14">
        <v>3562.48520851416</v>
      </c>
      <c r="AO82" s="14">
        <v>3531.29303636739</v>
      </c>
      <c r="AP82" s="14">
        <v>3500.08516558692</v>
      </c>
      <c r="AQ82" s="14">
        <v>3468.86338952003</v>
      </c>
      <c r="AR82" s="14">
        <v>3437.6286048404</v>
      </c>
    </row>
    <row r="83" s="6" customFormat="1" spans="1:44">
      <c r="A83" s="5" t="s">
        <v>1132</v>
      </c>
      <c r="B83" s="14">
        <f t="shared" si="8"/>
        <v>0</v>
      </c>
      <c r="C83" s="14">
        <v>0</v>
      </c>
      <c r="D83" s="14">
        <v>0</v>
      </c>
      <c r="E83" s="14">
        <v>0</v>
      </c>
      <c r="F83" s="14">
        <v>0</v>
      </c>
      <c r="G83" s="14">
        <v>0</v>
      </c>
      <c r="H83" s="14">
        <v>0</v>
      </c>
      <c r="I83" s="14">
        <v>0</v>
      </c>
      <c r="J83" s="14">
        <v>0</v>
      </c>
      <c r="K83" s="14">
        <v>0</v>
      </c>
      <c r="L83" s="14">
        <v>0</v>
      </c>
      <c r="M83" s="14">
        <v>0</v>
      </c>
      <c r="N83" s="14">
        <v>0</v>
      </c>
      <c r="O83" s="14">
        <v>0</v>
      </c>
      <c r="P83" s="14">
        <v>0</v>
      </c>
      <c r="Q83" s="14">
        <v>0</v>
      </c>
      <c r="R83" s="14">
        <v>0</v>
      </c>
      <c r="S83" s="14">
        <v>0</v>
      </c>
      <c r="T83" s="14">
        <v>0</v>
      </c>
      <c r="U83" s="14">
        <v>0</v>
      </c>
      <c r="V83" s="14">
        <v>0</v>
      </c>
      <c r="W83" s="14">
        <v>0</v>
      </c>
      <c r="X83" s="14">
        <v>0</v>
      </c>
      <c r="Y83" s="14">
        <v>0</v>
      </c>
      <c r="Z83" s="14">
        <v>0</v>
      </c>
      <c r="AA83" s="14">
        <v>0</v>
      </c>
      <c r="AB83" s="14">
        <v>0</v>
      </c>
      <c r="AC83" s="14">
        <v>0</v>
      </c>
      <c r="AD83" s="14">
        <v>0</v>
      </c>
      <c r="AE83" s="14">
        <v>0</v>
      </c>
      <c r="AF83" s="14">
        <v>0</v>
      </c>
      <c r="AG83" s="14">
        <v>0</v>
      </c>
      <c r="AH83" s="14">
        <v>0</v>
      </c>
      <c r="AI83" s="14">
        <v>0</v>
      </c>
      <c r="AJ83" s="14">
        <v>0</v>
      </c>
      <c r="AK83" s="14">
        <v>0</v>
      </c>
      <c r="AL83" s="14">
        <v>0</v>
      </c>
      <c r="AM83" s="14">
        <v>0</v>
      </c>
      <c r="AN83" s="14">
        <v>0</v>
      </c>
      <c r="AO83" s="14">
        <v>0</v>
      </c>
      <c r="AP83" s="14">
        <v>0</v>
      </c>
      <c r="AQ83" s="14">
        <v>0</v>
      </c>
      <c r="AR83" s="14">
        <v>0</v>
      </c>
    </row>
    <row r="84" s="7" customFormat="1" spans="1:44">
      <c r="A84" s="5" t="s">
        <v>1119</v>
      </c>
      <c r="B84" s="7">
        <f>BAU建筑总能耗计算!B$4*$F$16</f>
        <v>4010.24310817387</v>
      </c>
      <c r="C84" s="7">
        <v>0</v>
      </c>
      <c r="D84" s="7">
        <v>0</v>
      </c>
      <c r="E84" s="7">
        <v>0</v>
      </c>
      <c r="F84" s="7">
        <v>0</v>
      </c>
      <c r="G84" s="7">
        <v>0</v>
      </c>
      <c r="H84" s="7">
        <v>0</v>
      </c>
      <c r="I84" s="7">
        <v>0</v>
      </c>
      <c r="J84" s="7">
        <v>0</v>
      </c>
      <c r="K84" s="7">
        <v>0</v>
      </c>
      <c r="L84" s="7">
        <v>0</v>
      </c>
      <c r="M84" s="7">
        <v>0</v>
      </c>
      <c r="N84" s="7">
        <v>0</v>
      </c>
      <c r="O84" s="7">
        <v>0</v>
      </c>
      <c r="P84" s="7">
        <v>0</v>
      </c>
      <c r="Q84" s="7">
        <v>0</v>
      </c>
      <c r="R84" s="7">
        <v>0</v>
      </c>
      <c r="S84" s="7">
        <v>0</v>
      </c>
      <c r="T84" s="7">
        <v>0</v>
      </c>
      <c r="U84" s="7">
        <v>0</v>
      </c>
      <c r="V84" s="7">
        <v>0</v>
      </c>
      <c r="W84" s="7">
        <v>0</v>
      </c>
      <c r="X84" s="7">
        <v>0</v>
      </c>
      <c r="Y84" s="7">
        <v>0</v>
      </c>
      <c r="Z84" s="7">
        <v>0</v>
      </c>
      <c r="AA84" s="7">
        <v>0</v>
      </c>
      <c r="AB84" s="7">
        <v>0</v>
      </c>
      <c r="AC84" s="7">
        <v>0</v>
      </c>
      <c r="AD84" s="7">
        <v>0</v>
      </c>
      <c r="AE84" s="7">
        <v>0</v>
      </c>
      <c r="AF84" s="7">
        <v>0</v>
      </c>
      <c r="AG84" s="7">
        <v>0</v>
      </c>
      <c r="AH84" s="7">
        <v>0</v>
      </c>
      <c r="AI84" s="7">
        <v>0</v>
      </c>
      <c r="AJ84" s="7">
        <v>0</v>
      </c>
      <c r="AK84" s="7">
        <v>0</v>
      </c>
      <c r="AL84" s="7">
        <v>0</v>
      </c>
      <c r="AM84" s="7">
        <v>0</v>
      </c>
      <c r="AN84" s="7">
        <v>0</v>
      </c>
      <c r="AO84" s="7">
        <v>0</v>
      </c>
      <c r="AP84" s="7">
        <v>0</v>
      </c>
      <c r="AQ84" s="7">
        <v>0</v>
      </c>
      <c r="AR84" s="7">
        <v>0</v>
      </c>
    </row>
    <row r="85" s="6" customFormat="1"/>
    <row r="86" s="5" customFormat="1" spans="1:44">
      <c r="A86" s="13" t="s">
        <v>103</v>
      </c>
      <c r="B86" s="5">
        <v>2018</v>
      </c>
      <c r="C86" s="5">
        <v>2019</v>
      </c>
      <c r="D86" s="5">
        <v>2020</v>
      </c>
      <c r="E86" s="5">
        <v>2021</v>
      </c>
      <c r="F86" s="5">
        <v>2022</v>
      </c>
      <c r="G86" s="5">
        <v>2023</v>
      </c>
      <c r="H86" s="5">
        <v>2024</v>
      </c>
      <c r="I86" s="5">
        <v>2025</v>
      </c>
      <c r="J86" s="5">
        <v>2026</v>
      </c>
      <c r="K86" s="5">
        <v>2027</v>
      </c>
      <c r="L86" s="5">
        <v>2028</v>
      </c>
      <c r="M86" s="5">
        <v>2029</v>
      </c>
      <c r="N86" s="5">
        <v>2030</v>
      </c>
      <c r="O86" s="5">
        <v>2031</v>
      </c>
      <c r="P86" s="5">
        <v>2032</v>
      </c>
      <c r="Q86" s="5">
        <v>2033</v>
      </c>
      <c r="R86" s="5">
        <v>2034</v>
      </c>
      <c r="S86" s="5">
        <v>2035</v>
      </c>
      <c r="T86" s="5">
        <v>2036</v>
      </c>
      <c r="U86" s="5">
        <v>2037</v>
      </c>
      <c r="V86" s="5">
        <v>2038</v>
      </c>
      <c r="W86" s="5">
        <v>2039</v>
      </c>
      <c r="X86" s="5">
        <v>2040</v>
      </c>
      <c r="Y86" s="5">
        <v>2041</v>
      </c>
      <c r="Z86" s="5">
        <v>2042</v>
      </c>
      <c r="AA86" s="5">
        <v>2043</v>
      </c>
      <c r="AB86" s="5">
        <v>2044</v>
      </c>
      <c r="AC86" s="5">
        <v>2045</v>
      </c>
      <c r="AD86" s="5">
        <v>2046</v>
      </c>
      <c r="AE86" s="5">
        <v>2047</v>
      </c>
      <c r="AF86" s="5">
        <v>2048</v>
      </c>
      <c r="AG86" s="5">
        <v>2049</v>
      </c>
      <c r="AH86" s="5">
        <v>2050</v>
      </c>
      <c r="AI86" s="5">
        <v>2051</v>
      </c>
      <c r="AJ86" s="5">
        <v>2052</v>
      </c>
      <c r="AK86" s="5">
        <v>2053</v>
      </c>
      <c r="AL86" s="5">
        <v>2054</v>
      </c>
      <c r="AM86" s="5">
        <v>2055</v>
      </c>
      <c r="AN86" s="5">
        <v>2056</v>
      </c>
      <c r="AO86" s="5">
        <v>2057</v>
      </c>
      <c r="AP86" s="5">
        <v>2058</v>
      </c>
      <c r="AQ86" s="5">
        <v>2059</v>
      </c>
      <c r="AR86" s="5">
        <v>2060</v>
      </c>
    </row>
    <row r="87" s="6" customFormat="1" spans="1:44">
      <c r="A87" s="5" t="s">
        <v>1123</v>
      </c>
      <c r="B87" s="14">
        <f t="shared" ref="B87:B96" si="9">B$97*$G4/$G$14</f>
        <v>2516.23096983458</v>
      </c>
      <c r="C87" s="14">
        <v>2042.05270924338</v>
      </c>
      <c r="D87" s="14">
        <v>2149.40596139369</v>
      </c>
      <c r="E87" s="14">
        <v>2314.08840570889</v>
      </c>
      <c r="F87" s="14">
        <v>2548.41333706809</v>
      </c>
      <c r="G87" s="14">
        <v>2571.41425351503</v>
      </c>
      <c r="H87" s="14">
        <v>2757.70364582527</v>
      </c>
      <c r="I87" s="14">
        <v>2956.30130255951</v>
      </c>
      <c r="J87" s="14">
        <v>3102.13739706846</v>
      </c>
      <c r="K87" s="14">
        <v>3252.189633857</v>
      </c>
      <c r="L87" s="14">
        <v>3395.53894120432</v>
      </c>
      <c r="M87" s="14">
        <v>3540.12574599291</v>
      </c>
      <c r="N87" s="14">
        <v>3683.45746792109</v>
      </c>
      <c r="O87" s="14">
        <v>3825.32539446746</v>
      </c>
      <c r="P87" s="14">
        <v>3964.13582038026</v>
      </c>
      <c r="Q87" s="14">
        <v>4101.95658812441</v>
      </c>
      <c r="R87" s="14">
        <v>4236.06990644803</v>
      </c>
      <c r="S87" s="14">
        <v>4376.97993590396</v>
      </c>
      <c r="T87" s="14">
        <v>4498.27462530269</v>
      </c>
      <c r="U87" s="14">
        <v>4616.12343408006</v>
      </c>
      <c r="V87" s="14">
        <v>4745.79568323886</v>
      </c>
      <c r="W87" s="14">
        <v>4876.12779651317</v>
      </c>
      <c r="X87" s="14">
        <v>5004.55217215038</v>
      </c>
      <c r="Y87" s="14">
        <v>5119.46392853065</v>
      </c>
      <c r="Z87" s="14">
        <v>5232.19009369774</v>
      </c>
      <c r="AA87" s="14">
        <v>5342.90806650541</v>
      </c>
      <c r="AB87" s="14">
        <v>5451.67051986826</v>
      </c>
      <c r="AC87" s="14">
        <v>5558.58918406853</v>
      </c>
      <c r="AD87" s="14">
        <v>5658.76726769693</v>
      </c>
      <c r="AE87" s="14">
        <v>5756.70865942779</v>
      </c>
      <c r="AF87" s="14">
        <v>5852.50666971261</v>
      </c>
      <c r="AG87" s="14">
        <v>5946.68045165917</v>
      </c>
      <c r="AH87" s="14">
        <v>6038.7522008732</v>
      </c>
      <c r="AI87" s="14">
        <v>6121.14089314746</v>
      </c>
      <c r="AJ87" s="14">
        <v>6201.18220691377</v>
      </c>
      <c r="AK87" s="14">
        <v>6278.8904940999</v>
      </c>
      <c r="AL87" s="14">
        <v>6354.43156344018</v>
      </c>
      <c r="AM87" s="14">
        <v>6427.72260623938</v>
      </c>
      <c r="AN87" s="14">
        <v>6491.53966078207</v>
      </c>
      <c r="AO87" s="14">
        <v>6552.77623246003</v>
      </c>
      <c r="AP87" s="14">
        <v>6611.55274073885</v>
      </c>
      <c r="AQ87" s="14">
        <v>6667.93196519371</v>
      </c>
      <c r="AR87" s="14">
        <v>6721.82721034575</v>
      </c>
    </row>
    <row r="88" s="6" customFormat="1" spans="1:44">
      <c r="A88" s="5" t="s">
        <v>1124</v>
      </c>
      <c r="B88" s="14">
        <f t="shared" si="9"/>
        <v>77.2828796229961</v>
      </c>
      <c r="C88" s="14">
        <v>0</v>
      </c>
      <c r="D88" s="14">
        <v>0</v>
      </c>
      <c r="E88" s="14">
        <v>0</v>
      </c>
      <c r="F88" s="14">
        <v>0</v>
      </c>
      <c r="G88" s="14">
        <v>0</v>
      </c>
      <c r="H88" s="14">
        <v>0</v>
      </c>
      <c r="I88" s="14">
        <v>0</v>
      </c>
      <c r="J88" s="14">
        <v>0</v>
      </c>
      <c r="K88" s="14">
        <v>0</v>
      </c>
      <c r="L88" s="14">
        <v>0</v>
      </c>
      <c r="M88" s="14">
        <v>0</v>
      </c>
      <c r="N88" s="14">
        <v>0</v>
      </c>
      <c r="O88" s="14">
        <v>0</v>
      </c>
      <c r="P88" s="14">
        <v>0</v>
      </c>
      <c r="Q88" s="14">
        <v>0</v>
      </c>
      <c r="R88" s="14">
        <v>0</v>
      </c>
      <c r="S88" s="14">
        <v>0</v>
      </c>
      <c r="T88" s="14">
        <v>0</v>
      </c>
      <c r="U88" s="14">
        <v>0</v>
      </c>
      <c r="V88" s="14">
        <v>0</v>
      </c>
      <c r="W88" s="14">
        <v>0</v>
      </c>
      <c r="X88" s="14">
        <v>0</v>
      </c>
      <c r="Y88" s="14">
        <v>0</v>
      </c>
      <c r="Z88" s="14">
        <v>0</v>
      </c>
      <c r="AA88" s="14">
        <v>0</v>
      </c>
      <c r="AB88" s="14">
        <v>0</v>
      </c>
      <c r="AC88" s="14">
        <v>0</v>
      </c>
      <c r="AD88" s="14">
        <v>0</v>
      </c>
      <c r="AE88" s="14">
        <v>0</v>
      </c>
      <c r="AF88" s="14">
        <v>0</v>
      </c>
      <c r="AG88" s="14">
        <v>0</v>
      </c>
      <c r="AH88" s="14">
        <v>0</v>
      </c>
      <c r="AI88" s="14">
        <v>0</v>
      </c>
      <c r="AJ88" s="14">
        <v>0</v>
      </c>
      <c r="AK88" s="14">
        <v>0</v>
      </c>
      <c r="AL88" s="14">
        <v>0</v>
      </c>
      <c r="AM88" s="14">
        <v>0</v>
      </c>
      <c r="AN88" s="14">
        <v>0</v>
      </c>
      <c r="AO88" s="14">
        <v>0</v>
      </c>
      <c r="AP88" s="14">
        <v>0</v>
      </c>
      <c r="AQ88" s="14">
        <v>0</v>
      </c>
      <c r="AR88" s="14">
        <v>0</v>
      </c>
    </row>
    <row r="89" s="6" customFormat="1" spans="1:44">
      <c r="A89" s="5" t="s">
        <v>1125</v>
      </c>
      <c r="B89" s="14">
        <f t="shared" si="9"/>
        <v>3994.40976156707</v>
      </c>
      <c r="C89" s="14">
        <v>0</v>
      </c>
      <c r="D89" s="14">
        <v>0</v>
      </c>
      <c r="E89" s="14">
        <v>0</v>
      </c>
      <c r="F89" s="14">
        <v>0</v>
      </c>
      <c r="G89" s="14">
        <v>0</v>
      </c>
      <c r="H89" s="14">
        <v>0</v>
      </c>
      <c r="I89" s="14">
        <v>0</v>
      </c>
      <c r="J89" s="14">
        <v>0</v>
      </c>
      <c r="K89" s="14">
        <v>0</v>
      </c>
      <c r="L89" s="14">
        <v>0</v>
      </c>
      <c r="M89" s="14">
        <v>0</v>
      </c>
      <c r="N89" s="14">
        <v>0</v>
      </c>
      <c r="O89" s="14">
        <v>0</v>
      </c>
      <c r="P89" s="14">
        <v>0</v>
      </c>
      <c r="Q89" s="14">
        <v>0</v>
      </c>
      <c r="R89" s="14">
        <v>0</v>
      </c>
      <c r="S89" s="14">
        <v>0</v>
      </c>
      <c r="T89" s="14">
        <v>0</v>
      </c>
      <c r="U89" s="14">
        <v>0</v>
      </c>
      <c r="V89" s="14">
        <v>0</v>
      </c>
      <c r="W89" s="14">
        <v>0</v>
      </c>
      <c r="X89" s="14">
        <v>0</v>
      </c>
      <c r="Y89" s="14">
        <v>0</v>
      </c>
      <c r="Z89" s="14">
        <v>0</v>
      </c>
      <c r="AA89" s="14">
        <v>0</v>
      </c>
      <c r="AB89" s="14">
        <v>0</v>
      </c>
      <c r="AC89" s="14">
        <v>0</v>
      </c>
      <c r="AD89" s="14">
        <v>0</v>
      </c>
      <c r="AE89" s="14">
        <v>0</v>
      </c>
      <c r="AF89" s="14">
        <v>0</v>
      </c>
      <c r="AG89" s="14">
        <v>0</v>
      </c>
      <c r="AH89" s="14">
        <v>0</v>
      </c>
      <c r="AI89" s="14">
        <v>0</v>
      </c>
      <c r="AJ89" s="14">
        <v>0</v>
      </c>
      <c r="AK89" s="14">
        <v>0</v>
      </c>
      <c r="AL89" s="14">
        <v>0</v>
      </c>
      <c r="AM89" s="14">
        <v>0</v>
      </c>
      <c r="AN89" s="14">
        <v>0</v>
      </c>
      <c r="AO89" s="14">
        <v>0</v>
      </c>
      <c r="AP89" s="14">
        <v>0</v>
      </c>
      <c r="AQ89" s="14">
        <v>0</v>
      </c>
      <c r="AR89" s="14">
        <v>0</v>
      </c>
    </row>
    <row r="90" s="6" customFormat="1" spans="1:44">
      <c r="A90" s="5" t="s">
        <v>1126</v>
      </c>
      <c r="B90" s="14">
        <f t="shared" si="9"/>
        <v>0</v>
      </c>
      <c r="C90" s="14">
        <v>0</v>
      </c>
      <c r="D90" s="14">
        <v>0</v>
      </c>
      <c r="E90" s="14">
        <v>0</v>
      </c>
      <c r="F90" s="14">
        <v>0</v>
      </c>
      <c r="G90" s="14">
        <v>0</v>
      </c>
      <c r="H90" s="14">
        <v>0</v>
      </c>
      <c r="I90" s="14">
        <v>0</v>
      </c>
      <c r="J90" s="14">
        <v>0</v>
      </c>
      <c r="K90" s="14">
        <v>0</v>
      </c>
      <c r="L90" s="14">
        <v>0</v>
      </c>
      <c r="M90" s="14">
        <v>0</v>
      </c>
      <c r="N90" s="14">
        <v>0</v>
      </c>
      <c r="O90" s="14">
        <v>0</v>
      </c>
      <c r="P90" s="14">
        <v>0</v>
      </c>
      <c r="Q90" s="14">
        <v>0</v>
      </c>
      <c r="R90" s="14">
        <v>0</v>
      </c>
      <c r="S90" s="14">
        <v>0</v>
      </c>
      <c r="T90" s="14">
        <v>0</v>
      </c>
      <c r="U90" s="14">
        <v>0</v>
      </c>
      <c r="V90" s="14">
        <v>0</v>
      </c>
      <c r="W90" s="14">
        <v>0</v>
      </c>
      <c r="X90" s="14">
        <v>0</v>
      </c>
      <c r="Y90" s="14">
        <v>0</v>
      </c>
      <c r="Z90" s="14">
        <v>0</v>
      </c>
      <c r="AA90" s="14">
        <v>0</v>
      </c>
      <c r="AB90" s="14">
        <v>0</v>
      </c>
      <c r="AC90" s="14">
        <v>0</v>
      </c>
      <c r="AD90" s="14">
        <v>0</v>
      </c>
      <c r="AE90" s="14">
        <v>0</v>
      </c>
      <c r="AF90" s="14">
        <v>0</v>
      </c>
      <c r="AG90" s="14">
        <v>0</v>
      </c>
      <c r="AH90" s="14">
        <v>0</v>
      </c>
      <c r="AI90" s="14">
        <v>0</v>
      </c>
      <c r="AJ90" s="14">
        <v>0</v>
      </c>
      <c r="AK90" s="14">
        <v>0</v>
      </c>
      <c r="AL90" s="14">
        <v>0</v>
      </c>
      <c r="AM90" s="14">
        <v>0</v>
      </c>
      <c r="AN90" s="14">
        <v>0</v>
      </c>
      <c r="AO90" s="14">
        <v>0</v>
      </c>
      <c r="AP90" s="14">
        <v>0</v>
      </c>
      <c r="AQ90" s="14">
        <v>0</v>
      </c>
      <c r="AR90" s="14">
        <v>0</v>
      </c>
    </row>
    <row r="91" s="6" customFormat="1" spans="1:44">
      <c r="A91" s="5" t="s">
        <v>1127</v>
      </c>
      <c r="B91" s="14">
        <f t="shared" si="9"/>
        <v>0</v>
      </c>
      <c r="C91" s="14">
        <v>0</v>
      </c>
      <c r="D91" s="14">
        <v>0</v>
      </c>
      <c r="E91" s="14">
        <v>0</v>
      </c>
      <c r="F91" s="14">
        <v>0</v>
      </c>
      <c r="G91" s="14">
        <v>0</v>
      </c>
      <c r="H91" s="14">
        <v>0</v>
      </c>
      <c r="I91" s="14">
        <v>0</v>
      </c>
      <c r="J91" s="14">
        <v>0</v>
      </c>
      <c r="K91" s="14">
        <v>0</v>
      </c>
      <c r="L91" s="14">
        <v>0</v>
      </c>
      <c r="M91" s="14">
        <v>0</v>
      </c>
      <c r="N91" s="14">
        <v>0</v>
      </c>
      <c r="O91" s="14">
        <v>0</v>
      </c>
      <c r="P91" s="14">
        <v>0</v>
      </c>
      <c r="Q91" s="14">
        <v>0</v>
      </c>
      <c r="R91" s="14">
        <v>0</v>
      </c>
      <c r="S91" s="14">
        <v>0</v>
      </c>
      <c r="T91" s="14">
        <v>0</v>
      </c>
      <c r="U91" s="14">
        <v>0</v>
      </c>
      <c r="V91" s="14">
        <v>0</v>
      </c>
      <c r="W91" s="14">
        <v>0</v>
      </c>
      <c r="X91" s="14">
        <v>0</v>
      </c>
      <c r="Y91" s="14">
        <v>0</v>
      </c>
      <c r="Z91" s="14">
        <v>0</v>
      </c>
      <c r="AA91" s="14">
        <v>0</v>
      </c>
      <c r="AB91" s="14">
        <v>0</v>
      </c>
      <c r="AC91" s="14">
        <v>0</v>
      </c>
      <c r="AD91" s="14">
        <v>0</v>
      </c>
      <c r="AE91" s="14">
        <v>0</v>
      </c>
      <c r="AF91" s="14">
        <v>0</v>
      </c>
      <c r="AG91" s="14">
        <v>0</v>
      </c>
      <c r="AH91" s="14">
        <v>0</v>
      </c>
      <c r="AI91" s="14">
        <v>0</v>
      </c>
      <c r="AJ91" s="14">
        <v>0</v>
      </c>
      <c r="AK91" s="14">
        <v>0</v>
      </c>
      <c r="AL91" s="14">
        <v>0</v>
      </c>
      <c r="AM91" s="14">
        <v>0</v>
      </c>
      <c r="AN91" s="14">
        <v>0</v>
      </c>
      <c r="AO91" s="14">
        <v>0</v>
      </c>
      <c r="AP91" s="14">
        <v>0</v>
      </c>
      <c r="AQ91" s="14">
        <v>0</v>
      </c>
      <c r="AR91" s="14">
        <v>0</v>
      </c>
    </row>
    <row r="92" s="6" customFormat="1" spans="1:44">
      <c r="A92" s="5" t="s">
        <v>1128</v>
      </c>
      <c r="B92" s="14">
        <f t="shared" si="9"/>
        <v>51.8490997015945</v>
      </c>
      <c r="C92" s="14">
        <v>0</v>
      </c>
      <c r="D92" s="14">
        <v>0</v>
      </c>
      <c r="E92" s="14">
        <v>0</v>
      </c>
      <c r="F92" s="14">
        <v>0</v>
      </c>
      <c r="G92" s="14">
        <v>0</v>
      </c>
      <c r="H92" s="14">
        <v>0</v>
      </c>
      <c r="I92" s="14">
        <v>0</v>
      </c>
      <c r="J92" s="14">
        <v>0</v>
      </c>
      <c r="K92" s="14">
        <v>0</v>
      </c>
      <c r="L92" s="14">
        <v>0</v>
      </c>
      <c r="M92" s="14">
        <v>0</v>
      </c>
      <c r="N92" s="14">
        <v>0</v>
      </c>
      <c r="O92" s="14">
        <v>0</v>
      </c>
      <c r="P92" s="14">
        <v>0</v>
      </c>
      <c r="Q92" s="14">
        <v>0</v>
      </c>
      <c r="R92" s="14">
        <v>0</v>
      </c>
      <c r="S92" s="14">
        <v>0</v>
      </c>
      <c r="T92" s="14">
        <v>0</v>
      </c>
      <c r="U92" s="14">
        <v>0</v>
      </c>
      <c r="V92" s="14">
        <v>0</v>
      </c>
      <c r="W92" s="14">
        <v>0</v>
      </c>
      <c r="X92" s="14">
        <v>0</v>
      </c>
      <c r="Y92" s="14">
        <v>0</v>
      </c>
      <c r="Z92" s="14">
        <v>0</v>
      </c>
      <c r="AA92" s="14">
        <v>0</v>
      </c>
      <c r="AB92" s="14">
        <v>0</v>
      </c>
      <c r="AC92" s="14">
        <v>0</v>
      </c>
      <c r="AD92" s="14">
        <v>0</v>
      </c>
      <c r="AE92" s="14">
        <v>0</v>
      </c>
      <c r="AF92" s="14">
        <v>0</v>
      </c>
      <c r="AG92" s="14">
        <v>0</v>
      </c>
      <c r="AH92" s="14">
        <v>0</v>
      </c>
      <c r="AI92" s="14">
        <v>0</v>
      </c>
      <c r="AJ92" s="14">
        <v>0</v>
      </c>
      <c r="AK92" s="14">
        <v>0</v>
      </c>
      <c r="AL92" s="14">
        <v>0</v>
      </c>
      <c r="AM92" s="14">
        <v>0</v>
      </c>
      <c r="AN92" s="14">
        <v>0</v>
      </c>
      <c r="AO92" s="14">
        <v>0</v>
      </c>
      <c r="AP92" s="14">
        <v>0</v>
      </c>
      <c r="AQ92" s="14">
        <v>0</v>
      </c>
      <c r="AR92" s="14">
        <v>0</v>
      </c>
    </row>
    <row r="93" s="6" customFormat="1" spans="1:44">
      <c r="A93" s="5" t="s">
        <v>1129</v>
      </c>
      <c r="B93" s="14">
        <f t="shared" si="9"/>
        <v>0</v>
      </c>
      <c r="C93" s="14">
        <v>0</v>
      </c>
      <c r="D93" s="14">
        <v>0</v>
      </c>
      <c r="E93" s="14">
        <v>0</v>
      </c>
      <c r="F93" s="14">
        <v>0</v>
      </c>
      <c r="G93" s="14">
        <v>0</v>
      </c>
      <c r="H93" s="14">
        <v>0</v>
      </c>
      <c r="I93" s="14">
        <v>0</v>
      </c>
      <c r="J93" s="14">
        <v>0</v>
      </c>
      <c r="K93" s="14">
        <v>0</v>
      </c>
      <c r="L93" s="14">
        <v>0</v>
      </c>
      <c r="M93" s="14">
        <v>0</v>
      </c>
      <c r="N93" s="14">
        <v>0</v>
      </c>
      <c r="O93" s="14">
        <v>0</v>
      </c>
      <c r="P93" s="14">
        <v>0</v>
      </c>
      <c r="Q93" s="14">
        <v>0</v>
      </c>
      <c r="R93" s="14">
        <v>0</v>
      </c>
      <c r="S93" s="14">
        <v>0</v>
      </c>
      <c r="T93" s="14">
        <v>0</v>
      </c>
      <c r="U93" s="14">
        <v>0</v>
      </c>
      <c r="V93" s="14">
        <v>0</v>
      </c>
      <c r="W93" s="14">
        <v>0</v>
      </c>
      <c r="X93" s="14">
        <v>0</v>
      </c>
      <c r="Y93" s="14">
        <v>0</v>
      </c>
      <c r="Z93" s="14">
        <v>0</v>
      </c>
      <c r="AA93" s="14">
        <v>0</v>
      </c>
      <c r="AB93" s="14">
        <v>0</v>
      </c>
      <c r="AC93" s="14">
        <v>0</v>
      </c>
      <c r="AD93" s="14">
        <v>0</v>
      </c>
      <c r="AE93" s="14">
        <v>0</v>
      </c>
      <c r="AF93" s="14">
        <v>0</v>
      </c>
      <c r="AG93" s="14">
        <v>0</v>
      </c>
      <c r="AH93" s="14">
        <v>0</v>
      </c>
      <c r="AI93" s="14">
        <v>0</v>
      </c>
      <c r="AJ93" s="14">
        <v>0</v>
      </c>
      <c r="AK93" s="14">
        <v>0</v>
      </c>
      <c r="AL93" s="14">
        <v>0</v>
      </c>
      <c r="AM93" s="14">
        <v>0</v>
      </c>
      <c r="AN93" s="14">
        <v>0</v>
      </c>
      <c r="AO93" s="14">
        <v>0</v>
      </c>
      <c r="AP93" s="14">
        <v>0</v>
      </c>
      <c r="AQ93" s="14">
        <v>0</v>
      </c>
      <c r="AR93" s="14">
        <v>0</v>
      </c>
    </row>
    <row r="94" s="6" customFormat="1" spans="1:44">
      <c r="A94" s="5" t="s">
        <v>1130</v>
      </c>
      <c r="B94" s="14">
        <f t="shared" si="9"/>
        <v>0</v>
      </c>
      <c r="C94" s="14">
        <v>0</v>
      </c>
      <c r="D94" s="14">
        <v>0</v>
      </c>
      <c r="E94" s="14">
        <v>0</v>
      </c>
      <c r="F94" s="14">
        <v>0</v>
      </c>
      <c r="G94" s="14">
        <v>0</v>
      </c>
      <c r="H94" s="14">
        <v>0</v>
      </c>
      <c r="I94" s="14">
        <v>0</v>
      </c>
      <c r="J94" s="14">
        <v>0</v>
      </c>
      <c r="K94" s="14">
        <v>0</v>
      </c>
      <c r="L94" s="14">
        <v>0</v>
      </c>
      <c r="M94" s="14">
        <v>0</v>
      </c>
      <c r="N94" s="14">
        <v>0</v>
      </c>
      <c r="O94" s="14">
        <v>0</v>
      </c>
      <c r="P94" s="14">
        <v>0</v>
      </c>
      <c r="Q94" s="14">
        <v>0</v>
      </c>
      <c r="R94" s="14">
        <v>0</v>
      </c>
      <c r="S94" s="14">
        <v>0</v>
      </c>
      <c r="T94" s="14">
        <v>0</v>
      </c>
      <c r="U94" s="14">
        <v>0</v>
      </c>
      <c r="V94" s="14">
        <v>0</v>
      </c>
      <c r="W94" s="14">
        <v>0</v>
      </c>
      <c r="X94" s="14">
        <v>0</v>
      </c>
      <c r="Y94" s="14">
        <v>0</v>
      </c>
      <c r="Z94" s="14">
        <v>0</v>
      </c>
      <c r="AA94" s="14">
        <v>0</v>
      </c>
      <c r="AB94" s="14">
        <v>0</v>
      </c>
      <c r="AC94" s="14">
        <v>0</v>
      </c>
      <c r="AD94" s="14">
        <v>0</v>
      </c>
      <c r="AE94" s="14">
        <v>0</v>
      </c>
      <c r="AF94" s="14">
        <v>0</v>
      </c>
      <c r="AG94" s="14">
        <v>0</v>
      </c>
      <c r="AH94" s="14">
        <v>0</v>
      </c>
      <c r="AI94" s="14">
        <v>0</v>
      </c>
      <c r="AJ94" s="14">
        <v>0</v>
      </c>
      <c r="AK94" s="14">
        <v>0</v>
      </c>
      <c r="AL94" s="14">
        <v>0</v>
      </c>
      <c r="AM94" s="14">
        <v>0</v>
      </c>
      <c r="AN94" s="14">
        <v>0</v>
      </c>
      <c r="AO94" s="14">
        <v>0</v>
      </c>
      <c r="AP94" s="14">
        <v>0</v>
      </c>
      <c r="AQ94" s="14">
        <v>0</v>
      </c>
      <c r="AR94" s="14">
        <v>0</v>
      </c>
    </row>
    <row r="95" s="6" customFormat="1" spans="1:44">
      <c r="A95" s="5" t="s">
        <v>1131</v>
      </c>
      <c r="B95" s="14">
        <f t="shared" si="9"/>
        <v>2252.82203328551</v>
      </c>
      <c r="C95" s="14">
        <v>0</v>
      </c>
      <c r="D95" s="14">
        <v>0</v>
      </c>
      <c r="E95" s="14">
        <v>0</v>
      </c>
      <c r="F95" s="14">
        <v>0</v>
      </c>
      <c r="G95" s="14">
        <v>0</v>
      </c>
      <c r="H95" s="14">
        <v>0</v>
      </c>
      <c r="I95" s="14">
        <v>0</v>
      </c>
      <c r="J95" s="14">
        <v>0</v>
      </c>
      <c r="K95" s="14">
        <v>0</v>
      </c>
      <c r="L95" s="14">
        <v>0</v>
      </c>
      <c r="M95" s="14">
        <v>0</v>
      </c>
      <c r="N95" s="14">
        <v>0</v>
      </c>
      <c r="O95" s="14">
        <v>0</v>
      </c>
      <c r="P95" s="14">
        <v>0</v>
      </c>
      <c r="Q95" s="14">
        <v>0</v>
      </c>
      <c r="R95" s="14">
        <v>0</v>
      </c>
      <c r="S95" s="14">
        <v>0</v>
      </c>
      <c r="T95" s="14">
        <v>0</v>
      </c>
      <c r="U95" s="14">
        <v>0</v>
      </c>
      <c r="V95" s="14">
        <v>0</v>
      </c>
      <c r="W95" s="14">
        <v>0</v>
      </c>
      <c r="X95" s="14">
        <v>0</v>
      </c>
      <c r="Y95" s="14">
        <v>0</v>
      </c>
      <c r="Z95" s="14">
        <v>0</v>
      </c>
      <c r="AA95" s="14">
        <v>0</v>
      </c>
      <c r="AB95" s="14">
        <v>0</v>
      </c>
      <c r="AC95" s="14">
        <v>0</v>
      </c>
      <c r="AD95" s="14">
        <v>0</v>
      </c>
      <c r="AE95" s="14">
        <v>0</v>
      </c>
      <c r="AF95" s="14">
        <v>0</v>
      </c>
      <c r="AG95" s="14">
        <v>0</v>
      </c>
      <c r="AH95" s="14">
        <v>0</v>
      </c>
      <c r="AI95" s="14">
        <v>0</v>
      </c>
      <c r="AJ95" s="14">
        <v>0</v>
      </c>
      <c r="AK95" s="14">
        <v>0</v>
      </c>
      <c r="AL95" s="14">
        <v>0</v>
      </c>
      <c r="AM95" s="14">
        <v>0</v>
      </c>
      <c r="AN95" s="14">
        <v>0</v>
      </c>
      <c r="AO95" s="14">
        <v>0</v>
      </c>
      <c r="AP95" s="14">
        <v>0</v>
      </c>
      <c r="AQ95" s="14">
        <v>0</v>
      </c>
      <c r="AR95" s="14">
        <v>0</v>
      </c>
    </row>
    <row r="96" s="6" customFormat="1" spans="1:44">
      <c r="A96" s="5" t="s">
        <v>1132</v>
      </c>
      <c r="B96" s="14">
        <f t="shared" si="9"/>
        <v>0</v>
      </c>
      <c r="C96" s="14">
        <v>0</v>
      </c>
      <c r="D96" s="14">
        <v>0</v>
      </c>
      <c r="E96" s="14">
        <v>0</v>
      </c>
      <c r="F96" s="14">
        <v>0</v>
      </c>
      <c r="G96" s="14">
        <v>0</v>
      </c>
      <c r="H96" s="14">
        <v>0</v>
      </c>
      <c r="I96" s="14">
        <v>0</v>
      </c>
      <c r="J96" s="14">
        <v>0</v>
      </c>
      <c r="K96" s="14">
        <v>0</v>
      </c>
      <c r="L96" s="14">
        <v>0</v>
      </c>
      <c r="M96" s="14">
        <v>0</v>
      </c>
      <c r="N96" s="14">
        <v>0</v>
      </c>
      <c r="O96" s="14">
        <v>0</v>
      </c>
      <c r="P96" s="14">
        <v>0</v>
      </c>
      <c r="Q96" s="14">
        <v>0</v>
      </c>
      <c r="R96" s="14">
        <v>0</v>
      </c>
      <c r="S96" s="14">
        <v>0</v>
      </c>
      <c r="T96" s="14">
        <v>0</v>
      </c>
      <c r="U96" s="14">
        <v>0</v>
      </c>
      <c r="V96" s="14">
        <v>0</v>
      </c>
      <c r="W96" s="14">
        <v>0</v>
      </c>
      <c r="X96" s="14">
        <v>0</v>
      </c>
      <c r="Y96" s="14">
        <v>0</v>
      </c>
      <c r="Z96" s="14">
        <v>0</v>
      </c>
      <c r="AA96" s="14">
        <v>0</v>
      </c>
      <c r="AB96" s="14">
        <v>0</v>
      </c>
      <c r="AC96" s="14">
        <v>0</v>
      </c>
      <c r="AD96" s="14">
        <v>0</v>
      </c>
      <c r="AE96" s="14">
        <v>0</v>
      </c>
      <c r="AF96" s="14">
        <v>0</v>
      </c>
      <c r="AG96" s="14">
        <v>0</v>
      </c>
      <c r="AH96" s="14">
        <v>0</v>
      </c>
      <c r="AI96" s="14">
        <v>0</v>
      </c>
      <c r="AJ96" s="14">
        <v>0</v>
      </c>
      <c r="AK96" s="14">
        <v>0</v>
      </c>
      <c r="AL96" s="14">
        <v>0</v>
      </c>
      <c r="AM96" s="14">
        <v>0</v>
      </c>
      <c r="AN96" s="14">
        <v>0</v>
      </c>
      <c r="AO96" s="14">
        <v>0</v>
      </c>
      <c r="AP96" s="14">
        <v>0</v>
      </c>
      <c r="AQ96" s="14">
        <v>0</v>
      </c>
      <c r="AR96" s="14">
        <v>0</v>
      </c>
    </row>
    <row r="97" s="7" customFormat="1" spans="1:44">
      <c r="A97" s="5" t="s">
        <v>1119</v>
      </c>
      <c r="B97" s="7">
        <f>BAU建筑总能耗计算!B$4*$G$16</f>
        <v>8892.59474401176</v>
      </c>
      <c r="C97" s="7">
        <v>0</v>
      </c>
      <c r="D97" s="7">
        <v>0</v>
      </c>
      <c r="E97" s="7">
        <v>0</v>
      </c>
      <c r="F97" s="7">
        <v>0</v>
      </c>
      <c r="G97" s="7">
        <v>0</v>
      </c>
      <c r="H97" s="7">
        <v>0</v>
      </c>
      <c r="I97" s="7">
        <v>0</v>
      </c>
      <c r="J97" s="7">
        <v>0</v>
      </c>
      <c r="K97" s="7">
        <v>0</v>
      </c>
      <c r="L97" s="7">
        <v>0</v>
      </c>
      <c r="M97" s="7">
        <v>0</v>
      </c>
      <c r="N97" s="7">
        <v>0</v>
      </c>
      <c r="O97" s="7">
        <v>0</v>
      </c>
      <c r="P97" s="7">
        <v>0</v>
      </c>
      <c r="Q97" s="7">
        <v>0</v>
      </c>
      <c r="R97" s="7">
        <v>0</v>
      </c>
      <c r="S97" s="7">
        <v>0</v>
      </c>
      <c r="T97" s="7">
        <v>0</v>
      </c>
      <c r="U97" s="7">
        <v>0</v>
      </c>
      <c r="V97" s="7">
        <v>0</v>
      </c>
      <c r="W97" s="7">
        <v>0</v>
      </c>
      <c r="X97" s="7">
        <v>0</v>
      </c>
      <c r="Y97" s="7">
        <v>0</v>
      </c>
      <c r="Z97" s="7">
        <v>0</v>
      </c>
      <c r="AA97" s="7">
        <v>0</v>
      </c>
      <c r="AB97" s="7">
        <v>0</v>
      </c>
      <c r="AC97" s="7">
        <v>0</v>
      </c>
      <c r="AD97" s="7">
        <v>0</v>
      </c>
      <c r="AE97" s="7">
        <v>0</v>
      </c>
      <c r="AF97" s="7">
        <v>0</v>
      </c>
      <c r="AG97" s="7">
        <v>0</v>
      </c>
      <c r="AH97" s="7">
        <v>0</v>
      </c>
      <c r="AI97" s="7">
        <v>0</v>
      </c>
      <c r="AJ97" s="7">
        <v>0</v>
      </c>
      <c r="AK97" s="7">
        <v>0</v>
      </c>
      <c r="AL97" s="7">
        <v>0</v>
      </c>
      <c r="AM97" s="7">
        <v>0</v>
      </c>
      <c r="AN97" s="7">
        <v>0</v>
      </c>
      <c r="AO97" s="7">
        <v>0</v>
      </c>
      <c r="AP97" s="7">
        <v>0</v>
      </c>
      <c r="AQ97" s="7">
        <v>0</v>
      </c>
      <c r="AR97" s="7">
        <v>0</v>
      </c>
    </row>
    <row r="98" s="6" customFormat="1"/>
    <row r="99" s="5" customFormat="1" spans="1:44">
      <c r="A99" s="13" t="s">
        <v>104</v>
      </c>
      <c r="B99" s="5">
        <v>2018</v>
      </c>
      <c r="C99" s="5">
        <v>2019</v>
      </c>
      <c r="D99" s="5">
        <v>2020</v>
      </c>
      <c r="E99" s="5">
        <v>2021</v>
      </c>
      <c r="F99" s="5">
        <v>2022</v>
      </c>
      <c r="G99" s="5">
        <v>2023</v>
      </c>
      <c r="H99" s="5">
        <v>2024</v>
      </c>
      <c r="I99" s="5">
        <v>2025</v>
      </c>
      <c r="J99" s="5">
        <v>2026</v>
      </c>
      <c r="K99" s="5">
        <v>2027</v>
      </c>
      <c r="L99" s="5">
        <v>2028</v>
      </c>
      <c r="M99" s="5">
        <v>2029</v>
      </c>
      <c r="N99" s="5">
        <v>2030</v>
      </c>
      <c r="O99" s="5">
        <v>2031</v>
      </c>
      <c r="P99" s="5">
        <v>2032</v>
      </c>
      <c r="Q99" s="5">
        <v>2033</v>
      </c>
      <c r="R99" s="5">
        <v>2034</v>
      </c>
      <c r="S99" s="5">
        <v>2035</v>
      </c>
      <c r="T99" s="5">
        <v>2036</v>
      </c>
      <c r="U99" s="5">
        <v>2037</v>
      </c>
      <c r="V99" s="5">
        <v>2038</v>
      </c>
      <c r="W99" s="5">
        <v>2039</v>
      </c>
      <c r="X99" s="5">
        <v>2040</v>
      </c>
      <c r="Y99" s="5">
        <v>2041</v>
      </c>
      <c r="Z99" s="5">
        <v>2042</v>
      </c>
      <c r="AA99" s="5">
        <v>2043</v>
      </c>
      <c r="AB99" s="5">
        <v>2044</v>
      </c>
      <c r="AC99" s="5">
        <v>2045</v>
      </c>
      <c r="AD99" s="5">
        <v>2046</v>
      </c>
      <c r="AE99" s="5">
        <v>2047</v>
      </c>
      <c r="AF99" s="5">
        <v>2048</v>
      </c>
      <c r="AG99" s="5">
        <v>2049</v>
      </c>
      <c r="AH99" s="5">
        <v>2050</v>
      </c>
      <c r="AI99" s="5">
        <v>2051</v>
      </c>
      <c r="AJ99" s="5">
        <v>2052</v>
      </c>
      <c r="AK99" s="5">
        <v>2053</v>
      </c>
      <c r="AL99" s="5">
        <v>2054</v>
      </c>
      <c r="AM99" s="5">
        <v>2055</v>
      </c>
      <c r="AN99" s="5">
        <v>2056</v>
      </c>
      <c r="AO99" s="5">
        <v>2057</v>
      </c>
      <c r="AP99" s="5">
        <v>2058</v>
      </c>
      <c r="AQ99" s="5">
        <v>2059</v>
      </c>
      <c r="AR99" s="5">
        <v>2060</v>
      </c>
    </row>
    <row r="100" s="6" customFormat="1" spans="1:44">
      <c r="A100" s="5" t="s">
        <v>1123</v>
      </c>
      <c r="B100" s="14">
        <f t="shared" ref="B100:B109" si="10">B$110*$H4/$H$14</f>
        <v>1482.57399184145</v>
      </c>
      <c r="C100" s="14">
        <v>107.206151100952</v>
      </c>
      <c r="D100" s="14">
        <v>115.583784205523</v>
      </c>
      <c r="E100" s="14">
        <v>120.828533832057</v>
      </c>
      <c r="F100" s="14">
        <v>137.645579056452</v>
      </c>
      <c r="G100" s="14">
        <v>132.695172905145</v>
      </c>
      <c r="H100" s="14">
        <v>113.784823816934</v>
      </c>
      <c r="I100" s="14">
        <v>102.411513618937</v>
      </c>
      <c r="J100" s="14">
        <v>101.262797793023</v>
      </c>
      <c r="K100" s="14">
        <v>99.2070265774576</v>
      </c>
      <c r="L100" s="14">
        <v>96.9929599069227</v>
      </c>
      <c r="M100" s="14">
        <v>93.9257880293903</v>
      </c>
      <c r="N100" s="14">
        <v>90.2249021298234</v>
      </c>
      <c r="O100" s="14">
        <v>85.6683129063092</v>
      </c>
      <c r="P100" s="14">
        <v>80.4338196850585</v>
      </c>
      <c r="Q100" s="14">
        <v>74.4683545412962</v>
      </c>
      <c r="R100" s="14">
        <v>67.8772825613437</v>
      </c>
      <c r="S100" s="14">
        <v>72.0157128822396</v>
      </c>
      <c r="T100" s="14">
        <v>68.7152044108087</v>
      </c>
      <c r="U100" s="14">
        <v>65.0253171514742</v>
      </c>
      <c r="V100" s="14">
        <v>63.6898254683209</v>
      </c>
      <c r="W100" s="14">
        <v>62.6170857378156</v>
      </c>
      <c r="X100" s="14">
        <v>61.3165941632077</v>
      </c>
      <c r="Y100" s="14">
        <v>60.3030043840805</v>
      </c>
      <c r="Z100" s="14">
        <v>59.1180972241255</v>
      </c>
      <c r="AA100" s="14">
        <v>57.7670300550456</v>
      </c>
      <c r="AB100" s="14">
        <v>56.259069295209</v>
      </c>
      <c r="AC100" s="14">
        <v>54.6071389214805</v>
      </c>
      <c r="AD100" s="14">
        <v>52.605635348831</v>
      </c>
      <c r="AE100" s="14">
        <v>50.4533549214972</v>
      </c>
      <c r="AF100" s="14">
        <v>48.1610031947075</v>
      </c>
      <c r="AG100" s="14">
        <v>45.7453895610816</v>
      </c>
      <c r="AH100" s="14">
        <v>43.1928825124913</v>
      </c>
      <c r="AI100" s="14">
        <v>39.1736418513226</v>
      </c>
      <c r="AJ100" s="14">
        <v>35.0311010777555</v>
      </c>
      <c r="AK100" s="14">
        <v>30.760180336987</v>
      </c>
      <c r="AL100" s="14">
        <v>26.3731997411767</v>
      </c>
      <c r="AM100" s="14">
        <v>21.8780640901674</v>
      </c>
      <c r="AN100" s="14">
        <v>17.1045842911202</v>
      </c>
      <c r="AO100" s="14">
        <v>12.223901050262</v>
      </c>
      <c r="AP100" s="14">
        <v>7.24408626882957</v>
      </c>
      <c r="AQ100" s="14">
        <v>2.17017566431907</v>
      </c>
      <c r="AR100" s="14">
        <v>0</v>
      </c>
    </row>
    <row r="101" s="6" customFormat="1" spans="1:44">
      <c r="A101" s="5" t="s">
        <v>1124</v>
      </c>
      <c r="B101" s="14">
        <f t="shared" si="10"/>
        <v>3567.02752855356</v>
      </c>
      <c r="C101" s="14">
        <v>3058.23910160973</v>
      </c>
      <c r="D101" s="14">
        <v>3029.85170025133</v>
      </c>
      <c r="E101" s="14">
        <v>2887.3969818899</v>
      </c>
      <c r="F101" s="14">
        <v>2698.36503579259</v>
      </c>
      <c r="G101" s="14">
        <v>2032.2558056932</v>
      </c>
      <c r="H101" s="14">
        <v>2011.581609141</v>
      </c>
      <c r="I101" s="14">
        <v>1989.91655833245</v>
      </c>
      <c r="J101" s="14">
        <v>1974.43454523583</v>
      </c>
      <c r="K101" s="14">
        <v>1958.38893609184</v>
      </c>
      <c r="L101" s="14">
        <v>1941.75192531158</v>
      </c>
      <c r="M101" s="14">
        <v>1924.5094647304</v>
      </c>
      <c r="N101" s="14">
        <v>1906.67104497363</v>
      </c>
      <c r="O101" s="14">
        <v>1884.16809337957</v>
      </c>
      <c r="P101" s="14">
        <v>1861.03440104315</v>
      </c>
      <c r="Q101" s="14">
        <v>1837.23840168127</v>
      </c>
      <c r="R101" s="14">
        <v>1812.77196819834</v>
      </c>
      <c r="S101" s="14">
        <v>1787.64301533012</v>
      </c>
      <c r="T101" s="14">
        <v>1748.30461478594</v>
      </c>
      <c r="U101" s="14">
        <v>1708.91471589384</v>
      </c>
      <c r="V101" s="14">
        <v>1669.50684611474</v>
      </c>
      <c r="W101" s="14">
        <v>1630.05735038222</v>
      </c>
      <c r="X101" s="14">
        <v>1590.57446042494</v>
      </c>
      <c r="Y101" s="14">
        <v>1554.16233825712</v>
      </c>
      <c r="Z101" s="14">
        <v>1517.96567101662</v>
      </c>
      <c r="AA101" s="14">
        <v>1481.98843648325</v>
      </c>
      <c r="AB101" s="14">
        <v>1446.22704292709</v>
      </c>
      <c r="AC101" s="14">
        <v>1410.67693593689</v>
      </c>
      <c r="AD101" s="14">
        <v>1373.1263526696</v>
      </c>
      <c r="AE101" s="14">
        <v>1335.9080508424</v>
      </c>
      <c r="AF101" s="14">
        <v>1298.9688190989</v>
      </c>
      <c r="AG101" s="14">
        <v>1262.35216868139</v>
      </c>
      <c r="AH101" s="14">
        <v>1226.07181169071</v>
      </c>
      <c r="AI101" s="14">
        <v>1216.99146890934</v>
      </c>
      <c r="AJ101" s="14">
        <v>1207.90567744925</v>
      </c>
      <c r="AK101" s="14">
        <v>1198.86172597756</v>
      </c>
      <c r="AL101" s="14">
        <v>1189.81376740583</v>
      </c>
      <c r="AM101" s="14">
        <v>1180.78635255182</v>
      </c>
      <c r="AN101" s="14">
        <v>1170.12190539363</v>
      </c>
      <c r="AO101" s="14">
        <v>1159.46364969366</v>
      </c>
      <c r="AP101" s="14">
        <v>1148.82788262095</v>
      </c>
      <c r="AQ101" s="14">
        <v>1138.21189693961</v>
      </c>
      <c r="AR101" s="14">
        <v>1127.61452472659</v>
      </c>
    </row>
    <row r="102" s="6" customFormat="1" spans="1:44">
      <c r="A102" s="5" t="s">
        <v>1125</v>
      </c>
      <c r="B102" s="14">
        <f t="shared" si="10"/>
        <v>752.576158809107</v>
      </c>
      <c r="C102" s="14">
        <v>34.1984456050606</v>
      </c>
      <c r="D102" s="14">
        <v>43.7906925430654</v>
      </c>
      <c r="E102" s="14">
        <v>59.2912075225952</v>
      </c>
      <c r="F102" s="14">
        <v>68.2578731385563</v>
      </c>
      <c r="G102" s="14">
        <v>72.3713793522267</v>
      </c>
      <c r="H102" s="14">
        <v>71.6351432360398</v>
      </c>
      <c r="I102" s="14">
        <v>70.8636214589296</v>
      </c>
      <c r="J102" s="14">
        <v>70.3122860218195</v>
      </c>
      <c r="K102" s="14">
        <v>69.7408801667868</v>
      </c>
      <c r="L102" s="14">
        <v>69.1484136991834</v>
      </c>
      <c r="M102" s="14">
        <v>68.5343863448558</v>
      </c>
      <c r="N102" s="14">
        <v>67.8991360778152</v>
      </c>
      <c r="O102" s="14">
        <v>67.0977755198597</v>
      </c>
      <c r="P102" s="14">
        <v>66.2739534305313</v>
      </c>
      <c r="Q102" s="14">
        <v>65.4265456917712</v>
      </c>
      <c r="R102" s="14">
        <v>64.5552628867088</v>
      </c>
      <c r="S102" s="14">
        <v>63.660386869794</v>
      </c>
      <c r="T102" s="14">
        <v>62.2594931924742</v>
      </c>
      <c r="U102" s="14">
        <v>60.8567655892953</v>
      </c>
      <c r="V102" s="14">
        <v>59.4533980185118</v>
      </c>
      <c r="W102" s="14">
        <v>58.0485480911975</v>
      </c>
      <c r="X102" s="14">
        <v>56.6425089503492</v>
      </c>
      <c r="Y102" s="14">
        <v>55.3458240059417</v>
      </c>
      <c r="Z102" s="14">
        <v>54.0568117030568</v>
      </c>
      <c r="AA102" s="14">
        <v>52.7756136958154</v>
      </c>
      <c r="AB102" s="14">
        <v>51.5021020778553</v>
      </c>
      <c r="AC102" s="14">
        <v>50.2361146604286</v>
      </c>
      <c r="AD102" s="14">
        <v>48.8988875756681</v>
      </c>
      <c r="AE102" s="14">
        <v>47.573493482643</v>
      </c>
      <c r="AF102" s="14">
        <v>46.2580374529445</v>
      </c>
      <c r="AG102" s="14">
        <v>44.9540689807917</v>
      </c>
      <c r="AH102" s="14">
        <v>43.6620763726512</v>
      </c>
      <c r="AI102" s="14">
        <v>43.3387130784053</v>
      </c>
      <c r="AJ102" s="14">
        <v>43.0151557493374</v>
      </c>
      <c r="AK102" s="14">
        <v>42.693088398875</v>
      </c>
      <c r="AL102" s="14">
        <v>42.370878350158</v>
      </c>
      <c r="AM102" s="14">
        <v>42.0493998910296</v>
      </c>
      <c r="AN102" s="14">
        <v>41.6696244962663</v>
      </c>
      <c r="AO102" s="14">
        <v>41.2900695877087</v>
      </c>
      <c r="AP102" s="14">
        <v>40.9113155295999</v>
      </c>
      <c r="AQ102" s="14">
        <v>40.5332659136068</v>
      </c>
      <c r="AR102" s="14">
        <v>40.1558791484089</v>
      </c>
    </row>
    <row r="103" s="6" customFormat="1" spans="1:44">
      <c r="A103" s="5" t="s">
        <v>1126</v>
      </c>
      <c r="B103" s="14">
        <f t="shared" si="10"/>
        <v>0</v>
      </c>
      <c r="C103" s="14">
        <v>0</v>
      </c>
      <c r="D103" s="14">
        <v>0</v>
      </c>
      <c r="E103" s="14">
        <v>0</v>
      </c>
      <c r="F103" s="14">
        <v>0</v>
      </c>
      <c r="G103" s="14">
        <v>0</v>
      </c>
      <c r="H103" s="14">
        <v>0</v>
      </c>
      <c r="I103" s="14">
        <v>0</v>
      </c>
      <c r="J103" s="14">
        <v>0</v>
      </c>
      <c r="K103" s="14">
        <v>0</v>
      </c>
      <c r="L103" s="14">
        <v>0</v>
      </c>
      <c r="M103" s="14">
        <v>0</v>
      </c>
      <c r="N103" s="14">
        <v>0</v>
      </c>
      <c r="O103" s="14">
        <v>0</v>
      </c>
      <c r="P103" s="14">
        <v>0</v>
      </c>
      <c r="Q103" s="14">
        <v>0</v>
      </c>
      <c r="R103" s="14">
        <v>0</v>
      </c>
      <c r="S103" s="14">
        <v>0</v>
      </c>
      <c r="T103" s="14">
        <v>0</v>
      </c>
      <c r="U103" s="14">
        <v>0</v>
      </c>
      <c r="V103" s="14">
        <v>0</v>
      </c>
      <c r="W103" s="14">
        <v>0</v>
      </c>
      <c r="X103" s="14">
        <v>0</v>
      </c>
      <c r="Y103" s="14">
        <v>0</v>
      </c>
      <c r="Z103" s="14">
        <v>0</v>
      </c>
      <c r="AA103" s="14">
        <v>0</v>
      </c>
      <c r="AB103" s="14">
        <v>0</v>
      </c>
      <c r="AC103" s="14">
        <v>0</v>
      </c>
      <c r="AD103" s="14">
        <v>0</v>
      </c>
      <c r="AE103" s="14">
        <v>0</v>
      </c>
      <c r="AF103" s="14">
        <v>0</v>
      </c>
      <c r="AG103" s="14">
        <v>0</v>
      </c>
      <c r="AH103" s="14">
        <v>0</v>
      </c>
      <c r="AI103" s="14">
        <v>0</v>
      </c>
      <c r="AJ103" s="14">
        <v>0</v>
      </c>
      <c r="AK103" s="14">
        <v>0</v>
      </c>
      <c r="AL103" s="14">
        <v>0</v>
      </c>
      <c r="AM103" s="14">
        <v>0</v>
      </c>
      <c r="AN103" s="14">
        <v>0</v>
      </c>
      <c r="AO103" s="14">
        <v>0</v>
      </c>
      <c r="AP103" s="14">
        <v>0</v>
      </c>
      <c r="AQ103" s="14">
        <v>0</v>
      </c>
      <c r="AR103" s="14">
        <v>0</v>
      </c>
    </row>
    <row r="104" s="6" customFormat="1" spans="1:44">
      <c r="A104" s="5" t="s">
        <v>1127</v>
      </c>
      <c r="B104" s="14">
        <f t="shared" si="10"/>
        <v>280.343400789578</v>
      </c>
      <c r="C104" s="14">
        <v>0</v>
      </c>
      <c r="D104" s="14">
        <v>0</v>
      </c>
      <c r="E104" s="14">
        <v>0</v>
      </c>
      <c r="F104" s="14">
        <v>0</v>
      </c>
      <c r="G104" s="14">
        <v>0</v>
      </c>
      <c r="H104" s="14">
        <v>0</v>
      </c>
      <c r="I104" s="14">
        <v>0</v>
      </c>
      <c r="J104" s="14">
        <v>0</v>
      </c>
      <c r="K104" s="14">
        <v>0</v>
      </c>
      <c r="L104" s="14">
        <v>0</v>
      </c>
      <c r="M104" s="14">
        <v>0</v>
      </c>
      <c r="N104" s="14">
        <v>0</v>
      </c>
      <c r="O104" s="14">
        <v>0</v>
      </c>
      <c r="P104" s="14">
        <v>0</v>
      </c>
      <c r="Q104" s="14">
        <v>0</v>
      </c>
      <c r="R104" s="14">
        <v>0</v>
      </c>
      <c r="S104" s="14">
        <v>0</v>
      </c>
      <c r="T104" s="14">
        <v>0</v>
      </c>
      <c r="U104" s="14">
        <v>0</v>
      </c>
      <c r="V104" s="14">
        <v>0</v>
      </c>
      <c r="W104" s="14">
        <v>0</v>
      </c>
      <c r="X104" s="14">
        <v>0</v>
      </c>
      <c r="Y104" s="14">
        <v>0</v>
      </c>
      <c r="Z104" s="14">
        <v>0</v>
      </c>
      <c r="AA104" s="14">
        <v>0</v>
      </c>
      <c r="AB104" s="14">
        <v>0</v>
      </c>
      <c r="AC104" s="14">
        <v>0</v>
      </c>
      <c r="AD104" s="14">
        <v>0</v>
      </c>
      <c r="AE104" s="14">
        <v>0</v>
      </c>
      <c r="AF104" s="14">
        <v>0</v>
      </c>
      <c r="AG104" s="14">
        <v>0</v>
      </c>
      <c r="AH104" s="14">
        <v>0</v>
      </c>
      <c r="AI104" s="14">
        <v>0</v>
      </c>
      <c r="AJ104" s="14">
        <v>0</v>
      </c>
      <c r="AK104" s="14">
        <v>0</v>
      </c>
      <c r="AL104" s="14">
        <v>0</v>
      </c>
      <c r="AM104" s="14">
        <v>0</v>
      </c>
      <c r="AN104" s="14">
        <v>0</v>
      </c>
      <c r="AO104" s="14">
        <v>0</v>
      </c>
      <c r="AP104" s="14">
        <v>0</v>
      </c>
      <c r="AQ104" s="14">
        <v>0</v>
      </c>
      <c r="AR104" s="14">
        <v>0</v>
      </c>
    </row>
    <row r="105" s="6" customFormat="1" spans="1:44">
      <c r="A105" s="5" t="s">
        <v>1128</v>
      </c>
      <c r="B105" s="14">
        <f t="shared" si="10"/>
        <v>166.849629518453</v>
      </c>
      <c r="C105" s="14">
        <v>973.40003182499</v>
      </c>
      <c r="D105" s="14">
        <v>894.267026408535</v>
      </c>
      <c r="E105" s="14">
        <v>913.873474443854</v>
      </c>
      <c r="F105" s="14">
        <v>482.743781649484</v>
      </c>
      <c r="G105" s="14">
        <v>395.182546956369</v>
      </c>
      <c r="H105" s="14">
        <v>391.162343580943</v>
      </c>
      <c r="I105" s="14">
        <v>386.949463522007</v>
      </c>
      <c r="J105" s="14">
        <v>383.938906804495</v>
      </c>
      <c r="K105" s="14">
        <v>380.818755949851</v>
      </c>
      <c r="L105" s="14">
        <v>377.583604018944</v>
      </c>
      <c r="M105" s="14">
        <v>374.230719274229</v>
      </c>
      <c r="N105" s="14">
        <v>370.761947216396</v>
      </c>
      <c r="O105" s="14">
        <v>366.386133059505</v>
      </c>
      <c r="P105" s="14">
        <v>361.88766813575</v>
      </c>
      <c r="Q105" s="14">
        <v>357.260414219753</v>
      </c>
      <c r="R105" s="14">
        <v>352.502790956168</v>
      </c>
      <c r="S105" s="14">
        <v>347.616337405885</v>
      </c>
      <c r="T105" s="14">
        <v>339.966783999919</v>
      </c>
      <c r="U105" s="14">
        <v>332.307216476515</v>
      </c>
      <c r="V105" s="14">
        <v>324.644154422121</v>
      </c>
      <c r="W105" s="14">
        <v>316.972997987952</v>
      </c>
      <c r="X105" s="14">
        <v>309.295347875792</v>
      </c>
      <c r="Y105" s="14">
        <v>302.214824283213</v>
      </c>
      <c r="Z105" s="14">
        <v>295.176197004424</v>
      </c>
      <c r="AA105" s="14">
        <v>288.180239539072</v>
      </c>
      <c r="AB105" s="14">
        <v>281.226253456886</v>
      </c>
      <c r="AC105" s="14">
        <v>274.313353129278</v>
      </c>
      <c r="AD105" s="14">
        <v>267.011449946768</v>
      </c>
      <c r="AE105" s="14">
        <v>259.774160591629</v>
      </c>
      <c r="AF105" s="14">
        <v>252.591137843157</v>
      </c>
      <c r="AG105" s="14">
        <v>245.470842685203</v>
      </c>
      <c r="AH105" s="14">
        <v>238.415941505983</v>
      </c>
      <c r="AI105" s="14">
        <v>236.650222359048</v>
      </c>
      <c r="AJ105" s="14">
        <v>234.883443688641</v>
      </c>
      <c r="AK105" s="14">
        <v>233.124801018204</v>
      </c>
      <c r="AL105" s="14">
        <v>231.365379146649</v>
      </c>
      <c r="AM105" s="14">
        <v>229.609952106193</v>
      </c>
      <c r="AN105" s="14">
        <v>227.536195752269</v>
      </c>
      <c r="AO105" s="14">
        <v>225.463643359098</v>
      </c>
      <c r="AP105" s="14">
        <v>223.395463994642</v>
      </c>
      <c r="AQ105" s="14">
        <v>221.331131223023</v>
      </c>
      <c r="AR105" s="14">
        <v>219.270417935625</v>
      </c>
    </row>
    <row r="106" s="6" customFormat="1" spans="1:44">
      <c r="A106" s="5" t="s">
        <v>1129</v>
      </c>
      <c r="B106" s="14">
        <f t="shared" si="10"/>
        <v>0</v>
      </c>
      <c r="C106" s="14">
        <v>33.9121126208999</v>
      </c>
      <c r="D106" s="14">
        <v>17.7277883922</v>
      </c>
      <c r="E106" s="14">
        <v>3.67491467500001</v>
      </c>
      <c r="F106" s="14">
        <v>2.73413651820001</v>
      </c>
      <c r="G106" s="14">
        <v>2.84</v>
      </c>
      <c r="H106" s="14">
        <v>2.81110859861059</v>
      </c>
      <c r="I106" s="14">
        <v>2.78083251617849</v>
      </c>
      <c r="J106" s="14">
        <v>2.75919699319402</v>
      </c>
      <c r="K106" s="14">
        <v>2.73677386622286</v>
      </c>
      <c r="L106" s="14">
        <v>2.71352427801473</v>
      </c>
      <c r="M106" s="14">
        <v>2.68942859679518</v>
      </c>
      <c r="N106" s="14">
        <v>2.66450008535125</v>
      </c>
      <c r="O106" s="14">
        <v>2.63305306851995</v>
      </c>
      <c r="P106" s="14">
        <v>2.60072461555091</v>
      </c>
      <c r="Q106" s="14">
        <v>2.56747061376706</v>
      </c>
      <c r="R106" s="14">
        <v>2.53327970586224</v>
      </c>
      <c r="S106" s="14">
        <v>2.49816295237784</v>
      </c>
      <c r="T106" s="14">
        <v>2.44318903756236</v>
      </c>
      <c r="U106" s="14">
        <v>2.38814315576923</v>
      </c>
      <c r="V106" s="14">
        <v>2.33307216034675</v>
      </c>
      <c r="W106" s="14">
        <v>2.27794299424153</v>
      </c>
      <c r="X106" s="14">
        <v>2.2227671609805</v>
      </c>
      <c r="Y106" s="14">
        <v>2.17188260861907</v>
      </c>
      <c r="Z106" s="14">
        <v>2.12129914630345</v>
      </c>
      <c r="AA106" s="14">
        <v>2.07102233282921</v>
      </c>
      <c r="AB106" s="14">
        <v>2.02104714889076</v>
      </c>
      <c r="AC106" s="14">
        <v>1.97136722987204</v>
      </c>
      <c r="AD106" s="14">
        <v>1.9188917215328</v>
      </c>
      <c r="AE106" s="14">
        <v>1.86688056383645</v>
      </c>
      <c r="AF106" s="14">
        <v>1.81525939594131</v>
      </c>
      <c r="AG106" s="14">
        <v>1.76408902314946</v>
      </c>
      <c r="AH106" s="14">
        <v>1.71338860759899</v>
      </c>
      <c r="AI106" s="14">
        <v>1.70069917478897</v>
      </c>
      <c r="AJ106" s="14">
        <v>1.68800212765821</v>
      </c>
      <c r="AK106" s="14">
        <v>1.6753635503159</v>
      </c>
      <c r="AL106" s="14">
        <v>1.66271937320408</v>
      </c>
      <c r="AM106" s="14">
        <v>1.65010390515446</v>
      </c>
      <c r="AN106" s="14">
        <v>1.63520074687861</v>
      </c>
      <c r="AO106" s="14">
        <v>1.62030624092955</v>
      </c>
      <c r="AP106" s="14">
        <v>1.6054431619796</v>
      </c>
      <c r="AQ106" s="14">
        <v>1.59060772676985</v>
      </c>
      <c r="AR106" s="14">
        <v>1.57579830317235</v>
      </c>
    </row>
    <row r="107" s="6" customFormat="1" spans="1:44">
      <c r="A107" s="5" t="s">
        <v>1130</v>
      </c>
      <c r="B107" s="14">
        <f t="shared" si="10"/>
        <v>0</v>
      </c>
      <c r="C107" s="14">
        <v>0</v>
      </c>
      <c r="D107" s="14">
        <v>0</v>
      </c>
      <c r="E107" s="14">
        <v>0</v>
      </c>
      <c r="F107" s="14">
        <v>0</v>
      </c>
      <c r="G107" s="14">
        <v>0</v>
      </c>
      <c r="H107" s="14">
        <v>0</v>
      </c>
      <c r="I107" s="14">
        <v>0</v>
      </c>
      <c r="J107" s="14">
        <v>0</v>
      </c>
      <c r="K107" s="14">
        <v>0</v>
      </c>
      <c r="L107" s="14">
        <v>0</v>
      </c>
      <c r="M107" s="14">
        <v>0</v>
      </c>
      <c r="N107" s="14">
        <v>0</v>
      </c>
      <c r="O107" s="14">
        <v>0</v>
      </c>
      <c r="P107" s="14">
        <v>0</v>
      </c>
      <c r="Q107" s="14">
        <v>0</v>
      </c>
      <c r="R107" s="14">
        <v>0</v>
      </c>
      <c r="S107" s="14">
        <v>0</v>
      </c>
      <c r="T107" s="14">
        <v>0</v>
      </c>
      <c r="U107" s="14">
        <v>0</v>
      </c>
      <c r="V107" s="14">
        <v>0</v>
      </c>
      <c r="W107" s="14">
        <v>0</v>
      </c>
      <c r="X107" s="14">
        <v>0</v>
      </c>
      <c r="Y107" s="14">
        <v>0</v>
      </c>
      <c r="Z107" s="14">
        <v>0</v>
      </c>
      <c r="AA107" s="14">
        <v>0</v>
      </c>
      <c r="AB107" s="14">
        <v>0</v>
      </c>
      <c r="AC107" s="14">
        <v>0</v>
      </c>
      <c r="AD107" s="14">
        <v>0</v>
      </c>
      <c r="AE107" s="14">
        <v>0</v>
      </c>
      <c r="AF107" s="14">
        <v>0</v>
      </c>
      <c r="AG107" s="14">
        <v>0</v>
      </c>
      <c r="AH107" s="14">
        <v>0</v>
      </c>
      <c r="AI107" s="14">
        <v>0</v>
      </c>
      <c r="AJ107" s="14">
        <v>0</v>
      </c>
      <c r="AK107" s="14">
        <v>0</v>
      </c>
      <c r="AL107" s="14">
        <v>0</v>
      </c>
      <c r="AM107" s="14">
        <v>0</v>
      </c>
      <c r="AN107" s="14">
        <v>0</v>
      </c>
      <c r="AO107" s="14">
        <v>0</v>
      </c>
      <c r="AP107" s="14">
        <v>0</v>
      </c>
      <c r="AQ107" s="14">
        <v>0</v>
      </c>
      <c r="AR107" s="14">
        <v>0</v>
      </c>
    </row>
    <row r="108" s="6" customFormat="1" spans="1:44">
      <c r="A108" s="5" t="s">
        <v>1131</v>
      </c>
      <c r="B108" s="14">
        <f t="shared" si="10"/>
        <v>385.988262168748</v>
      </c>
      <c r="C108" s="14">
        <v>252.485490155339</v>
      </c>
      <c r="D108" s="14">
        <v>257.394893186375</v>
      </c>
      <c r="E108" s="14">
        <v>233.999328488977</v>
      </c>
      <c r="F108" s="14">
        <v>254.98151578635</v>
      </c>
      <c r="G108" s="14">
        <v>234.468484878532</v>
      </c>
      <c r="H108" s="14">
        <v>232.083230262407</v>
      </c>
      <c r="I108" s="14">
        <v>229.583657313142</v>
      </c>
      <c r="J108" s="14">
        <v>227.797443125212</v>
      </c>
      <c r="K108" s="14">
        <v>225.946204883252</v>
      </c>
      <c r="L108" s="14">
        <v>224.026734558882</v>
      </c>
      <c r="M108" s="14">
        <v>222.037411366043</v>
      </c>
      <c r="N108" s="14">
        <v>219.979330271488</v>
      </c>
      <c r="O108" s="14">
        <v>217.383085767831</v>
      </c>
      <c r="P108" s="14">
        <v>214.71407049103</v>
      </c>
      <c r="Q108" s="14">
        <v>211.96864252821</v>
      </c>
      <c r="R108" s="14">
        <v>209.145864227835</v>
      </c>
      <c r="S108" s="14">
        <v>206.246648740743</v>
      </c>
      <c r="T108" s="14">
        <v>201.708039404607</v>
      </c>
      <c r="U108" s="14">
        <v>197.163488523326</v>
      </c>
      <c r="V108" s="14">
        <v>192.616864277741</v>
      </c>
      <c r="W108" s="14">
        <v>188.065437499816</v>
      </c>
      <c r="X108" s="14">
        <v>183.510157912977</v>
      </c>
      <c r="Y108" s="14">
        <v>179.309163583432</v>
      </c>
      <c r="Z108" s="14">
        <v>175.133027045032</v>
      </c>
      <c r="AA108" s="14">
        <v>170.982207228192</v>
      </c>
      <c r="AB108" s="14">
        <v>166.856289742427</v>
      </c>
      <c r="AC108" s="14">
        <v>162.754749129325</v>
      </c>
      <c r="AD108" s="14">
        <v>158.422406547096</v>
      </c>
      <c r="AE108" s="14">
        <v>154.128400440814</v>
      </c>
      <c r="AF108" s="14">
        <v>149.866591629534</v>
      </c>
      <c r="AG108" s="14">
        <v>145.642000157994</v>
      </c>
      <c r="AH108" s="14">
        <v>141.456208039391</v>
      </c>
      <c r="AI108" s="14">
        <v>140.40857702357</v>
      </c>
      <c r="AJ108" s="14">
        <v>139.360317374563</v>
      </c>
      <c r="AK108" s="14">
        <v>138.316884951861</v>
      </c>
      <c r="AL108" s="14">
        <v>137.272990215965</v>
      </c>
      <c r="AM108" s="14">
        <v>136.231465680885</v>
      </c>
      <c r="AN108" s="14">
        <v>135.001070983405</v>
      </c>
      <c r="AO108" s="14">
        <v>133.77139061619</v>
      </c>
      <c r="AP108" s="14">
        <v>132.544304840829</v>
      </c>
      <c r="AQ108" s="14">
        <v>131.319501314018</v>
      </c>
      <c r="AR108" s="14">
        <v>130.096845288374</v>
      </c>
    </row>
    <row r="109" s="6" customFormat="1" spans="1:44">
      <c r="A109" s="5" t="s">
        <v>1132</v>
      </c>
      <c r="B109" s="14">
        <f t="shared" si="10"/>
        <v>0</v>
      </c>
      <c r="C109" s="14">
        <v>0</v>
      </c>
      <c r="D109" s="14">
        <v>0</v>
      </c>
      <c r="E109" s="14">
        <v>0</v>
      </c>
      <c r="F109" s="14">
        <v>0</v>
      </c>
      <c r="G109" s="14">
        <v>0</v>
      </c>
      <c r="H109" s="14">
        <v>0</v>
      </c>
      <c r="I109" s="14">
        <v>0</v>
      </c>
      <c r="J109" s="14">
        <v>0</v>
      </c>
      <c r="K109" s="14">
        <v>0</v>
      </c>
      <c r="L109" s="14">
        <v>0</v>
      </c>
      <c r="M109" s="14">
        <v>0</v>
      </c>
      <c r="N109" s="14">
        <v>0</v>
      </c>
      <c r="O109" s="14">
        <v>0</v>
      </c>
      <c r="P109" s="14">
        <v>0</v>
      </c>
      <c r="Q109" s="14">
        <v>0</v>
      </c>
      <c r="R109" s="14">
        <v>0</v>
      </c>
      <c r="S109" s="14">
        <v>0</v>
      </c>
      <c r="T109" s="14">
        <v>0</v>
      </c>
      <c r="U109" s="14">
        <v>0</v>
      </c>
      <c r="V109" s="14">
        <v>0</v>
      </c>
      <c r="W109" s="14">
        <v>0</v>
      </c>
      <c r="X109" s="14">
        <v>0</v>
      </c>
      <c r="Y109" s="14">
        <v>0</v>
      </c>
      <c r="Z109" s="14">
        <v>0</v>
      </c>
      <c r="AA109" s="14">
        <v>0</v>
      </c>
      <c r="AB109" s="14">
        <v>0</v>
      </c>
      <c r="AC109" s="14">
        <v>0</v>
      </c>
      <c r="AD109" s="14">
        <v>0</v>
      </c>
      <c r="AE109" s="14">
        <v>0</v>
      </c>
      <c r="AF109" s="14">
        <v>0</v>
      </c>
      <c r="AG109" s="14">
        <v>0</v>
      </c>
      <c r="AH109" s="14">
        <v>0</v>
      </c>
      <c r="AI109" s="14">
        <v>0</v>
      </c>
      <c r="AJ109" s="14">
        <v>0</v>
      </c>
      <c r="AK109" s="14">
        <v>0</v>
      </c>
      <c r="AL109" s="14">
        <v>0</v>
      </c>
      <c r="AM109" s="14">
        <v>0</v>
      </c>
      <c r="AN109" s="14">
        <v>0</v>
      </c>
      <c r="AO109" s="14">
        <v>0</v>
      </c>
      <c r="AP109" s="14">
        <v>0</v>
      </c>
      <c r="AQ109" s="14">
        <v>0</v>
      </c>
      <c r="AR109" s="14">
        <v>0</v>
      </c>
    </row>
    <row r="110" s="7" customFormat="1" spans="1:44">
      <c r="A110" s="5" t="s">
        <v>1119</v>
      </c>
      <c r="B110" s="7">
        <f>BAU建筑总能耗计算!B$5*$H$16</f>
        <v>6635.35897168089</v>
      </c>
      <c r="C110" s="7">
        <v>0</v>
      </c>
      <c r="D110" s="7">
        <v>0</v>
      </c>
      <c r="E110" s="7">
        <v>0</v>
      </c>
      <c r="F110" s="7">
        <v>0</v>
      </c>
      <c r="G110" s="7">
        <v>0</v>
      </c>
      <c r="H110" s="7">
        <v>0</v>
      </c>
      <c r="I110" s="7">
        <v>0</v>
      </c>
      <c r="J110" s="7">
        <v>0</v>
      </c>
      <c r="K110" s="7">
        <v>0</v>
      </c>
      <c r="L110" s="7">
        <v>0</v>
      </c>
      <c r="M110" s="7">
        <v>0</v>
      </c>
      <c r="N110" s="7">
        <v>0</v>
      </c>
      <c r="O110" s="7">
        <v>0</v>
      </c>
      <c r="P110" s="7">
        <v>0</v>
      </c>
      <c r="Q110" s="7">
        <v>0</v>
      </c>
      <c r="R110" s="7">
        <v>0</v>
      </c>
      <c r="S110" s="7">
        <v>0</v>
      </c>
      <c r="T110" s="7">
        <v>0</v>
      </c>
      <c r="U110" s="7">
        <v>0</v>
      </c>
      <c r="V110" s="7">
        <v>0</v>
      </c>
      <c r="W110" s="7">
        <v>0</v>
      </c>
      <c r="X110" s="7">
        <v>0</v>
      </c>
      <c r="Y110" s="7">
        <v>0</v>
      </c>
      <c r="Z110" s="7">
        <v>0</v>
      </c>
      <c r="AA110" s="7">
        <v>0</v>
      </c>
      <c r="AB110" s="7">
        <v>0</v>
      </c>
      <c r="AC110" s="7">
        <v>0</v>
      </c>
      <c r="AD110" s="7">
        <v>0</v>
      </c>
      <c r="AE110" s="7">
        <v>0</v>
      </c>
      <c r="AF110" s="7">
        <v>0</v>
      </c>
      <c r="AG110" s="7">
        <v>0</v>
      </c>
      <c r="AH110" s="7">
        <v>0</v>
      </c>
      <c r="AI110" s="7">
        <v>0</v>
      </c>
      <c r="AJ110" s="7">
        <v>0</v>
      </c>
      <c r="AK110" s="7">
        <v>0</v>
      </c>
      <c r="AL110" s="7">
        <v>0</v>
      </c>
      <c r="AM110" s="7">
        <v>0</v>
      </c>
      <c r="AN110" s="7">
        <v>0</v>
      </c>
      <c r="AO110" s="7">
        <v>0</v>
      </c>
      <c r="AP110" s="7">
        <v>0</v>
      </c>
      <c r="AQ110" s="7">
        <v>0</v>
      </c>
      <c r="AR110" s="7">
        <v>0</v>
      </c>
    </row>
    <row r="111" s="6" customFormat="1"/>
    <row r="112" s="5" customFormat="1" spans="1:44">
      <c r="A112" s="13" t="s">
        <v>105</v>
      </c>
      <c r="B112" s="5">
        <v>2018</v>
      </c>
      <c r="C112" s="5">
        <v>2019</v>
      </c>
      <c r="D112" s="5">
        <v>2020</v>
      </c>
      <c r="E112" s="5">
        <v>2021</v>
      </c>
      <c r="F112" s="5">
        <v>2022</v>
      </c>
      <c r="G112" s="5">
        <v>2023</v>
      </c>
      <c r="H112" s="5">
        <v>2024</v>
      </c>
      <c r="I112" s="5">
        <v>2025</v>
      </c>
      <c r="J112" s="5">
        <v>2026</v>
      </c>
      <c r="K112" s="5">
        <v>2027</v>
      </c>
      <c r="L112" s="5">
        <v>2028</v>
      </c>
      <c r="M112" s="5">
        <v>2029</v>
      </c>
      <c r="N112" s="5">
        <v>2030</v>
      </c>
      <c r="O112" s="5">
        <v>2031</v>
      </c>
      <c r="P112" s="5">
        <v>2032</v>
      </c>
      <c r="Q112" s="5">
        <v>2033</v>
      </c>
      <c r="R112" s="5">
        <v>2034</v>
      </c>
      <c r="S112" s="5">
        <v>2035</v>
      </c>
      <c r="T112" s="5">
        <v>2036</v>
      </c>
      <c r="U112" s="5">
        <v>2037</v>
      </c>
      <c r="V112" s="5">
        <v>2038</v>
      </c>
      <c r="W112" s="5">
        <v>2039</v>
      </c>
      <c r="X112" s="5">
        <v>2040</v>
      </c>
      <c r="Y112" s="5">
        <v>2041</v>
      </c>
      <c r="Z112" s="5">
        <v>2042</v>
      </c>
      <c r="AA112" s="5">
        <v>2043</v>
      </c>
      <c r="AB112" s="5">
        <v>2044</v>
      </c>
      <c r="AC112" s="5">
        <v>2045</v>
      </c>
      <c r="AD112" s="5">
        <v>2046</v>
      </c>
      <c r="AE112" s="5">
        <v>2047</v>
      </c>
      <c r="AF112" s="5">
        <v>2048</v>
      </c>
      <c r="AG112" s="5">
        <v>2049</v>
      </c>
      <c r="AH112" s="5">
        <v>2050</v>
      </c>
      <c r="AI112" s="5">
        <v>2051</v>
      </c>
      <c r="AJ112" s="5">
        <v>2052</v>
      </c>
      <c r="AK112" s="5">
        <v>2053</v>
      </c>
      <c r="AL112" s="5">
        <v>2054</v>
      </c>
      <c r="AM112" s="5">
        <v>2055</v>
      </c>
      <c r="AN112" s="5">
        <v>2056</v>
      </c>
      <c r="AO112" s="5">
        <v>2057</v>
      </c>
      <c r="AP112" s="5">
        <v>2058</v>
      </c>
      <c r="AQ112" s="5">
        <v>2059</v>
      </c>
      <c r="AR112" s="5">
        <v>2060</v>
      </c>
    </row>
    <row r="113" s="6" customFormat="1" spans="1:44">
      <c r="A113" s="5" t="s">
        <v>1123</v>
      </c>
      <c r="B113" s="14">
        <f t="shared" ref="B113:B122" si="11">B$123*$I4/$I$14</f>
        <v>129.089556017857</v>
      </c>
      <c r="C113" s="14">
        <v>3026.03677297735</v>
      </c>
      <c r="D113" s="14">
        <v>3262.50665445897</v>
      </c>
      <c r="E113" s="14">
        <v>3410.54671626482</v>
      </c>
      <c r="F113" s="14">
        <v>3885.23027443044</v>
      </c>
      <c r="G113" s="14">
        <v>3745.4984502656</v>
      </c>
      <c r="H113" s="14">
        <v>3211.72859524227</v>
      </c>
      <c r="I113" s="14">
        <v>2890.70172750956</v>
      </c>
      <c r="J113" s="14">
        <v>2858.27768938098</v>
      </c>
      <c r="K113" s="14">
        <v>2800.25080163952</v>
      </c>
      <c r="L113" s="14">
        <v>2737.75581330108</v>
      </c>
      <c r="M113" s="14">
        <v>2651.18079129777</v>
      </c>
      <c r="N113" s="14">
        <v>2546.71834479004</v>
      </c>
      <c r="O113" s="14">
        <v>2418.10252929712</v>
      </c>
      <c r="P113" s="14">
        <v>2270.35196822634</v>
      </c>
      <c r="Q113" s="14">
        <v>2101.96874853644</v>
      </c>
      <c r="R113" s="14">
        <v>1915.92694048855</v>
      </c>
      <c r="S113" s="14">
        <v>2032.73966256494</v>
      </c>
      <c r="T113" s="14">
        <v>1939.57840361192</v>
      </c>
      <c r="U113" s="14">
        <v>1835.42640841183</v>
      </c>
      <c r="V113" s="14">
        <v>1797.73037230078</v>
      </c>
      <c r="W113" s="14">
        <v>1767.45086092008</v>
      </c>
      <c r="X113" s="14">
        <v>1730.74274961026</v>
      </c>
      <c r="Y113" s="14">
        <v>1702.13282459332</v>
      </c>
      <c r="Z113" s="14">
        <v>1668.68723773318</v>
      </c>
      <c r="AA113" s="14">
        <v>1630.55156273308</v>
      </c>
      <c r="AB113" s="14">
        <v>1587.98735662539</v>
      </c>
      <c r="AC113" s="14">
        <v>1541.35941591522</v>
      </c>
      <c r="AD113" s="14">
        <v>1484.86430486157</v>
      </c>
      <c r="AE113" s="14">
        <v>1424.11331574399</v>
      </c>
      <c r="AF113" s="14">
        <v>1359.40862715451</v>
      </c>
      <c r="AG113" s="14">
        <v>1291.22470664631</v>
      </c>
      <c r="AH113" s="14">
        <v>1219.17678669959</v>
      </c>
      <c r="AI113" s="14">
        <v>1105.72835192937</v>
      </c>
      <c r="AJ113" s="14">
        <v>988.799606837422</v>
      </c>
      <c r="AK113" s="14">
        <v>868.247165738524</v>
      </c>
      <c r="AL113" s="14">
        <v>744.418780250088</v>
      </c>
      <c r="AM113" s="14">
        <v>617.537573903387</v>
      </c>
      <c r="AN113" s="14">
        <v>482.799732290368</v>
      </c>
      <c r="AO113" s="14">
        <v>345.035930377701</v>
      </c>
      <c r="AP113" s="14">
        <v>204.474008356633</v>
      </c>
      <c r="AQ113" s="14">
        <v>61.2561060779631</v>
      </c>
      <c r="AR113" s="14">
        <v>0</v>
      </c>
    </row>
    <row r="114" s="6" customFormat="1" spans="1:44">
      <c r="A114" s="5" t="s">
        <v>1124</v>
      </c>
      <c r="B114" s="14">
        <f t="shared" si="11"/>
        <v>0</v>
      </c>
      <c r="C114" s="14">
        <v>0</v>
      </c>
      <c r="D114" s="14">
        <v>0</v>
      </c>
      <c r="E114" s="14">
        <v>0</v>
      </c>
      <c r="F114" s="14">
        <v>0</v>
      </c>
      <c r="G114" s="14">
        <v>0</v>
      </c>
      <c r="H114" s="14">
        <v>0</v>
      </c>
      <c r="I114" s="14">
        <v>0</v>
      </c>
      <c r="J114" s="14">
        <v>0</v>
      </c>
      <c r="K114" s="14">
        <v>0</v>
      </c>
      <c r="L114" s="14">
        <v>0</v>
      </c>
      <c r="M114" s="14">
        <v>0</v>
      </c>
      <c r="N114" s="14">
        <v>0</v>
      </c>
      <c r="O114" s="14">
        <v>0</v>
      </c>
      <c r="P114" s="14">
        <v>0</v>
      </c>
      <c r="Q114" s="14">
        <v>0</v>
      </c>
      <c r="R114" s="14">
        <v>0</v>
      </c>
      <c r="S114" s="14">
        <v>0</v>
      </c>
      <c r="T114" s="14">
        <v>0</v>
      </c>
      <c r="U114" s="14">
        <v>0</v>
      </c>
      <c r="V114" s="14">
        <v>0</v>
      </c>
      <c r="W114" s="14">
        <v>0</v>
      </c>
      <c r="X114" s="14">
        <v>0</v>
      </c>
      <c r="Y114" s="14">
        <v>0</v>
      </c>
      <c r="Z114" s="14">
        <v>0</v>
      </c>
      <c r="AA114" s="14">
        <v>0</v>
      </c>
      <c r="AB114" s="14">
        <v>0</v>
      </c>
      <c r="AC114" s="14">
        <v>0</v>
      </c>
      <c r="AD114" s="14">
        <v>0</v>
      </c>
      <c r="AE114" s="14">
        <v>0</v>
      </c>
      <c r="AF114" s="14">
        <v>0</v>
      </c>
      <c r="AG114" s="14">
        <v>0</v>
      </c>
      <c r="AH114" s="14">
        <v>0</v>
      </c>
      <c r="AI114" s="14">
        <v>0</v>
      </c>
      <c r="AJ114" s="14">
        <v>0</v>
      </c>
      <c r="AK114" s="14">
        <v>0</v>
      </c>
      <c r="AL114" s="14">
        <v>0</v>
      </c>
      <c r="AM114" s="14">
        <v>0</v>
      </c>
      <c r="AN114" s="14">
        <v>0</v>
      </c>
      <c r="AO114" s="14">
        <v>0</v>
      </c>
      <c r="AP114" s="14">
        <v>0</v>
      </c>
      <c r="AQ114" s="14">
        <v>0</v>
      </c>
      <c r="AR114" s="14">
        <v>0</v>
      </c>
    </row>
    <row r="115" s="6" customFormat="1" spans="1:44">
      <c r="A115" s="5" t="s">
        <v>1125</v>
      </c>
      <c r="B115" s="14">
        <f t="shared" si="11"/>
        <v>0</v>
      </c>
      <c r="C115" s="14">
        <v>0</v>
      </c>
      <c r="D115" s="14">
        <v>0</v>
      </c>
      <c r="E115" s="14">
        <v>0</v>
      </c>
      <c r="F115" s="14">
        <v>0</v>
      </c>
      <c r="G115" s="14">
        <v>0</v>
      </c>
      <c r="H115" s="14">
        <v>0</v>
      </c>
      <c r="I115" s="14">
        <v>0</v>
      </c>
      <c r="J115" s="14">
        <v>0</v>
      </c>
      <c r="K115" s="14">
        <v>0</v>
      </c>
      <c r="L115" s="14">
        <v>0</v>
      </c>
      <c r="M115" s="14">
        <v>0</v>
      </c>
      <c r="N115" s="14">
        <v>0</v>
      </c>
      <c r="O115" s="14">
        <v>0</v>
      </c>
      <c r="P115" s="14">
        <v>0</v>
      </c>
      <c r="Q115" s="14">
        <v>0</v>
      </c>
      <c r="R115" s="14">
        <v>0</v>
      </c>
      <c r="S115" s="14">
        <v>0</v>
      </c>
      <c r="T115" s="14">
        <v>0</v>
      </c>
      <c r="U115" s="14">
        <v>0</v>
      </c>
      <c r="V115" s="14">
        <v>0</v>
      </c>
      <c r="W115" s="14">
        <v>0</v>
      </c>
      <c r="X115" s="14">
        <v>0</v>
      </c>
      <c r="Y115" s="14">
        <v>0</v>
      </c>
      <c r="Z115" s="14">
        <v>0</v>
      </c>
      <c r="AA115" s="14">
        <v>0</v>
      </c>
      <c r="AB115" s="14">
        <v>0</v>
      </c>
      <c r="AC115" s="14">
        <v>0</v>
      </c>
      <c r="AD115" s="14">
        <v>0</v>
      </c>
      <c r="AE115" s="14">
        <v>0</v>
      </c>
      <c r="AF115" s="14">
        <v>0</v>
      </c>
      <c r="AG115" s="14">
        <v>0</v>
      </c>
      <c r="AH115" s="14">
        <v>0</v>
      </c>
      <c r="AI115" s="14">
        <v>0</v>
      </c>
      <c r="AJ115" s="14">
        <v>0</v>
      </c>
      <c r="AK115" s="14">
        <v>0</v>
      </c>
      <c r="AL115" s="14">
        <v>0</v>
      </c>
      <c r="AM115" s="14">
        <v>0</v>
      </c>
      <c r="AN115" s="14">
        <v>0</v>
      </c>
      <c r="AO115" s="14">
        <v>0</v>
      </c>
      <c r="AP115" s="14">
        <v>0</v>
      </c>
      <c r="AQ115" s="14">
        <v>0</v>
      </c>
      <c r="AR115" s="14">
        <v>0</v>
      </c>
    </row>
    <row r="116" s="6" customFormat="1" spans="1:44">
      <c r="A116" s="5" t="s">
        <v>1126</v>
      </c>
      <c r="B116" s="14">
        <f t="shared" si="11"/>
        <v>0</v>
      </c>
      <c r="C116" s="14">
        <v>0</v>
      </c>
      <c r="D116" s="14">
        <v>0</v>
      </c>
      <c r="E116" s="14">
        <v>0</v>
      </c>
      <c r="F116" s="14">
        <v>0</v>
      </c>
      <c r="G116" s="14">
        <v>0</v>
      </c>
      <c r="H116" s="14">
        <v>0</v>
      </c>
      <c r="I116" s="14">
        <v>0</v>
      </c>
      <c r="J116" s="14">
        <v>0</v>
      </c>
      <c r="K116" s="14">
        <v>0</v>
      </c>
      <c r="L116" s="14">
        <v>0</v>
      </c>
      <c r="M116" s="14">
        <v>0</v>
      </c>
      <c r="N116" s="14">
        <v>0</v>
      </c>
      <c r="O116" s="14">
        <v>0</v>
      </c>
      <c r="P116" s="14">
        <v>0</v>
      </c>
      <c r="Q116" s="14">
        <v>0</v>
      </c>
      <c r="R116" s="14">
        <v>0</v>
      </c>
      <c r="S116" s="14">
        <v>0</v>
      </c>
      <c r="T116" s="14">
        <v>0</v>
      </c>
      <c r="U116" s="14">
        <v>0</v>
      </c>
      <c r="V116" s="14">
        <v>0</v>
      </c>
      <c r="W116" s="14">
        <v>0</v>
      </c>
      <c r="X116" s="14">
        <v>0</v>
      </c>
      <c r="Y116" s="14">
        <v>0</v>
      </c>
      <c r="Z116" s="14">
        <v>0</v>
      </c>
      <c r="AA116" s="14">
        <v>0</v>
      </c>
      <c r="AB116" s="14">
        <v>0</v>
      </c>
      <c r="AC116" s="14">
        <v>0</v>
      </c>
      <c r="AD116" s="14">
        <v>0</v>
      </c>
      <c r="AE116" s="14">
        <v>0</v>
      </c>
      <c r="AF116" s="14">
        <v>0</v>
      </c>
      <c r="AG116" s="14">
        <v>0</v>
      </c>
      <c r="AH116" s="14">
        <v>0</v>
      </c>
      <c r="AI116" s="14">
        <v>0</v>
      </c>
      <c r="AJ116" s="14">
        <v>0</v>
      </c>
      <c r="AK116" s="14">
        <v>0</v>
      </c>
      <c r="AL116" s="14">
        <v>0</v>
      </c>
      <c r="AM116" s="14">
        <v>0</v>
      </c>
      <c r="AN116" s="14">
        <v>0</v>
      </c>
      <c r="AO116" s="14">
        <v>0</v>
      </c>
      <c r="AP116" s="14">
        <v>0</v>
      </c>
      <c r="AQ116" s="14">
        <v>0</v>
      </c>
      <c r="AR116" s="14">
        <v>0</v>
      </c>
    </row>
    <row r="117" s="6" customFormat="1" spans="1:44">
      <c r="A117" s="5" t="s">
        <v>1127</v>
      </c>
      <c r="B117" s="14">
        <f t="shared" si="11"/>
        <v>0</v>
      </c>
      <c r="C117" s="14">
        <v>0</v>
      </c>
      <c r="D117" s="14">
        <v>0</v>
      </c>
      <c r="E117" s="14">
        <v>0</v>
      </c>
      <c r="F117" s="14">
        <v>0</v>
      </c>
      <c r="G117" s="14">
        <v>0</v>
      </c>
      <c r="H117" s="14">
        <v>0</v>
      </c>
      <c r="I117" s="14">
        <v>0</v>
      </c>
      <c r="J117" s="14">
        <v>0</v>
      </c>
      <c r="K117" s="14">
        <v>0</v>
      </c>
      <c r="L117" s="14">
        <v>0</v>
      </c>
      <c r="M117" s="14">
        <v>0</v>
      </c>
      <c r="N117" s="14">
        <v>0</v>
      </c>
      <c r="O117" s="14">
        <v>0</v>
      </c>
      <c r="P117" s="14">
        <v>0</v>
      </c>
      <c r="Q117" s="14">
        <v>0</v>
      </c>
      <c r="R117" s="14">
        <v>0</v>
      </c>
      <c r="S117" s="14">
        <v>0</v>
      </c>
      <c r="T117" s="14">
        <v>0</v>
      </c>
      <c r="U117" s="14">
        <v>0</v>
      </c>
      <c r="V117" s="14">
        <v>0</v>
      </c>
      <c r="W117" s="14">
        <v>0</v>
      </c>
      <c r="X117" s="14">
        <v>0</v>
      </c>
      <c r="Y117" s="14">
        <v>0</v>
      </c>
      <c r="Z117" s="14">
        <v>0</v>
      </c>
      <c r="AA117" s="14">
        <v>0</v>
      </c>
      <c r="AB117" s="14">
        <v>0</v>
      </c>
      <c r="AC117" s="14">
        <v>0</v>
      </c>
      <c r="AD117" s="14">
        <v>0</v>
      </c>
      <c r="AE117" s="14">
        <v>0</v>
      </c>
      <c r="AF117" s="14">
        <v>0</v>
      </c>
      <c r="AG117" s="14">
        <v>0</v>
      </c>
      <c r="AH117" s="14">
        <v>0</v>
      </c>
      <c r="AI117" s="14">
        <v>0</v>
      </c>
      <c r="AJ117" s="14">
        <v>0</v>
      </c>
      <c r="AK117" s="14">
        <v>0</v>
      </c>
      <c r="AL117" s="14">
        <v>0</v>
      </c>
      <c r="AM117" s="14">
        <v>0</v>
      </c>
      <c r="AN117" s="14">
        <v>0</v>
      </c>
      <c r="AO117" s="14">
        <v>0</v>
      </c>
      <c r="AP117" s="14">
        <v>0</v>
      </c>
      <c r="AQ117" s="14">
        <v>0</v>
      </c>
      <c r="AR117" s="14">
        <v>0</v>
      </c>
    </row>
    <row r="118" s="6" customFormat="1" spans="1:44">
      <c r="A118" s="5" t="s">
        <v>1128</v>
      </c>
      <c r="B118" s="14">
        <f t="shared" si="11"/>
        <v>0</v>
      </c>
      <c r="C118" s="14">
        <v>0</v>
      </c>
      <c r="D118" s="14">
        <v>0</v>
      </c>
      <c r="E118" s="14">
        <v>0</v>
      </c>
      <c r="F118" s="14">
        <v>0</v>
      </c>
      <c r="G118" s="14">
        <v>0</v>
      </c>
      <c r="H118" s="14">
        <v>0</v>
      </c>
      <c r="I118" s="14">
        <v>0</v>
      </c>
      <c r="J118" s="14">
        <v>0</v>
      </c>
      <c r="K118" s="14">
        <v>0</v>
      </c>
      <c r="L118" s="14">
        <v>0</v>
      </c>
      <c r="M118" s="14">
        <v>0</v>
      </c>
      <c r="N118" s="14">
        <v>0</v>
      </c>
      <c r="O118" s="14">
        <v>0</v>
      </c>
      <c r="P118" s="14">
        <v>0</v>
      </c>
      <c r="Q118" s="14">
        <v>0</v>
      </c>
      <c r="R118" s="14">
        <v>0</v>
      </c>
      <c r="S118" s="14">
        <v>0</v>
      </c>
      <c r="T118" s="14">
        <v>0</v>
      </c>
      <c r="U118" s="14">
        <v>0</v>
      </c>
      <c r="V118" s="14">
        <v>0</v>
      </c>
      <c r="W118" s="14">
        <v>0</v>
      </c>
      <c r="X118" s="14">
        <v>0</v>
      </c>
      <c r="Y118" s="14">
        <v>0</v>
      </c>
      <c r="Z118" s="14">
        <v>0</v>
      </c>
      <c r="AA118" s="14">
        <v>0</v>
      </c>
      <c r="AB118" s="14">
        <v>0</v>
      </c>
      <c r="AC118" s="14">
        <v>0</v>
      </c>
      <c r="AD118" s="14">
        <v>0</v>
      </c>
      <c r="AE118" s="14">
        <v>0</v>
      </c>
      <c r="AF118" s="14">
        <v>0</v>
      </c>
      <c r="AG118" s="14">
        <v>0</v>
      </c>
      <c r="AH118" s="14">
        <v>0</v>
      </c>
      <c r="AI118" s="14">
        <v>0</v>
      </c>
      <c r="AJ118" s="14">
        <v>0</v>
      </c>
      <c r="AK118" s="14">
        <v>0</v>
      </c>
      <c r="AL118" s="14">
        <v>0</v>
      </c>
      <c r="AM118" s="14">
        <v>0</v>
      </c>
      <c r="AN118" s="14">
        <v>0</v>
      </c>
      <c r="AO118" s="14">
        <v>0</v>
      </c>
      <c r="AP118" s="14">
        <v>0</v>
      </c>
      <c r="AQ118" s="14">
        <v>0</v>
      </c>
      <c r="AR118" s="14">
        <v>0</v>
      </c>
    </row>
    <row r="119" s="6" customFormat="1" spans="1:44">
      <c r="A119" s="5" t="s">
        <v>1129</v>
      </c>
      <c r="B119" s="14">
        <f t="shared" si="11"/>
        <v>0</v>
      </c>
      <c r="C119" s="14">
        <v>0</v>
      </c>
      <c r="D119" s="14">
        <v>0</v>
      </c>
      <c r="E119" s="14">
        <v>0</v>
      </c>
      <c r="F119" s="14">
        <v>0</v>
      </c>
      <c r="G119" s="14">
        <v>0</v>
      </c>
      <c r="H119" s="14">
        <v>0</v>
      </c>
      <c r="I119" s="14">
        <v>0</v>
      </c>
      <c r="J119" s="14">
        <v>0</v>
      </c>
      <c r="K119" s="14">
        <v>0</v>
      </c>
      <c r="L119" s="14">
        <v>0</v>
      </c>
      <c r="M119" s="14">
        <v>0</v>
      </c>
      <c r="N119" s="14">
        <v>0</v>
      </c>
      <c r="O119" s="14">
        <v>0</v>
      </c>
      <c r="P119" s="14">
        <v>0</v>
      </c>
      <c r="Q119" s="14">
        <v>0</v>
      </c>
      <c r="R119" s="14">
        <v>0</v>
      </c>
      <c r="S119" s="14">
        <v>0</v>
      </c>
      <c r="T119" s="14">
        <v>0</v>
      </c>
      <c r="U119" s="14">
        <v>0</v>
      </c>
      <c r="V119" s="14">
        <v>0</v>
      </c>
      <c r="W119" s="14">
        <v>0</v>
      </c>
      <c r="X119" s="14">
        <v>0</v>
      </c>
      <c r="Y119" s="14">
        <v>0</v>
      </c>
      <c r="Z119" s="14">
        <v>0</v>
      </c>
      <c r="AA119" s="14">
        <v>0</v>
      </c>
      <c r="AB119" s="14">
        <v>0</v>
      </c>
      <c r="AC119" s="14">
        <v>0</v>
      </c>
      <c r="AD119" s="14">
        <v>0</v>
      </c>
      <c r="AE119" s="14">
        <v>0</v>
      </c>
      <c r="AF119" s="14">
        <v>0</v>
      </c>
      <c r="AG119" s="14">
        <v>0</v>
      </c>
      <c r="AH119" s="14">
        <v>0</v>
      </c>
      <c r="AI119" s="14">
        <v>0</v>
      </c>
      <c r="AJ119" s="14">
        <v>0</v>
      </c>
      <c r="AK119" s="14">
        <v>0</v>
      </c>
      <c r="AL119" s="14">
        <v>0</v>
      </c>
      <c r="AM119" s="14">
        <v>0</v>
      </c>
      <c r="AN119" s="14">
        <v>0</v>
      </c>
      <c r="AO119" s="14">
        <v>0</v>
      </c>
      <c r="AP119" s="14">
        <v>0</v>
      </c>
      <c r="AQ119" s="14">
        <v>0</v>
      </c>
      <c r="AR119" s="14">
        <v>0</v>
      </c>
    </row>
    <row r="120" s="6" customFormat="1" spans="1:44">
      <c r="A120" s="5" t="s">
        <v>1130</v>
      </c>
      <c r="B120" s="14">
        <f t="shared" si="11"/>
        <v>0</v>
      </c>
      <c r="C120" s="14">
        <v>0</v>
      </c>
      <c r="D120" s="14">
        <v>0</v>
      </c>
      <c r="E120" s="14">
        <v>0</v>
      </c>
      <c r="F120" s="14">
        <v>0</v>
      </c>
      <c r="G120" s="14">
        <v>0</v>
      </c>
      <c r="H120" s="14">
        <v>0</v>
      </c>
      <c r="I120" s="14">
        <v>0</v>
      </c>
      <c r="J120" s="14">
        <v>0</v>
      </c>
      <c r="K120" s="14">
        <v>0</v>
      </c>
      <c r="L120" s="14">
        <v>0</v>
      </c>
      <c r="M120" s="14">
        <v>0</v>
      </c>
      <c r="N120" s="14">
        <v>0</v>
      </c>
      <c r="O120" s="14">
        <v>0</v>
      </c>
      <c r="P120" s="14">
        <v>0</v>
      </c>
      <c r="Q120" s="14">
        <v>0</v>
      </c>
      <c r="R120" s="14">
        <v>0</v>
      </c>
      <c r="S120" s="14">
        <v>0</v>
      </c>
      <c r="T120" s="14">
        <v>0</v>
      </c>
      <c r="U120" s="14">
        <v>0</v>
      </c>
      <c r="V120" s="14">
        <v>0</v>
      </c>
      <c r="W120" s="14">
        <v>0</v>
      </c>
      <c r="X120" s="14">
        <v>0</v>
      </c>
      <c r="Y120" s="14">
        <v>0</v>
      </c>
      <c r="Z120" s="14">
        <v>0</v>
      </c>
      <c r="AA120" s="14">
        <v>0</v>
      </c>
      <c r="AB120" s="14">
        <v>0</v>
      </c>
      <c r="AC120" s="14">
        <v>0</v>
      </c>
      <c r="AD120" s="14">
        <v>0</v>
      </c>
      <c r="AE120" s="14">
        <v>0</v>
      </c>
      <c r="AF120" s="14">
        <v>0</v>
      </c>
      <c r="AG120" s="14">
        <v>0</v>
      </c>
      <c r="AH120" s="14">
        <v>0</v>
      </c>
      <c r="AI120" s="14">
        <v>0</v>
      </c>
      <c r="AJ120" s="14">
        <v>0</v>
      </c>
      <c r="AK120" s="14">
        <v>0</v>
      </c>
      <c r="AL120" s="14">
        <v>0</v>
      </c>
      <c r="AM120" s="14">
        <v>0</v>
      </c>
      <c r="AN120" s="14">
        <v>0</v>
      </c>
      <c r="AO120" s="14">
        <v>0</v>
      </c>
      <c r="AP120" s="14">
        <v>0</v>
      </c>
      <c r="AQ120" s="14">
        <v>0</v>
      </c>
      <c r="AR120" s="14">
        <v>0</v>
      </c>
    </row>
    <row r="121" s="6" customFormat="1" spans="1:44">
      <c r="A121" s="5" t="s">
        <v>1131</v>
      </c>
      <c r="B121" s="14">
        <f t="shared" si="11"/>
        <v>0</v>
      </c>
      <c r="C121" s="14">
        <v>0</v>
      </c>
      <c r="D121" s="14">
        <v>0</v>
      </c>
      <c r="E121" s="14">
        <v>0</v>
      </c>
      <c r="F121" s="14">
        <v>0</v>
      </c>
      <c r="G121" s="14">
        <v>0</v>
      </c>
      <c r="H121" s="14">
        <v>0</v>
      </c>
      <c r="I121" s="14">
        <v>0</v>
      </c>
      <c r="J121" s="14">
        <v>0</v>
      </c>
      <c r="K121" s="14">
        <v>0</v>
      </c>
      <c r="L121" s="14">
        <v>0</v>
      </c>
      <c r="M121" s="14">
        <v>0</v>
      </c>
      <c r="N121" s="14">
        <v>0</v>
      </c>
      <c r="O121" s="14">
        <v>0</v>
      </c>
      <c r="P121" s="14">
        <v>0</v>
      </c>
      <c r="Q121" s="14">
        <v>0</v>
      </c>
      <c r="R121" s="14">
        <v>0</v>
      </c>
      <c r="S121" s="14">
        <v>0</v>
      </c>
      <c r="T121" s="14">
        <v>0</v>
      </c>
      <c r="U121" s="14">
        <v>0</v>
      </c>
      <c r="V121" s="14">
        <v>0</v>
      </c>
      <c r="W121" s="14">
        <v>0</v>
      </c>
      <c r="X121" s="14">
        <v>0</v>
      </c>
      <c r="Y121" s="14">
        <v>0</v>
      </c>
      <c r="Z121" s="14">
        <v>0</v>
      </c>
      <c r="AA121" s="14">
        <v>0</v>
      </c>
      <c r="AB121" s="14">
        <v>0</v>
      </c>
      <c r="AC121" s="14">
        <v>0</v>
      </c>
      <c r="AD121" s="14">
        <v>0</v>
      </c>
      <c r="AE121" s="14">
        <v>0</v>
      </c>
      <c r="AF121" s="14">
        <v>0</v>
      </c>
      <c r="AG121" s="14">
        <v>0</v>
      </c>
      <c r="AH121" s="14">
        <v>0</v>
      </c>
      <c r="AI121" s="14">
        <v>0</v>
      </c>
      <c r="AJ121" s="14">
        <v>0</v>
      </c>
      <c r="AK121" s="14">
        <v>0</v>
      </c>
      <c r="AL121" s="14">
        <v>0</v>
      </c>
      <c r="AM121" s="14">
        <v>0</v>
      </c>
      <c r="AN121" s="14">
        <v>0</v>
      </c>
      <c r="AO121" s="14">
        <v>0</v>
      </c>
      <c r="AP121" s="14">
        <v>0</v>
      </c>
      <c r="AQ121" s="14">
        <v>0</v>
      </c>
      <c r="AR121" s="14">
        <v>0</v>
      </c>
    </row>
    <row r="122" s="6" customFormat="1" spans="1:44">
      <c r="A122" s="5" t="s">
        <v>1132</v>
      </c>
      <c r="B122" s="14">
        <f t="shared" si="11"/>
        <v>0</v>
      </c>
      <c r="C122" s="14">
        <v>0</v>
      </c>
      <c r="D122" s="14">
        <v>0</v>
      </c>
      <c r="E122" s="14">
        <v>0</v>
      </c>
      <c r="F122" s="14">
        <v>0</v>
      </c>
      <c r="G122" s="14">
        <v>0</v>
      </c>
      <c r="H122" s="14">
        <v>0</v>
      </c>
      <c r="I122" s="14">
        <v>0</v>
      </c>
      <c r="J122" s="14">
        <v>0</v>
      </c>
      <c r="K122" s="14">
        <v>0</v>
      </c>
      <c r="L122" s="14">
        <v>0</v>
      </c>
      <c r="M122" s="14">
        <v>0</v>
      </c>
      <c r="N122" s="14">
        <v>0</v>
      </c>
      <c r="O122" s="14">
        <v>0</v>
      </c>
      <c r="P122" s="14">
        <v>0</v>
      </c>
      <c r="Q122" s="14">
        <v>0</v>
      </c>
      <c r="R122" s="14">
        <v>0</v>
      </c>
      <c r="S122" s="14">
        <v>0</v>
      </c>
      <c r="T122" s="14">
        <v>0</v>
      </c>
      <c r="U122" s="14">
        <v>0</v>
      </c>
      <c r="V122" s="14">
        <v>0</v>
      </c>
      <c r="W122" s="14">
        <v>0</v>
      </c>
      <c r="X122" s="14">
        <v>0</v>
      </c>
      <c r="Y122" s="14">
        <v>0</v>
      </c>
      <c r="Z122" s="14">
        <v>0</v>
      </c>
      <c r="AA122" s="14">
        <v>0</v>
      </c>
      <c r="AB122" s="14">
        <v>0</v>
      </c>
      <c r="AC122" s="14">
        <v>0</v>
      </c>
      <c r="AD122" s="14">
        <v>0</v>
      </c>
      <c r="AE122" s="14">
        <v>0</v>
      </c>
      <c r="AF122" s="14">
        <v>0</v>
      </c>
      <c r="AG122" s="14">
        <v>0</v>
      </c>
      <c r="AH122" s="14">
        <v>0</v>
      </c>
      <c r="AI122" s="14">
        <v>0</v>
      </c>
      <c r="AJ122" s="14">
        <v>0</v>
      </c>
      <c r="AK122" s="14">
        <v>0</v>
      </c>
      <c r="AL122" s="14">
        <v>0</v>
      </c>
      <c r="AM122" s="14">
        <v>0</v>
      </c>
      <c r="AN122" s="14">
        <v>0</v>
      </c>
      <c r="AO122" s="14">
        <v>0</v>
      </c>
      <c r="AP122" s="14">
        <v>0</v>
      </c>
      <c r="AQ122" s="14">
        <v>0</v>
      </c>
      <c r="AR122" s="14">
        <v>0</v>
      </c>
    </row>
    <row r="123" s="7" customFormat="1" spans="1:44">
      <c r="A123" s="5" t="s">
        <v>1119</v>
      </c>
      <c r="B123" s="7">
        <f>BAU建筑总能耗计算!B$5*$I$16</f>
        <v>129.089556017857</v>
      </c>
      <c r="C123" s="7">
        <v>0</v>
      </c>
      <c r="D123" s="7">
        <v>0</v>
      </c>
      <c r="E123" s="7">
        <v>0</v>
      </c>
      <c r="F123" s="7">
        <v>0</v>
      </c>
      <c r="G123" s="7">
        <v>0</v>
      </c>
      <c r="H123" s="7">
        <v>0</v>
      </c>
      <c r="I123" s="7">
        <v>0</v>
      </c>
      <c r="J123" s="7">
        <v>0</v>
      </c>
      <c r="K123" s="7">
        <v>0</v>
      </c>
      <c r="L123" s="7">
        <v>0</v>
      </c>
      <c r="M123" s="7">
        <v>0</v>
      </c>
      <c r="N123" s="7">
        <v>0</v>
      </c>
      <c r="O123" s="7">
        <v>0</v>
      </c>
      <c r="P123" s="7">
        <v>0</v>
      </c>
      <c r="Q123" s="7">
        <v>0</v>
      </c>
      <c r="R123" s="7">
        <v>0</v>
      </c>
      <c r="S123" s="7">
        <v>0</v>
      </c>
      <c r="T123" s="7">
        <v>0</v>
      </c>
      <c r="U123" s="7">
        <v>0</v>
      </c>
      <c r="V123" s="7">
        <v>0</v>
      </c>
      <c r="W123" s="7">
        <v>0</v>
      </c>
      <c r="X123" s="7">
        <v>0</v>
      </c>
      <c r="Y123" s="7">
        <v>0</v>
      </c>
      <c r="Z123" s="7">
        <v>0</v>
      </c>
      <c r="AA123" s="7">
        <v>0</v>
      </c>
      <c r="AB123" s="7">
        <v>0</v>
      </c>
      <c r="AC123" s="7">
        <v>0</v>
      </c>
      <c r="AD123" s="7">
        <v>0</v>
      </c>
      <c r="AE123" s="7">
        <v>0</v>
      </c>
      <c r="AF123" s="7">
        <v>0</v>
      </c>
      <c r="AG123" s="7">
        <v>0</v>
      </c>
      <c r="AH123" s="7">
        <v>0</v>
      </c>
      <c r="AI123" s="7">
        <v>0</v>
      </c>
      <c r="AJ123" s="7">
        <v>0</v>
      </c>
      <c r="AK123" s="7">
        <v>0</v>
      </c>
      <c r="AL123" s="7">
        <v>0</v>
      </c>
      <c r="AM123" s="7">
        <v>0</v>
      </c>
      <c r="AN123" s="7">
        <v>0</v>
      </c>
      <c r="AO123" s="7">
        <v>0</v>
      </c>
      <c r="AP123" s="7">
        <v>0</v>
      </c>
      <c r="AQ123" s="7">
        <v>0</v>
      </c>
      <c r="AR123" s="7">
        <v>0</v>
      </c>
    </row>
    <row r="124" s="6" customFormat="1"/>
    <row r="125" s="5" customFormat="1" spans="1:44">
      <c r="A125" s="13" t="s">
        <v>106</v>
      </c>
      <c r="B125" s="5">
        <v>2018</v>
      </c>
      <c r="C125" s="5">
        <v>2019</v>
      </c>
      <c r="D125" s="5">
        <v>2020</v>
      </c>
      <c r="E125" s="5">
        <v>2021</v>
      </c>
      <c r="F125" s="5">
        <v>2022</v>
      </c>
      <c r="G125" s="5">
        <v>2023</v>
      </c>
      <c r="H125" s="5">
        <v>2024</v>
      </c>
      <c r="I125" s="5">
        <v>2025</v>
      </c>
      <c r="J125" s="5">
        <v>2026</v>
      </c>
      <c r="K125" s="5">
        <v>2027</v>
      </c>
      <c r="L125" s="5">
        <v>2028</v>
      </c>
      <c r="M125" s="5">
        <v>2029</v>
      </c>
      <c r="N125" s="5">
        <v>2030</v>
      </c>
      <c r="O125" s="5">
        <v>2031</v>
      </c>
      <c r="P125" s="5">
        <v>2032</v>
      </c>
      <c r="Q125" s="5">
        <v>2033</v>
      </c>
      <c r="R125" s="5">
        <v>2034</v>
      </c>
      <c r="S125" s="5">
        <v>2035</v>
      </c>
      <c r="T125" s="5">
        <v>2036</v>
      </c>
      <c r="U125" s="5">
        <v>2037</v>
      </c>
      <c r="V125" s="5">
        <v>2038</v>
      </c>
      <c r="W125" s="5">
        <v>2039</v>
      </c>
      <c r="X125" s="5">
        <v>2040</v>
      </c>
      <c r="Y125" s="5">
        <v>2041</v>
      </c>
      <c r="Z125" s="5">
        <v>2042</v>
      </c>
      <c r="AA125" s="5">
        <v>2043</v>
      </c>
      <c r="AB125" s="5">
        <v>2044</v>
      </c>
      <c r="AC125" s="5">
        <v>2045</v>
      </c>
      <c r="AD125" s="5">
        <v>2046</v>
      </c>
      <c r="AE125" s="5">
        <v>2047</v>
      </c>
      <c r="AF125" s="5">
        <v>2048</v>
      </c>
      <c r="AG125" s="5">
        <v>2049</v>
      </c>
      <c r="AH125" s="5">
        <v>2050</v>
      </c>
      <c r="AI125" s="5">
        <v>2051</v>
      </c>
      <c r="AJ125" s="5">
        <v>2052</v>
      </c>
      <c r="AK125" s="5">
        <v>2053</v>
      </c>
      <c r="AL125" s="5">
        <v>2054</v>
      </c>
      <c r="AM125" s="5">
        <v>2055</v>
      </c>
      <c r="AN125" s="5">
        <v>2056</v>
      </c>
      <c r="AO125" s="5">
        <v>2057</v>
      </c>
      <c r="AP125" s="5">
        <v>2058</v>
      </c>
      <c r="AQ125" s="5">
        <v>2059</v>
      </c>
      <c r="AR125" s="5">
        <v>2060</v>
      </c>
    </row>
    <row r="126" s="6" customFormat="1" spans="1:44">
      <c r="A126" s="5" t="s">
        <v>1123</v>
      </c>
      <c r="B126" s="6">
        <f t="shared" ref="B126:B135" si="12">IFERROR(B$136*$J4/$J$14,0)</f>
        <v>0</v>
      </c>
      <c r="C126" s="6">
        <v>0</v>
      </c>
      <c r="D126" s="6">
        <v>0</v>
      </c>
      <c r="E126" s="6">
        <v>0</v>
      </c>
      <c r="F126" s="6">
        <v>0</v>
      </c>
      <c r="G126" s="6">
        <v>0</v>
      </c>
      <c r="H126" s="6">
        <v>0</v>
      </c>
      <c r="I126" s="6">
        <v>0</v>
      </c>
      <c r="J126" s="6">
        <v>0</v>
      </c>
      <c r="K126" s="6">
        <v>0</v>
      </c>
      <c r="L126" s="6">
        <v>0</v>
      </c>
      <c r="M126" s="6">
        <v>0</v>
      </c>
      <c r="N126" s="6">
        <v>0</v>
      </c>
      <c r="O126" s="6">
        <v>0</v>
      </c>
      <c r="P126" s="6">
        <v>0</v>
      </c>
      <c r="Q126" s="6">
        <v>0</v>
      </c>
      <c r="R126" s="6">
        <v>0</v>
      </c>
      <c r="S126" s="6">
        <v>0</v>
      </c>
      <c r="T126" s="6">
        <v>0</v>
      </c>
      <c r="U126" s="6">
        <v>0</v>
      </c>
      <c r="V126" s="6">
        <v>0</v>
      </c>
      <c r="W126" s="6">
        <v>0</v>
      </c>
      <c r="X126" s="6">
        <v>0</v>
      </c>
      <c r="Y126" s="6">
        <v>0</v>
      </c>
      <c r="Z126" s="6">
        <v>0</v>
      </c>
      <c r="AA126" s="6">
        <v>0</v>
      </c>
      <c r="AB126" s="6">
        <v>0</v>
      </c>
      <c r="AC126" s="6">
        <v>0</v>
      </c>
      <c r="AD126" s="6">
        <v>0</v>
      </c>
      <c r="AE126" s="6">
        <v>0</v>
      </c>
      <c r="AF126" s="6">
        <v>0</v>
      </c>
      <c r="AG126" s="6">
        <v>0</v>
      </c>
      <c r="AH126" s="6">
        <v>0</v>
      </c>
      <c r="AI126" s="6">
        <v>0</v>
      </c>
      <c r="AJ126" s="6">
        <v>0</v>
      </c>
      <c r="AK126" s="6">
        <v>0</v>
      </c>
      <c r="AL126" s="6">
        <v>0</v>
      </c>
      <c r="AM126" s="6">
        <v>0</v>
      </c>
      <c r="AN126" s="6">
        <v>0</v>
      </c>
      <c r="AO126" s="6">
        <v>0</v>
      </c>
      <c r="AP126" s="6">
        <v>0</v>
      </c>
      <c r="AQ126" s="6">
        <v>0</v>
      </c>
      <c r="AR126" s="6">
        <v>0</v>
      </c>
    </row>
    <row r="127" s="6" customFormat="1" spans="1:44">
      <c r="A127" s="5" t="s">
        <v>1124</v>
      </c>
      <c r="B127" s="6">
        <f t="shared" si="12"/>
        <v>0</v>
      </c>
      <c r="C127" s="6">
        <v>0</v>
      </c>
      <c r="D127" s="6">
        <v>0</v>
      </c>
      <c r="E127" s="6">
        <v>0</v>
      </c>
      <c r="F127" s="6">
        <v>0</v>
      </c>
      <c r="G127" s="6">
        <v>0</v>
      </c>
      <c r="H127" s="6">
        <v>0</v>
      </c>
      <c r="I127" s="6">
        <v>0</v>
      </c>
      <c r="J127" s="6">
        <v>0</v>
      </c>
      <c r="K127" s="6">
        <v>0</v>
      </c>
      <c r="L127" s="6">
        <v>0</v>
      </c>
      <c r="M127" s="6">
        <v>0</v>
      </c>
      <c r="N127" s="6">
        <v>0</v>
      </c>
      <c r="O127" s="6">
        <v>0</v>
      </c>
      <c r="P127" s="6">
        <v>0</v>
      </c>
      <c r="Q127" s="6">
        <v>0</v>
      </c>
      <c r="R127" s="6">
        <v>0</v>
      </c>
      <c r="S127" s="6">
        <v>0</v>
      </c>
      <c r="T127" s="6">
        <v>0</v>
      </c>
      <c r="U127" s="6">
        <v>0</v>
      </c>
      <c r="V127" s="6">
        <v>0</v>
      </c>
      <c r="W127" s="6">
        <v>0</v>
      </c>
      <c r="X127" s="6">
        <v>0</v>
      </c>
      <c r="Y127" s="6">
        <v>0</v>
      </c>
      <c r="Z127" s="6">
        <v>0</v>
      </c>
      <c r="AA127" s="6">
        <v>0</v>
      </c>
      <c r="AB127" s="6">
        <v>0</v>
      </c>
      <c r="AC127" s="6">
        <v>0</v>
      </c>
      <c r="AD127" s="6">
        <v>0</v>
      </c>
      <c r="AE127" s="6">
        <v>0</v>
      </c>
      <c r="AF127" s="6">
        <v>0</v>
      </c>
      <c r="AG127" s="6">
        <v>0</v>
      </c>
      <c r="AH127" s="6">
        <v>0</v>
      </c>
      <c r="AI127" s="6">
        <v>0</v>
      </c>
      <c r="AJ127" s="6">
        <v>0</v>
      </c>
      <c r="AK127" s="6">
        <v>0</v>
      </c>
      <c r="AL127" s="6">
        <v>0</v>
      </c>
      <c r="AM127" s="6">
        <v>0</v>
      </c>
      <c r="AN127" s="6">
        <v>0</v>
      </c>
      <c r="AO127" s="6">
        <v>0</v>
      </c>
      <c r="AP127" s="6">
        <v>0</v>
      </c>
      <c r="AQ127" s="6">
        <v>0</v>
      </c>
      <c r="AR127" s="6">
        <v>0</v>
      </c>
    </row>
    <row r="128" s="6" customFormat="1" spans="1:44">
      <c r="A128" s="5" t="s">
        <v>1125</v>
      </c>
      <c r="B128" s="6">
        <f t="shared" si="12"/>
        <v>0</v>
      </c>
      <c r="C128" s="6">
        <v>0</v>
      </c>
      <c r="D128" s="6">
        <v>0</v>
      </c>
      <c r="E128" s="6">
        <v>0</v>
      </c>
      <c r="F128" s="6">
        <v>0</v>
      </c>
      <c r="G128" s="6">
        <v>0</v>
      </c>
      <c r="H128" s="6">
        <v>0</v>
      </c>
      <c r="I128" s="6">
        <v>0</v>
      </c>
      <c r="J128" s="6">
        <v>0</v>
      </c>
      <c r="K128" s="6">
        <v>0</v>
      </c>
      <c r="L128" s="6">
        <v>0</v>
      </c>
      <c r="M128" s="6">
        <v>0</v>
      </c>
      <c r="N128" s="6">
        <v>0</v>
      </c>
      <c r="O128" s="6">
        <v>0</v>
      </c>
      <c r="P128" s="6">
        <v>0</v>
      </c>
      <c r="Q128" s="6">
        <v>0</v>
      </c>
      <c r="R128" s="6">
        <v>0</v>
      </c>
      <c r="S128" s="6">
        <v>0</v>
      </c>
      <c r="T128" s="6">
        <v>0</v>
      </c>
      <c r="U128" s="6">
        <v>0</v>
      </c>
      <c r="V128" s="6">
        <v>0</v>
      </c>
      <c r="W128" s="6">
        <v>0</v>
      </c>
      <c r="X128" s="6">
        <v>0</v>
      </c>
      <c r="Y128" s="6">
        <v>0</v>
      </c>
      <c r="Z128" s="6">
        <v>0</v>
      </c>
      <c r="AA128" s="6">
        <v>0</v>
      </c>
      <c r="AB128" s="6">
        <v>0</v>
      </c>
      <c r="AC128" s="6">
        <v>0</v>
      </c>
      <c r="AD128" s="6">
        <v>0</v>
      </c>
      <c r="AE128" s="6">
        <v>0</v>
      </c>
      <c r="AF128" s="6">
        <v>0</v>
      </c>
      <c r="AG128" s="6">
        <v>0</v>
      </c>
      <c r="AH128" s="6">
        <v>0</v>
      </c>
      <c r="AI128" s="6">
        <v>0</v>
      </c>
      <c r="AJ128" s="6">
        <v>0</v>
      </c>
      <c r="AK128" s="6">
        <v>0</v>
      </c>
      <c r="AL128" s="6">
        <v>0</v>
      </c>
      <c r="AM128" s="6">
        <v>0</v>
      </c>
      <c r="AN128" s="6">
        <v>0</v>
      </c>
      <c r="AO128" s="6">
        <v>0</v>
      </c>
      <c r="AP128" s="6">
        <v>0</v>
      </c>
      <c r="AQ128" s="6">
        <v>0</v>
      </c>
      <c r="AR128" s="6">
        <v>0</v>
      </c>
    </row>
    <row r="129" s="6" customFormat="1" spans="1:44">
      <c r="A129" s="5" t="s">
        <v>1126</v>
      </c>
      <c r="B129" s="6">
        <f t="shared" si="12"/>
        <v>0</v>
      </c>
      <c r="C129" s="6">
        <v>0</v>
      </c>
      <c r="D129" s="6">
        <v>0</v>
      </c>
      <c r="E129" s="6">
        <v>0</v>
      </c>
      <c r="F129" s="6">
        <v>0</v>
      </c>
      <c r="G129" s="6">
        <v>0</v>
      </c>
      <c r="H129" s="6">
        <v>0</v>
      </c>
      <c r="I129" s="6">
        <v>0</v>
      </c>
      <c r="J129" s="6">
        <v>0</v>
      </c>
      <c r="K129" s="6">
        <v>0</v>
      </c>
      <c r="L129" s="6">
        <v>0</v>
      </c>
      <c r="M129" s="6">
        <v>0</v>
      </c>
      <c r="N129" s="6">
        <v>0</v>
      </c>
      <c r="O129" s="6">
        <v>0</v>
      </c>
      <c r="P129" s="6">
        <v>0</v>
      </c>
      <c r="Q129" s="6">
        <v>0</v>
      </c>
      <c r="R129" s="6">
        <v>0</v>
      </c>
      <c r="S129" s="6">
        <v>0</v>
      </c>
      <c r="T129" s="6">
        <v>0</v>
      </c>
      <c r="U129" s="6">
        <v>0</v>
      </c>
      <c r="V129" s="6">
        <v>0</v>
      </c>
      <c r="W129" s="6">
        <v>0</v>
      </c>
      <c r="X129" s="6">
        <v>0</v>
      </c>
      <c r="Y129" s="6">
        <v>0</v>
      </c>
      <c r="Z129" s="6">
        <v>0</v>
      </c>
      <c r="AA129" s="6">
        <v>0</v>
      </c>
      <c r="AB129" s="6">
        <v>0</v>
      </c>
      <c r="AC129" s="6">
        <v>0</v>
      </c>
      <c r="AD129" s="6">
        <v>0</v>
      </c>
      <c r="AE129" s="6">
        <v>0</v>
      </c>
      <c r="AF129" s="6">
        <v>0</v>
      </c>
      <c r="AG129" s="6">
        <v>0</v>
      </c>
      <c r="AH129" s="6">
        <v>0</v>
      </c>
      <c r="AI129" s="6">
        <v>0</v>
      </c>
      <c r="AJ129" s="6">
        <v>0</v>
      </c>
      <c r="AK129" s="6">
        <v>0</v>
      </c>
      <c r="AL129" s="6">
        <v>0</v>
      </c>
      <c r="AM129" s="6">
        <v>0</v>
      </c>
      <c r="AN129" s="6">
        <v>0</v>
      </c>
      <c r="AO129" s="6">
        <v>0</v>
      </c>
      <c r="AP129" s="6">
        <v>0</v>
      </c>
      <c r="AQ129" s="6">
        <v>0</v>
      </c>
      <c r="AR129" s="6">
        <v>0</v>
      </c>
    </row>
    <row r="130" s="6" customFormat="1" spans="1:44">
      <c r="A130" s="5" t="s">
        <v>1127</v>
      </c>
      <c r="B130" s="6">
        <f t="shared" si="12"/>
        <v>0</v>
      </c>
      <c r="C130" s="6">
        <v>0</v>
      </c>
      <c r="D130" s="6">
        <v>0</v>
      </c>
      <c r="E130" s="6">
        <v>0</v>
      </c>
      <c r="F130" s="6">
        <v>0</v>
      </c>
      <c r="G130" s="6">
        <v>0</v>
      </c>
      <c r="H130" s="6">
        <v>0</v>
      </c>
      <c r="I130" s="6">
        <v>0</v>
      </c>
      <c r="J130" s="6">
        <v>0</v>
      </c>
      <c r="K130" s="6">
        <v>0</v>
      </c>
      <c r="L130" s="6">
        <v>0</v>
      </c>
      <c r="M130" s="6">
        <v>0</v>
      </c>
      <c r="N130" s="6">
        <v>0</v>
      </c>
      <c r="O130" s="6">
        <v>0</v>
      </c>
      <c r="P130" s="6">
        <v>0</v>
      </c>
      <c r="Q130" s="6">
        <v>0</v>
      </c>
      <c r="R130" s="6">
        <v>0</v>
      </c>
      <c r="S130" s="6">
        <v>0</v>
      </c>
      <c r="T130" s="6">
        <v>0</v>
      </c>
      <c r="U130" s="6">
        <v>0</v>
      </c>
      <c r="V130" s="6">
        <v>0</v>
      </c>
      <c r="W130" s="6">
        <v>0</v>
      </c>
      <c r="X130" s="6">
        <v>0</v>
      </c>
      <c r="Y130" s="6">
        <v>0</v>
      </c>
      <c r="Z130" s="6">
        <v>0</v>
      </c>
      <c r="AA130" s="6">
        <v>0</v>
      </c>
      <c r="AB130" s="6">
        <v>0</v>
      </c>
      <c r="AC130" s="6">
        <v>0</v>
      </c>
      <c r="AD130" s="6">
        <v>0</v>
      </c>
      <c r="AE130" s="6">
        <v>0</v>
      </c>
      <c r="AF130" s="6">
        <v>0</v>
      </c>
      <c r="AG130" s="6">
        <v>0</v>
      </c>
      <c r="AH130" s="6">
        <v>0</v>
      </c>
      <c r="AI130" s="6">
        <v>0</v>
      </c>
      <c r="AJ130" s="6">
        <v>0</v>
      </c>
      <c r="AK130" s="6">
        <v>0</v>
      </c>
      <c r="AL130" s="6">
        <v>0</v>
      </c>
      <c r="AM130" s="6">
        <v>0</v>
      </c>
      <c r="AN130" s="6">
        <v>0</v>
      </c>
      <c r="AO130" s="6">
        <v>0</v>
      </c>
      <c r="AP130" s="6">
        <v>0</v>
      </c>
      <c r="AQ130" s="6">
        <v>0</v>
      </c>
      <c r="AR130" s="6">
        <v>0</v>
      </c>
    </row>
    <row r="131" s="6" customFormat="1" spans="1:44">
      <c r="A131" s="5" t="s">
        <v>1128</v>
      </c>
      <c r="B131" s="6">
        <f t="shared" si="12"/>
        <v>0</v>
      </c>
      <c r="C131" s="6">
        <v>0</v>
      </c>
      <c r="D131" s="6">
        <v>0</v>
      </c>
      <c r="E131" s="6">
        <v>0</v>
      </c>
      <c r="F131" s="6">
        <v>0</v>
      </c>
      <c r="G131" s="6">
        <v>0</v>
      </c>
      <c r="H131" s="6">
        <v>0</v>
      </c>
      <c r="I131" s="6">
        <v>0</v>
      </c>
      <c r="J131" s="6">
        <v>0</v>
      </c>
      <c r="K131" s="6">
        <v>0</v>
      </c>
      <c r="L131" s="6">
        <v>0</v>
      </c>
      <c r="M131" s="6">
        <v>0</v>
      </c>
      <c r="N131" s="6">
        <v>0</v>
      </c>
      <c r="O131" s="6">
        <v>0</v>
      </c>
      <c r="P131" s="6">
        <v>0</v>
      </c>
      <c r="Q131" s="6">
        <v>0</v>
      </c>
      <c r="R131" s="6">
        <v>0</v>
      </c>
      <c r="S131" s="6">
        <v>0</v>
      </c>
      <c r="T131" s="6">
        <v>0</v>
      </c>
      <c r="U131" s="6">
        <v>0</v>
      </c>
      <c r="V131" s="6">
        <v>0</v>
      </c>
      <c r="W131" s="6">
        <v>0</v>
      </c>
      <c r="X131" s="6">
        <v>0</v>
      </c>
      <c r="Y131" s="6">
        <v>0</v>
      </c>
      <c r="Z131" s="6">
        <v>0</v>
      </c>
      <c r="AA131" s="6">
        <v>0</v>
      </c>
      <c r="AB131" s="6">
        <v>0</v>
      </c>
      <c r="AC131" s="6">
        <v>0</v>
      </c>
      <c r="AD131" s="6">
        <v>0</v>
      </c>
      <c r="AE131" s="6">
        <v>0</v>
      </c>
      <c r="AF131" s="6">
        <v>0</v>
      </c>
      <c r="AG131" s="6">
        <v>0</v>
      </c>
      <c r="AH131" s="6">
        <v>0</v>
      </c>
      <c r="AI131" s="6">
        <v>0</v>
      </c>
      <c r="AJ131" s="6">
        <v>0</v>
      </c>
      <c r="AK131" s="6">
        <v>0</v>
      </c>
      <c r="AL131" s="6">
        <v>0</v>
      </c>
      <c r="AM131" s="6">
        <v>0</v>
      </c>
      <c r="AN131" s="6">
        <v>0</v>
      </c>
      <c r="AO131" s="6">
        <v>0</v>
      </c>
      <c r="AP131" s="6">
        <v>0</v>
      </c>
      <c r="AQ131" s="6">
        <v>0</v>
      </c>
      <c r="AR131" s="6">
        <v>0</v>
      </c>
    </row>
    <row r="132" s="6" customFormat="1" spans="1:44">
      <c r="A132" s="5" t="s">
        <v>1129</v>
      </c>
      <c r="B132" s="6">
        <f t="shared" si="12"/>
        <v>0</v>
      </c>
      <c r="C132" s="6">
        <v>0</v>
      </c>
      <c r="D132" s="6">
        <v>0</v>
      </c>
      <c r="E132" s="6">
        <v>0</v>
      </c>
      <c r="F132" s="6">
        <v>0</v>
      </c>
      <c r="G132" s="6">
        <v>0</v>
      </c>
      <c r="H132" s="6">
        <v>0</v>
      </c>
      <c r="I132" s="6">
        <v>0</v>
      </c>
      <c r="J132" s="6">
        <v>0</v>
      </c>
      <c r="K132" s="6">
        <v>0</v>
      </c>
      <c r="L132" s="6">
        <v>0</v>
      </c>
      <c r="M132" s="6">
        <v>0</v>
      </c>
      <c r="N132" s="6">
        <v>0</v>
      </c>
      <c r="O132" s="6">
        <v>0</v>
      </c>
      <c r="P132" s="6">
        <v>0</v>
      </c>
      <c r="Q132" s="6">
        <v>0</v>
      </c>
      <c r="R132" s="6">
        <v>0</v>
      </c>
      <c r="S132" s="6">
        <v>0</v>
      </c>
      <c r="T132" s="6">
        <v>0</v>
      </c>
      <c r="U132" s="6">
        <v>0</v>
      </c>
      <c r="V132" s="6">
        <v>0</v>
      </c>
      <c r="W132" s="6">
        <v>0</v>
      </c>
      <c r="X132" s="6">
        <v>0</v>
      </c>
      <c r="Y132" s="6">
        <v>0</v>
      </c>
      <c r="Z132" s="6">
        <v>0</v>
      </c>
      <c r="AA132" s="6">
        <v>0</v>
      </c>
      <c r="AB132" s="6">
        <v>0</v>
      </c>
      <c r="AC132" s="6">
        <v>0</v>
      </c>
      <c r="AD132" s="6">
        <v>0</v>
      </c>
      <c r="AE132" s="6">
        <v>0</v>
      </c>
      <c r="AF132" s="6">
        <v>0</v>
      </c>
      <c r="AG132" s="6">
        <v>0</v>
      </c>
      <c r="AH132" s="6">
        <v>0</v>
      </c>
      <c r="AI132" s="6">
        <v>0</v>
      </c>
      <c r="AJ132" s="6">
        <v>0</v>
      </c>
      <c r="AK132" s="6">
        <v>0</v>
      </c>
      <c r="AL132" s="6">
        <v>0</v>
      </c>
      <c r="AM132" s="6">
        <v>0</v>
      </c>
      <c r="AN132" s="6">
        <v>0</v>
      </c>
      <c r="AO132" s="6">
        <v>0</v>
      </c>
      <c r="AP132" s="6">
        <v>0</v>
      </c>
      <c r="AQ132" s="6">
        <v>0</v>
      </c>
      <c r="AR132" s="6">
        <v>0</v>
      </c>
    </row>
    <row r="133" s="6" customFormat="1" spans="1:44">
      <c r="A133" s="5" t="s">
        <v>1130</v>
      </c>
      <c r="B133" s="6">
        <f t="shared" si="12"/>
        <v>0</v>
      </c>
      <c r="C133" s="6">
        <v>0</v>
      </c>
      <c r="D133" s="6">
        <v>0</v>
      </c>
      <c r="E133" s="6">
        <v>0</v>
      </c>
      <c r="F133" s="6">
        <v>0</v>
      </c>
      <c r="G133" s="6">
        <v>0</v>
      </c>
      <c r="H133" s="6">
        <v>0</v>
      </c>
      <c r="I133" s="6">
        <v>0</v>
      </c>
      <c r="J133" s="6">
        <v>0</v>
      </c>
      <c r="K133" s="6">
        <v>0</v>
      </c>
      <c r="L133" s="6">
        <v>0</v>
      </c>
      <c r="M133" s="6">
        <v>0</v>
      </c>
      <c r="N133" s="6">
        <v>0</v>
      </c>
      <c r="O133" s="6">
        <v>0</v>
      </c>
      <c r="P133" s="6">
        <v>0</v>
      </c>
      <c r="Q133" s="6">
        <v>0</v>
      </c>
      <c r="R133" s="6">
        <v>0</v>
      </c>
      <c r="S133" s="6">
        <v>0</v>
      </c>
      <c r="T133" s="6">
        <v>0</v>
      </c>
      <c r="U133" s="6">
        <v>0</v>
      </c>
      <c r="V133" s="6">
        <v>0</v>
      </c>
      <c r="W133" s="6">
        <v>0</v>
      </c>
      <c r="X133" s="6">
        <v>0</v>
      </c>
      <c r="Y133" s="6">
        <v>0</v>
      </c>
      <c r="Z133" s="6">
        <v>0</v>
      </c>
      <c r="AA133" s="6">
        <v>0</v>
      </c>
      <c r="AB133" s="6">
        <v>0</v>
      </c>
      <c r="AC133" s="6">
        <v>0</v>
      </c>
      <c r="AD133" s="6">
        <v>0</v>
      </c>
      <c r="AE133" s="6">
        <v>0</v>
      </c>
      <c r="AF133" s="6">
        <v>0</v>
      </c>
      <c r="AG133" s="6">
        <v>0</v>
      </c>
      <c r="AH133" s="6">
        <v>0</v>
      </c>
      <c r="AI133" s="6">
        <v>0</v>
      </c>
      <c r="AJ133" s="6">
        <v>0</v>
      </c>
      <c r="AK133" s="6">
        <v>0</v>
      </c>
      <c r="AL133" s="6">
        <v>0</v>
      </c>
      <c r="AM133" s="6">
        <v>0</v>
      </c>
      <c r="AN133" s="6">
        <v>0</v>
      </c>
      <c r="AO133" s="6">
        <v>0</v>
      </c>
      <c r="AP133" s="6">
        <v>0</v>
      </c>
      <c r="AQ133" s="6">
        <v>0</v>
      </c>
      <c r="AR133" s="6">
        <v>0</v>
      </c>
    </row>
    <row r="134" s="6" customFormat="1" spans="1:44">
      <c r="A134" s="5" t="s">
        <v>1131</v>
      </c>
      <c r="B134" s="6">
        <f t="shared" si="12"/>
        <v>0</v>
      </c>
      <c r="C134" s="6">
        <v>0</v>
      </c>
      <c r="D134" s="6">
        <v>0</v>
      </c>
      <c r="E134" s="6">
        <v>0</v>
      </c>
      <c r="F134" s="6">
        <v>0</v>
      </c>
      <c r="G134" s="6">
        <v>0</v>
      </c>
      <c r="H134" s="6">
        <v>0</v>
      </c>
      <c r="I134" s="6">
        <v>0</v>
      </c>
      <c r="J134" s="6">
        <v>0</v>
      </c>
      <c r="K134" s="6">
        <v>0</v>
      </c>
      <c r="L134" s="6">
        <v>0</v>
      </c>
      <c r="M134" s="6">
        <v>0</v>
      </c>
      <c r="N134" s="6">
        <v>0</v>
      </c>
      <c r="O134" s="6">
        <v>0</v>
      </c>
      <c r="P134" s="6">
        <v>0</v>
      </c>
      <c r="Q134" s="6">
        <v>0</v>
      </c>
      <c r="R134" s="6">
        <v>0</v>
      </c>
      <c r="S134" s="6">
        <v>0</v>
      </c>
      <c r="T134" s="6">
        <v>0</v>
      </c>
      <c r="U134" s="6">
        <v>0</v>
      </c>
      <c r="V134" s="6">
        <v>0</v>
      </c>
      <c r="W134" s="6">
        <v>0</v>
      </c>
      <c r="X134" s="6">
        <v>0</v>
      </c>
      <c r="Y134" s="6">
        <v>0</v>
      </c>
      <c r="Z134" s="6">
        <v>0</v>
      </c>
      <c r="AA134" s="6">
        <v>0</v>
      </c>
      <c r="AB134" s="6">
        <v>0</v>
      </c>
      <c r="AC134" s="6">
        <v>0</v>
      </c>
      <c r="AD134" s="6">
        <v>0</v>
      </c>
      <c r="AE134" s="6">
        <v>0</v>
      </c>
      <c r="AF134" s="6">
        <v>0</v>
      </c>
      <c r="AG134" s="6">
        <v>0</v>
      </c>
      <c r="AH134" s="6">
        <v>0</v>
      </c>
      <c r="AI134" s="6">
        <v>0</v>
      </c>
      <c r="AJ134" s="6">
        <v>0</v>
      </c>
      <c r="AK134" s="6">
        <v>0</v>
      </c>
      <c r="AL134" s="6">
        <v>0</v>
      </c>
      <c r="AM134" s="6">
        <v>0</v>
      </c>
      <c r="AN134" s="6">
        <v>0</v>
      </c>
      <c r="AO134" s="6">
        <v>0</v>
      </c>
      <c r="AP134" s="6">
        <v>0</v>
      </c>
      <c r="AQ134" s="6">
        <v>0</v>
      </c>
      <c r="AR134" s="6">
        <v>0</v>
      </c>
    </row>
    <row r="135" s="6" customFormat="1" spans="1:44">
      <c r="A135" s="5" t="s">
        <v>1132</v>
      </c>
      <c r="B135" s="6">
        <f t="shared" si="12"/>
        <v>0</v>
      </c>
      <c r="C135" s="6">
        <v>0</v>
      </c>
      <c r="D135" s="6">
        <v>0</v>
      </c>
      <c r="E135" s="6">
        <v>0</v>
      </c>
      <c r="F135" s="6">
        <v>0</v>
      </c>
      <c r="G135" s="6">
        <v>0</v>
      </c>
      <c r="H135" s="6">
        <v>0</v>
      </c>
      <c r="I135" s="6">
        <v>0</v>
      </c>
      <c r="J135" s="6">
        <v>0</v>
      </c>
      <c r="K135" s="6">
        <v>0</v>
      </c>
      <c r="L135" s="6">
        <v>0</v>
      </c>
      <c r="M135" s="6">
        <v>0</v>
      </c>
      <c r="N135" s="6">
        <v>0</v>
      </c>
      <c r="O135" s="6">
        <v>0</v>
      </c>
      <c r="P135" s="6">
        <v>0</v>
      </c>
      <c r="Q135" s="6">
        <v>0</v>
      </c>
      <c r="R135" s="6">
        <v>0</v>
      </c>
      <c r="S135" s="6">
        <v>0</v>
      </c>
      <c r="T135" s="6">
        <v>0</v>
      </c>
      <c r="U135" s="6">
        <v>0</v>
      </c>
      <c r="V135" s="6">
        <v>0</v>
      </c>
      <c r="W135" s="6">
        <v>0</v>
      </c>
      <c r="X135" s="6">
        <v>0</v>
      </c>
      <c r="Y135" s="6">
        <v>0</v>
      </c>
      <c r="Z135" s="6">
        <v>0</v>
      </c>
      <c r="AA135" s="6">
        <v>0</v>
      </c>
      <c r="AB135" s="6">
        <v>0</v>
      </c>
      <c r="AC135" s="6">
        <v>0</v>
      </c>
      <c r="AD135" s="6">
        <v>0</v>
      </c>
      <c r="AE135" s="6">
        <v>0</v>
      </c>
      <c r="AF135" s="6">
        <v>0</v>
      </c>
      <c r="AG135" s="6">
        <v>0</v>
      </c>
      <c r="AH135" s="6">
        <v>0</v>
      </c>
      <c r="AI135" s="6">
        <v>0</v>
      </c>
      <c r="AJ135" s="6">
        <v>0</v>
      </c>
      <c r="AK135" s="6">
        <v>0</v>
      </c>
      <c r="AL135" s="6">
        <v>0</v>
      </c>
      <c r="AM135" s="6">
        <v>0</v>
      </c>
      <c r="AN135" s="6">
        <v>0</v>
      </c>
      <c r="AO135" s="6">
        <v>0</v>
      </c>
      <c r="AP135" s="6">
        <v>0</v>
      </c>
      <c r="AQ135" s="6">
        <v>0</v>
      </c>
      <c r="AR135" s="6">
        <v>0</v>
      </c>
    </row>
    <row r="136" s="6" customFormat="1" spans="1:44">
      <c r="A136" s="5" t="s">
        <v>1119</v>
      </c>
      <c r="B136" s="6">
        <f>BAU建筑总能耗计算!B$5*$J$16</f>
        <v>0</v>
      </c>
      <c r="C136" s="6">
        <v>0</v>
      </c>
      <c r="D136" s="6">
        <v>0</v>
      </c>
      <c r="E136" s="6">
        <v>0</v>
      </c>
      <c r="F136" s="6">
        <v>0</v>
      </c>
      <c r="G136" s="6">
        <v>0</v>
      </c>
      <c r="H136" s="6">
        <v>0</v>
      </c>
      <c r="I136" s="6">
        <v>0</v>
      </c>
      <c r="J136" s="6">
        <v>0</v>
      </c>
      <c r="K136" s="6">
        <v>0</v>
      </c>
      <c r="L136" s="6">
        <v>0</v>
      </c>
      <c r="M136" s="6">
        <v>0</v>
      </c>
      <c r="N136" s="6">
        <v>0</v>
      </c>
      <c r="O136" s="6">
        <v>0</v>
      </c>
      <c r="P136" s="6">
        <v>0</v>
      </c>
      <c r="Q136" s="6">
        <v>0</v>
      </c>
      <c r="R136" s="6">
        <v>0</v>
      </c>
      <c r="S136" s="6">
        <v>0</v>
      </c>
      <c r="T136" s="6">
        <v>0</v>
      </c>
      <c r="U136" s="6">
        <v>0</v>
      </c>
      <c r="V136" s="6">
        <v>0</v>
      </c>
      <c r="W136" s="6">
        <v>0</v>
      </c>
      <c r="X136" s="6">
        <v>0</v>
      </c>
      <c r="Y136" s="6">
        <v>0</v>
      </c>
      <c r="Z136" s="6">
        <v>0</v>
      </c>
      <c r="AA136" s="6">
        <v>0</v>
      </c>
      <c r="AB136" s="6">
        <v>0</v>
      </c>
      <c r="AC136" s="6">
        <v>0</v>
      </c>
      <c r="AD136" s="6">
        <v>0</v>
      </c>
      <c r="AE136" s="6">
        <v>0</v>
      </c>
      <c r="AF136" s="6">
        <v>0</v>
      </c>
      <c r="AG136" s="6">
        <v>0</v>
      </c>
      <c r="AH136" s="6">
        <v>0</v>
      </c>
      <c r="AI136" s="6">
        <v>0</v>
      </c>
      <c r="AJ136" s="6">
        <v>0</v>
      </c>
      <c r="AK136" s="6">
        <v>0</v>
      </c>
      <c r="AL136" s="6">
        <v>0</v>
      </c>
      <c r="AM136" s="6">
        <v>0</v>
      </c>
      <c r="AN136" s="6">
        <v>0</v>
      </c>
      <c r="AO136" s="6">
        <v>0</v>
      </c>
      <c r="AP136" s="6">
        <v>0</v>
      </c>
      <c r="AQ136" s="6">
        <v>0</v>
      </c>
      <c r="AR136" s="6">
        <v>0</v>
      </c>
    </row>
    <row r="137" s="6" customFormat="1"/>
    <row r="138" s="5" customFormat="1" spans="1:44">
      <c r="A138" s="13" t="s">
        <v>107</v>
      </c>
      <c r="B138" s="5">
        <v>2018</v>
      </c>
      <c r="C138" s="5">
        <v>2019</v>
      </c>
      <c r="D138" s="5">
        <v>2020</v>
      </c>
      <c r="E138" s="5">
        <v>2021</v>
      </c>
      <c r="F138" s="5">
        <v>2022</v>
      </c>
      <c r="G138" s="5">
        <v>2023</v>
      </c>
      <c r="H138" s="5">
        <v>2024</v>
      </c>
      <c r="I138" s="5">
        <v>2025</v>
      </c>
      <c r="J138" s="5">
        <v>2026</v>
      </c>
      <c r="K138" s="5">
        <v>2027</v>
      </c>
      <c r="L138" s="5">
        <v>2028</v>
      </c>
      <c r="M138" s="5">
        <v>2029</v>
      </c>
      <c r="N138" s="5">
        <v>2030</v>
      </c>
      <c r="O138" s="5">
        <v>2031</v>
      </c>
      <c r="P138" s="5">
        <v>2032</v>
      </c>
      <c r="Q138" s="5">
        <v>2033</v>
      </c>
      <c r="R138" s="5">
        <v>2034</v>
      </c>
      <c r="S138" s="5">
        <v>2035</v>
      </c>
      <c r="T138" s="5">
        <v>2036</v>
      </c>
      <c r="U138" s="5">
        <v>2037</v>
      </c>
      <c r="V138" s="5">
        <v>2038</v>
      </c>
      <c r="W138" s="5">
        <v>2039</v>
      </c>
      <c r="X138" s="5">
        <v>2040</v>
      </c>
      <c r="Y138" s="5">
        <v>2041</v>
      </c>
      <c r="Z138" s="5">
        <v>2042</v>
      </c>
      <c r="AA138" s="5">
        <v>2043</v>
      </c>
      <c r="AB138" s="5">
        <v>2044</v>
      </c>
      <c r="AC138" s="5">
        <v>2045</v>
      </c>
      <c r="AD138" s="5">
        <v>2046</v>
      </c>
      <c r="AE138" s="5">
        <v>2047</v>
      </c>
      <c r="AF138" s="5">
        <v>2048</v>
      </c>
      <c r="AG138" s="5">
        <v>2049</v>
      </c>
      <c r="AH138" s="5">
        <v>2050</v>
      </c>
      <c r="AI138" s="5">
        <v>2051</v>
      </c>
      <c r="AJ138" s="5">
        <v>2052</v>
      </c>
      <c r="AK138" s="5">
        <v>2053</v>
      </c>
      <c r="AL138" s="5">
        <v>2054</v>
      </c>
      <c r="AM138" s="5">
        <v>2055</v>
      </c>
      <c r="AN138" s="5">
        <v>2056</v>
      </c>
      <c r="AO138" s="5">
        <v>2057</v>
      </c>
      <c r="AP138" s="5">
        <v>2058</v>
      </c>
      <c r="AQ138" s="5">
        <v>2059</v>
      </c>
      <c r="AR138" s="5">
        <v>2060</v>
      </c>
    </row>
    <row r="139" s="6" customFormat="1" spans="1:44">
      <c r="A139" s="5" t="s">
        <v>1123</v>
      </c>
      <c r="B139" s="14">
        <f t="shared" ref="B139:B148" si="13">B$149*$K4/$K$14</f>
        <v>520.27002879924</v>
      </c>
      <c r="C139" s="14">
        <v>994.993396247562</v>
      </c>
      <c r="D139" s="14">
        <v>1072.74723340736</v>
      </c>
      <c r="E139" s="14">
        <v>1121.42439595618</v>
      </c>
      <c r="F139" s="14">
        <v>1277.50544886995</v>
      </c>
      <c r="G139" s="14">
        <v>1231.5601241035</v>
      </c>
      <c r="H139" s="14">
        <v>1056.05086208562</v>
      </c>
      <c r="I139" s="14">
        <v>950.493779546334</v>
      </c>
      <c r="J139" s="14">
        <v>939.832407514864</v>
      </c>
      <c r="K139" s="14">
        <v>920.752543508206</v>
      </c>
      <c r="L139" s="14">
        <v>900.20352002951</v>
      </c>
      <c r="M139" s="14">
        <v>871.73672281722</v>
      </c>
      <c r="N139" s="14">
        <v>837.388348283493</v>
      </c>
      <c r="O139" s="14">
        <v>795.098086575095</v>
      </c>
      <c r="P139" s="14">
        <v>746.51611497775</v>
      </c>
      <c r="Q139" s="14">
        <v>691.149903593114</v>
      </c>
      <c r="R139" s="14">
        <v>629.977358670113</v>
      </c>
      <c r="S139" s="14">
        <v>668.386636475867</v>
      </c>
      <c r="T139" s="14">
        <v>637.754213806009</v>
      </c>
      <c r="U139" s="14">
        <v>603.507918997062</v>
      </c>
      <c r="V139" s="14">
        <v>591.113057397844</v>
      </c>
      <c r="W139" s="14">
        <v>581.156828797304</v>
      </c>
      <c r="X139" s="14">
        <v>569.086807484889</v>
      </c>
      <c r="Y139" s="14">
        <v>559.679556815234</v>
      </c>
      <c r="Z139" s="14">
        <v>548.682288587486</v>
      </c>
      <c r="AA139" s="14">
        <v>536.142868999001</v>
      </c>
      <c r="AB139" s="14">
        <v>522.14730081164</v>
      </c>
      <c r="AC139" s="14">
        <v>506.815533034874</v>
      </c>
      <c r="AD139" s="14">
        <v>488.239333657314</v>
      </c>
      <c r="AE139" s="14">
        <v>468.263755856247</v>
      </c>
      <c r="AF139" s="14">
        <v>446.988159198695</v>
      </c>
      <c r="AG139" s="14">
        <v>424.568553712811</v>
      </c>
      <c r="AH139" s="14">
        <v>400.878423704962</v>
      </c>
      <c r="AI139" s="14">
        <v>363.575359704215</v>
      </c>
      <c r="AJ139" s="14">
        <v>325.127932284643</v>
      </c>
      <c r="AK139" s="14">
        <v>285.488994692716</v>
      </c>
      <c r="AL139" s="14">
        <v>244.77289139574</v>
      </c>
      <c r="AM139" s="14">
        <v>203.052987807564</v>
      </c>
      <c r="AN139" s="14">
        <v>158.74973814887</v>
      </c>
      <c r="AO139" s="14">
        <v>113.451520239181</v>
      </c>
      <c r="AP139" s="14">
        <v>67.2332503808081</v>
      </c>
      <c r="AQ139" s="14">
        <v>20.1416656835418</v>
      </c>
      <c r="AR139" s="14">
        <v>0</v>
      </c>
    </row>
    <row r="140" s="6" customFormat="1" spans="1:44">
      <c r="A140" s="5" t="s">
        <v>1124</v>
      </c>
      <c r="B140" s="14">
        <f t="shared" si="13"/>
        <v>0</v>
      </c>
      <c r="C140" s="14">
        <v>0</v>
      </c>
      <c r="D140" s="14">
        <v>0</v>
      </c>
      <c r="E140" s="14">
        <v>0</v>
      </c>
      <c r="F140" s="14">
        <v>0</v>
      </c>
      <c r="G140" s="14">
        <v>0</v>
      </c>
      <c r="H140" s="14">
        <v>0</v>
      </c>
      <c r="I140" s="14">
        <v>0</v>
      </c>
      <c r="J140" s="14">
        <v>0</v>
      </c>
      <c r="K140" s="14">
        <v>0</v>
      </c>
      <c r="L140" s="14">
        <v>0</v>
      </c>
      <c r="M140" s="14">
        <v>0</v>
      </c>
      <c r="N140" s="14">
        <v>0</v>
      </c>
      <c r="O140" s="14">
        <v>0</v>
      </c>
      <c r="P140" s="14">
        <v>0</v>
      </c>
      <c r="Q140" s="14">
        <v>0</v>
      </c>
      <c r="R140" s="14">
        <v>0</v>
      </c>
      <c r="S140" s="14">
        <v>0</v>
      </c>
      <c r="T140" s="14">
        <v>0</v>
      </c>
      <c r="U140" s="14">
        <v>0</v>
      </c>
      <c r="V140" s="14">
        <v>0</v>
      </c>
      <c r="W140" s="14">
        <v>0</v>
      </c>
      <c r="X140" s="14">
        <v>0</v>
      </c>
      <c r="Y140" s="14">
        <v>0</v>
      </c>
      <c r="Z140" s="14">
        <v>0</v>
      </c>
      <c r="AA140" s="14">
        <v>0</v>
      </c>
      <c r="AB140" s="14">
        <v>0</v>
      </c>
      <c r="AC140" s="14">
        <v>0</v>
      </c>
      <c r="AD140" s="14">
        <v>0</v>
      </c>
      <c r="AE140" s="14">
        <v>0</v>
      </c>
      <c r="AF140" s="14">
        <v>0</v>
      </c>
      <c r="AG140" s="14">
        <v>0</v>
      </c>
      <c r="AH140" s="14">
        <v>0</v>
      </c>
      <c r="AI140" s="14">
        <v>0</v>
      </c>
      <c r="AJ140" s="14">
        <v>0</v>
      </c>
      <c r="AK140" s="14">
        <v>0</v>
      </c>
      <c r="AL140" s="14">
        <v>0</v>
      </c>
      <c r="AM140" s="14">
        <v>0</v>
      </c>
      <c r="AN140" s="14">
        <v>0</v>
      </c>
      <c r="AO140" s="14">
        <v>0</v>
      </c>
      <c r="AP140" s="14">
        <v>0</v>
      </c>
      <c r="AQ140" s="14">
        <v>0</v>
      </c>
      <c r="AR140" s="14">
        <v>0</v>
      </c>
    </row>
    <row r="141" s="6" customFormat="1" spans="1:44">
      <c r="A141" s="5" t="s">
        <v>1125</v>
      </c>
      <c r="B141" s="14">
        <f t="shared" si="13"/>
        <v>0</v>
      </c>
      <c r="C141" s="14">
        <v>0</v>
      </c>
      <c r="D141" s="14">
        <v>0</v>
      </c>
      <c r="E141" s="14">
        <v>0</v>
      </c>
      <c r="F141" s="14">
        <v>0</v>
      </c>
      <c r="G141" s="14">
        <v>0</v>
      </c>
      <c r="H141" s="14">
        <v>0</v>
      </c>
      <c r="I141" s="14">
        <v>0</v>
      </c>
      <c r="J141" s="14">
        <v>0</v>
      </c>
      <c r="K141" s="14">
        <v>0</v>
      </c>
      <c r="L141" s="14">
        <v>0</v>
      </c>
      <c r="M141" s="14">
        <v>0</v>
      </c>
      <c r="N141" s="14">
        <v>0</v>
      </c>
      <c r="O141" s="14">
        <v>0</v>
      </c>
      <c r="P141" s="14">
        <v>0</v>
      </c>
      <c r="Q141" s="14">
        <v>0</v>
      </c>
      <c r="R141" s="14">
        <v>0</v>
      </c>
      <c r="S141" s="14">
        <v>0</v>
      </c>
      <c r="T141" s="14">
        <v>0</v>
      </c>
      <c r="U141" s="14">
        <v>0</v>
      </c>
      <c r="V141" s="14">
        <v>0</v>
      </c>
      <c r="W141" s="14">
        <v>0</v>
      </c>
      <c r="X141" s="14">
        <v>0</v>
      </c>
      <c r="Y141" s="14">
        <v>0</v>
      </c>
      <c r="Z141" s="14">
        <v>0</v>
      </c>
      <c r="AA141" s="14">
        <v>0</v>
      </c>
      <c r="AB141" s="14">
        <v>0</v>
      </c>
      <c r="AC141" s="14">
        <v>0</v>
      </c>
      <c r="AD141" s="14">
        <v>0</v>
      </c>
      <c r="AE141" s="14">
        <v>0</v>
      </c>
      <c r="AF141" s="14">
        <v>0</v>
      </c>
      <c r="AG141" s="14">
        <v>0</v>
      </c>
      <c r="AH141" s="14">
        <v>0</v>
      </c>
      <c r="AI141" s="14">
        <v>0</v>
      </c>
      <c r="AJ141" s="14">
        <v>0</v>
      </c>
      <c r="AK141" s="14">
        <v>0</v>
      </c>
      <c r="AL141" s="14">
        <v>0</v>
      </c>
      <c r="AM141" s="14">
        <v>0</v>
      </c>
      <c r="AN141" s="14">
        <v>0</v>
      </c>
      <c r="AO141" s="14">
        <v>0</v>
      </c>
      <c r="AP141" s="14">
        <v>0</v>
      </c>
      <c r="AQ141" s="14">
        <v>0</v>
      </c>
      <c r="AR141" s="14">
        <v>0</v>
      </c>
    </row>
    <row r="142" s="6" customFormat="1" spans="1:44">
      <c r="A142" s="5" t="s">
        <v>1126</v>
      </c>
      <c r="B142" s="14">
        <f t="shared" si="13"/>
        <v>0</v>
      </c>
      <c r="C142" s="14">
        <v>0</v>
      </c>
      <c r="D142" s="14">
        <v>0</v>
      </c>
      <c r="E142" s="14">
        <v>0</v>
      </c>
      <c r="F142" s="14">
        <v>0</v>
      </c>
      <c r="G142" s="14">
        <v>0</v>
      </c>
      <c r="H142" s="14">
        <v>0</v>
      </c>
      <c r="I142" s="14">
        <v>0</v>
      </c>
      <c r="J142" s="14">
        <v>0</v>
      </c>
      <c r="K142" s="14">
        <v>0</v>
      </c>
      <c r="L142" s="14">
        <v>0</v>
      </c>
      <c r="M142" s="14">
        <v>0</v>
      </c>
      <c r="N142" s="14">
        <v>0</v>
      </c>
      <c r="O142" s="14">
        <v>0</v>
      </c>
      <c r="P142" s="14">
        <v>0</v>
      </c>
      <c r="Q142" s="14">
        <v>0</v>
      </c>
      <c r="R142" s="14">
        <v>0</v>
      </c>
      <c r="S142" s="14">
        <v>0</v>
      </c>
      <c r="T142" s="14">
        <v>0</v>
      </c>
      <c r="U142" s="14">
        <v>0</v>
      </c>
      <c r="V142" s="14">
        <v>0</v>
      </c>
      <c r="W142" s="14">
        <v>0</v>
      </c>
      <c r="X142" s="14">
        <v>0</v>
      </c>
      <c r="Y142" s="14">
        <v>0</v>
      </c>
      <c r="Z142" s="14">
        <v>0</v>
      </c>
      <c r="AA142" s="14">
        <v>0</v>
      </c>
      <c r="AB142" s="14">
        <v>0</v>
      </c>
      <c r="AC142" s="14">
        <v>0</v>
      </c>
      <c r="AD142" s="14">
        <v>0</v>
      </c>
      <c r="AE142" s="14">
        <v>0</v>
      </c>
      <c r="AF142" s="14">
        <v>0</v>
      </c>
      <c r="AG142" s="14">
        <v>0</v>
      </c>
      <c r="AH142" s="14">
        <v>0</v>
      </c>
      <c r="AI142" s="14">
        <v>0</v>
      </c>
      <c r="AJ142" s="14">
        <v>0</v>
      </c>
      <c r="AK142" s="14">
        <v>0</v>
      </c>
      <c r="AL142" s="14">
        <v>0</v>
      </c>
      <c r="AM142" s="14">
        <v>0</v>
      </c>
      <c r="AN142" s="14">
        <v>0</v>
      </c>
      <c r="AO142" s="14">
        <v>0</v>
      </c>
      <c r="AP142" s="14">
        <v>0</v>
      </c>
      <c r="AQ142" s="14">
        <v>0</v>
      </c>
      <c r="AR142" s="14">
        <v>0</v>
      </c>
    </row>
    <row r="143" s="6" customFormat="1" spans="1:44">
      <c r="A143" s="5" t="s">
        <v>1127</v>
      </c>
      <c r="B143" s="14">
        <f t="shared" si="13"/>
        <v>0</v>
      </c>
      <c r="C143" s="14">
        <v>0</v>
      </c>
      <c r="D143" s="14">
        <v>0</v>
      </c>
      <c r="E143" s="14">
        <v>0</v>
      </c>
      <c r="F143" s="14">
        <v>0</v>
      </c>
      <c r="G143" s="14">
        <v>0</v>
      </c>
      <c r="H143" s="14">
        <v>0</v>
      </c>
      <c r="I143" s="14">
        <v>0</v>
      </c>
      <c r="J143" s="14">
        <v>0</v>
      </c>
      <c r="K143" s="14">
        <v>0</v>
      </c>
      <c r="L143" s="14">
        <v>0</v>
      </c>
      <c r="M143" s="14">
        <v>0</v>
      </c>
      <c r="N143" s="14">
        <v>0</v>
      </c>
      <c r="O143" s="14">
        <v>0</v>
      </c>
      <c r="P143" s="14">
        <v>0</v>
      </c>
      <c r="Q143" s="14">
        <v>0</v>
      </c>
      <c r="R143" s="14">
        <v>0</v>
      </c>
      <c r="S143" s="14">
        <v>0</v>
      </c>
      <c r="T143" s="14">
        <v>0</v>
      </c>
      <c r="U143" s="14">
        <v>0</v>
      </c>
      <c r="V143" s="14">
        <v>0</v>
      </c>
      <c r="W143" s="14">
        <v>0</v>
      </c>
      <c r="X143" s="14">
        <v>0</v>
      </c>
      <c r="Y143" s="14">
        <v>0</v>
      </c>
      <c r="Z143" s="14">
        <v>0</v>
      </c>
      <c r="AA143" s="14">
        <v>0</v>
      </c>
      <c r="AB143" s="14">
        <v>0</v>
      </c>
      <c r="AC143" s="14">
        <v>0</v>
      </c>
      <c r="AD143" s="14">
        <v>0</v>
      </c>
      <c r="AE143" s="14">
        <v>0</v>
      </c>
      <c r="AF143" s="14">
        <v>0</v>
      </c>
      <c r="AG143" s="14">
        <v>0</v>
      </c>
      <c r="AH143" s="14">
        <v>0</v>
      </c>
      <c r="AI143" s="14">
        <v>0</v>
      </c>
      <c r="AJ143" s="14">
        <v>0</v>
      </c>
      <c r="AK143" s="14">
        <v>0</v>
      </c>
      <c r="AL143" s="14">
        <v>0</v>
      </c>
      <c r="AM143" s="14">
        <v>0</v>
      </c>
      <c r="AN143" s="14">
        <v>0</v>
      </c>
      <c r="AO143" s="14">
        <v>0</v>
      </c>
      <c r="AP143" s="14">
        <v>0</v>
      </c>
      <c r="AQ143" s="14">
        <v>0</v>
      </c>
      <c r="AR143" s="14">
        <v>0</v>
      </c>
    </row>
    <row r="144" s="6" customFormat="1" spans="1:44">
      <c r="A144" s="5" t="s">
        <v>1128</v>
      </c>
      <c r="B144" s="14">
        <f t="shared" si="13"/>
        <v>0</v>
      </c>
      <c r="C144" s="14">
        <v>0</v>
      </c>
      <c r="D144" s="14">
        <v>0</v>
      </c>
      <c r="E144" s="14">
        <v>0</v>
      </c>
      <c r="F144" s="14">
        <v>0</v>
      </c>
      <c r="G144" s="14">
        <v>0</v>
      </c>
      <c r="H144" s="14">
        <v>0</v>
      </c>
      <c r="I144" s="14">
        <v>0</v>
      </c>
      <c r="J144" s="14">
        <v>0</v>
      </c>
      <c r="K144" s="14">
        <v>0</v>
      </c>
      <c r="L144" s="14">
        <v>0</v>
      </c>
      <c r="M144" s="14">
        <v>0</v>
      </c>
      <c r="N144" s="14">
        <v>0</v>
      </c>
      <c r="O144" s="14">
        <v>0</v>
      </c>
      <c r="P144" s="14">
        <v>0</v>
      </c>
      <c r="Q144" s="14">
        <v>0</v>
      </c>
      <c r="R144" s="14">
        <v>0</v>
      </c>
      <c r="S144" s="14">
        <v>0</v>
      </c>
      <c r="T144" s="14">
        <v>0</v>
      </c>
      <c r="U144" s="14">
        <v>0</v>
      </c>
      <c r="V144" s="14">
        <v>0</v>
      </c>
      <c r="W144" s="14">
        <v>0</v>
      </c>
      <c r="X144" s="14">
        <v>0</v>
      </c>
      <c r="Y144" s="14">
        <v>0</v>
      </c>
      <c r="Z144" s="14">
        <v>0</v>
      </c>
      <c r="AA144" s="14">
        <v>0</v>
      </c>
      <c r="AB144" s="14">
        <v>0</v>
      </c>
      <c r="AC144" s="14">
        <v>0</v>
      </c>
      <c r="AD144" s="14">
        <v>0</v>
      </c>
      <c r="AE144" s="14">
        <v>0</v>
      </c>
      <c r="AF144" s="14">
        <v>0</v>
      </c>
      <c r="AG144" s="14">
        <v>0</v>
      </c>
      <c r="AH144" s="14">
        <v>0</v>
      </c>
      <c r="AI144" s="14">
        <v>0</v>
      </c>
      <c r="AJ144" s="14">
        <v>0</v>
      </c>
      <c r="AK144" s="14">
        <v>0</v>
      </c>
      <c r="AL144" s="14">
        <v>0</v>
      </c>
      <c r="AM144" s="14">
        <v>0</v>
      </c>
      <c r="AN144" s="14">
        <v>0</v>
      </c>
      <c r="AO144" s="14">
        <v>0</v>
      </c>
      <c r="AP144" s="14">
        <v>0</v>
      </c>
      <c r="AQ144" s="14">
        <v>0</v>
      </c>
      <c r="AR144" s="14">
        <v>0</v>
      </c>
    </row>
    <row r="145" s="6" customFormat="1" spans="1:44">
      <c r="A145" s="5" t="s">
        <v>1129</v>
      </c>
      <c r="B145" s="14">
        <f t="shared" si="13"/>
        <v>0</v>
      </c>
      <c r="C145" s="14">
        <v>0</v>
      </c>
      <c r="D145" s="14">
        <v>0</v>
      </c>
      <c r="E145" s="14">
        <v>0</v>
      </c>
      <c r="F145" s="14">
        <v>0</v>
      </c>
      <c r="G145" s="14">
        <v>0</v>
      </c>
      <c r="H145" s="14">
        <v>0</v>
      </c>
      <c r="I145" s="14">
        <v>0</v>
      </c>
      <c r="J145" s="14">
        <v>0</v>
      </c>
      <c r="K145" s="14">
        <v>0</v>
      </c>
      <c r="L145" s="14">
        <v>0</v>
      </c>
      <c r="M145" s="14">
        <v>0</v>
      </c>
      <c r="N145" s="14">
        <v>0</v>
      </c>
      <c r="O145" s="14">
        <v>0</v>
      </c>
      <c r="P145" s="14">
        <v>0</v>
      </c>
      <c r="Q145" s="14">
        <v>0</v>
      </c>
      <c r="R145" s="14">
        <v>0</v>
      </c>
      <c r="S145" s="14">
        <v>0</v>
      </c>
      <c r="T145" s="14">
        <v>0</v>
      </c>
      <c r="U145" s="14">
        <v>0</v>
      </c>
      <c r="V145" s="14">
        <v>0</v>
      </c>
      <c r="W145" s="14">
        <v>0</v>
      </c>
      <c r="X145" s="14">
        <v>0</v>
      </c>
      <c r="Y145" s="14">
        <v>0</v>
      </c>
      <c r="Z145" s="14">
        <v>0</v>
      </c>
      <c r="AA145" s="14">
        <v>0</v>
      </c>
      <c r="AB145" s="14">
        <v>0</v>
      </c>
      <c r="AC145" s="14">
        <v>0</v>
      </c>
      <c r="AD145" s="14">
        <v>0</v>
      </c>
      <c r="AE145" s="14">
        <v>0</v>
      </c>
      <c r="AF145" s="14">
        <v>0</v>
      </c>
      <c r="AG145" s="14">
        <v>0</v>
      </c>
      <c r="AH145" s="14">
        <v>0</v>
      </c>
      <c r="AI145" s="14">
        <v>0</v>
      </c>
      <c r="AJ145" s="14">
        <v>0</v>
      </c>
      <c r="AK145" s="14">
        <v>0</v>
      </c>
      <c r="AL145" s="14">
        <v>0</v>
      </c>
      <c r="AM145" s="14">
        <v>0</v>
      </c>
      <c r="AN145" s="14">
        <v>0</v>
      </c>
      <c r="AO145" s="14">
        <v>0</v>
      </c>
      <c r="AP145" s="14">
        <v>0</v>
      </c>
      <c r="AQ145" s="14">
        <v>0</v>
      </c>
      <c r="AR145" s="14">
        <v>0</v>
      </c>
    </row>
    <row r="146" s="6" customFormat="1" spans="1:44">
      <c r="A146" s="5" t="s">
        <v>1130</v>
      </c>
      <c r="B146" s="14">
        <f t="shared" si="13"/>
        <v>0</v>
      </c>
      <c r="C146" s="14">
        <v>0</v>
      </c>
      <c r="D146" s="14">
        <v>0</v>
      </c>
      <c r="E146" s="14">
        <v>0</v>
      </c>
      <c r="F146" s="14">
        <v>0</v>
      </c>
      <c r="G146" s="14">
        <v>0</v>
      </c>
      <c r="H146" s="14">
        <v>0</v>
      </c>
      <c r="I146" s="14">
        <v>0</v>
      </c>
      <c r="J146" s="14">
        <v>0</v>
      </c>
      <c r="K146" s="14">
        <v>0</v>
      </c>
      <c r="L146" s="14">
        <v>0</v>
      </c>
      <c r="M146" s="14">
        <v>0</v>
      </c>
      <c r="N146" s="14">
        <v>0</v>
      </c>
      <c r="O146" s="14">
        <v>0</v>
      </c>
      <c r="P146" s="14">
        <v>0</v>
      </c>
      <c r="Q146" s="14">
        <v>0</v>
      </c>
      <c r="R146" s="14">
        <v>0</v>
      </c>
      <c r="S146" s="14">
        <v>0</v>
      </c>
      <c r="T146" s="14">
        <v>0</v>
      </c>
      <c r="U146" s="14">
        <v>0</v>
      </c>
      <c r="V146" s="14">
        <v>0</v>
      </c>
      <c r="W146" s="14">
        <v>0</v>
      </c>
      <c r="X146" s="14">
        <v>0</v>
      </c>
      <c r="Y146" s="14">
        <v>0</v>
      </c>
      <c r="Z146" s="14">
        <v>0</v>
      </c>
      <c r="AA146" s="14">
        <v>0</v>
      </c>
      <c r="AB146" s="14">
        <v>0</v>
      </c>
      <c r="AC146" s="14">
        <v>0</v>
      </c>
      <c r="AD146" s="14">
        <v>0</v>
      </c>
      <c r="AE146" s="14">
        <v>0</v>
      </c>
      <c r="AF146" s="14">
        <v>0</v>
      </c>
      <c r="AG146" s="14">
        <v>0</v>
      </c>
      <c r="AH146" s="14">
        <v>0</v>
      </c>
      <c r="AI146" s="14">
        <v>0</v>
      </c>
      <c r="AJ146" s="14">
        <v>0</v>
      </c>
      <c r="AK146" s="14">
        <v>0</v>
      </c>
      <c r="AL146" s="14">
        <v>0</v>
      </c>
      <c r="AM146" s="14">
        <v>0</v>
      </c>
      <c r="AN146" s="14">
        <v>0</v>
      </c>
      <c r="AO146" s="14">
        <v>0</v>
      </c>
      <c r="AP146" s="14">
        <v>0</v>
      </c>
      <c r="AQ146" s="14">
        <v>0</v>
      </c>
      <c r="AR146" s="14">
        <v>0</v>
      </c>
    </row>
    <row r="147" s="6" customFormat="1" spans="1:44">
      <c r="A147" s="5" t="s">
        <v>1131</v>
      </c>
      <c r="B147" s="14">
        <f t="shared" si="13"/>
        <v>0</v>
      </c>
      <c r="C147" s="14">
        <v>0</v>
      </c>
      <c r="D147" s="14">
        <v>0</v>
      </c>
      <c r="E147" s="14">
        <v>0</v>
      </c>
      <c r="F147" s="14">
        <v>0</v>
      </c>
      <c r="G147" s="14">
        <v>0</v>
      </c>
      <c r="H147" s="14">
        <v>0</v>
      </c>
      <c r="I147" s="14">
        <v>0</v>
      </c>
      <c r="J147" s="14">
        <v>0</v>
      </c>
      <c r="K147" s="14">
        <v>0</v>
      </c>
      <c r="L147" s="14">
        <v>0</v>
      </c>
      <c r="M147" s="14">
        <v>0</v>
      </c>
      <c r="N147" s="14">
        <v>0</v>
      </c>
      <c r="O147" s="14">
        <v>0</v>
      </c>
      <c r="P147" s="14">
        <v>0</v>
      </c>
      <c r="Q147" s="14">
        <v>0</v>
      </c>
      <c r="R147" s="14">
        <v>0</v>
      </c>
      <c r="S147" s="14">
        <v>0</v>
      </c>
      <c r="T147" s="14">
        <v>0</v>
      </c>
      <c r="U147" s="14">
        <v>0</v>
      </c>
      <c r="V147" s="14">
        <v>0</v>
      </c>
      <c r="W147" s="14">
        <v>0</v>
      </c>
      <c r="X147" s="14">
        <v>0</v>
      </c>
      <c r="Y147" s="14">
        <v>0</v>
      </c>
      <c r="Z147" s="14">
        <v>0</v>
      </c>
      <c r="AA147" s="14">
        <v>0</v>
      </c>
      <c r="AB147" s="14">
        <v>0</v>
      </c>
      <c r="AC147" s="14">
        <v>0</v>
      </c>
      <c r="AD147" s="14">
        <v>0</v>
      </c>
      <c r="AE147" s="14">
        <v>0</v>
      </c>
      <c r="AF147" s="14">
        <v>0</v>
      </c>
      <c r="AG147" s="14">
        <v>0</v>
      </c>
      <c r="AH147" s="14">
        <v>0</v>
      </c>
      <c r="AI147" s="14">
        <v>0</v>
      </c>
      <c r="AJ147" s="14">
        <v>0</v>
      </c>
      <c r="AK147" s="14">
        <v>0</v>
      </c>
      <c r="AL147" s="14">
        <v>0</v>
      </c>
      <c r="AM147" s="14">
        <v>0</v>
      </c>
      <c r="AN147" s="14">
        <v>0</v>
      </c>
      <c r="AO147" s="14">
        <v>0</v>
      </c>
      <c r="AP147" s="14">
        <v>0</v>
      </c>
      <c r="AQ147" s="14">
        <v>0</v>
      </c>
      <c r="AR147" s="14">
        <v>0</v>
      </c>
    </row>
    <row r="148" s="6" customFormat="1" spans="1:44">
      <c r="A148" s="5" t="s">
        <v>1132</v>
      </c>
      <c r="B148" s="14">
        <f t="shared" si="13"/>
        <v>0</v>
      </c>
      <c r="C148" s="14">
        <v>0</v>
      </c>
      <c r="D148" s="14">
        <v>0</v>
      </c>
      <c r="E148" s="14">
        <v>0</v>
      </c>
      <c r="F148" s="14">
        <v>0</v>
      </c>
      <c r="G148" s="14">
        <v>0</v>
      </c>
      <c r="H148" s="14">
        <v>0</v>
      </c>
      <c r="I148" s="14">
        <v>0</v>
      </c>
      <c r="J148" s="14">
        <v>0</v>
      </c>
      <c r="K148" s="14">
        <v>0</v>
      </c>
      <c r="L148" s="14">
        <v>0</v>
      </c>
      <c r="M148" s="14">
        <v>0</v>
      </c>
      <c r="N148" s="14">
        <v>0</v>
      </c>
      <c r="O148" s="14">
        <v>0</v>
      </c>
      <c r="P148" s="14">
        <v>0</v>
      </c>
      <c r="Q148" s="14">
        <v>0</v>
      </c>
      <c r="R148" s="14">
        <v>0</v>
      </c>
      <c r="S148" s="14">
        <v>0</v>
      </c>
      <c r="T148" s="14">
        <v>0</v>
      </c>
      <c r="U148" s="14">
        <v>0</v>
      </c>
      <c r="V148" s="14">
        <v>0</v>
      </c>
      <c r="W148" s="14">
        <v>0</v>
      </c>
      <c r="X148" s="14">
        <v>0</v>
      </c>
      <c r="Y148" s="14">
        <v>0</v>
      </c>
      <c r="Z148" s="14">
        <v>0</v>
      </c>
      <c r="AA148" s="14">
        <v>0</v>
      </c>
      <c r="AB148" s="14">
        <v>0</v>
      </c>
      <c r="AC148" s="14">
        <v>0</v>
      </c>
      <c r="AD148" s="14">
        <v>0</v>
      </c>
      <c r="AE148" s="14">
        <v>0</v>
      </c>
      <c r="AF148" s="14">
        <v>0</v>
      </c>
      <c r="AG148" s="14">
        <v>0</v>
      </c>
      <c r="AH148" s="14">
        <v>0</v>
      </c>
      <c r="AI148" s="14">
        <v>0</v>
      </c>
      <c r="AJ148" s="14">
        <v>0</v>
      </c>
      <c r="AK148" s="14">
        <v>0</v>
      </c>
      <c r="AL148" s="14">
        <v>0</v>
      </c>
      <c r="AM148" s="14">
        <v>0</v>
      </c>
      <c r="AN148" s="14">
        <v>0</v>
      </c>
      <c r="AO148" s="14">
        <v>0</v>
      </c>
      <c r="AP148" s="14">
        <v>0</v>
      </c>
      <c r="AQ148" s="14">
        <v>0</v>
      </c>
      <c r="AR148" s="14">
        <v>0</v>
      </c>
    </row>
    <row r="149" s="7" customFormat="1" spans="1:44">
      <c r="A149" s="5" t="s">
        <v>1119</v>
      </c>
      <c r="B149" s="7">
        <f>BAU建筑总能耗计算!B$5*$K$16</f>
        <v>520.27002879924</v>
      </c>
      <c r="C149" s="7">
        <v>0</v>
      </c>
      <c r="D149" s="7">
        <v>0</v>
      </c>
      <c r="E149" s="7">
        <v>0</v>
      </c>
      <c r="F149" s="7">
        <v>0</v>
      </c>
      <c r="G149" s="7">
        <v>0</v>
      </c>
      <c r="H149" s="7">
        <v>0</v>
      </c>
      <c r="I149" s="7">
        <v>0</v>
      </c>
      <c r="J149" s="7">
        <v>0</v>
      </c>
      <c r="K149" s="7">
        <v>0</v>
      </c>
      <c r="L149" s="7">
        <v>0</v>
      </c>
      <c r="M149" s="7">
        <v>0</v>
      </c>
      <c r="N149" s="7">
        <v>0</v>
      </c>
      <c r="O149" s="7">
        <v>0</v>
      </c>
      <c r="P149" s="7">
        <v>0</v>
      </c>
      <c r="Q149" s="7">
        <v>0</v>
      </c>
      <c r="R149" s="7">
        <v>0</v>
      </c>
      <c r="S149" s="7">
        <v>0</v>
      </c>
      <c r="T149" s="7">
        <v>0</v>
      </c>
      <c r="U149" s="7">
        <v>0</v>
      </c>
      <c r="V149" s="7">
        <v>0</v>
      </c>
      <c r="W149" s="7">
        <v>0</v>
      </c>
      <c r="X149" s="7">
        <v>0</v>
      </c>
      <c r="Y149" s="7">
        <v>0</v>
      </c>
      <c r="Z149" s="7">
        <v>0</v>
      </c>
      <c r="AA149" s="7">
        <v>0</v>
      </c>
      <c r="AB149" s="7">
        <v>0</v>
      </c>
      <c r="AC149" s="7">
        <v>0</v>
      </c>
      <c r="AD149" s="7">
        <v>0</v>
      </c>
      <c r="AE149" s="7">
        <v>0</v>
      </c>
      <c r="AF149" s="7">
        <v>0</v>
      </c>
      <c r="AG149" s="7">
        <v>0</v>
      </c>
      <c r="AH149" s="7">
        <v>0</v>
      </c>
      <c r="AI149" s="7">
        <v>0</v>
      </c>
      <c r="AJ149" s="7">
        <v>0</v>
      </c>
      <c r="AK149" s="7">
        <v>0</v>
      </c>
      <c r="AL149" s="7">
        <v>0</v>
      </c>
      <c r="AM149" s="7">
        <v>0</v>
      </c>
      <c r="AN149" s="7">
        <v>0</v>
      </c>
      <c r="AO149" s="7">
        <v>0</v>
      </c>
      <c r="AP149" s="7">
        <v>0</v>
      </c>
      <c r="AQ149" s="7">
        <v>0</v>
      </c>
      <c r="AR149" s="7">
        <v>0</v>
      </c>
    </row>
    <row r="150" s="6" customFormat="1"/>
    <row r="151" s="5" customFormat="1" spans="1:44">
      <c r="A151" s="13" t="s">
        <v>108</v>
      </c>
      <c r="B151" s="5">
        <v>2018</v>
      </c>
      <c r="C151" s="5">
        <v>2019</v>
      </c>
      <c r="D151" s="5">
        <v>2020</v>
      </c>
      <c r="E151" s="5">
        <v>2021</v>
      </c>
      <c r="F151" s="5">
        <v>2022</v>
      </c>
      <c r="G151" s="5">
        <v>2023</v>
      </c>
      <c r="H151" s="5">
        <v>2024</v>
      </c>
      <c r="I151" s="5">
        <v>2025</v>
      </c>
      <c r="J151" s="5">
        <v>2026</v>
      </c>
      <c r="K151" s="5">
        <v>2027</v>
      </c>
      <c r="L151" s="5">
        <v>2028</v>
      </c>
      <c r="M151" s="5">
        <v>2029</v>
      </c>
      <c r="N151" s="5">
        <v>2030</v>
      </c>
      <c r="O151" s="5">
        <v>2031</v>
      </c>
      <c r="P151" s="5">
        <v>2032</v>
      </c>
      <c r="Q151" s="5">
        <v>2033</v>
      </c>
      <c r="R151" s="5">
        <v>2034</v>
      </c>
      <c r="S151" s="5">
        <v>2035</v>
      </c>
      <c r="T151" s="5">
        <v>2036</v>
      </c>
      <c r="U151" s="5">
        <v>2037</v>
      </c>
      <c r="V151" s="5">
        <v>2038</v>
      </c>
      <c r="W151" s="5">
        <v>2039</v>
      </c>
      <c r="X151" s="5">
        <v>2040</v>
      </c>
      <c r="Y151" s="5">
        <v>2041</v>
      </c>
      <c r="Z151" s="5">
        <v>2042</v>
      </c>
      <c r="AA151" s="5">
        <v>2043</v>
      </c>
      <c r="AB151" s="5">
        <v>2044</v>
      </c>
      <c r="AC151" s="5">
        <v>2045</v>
      </c>
      <c r="AD151" s="5">
        <v>2046</v>
      </c>
      <c r="AE151" s="5">
        <v>2047</v>
      </c>
      <c r="AF151" s="5">
        <v>2048</v>
      </c>
      <c r="AG151" s="5">
        <v>2049</v>
      </c>
      <c r="AH151" s="5">
        <v>2050</v>
      </c>
      <c r="AI151" s="5">
        <v>2051</v>
      </c>
      <c r="AJ151" s="5">
        <v>2052</v>
      </c>
      <c r="AK151" s="5">
        <v>2053</v>
      </c>
      <c r="AL151" s="5">
        <v>2054</v>
      </c>
      <c r="AM151" s="5">
        <v>2055</v>
      </c>
      <c r="AN151" s="5">
        <v>2056</v>
      </c>
      <c r="AO151" s="5">
        <v>2057</v>
      </c>
      <c r="AP151" s="5">
        <v>2058</v>
      </c>
      <c r="AQ151" s="5">
        <v>2059</v>
      </c>
      <c r="AR151" s="5">
        <v>2060</v>
      </c>
    </row>
    <row r="152" s="6" customFormat="1" spans="1:44">
      <c r="A152" s="5" t="s">
        <v>1123</v>
      </c>
      <c r="B152" s="14">
        <f t="shared" ref="B152:B161" si="14">B$162*$L4/$L$14</f>
        <v>2081.08011519697</v>
      </c>
      <c r="C152" s="14">
        <v>213.005110885956</v>
      </c>
      <c r="D152" s="14">
        <v>229.650412019102</v>
      </c>
      <c r="E152" s="14">
        <v>240.071068523382</v>
      </c>
      <c r="F152" s="14">
        <v>273.484417906881</v>
      </c>
      <c r="G152" s="14">
        <v>263.648584791329</v>
      </c>
      <c r="H152" s="14">
        <v>226.076104452646</v>
      </c>
      <c r="I152" s="14">
        <v>203.478770484527</v>
      </c>
      <c r="J152" s="14">
        <v>201.196416912811</v>
      </c>
      <c r="K152" s="14">
        <v>197.111858599405</v>
      </c>
      <c r="L152" s="14">
        <v>192.712787167187</v>
      </c>
      <c r="M152" s="14">
        <v>186.618703206792</v>
      </c>
      <c r="N152" s="14">
        <v>179.26550935254</v>
      </c>
      <c r="O152" s="14">
        <v>170.212140839175</v>
      </c>
      <c r="P152" s="14">
        <v>159.811862519563</v>
      </c>
      <c r="Q152" s="14">
        <v>147.959235115405</v>
      </c>
      <c r="R152" s="14">
        <v>134.863605773904</v>
      </c>
      <c r="S152" s="14">
        <v>143.086145248958</v>
      </c>
      <c r="T152" s="14">
        <v>136.528450884246</v>
      </c>
      <c r="U152" s="14">
        <v>129.197109941961</v>
      </c>
      <c r="V152" s="14">
        <v>126.543656281551</v>
      </c>
      <c r="W152" s="14">
        <v>124.41225763603</v>
      </c>
      <c r="X152" s="14">
        <v>121.828344780183</v>
      </c>
      <c r="Y152" s="14">
        <v>119.814469633294</v>
      </c>
      <c r="Z152" s="14">
        <v>117.460208442086</v>
      </c>
      <c r="AA152" s="14">
        <v>114.775808254141</v>
      </c>
      <c r="AB152" s="14">
        <v>111.779680274896</v>
      </c>
      <c r="AC152" s="14">
        <v>108.497502817555</v>
      </c>
      <c r="AD152" s="14">
        <v>104.52076747119</v>
      </c>
      <c r="AE152" s="14">
        <v>100.244457517201</v>
      </c>
      <c r="AF152" s="14">
        <v>95.6898435445877</v>
      </c>
      <c r="AG152" s="14">
        <v>90.8903236979738</v>
      </c>
      <c r="AH152" s="14">
        <v>85.8188138887076</v>
      </c>
      <c r="AI152" s="14">
        <v>77.8330892458799</v>
      </c>
      <c r="AJ152" s="14">
        <v>69.6023828194143</v>
      </c>
      <c r="AK152" s="14">
        <v>61.1166015780389</v>
      </c>
      <c r="AL152" s="14">
        <v>52.4002240318924</v>
      </c>
      <c r="AM152" s="14">
        <v>43.4689560220092</v>
      </c>
      <c r="AN152" s="14">
        <v>33.984653270104</v>
      </c>
      <c r="AO152" s="14">
        <v>24.2873507903307</v>
      </c>
      <c r="AP152" s="14">
        <v>14.3930864331326</v>
      </c>
      <c r="AQ152" s="14">
        <v>4.31186553451579</v>
      </c>
      <c r="AR152" s="14">
        <v>0</v>
      </c>
    </row>
    <row r="153" s="6" customFormat="1" spans="1:44">
      <c r="A153" s="5" t="s">
        <v>1124</v>
      </c>
      <c r="B153" s="14">
        <f t="shared" si="14"/>
        <v>0</v>
      </c>
      <c r="C153" s="14">
        <v>840.028342554208</v>
      </c>
      <c r="D153" s="14">
        <v>832.230972590569</v>
      </c>
      <c r="E153" s="14">
        <v>793.101919243762</v>
      </c>
      <c r="F153" s="14">
        <v>741.179166609301</v>
      </c>
      <c r="G153" s="14">
        <v>558.2141943068</v>
      </c>
      <c r="H153" s="14">
        <v>552.535465310678</v>
      </c>
      <c r="I153" s="14">
        <v>546.584571310114</v>
      </c>
      <c r="J153" s="14">
        <v>542.332016369557</v>
      </c>
      <c r="K153" s="14">
        <v>537.924654483626</v>
      </c>
      <c r="L153" s="14">
        <v>533.354848092934</v>
      </c>
      <c r="M153" s="14">
        <v>528.618738487918</v>
      </c>
      <c r="N153" s="14">
        <v>523.718932526319</v>
      </c>
      <c r="O153" s="14">
        <v>517.53788634187</v>
      </c>
      <c r="P153" s="14">
        <v>511.183590099864</v>
      </c>
      <c r="Q153" s="14">
        <v>504.647373264213</v>
      </c>
      <c r="R153" s="14">
        <v>497.927003507625</v>
      </c>
      <c r="S153" s="14">
        <v>491.024654827004</v>
      </c>
      <c r="T153" s="14">
        <v>480.219295824674</v>
      </c>
      <c r="U153" s="14">
        <v>469.39979140388</v>
      </c>
      <c r="V153" s="14">
        <v>458.575350791403</v>
      </c>
      <c r="W153" s="14">
        <v>447.739476481463</v>
      </c>
      <c r="X153" s="14">
        <v>436.89442954167</v>
      </c>
      <c r="Y153" s="14">
        <v>426.892852288467</v>
      </c>
      <c r="Z153" s="14">
        <v>416.950455576578</v>
      </c>
      <c r="AA153" s="14">
        <v>407.068332011142</v>
      </c>
      <c r="AB153" s="14">
        <v>397.245495026095</v>
      </c>
      <c r="AC153" s="14">
        <v>387.480693628819</v>
      </c>
      <c r="AD153" s="14">
        <v>377.166407146979</v>
      </c>
      <c r="AE153" s="14">
        <v>366.943390777812</v>
      </c>
      <c r="AF153" s="14">
        <v>356.797028578601</v>
      </c>
      <c r="AG153" s="14">
        <v>346.739272092551</v>
      </c>
      <c r="AH153" s="14">
        <v>336.773887720182</v>
      </c>
      <c r="AI153" s="14">
        <v>334.279725215867</v>
      </c>
      <c r="AJ153" s="14">
        <v>331.784066084117</v>
      </c>
      <c r="AK153" s="14">
        <v>329.299899440341</v>
      </c>
      <c r="AL153" s="14">
        <v>326.814632137824</v>
      </c>
      <c r="AM153" s="14">
        <v>324.335007724754</v>
      </c>
      <c r="AN153" s="14">
        <v>321.405727974902</v>
      </c>
      <c r="AO153" s="14">
        <v>318.478148877031</v>
      </c>
      <c r="AP153" s="14">
        <v>315.556746890775</v>
      </c>
      <c r="AQ153" s="14">
        <v>312.640778400352</v>
      </c>
      <c r="AR153" s="14">
        <v>309.729922604006</v>
      </c>
    </row>
    <row r="154" s="6" customFormat="1" spans="1:44">
      <c r="A154" s="5" t="s">
        <v>1125</v>
      </c>
      <c r="B154" s="14">
        <f t="shared" si="14"/>
        <v>0</v>
      </c>
      <c r="C154" s="14">
        <v>25.5543667009392</v>
      </c>
      <c r="D154" s="14">
        <v>32.7220549219344</v>
      </c>
      <c r="E154" s="14">
        <v>44.304623568905</v>
      </c>
      <c r="F154" s="14">
        <v>51.004853862444</v>
      </c>
      <c r="G154" s="14">
        <v>54.0786206477733</v>
      </c>
      <c r="H154" s="14">
        <v>53.5284772901251</v>
      </c>
      <c r="I154" s="14">
        <v>52.9519671575384</v>
      </c>
      <c r="J154" s="14">
        <v>52.539988551907</v>
      </c>
      <c r="K154" s="14">
        <v>52.1130125740161</v>
      </c>
      <c r="L154" s="14">
        <v>51.6702993131272</v>
      </c>
      <c r="M154" s="14">
        <v>51.2114749455491</v>
      </c>
      <c r="N154" s="14">
        <v>50.7367920181935</v>
      </c>
      <c r="O154" s="14">
        <v>50.1379852246287</v>
      </c>
      <c r="P154" s="14">
        <v>49.5223943287689</v>
      </c>
      <c r="Q154" s="14">
        <v>48.8891793472586</v>
      </c>
      <c r="R154" s="14">
        <v>48.2381240169107</v>
      </c>
      <c r="S154" s="14">
        <v>47.5694389499867</v>
      </c>
      <c r="T154" s="14">
        <v>46.5226384271594</v>
      </c>
      <c r="U154" s="14">
        <v>45.4744675258522</v>
      </c>
      <c r="V154" s="14">
        <v>44.4258184166453</v>
      </c>
      <c r="W154" s="14">
        <v>43.3760616348029</v>
      </c>
      <c r="X154" s="14">
        <v>42.3254162278142</v>
      </c>
      <c r="Y154" s="14">
        <v>41.356484395425</v>
      </c>
      <c r="Z154" s="14">
        <v>40.3932858497849</v>
      </c>
      <c r="AA154" s="14">
        <v>39.4359264401891</v>
      </c>
      <c r="AB154" s="14">
        <v>38.4843105901856</v>
      </c>
      <c r="AC154" s="14">
        <v>37.5383171062329</v>
      </c>
      <c r="AD154" s="14">
        <v>36.5390906594806</v>
      </c>
      <c r="AE154" s="14">
        <v>35.5487062698634</v>
      </c>
      <c r="AF154" s="14">
        <v>34.5657479754986</v>
      </c>
      <c r="AG154" s="14">
        <v>33.5913736168312</v>
      </c>
      <c r="AH154" s="14">
        <v>32.6259480748457</v>
      </c>
      <c r="AI154" s="14">
        <v>32.3843188413357</v>
      </c>
      <c r="AJ154" s="14">
        <v>32.1425446176981</v>
      </c>
      <c r="AK154" s="14">
        <v>31.9018837621972</v>
      </c>
      <c r="AL154" s="14">
        <v>31.6611162771854</v>
      </c>
      <c r="AM154" s="14">
        <v>31.4208954634709</v>
      </c>
      <c r="AN154" s="14">
        <v>31.1371129835929</v>
      </c>
      <c r="AO154" s="14">
        <v>30.8534952593128</v>
      </c>
      <c r="AP154" s="14">
        <v>30.5704759606536</v>
      </c>
      <c r="AQ154" s="14">
        <v>30.2879830476773</v>
      </c>
      <c r="AR154" s="14">
        <v>30.0059854417825</v>
      </c>
    </row>
    <row r="155" s="6" customFormat="1" spans="1:44">
      <c r="A155" s="5" t="s">
        <v>1126</v>
      </c>
      <c r="B155" s="14">
        <f t="shared" si="14"/>
        <v>0</v>
      </c>
      <c r="C155" s="14">
        <v>0</v>
      </c>
      <c r="D155" s="14">
        <v>0</v>
      </c>
      <c r="E155" s="14">
        <v>0</v>
      </c>
      <c r="F155" s="14">
        <v>0</v>
      </c>
      <c r="G155" s="14">
        <v>0</v>
      </c>
      <c r="H155" s="14">
        <v>0</v>
      </c>
      <c r="I155" s="14">
        <v>0</v>
      </c>
      <c r="J155" s="14">
        <v>0</v>
      </c>
      <c r="K155" s="14">
        <v>0</v>
      </c>
      <c r="L155" s="14">
        <v>0</v>
      </c>
      <c r="M155" s="14">
        <v>0</v>
      </c>
      <c r="N155" s="14">
        <v>0</v>
      </c>
      <c r="O155" s="14">
        <v>0</v>
      </c>
      <c r="P155" s="14">
        <v>0</v>
      </c>
      <c r="Q155" s="14">
        <v>0</v>
      </c>
      <c r="R155" s="14">
        <v>0</v>
      </c>
      <c r="S155" s="14">
        <v>0</v>
      </c>
      <c r="T155" s="14">
        <v>0</v>
      </c>
      <c r="U155" s="14">
        <v>0</v>
      </c>
      <c r="V155" s="14">
        <v>0</v>
      </c>
      <c r="W155" s="14">
        <v>0</v>
      </c>
      <c r="X155" s="14">
        <v>0</v>
      </c>
      <c r="Y155" s="14">
        <v>0</v>
      </c>
      <c r="Z155" s="14">
        <v>0</v>
      </c>
      <c r="AA155" s="14">
        <v>0</v>
      </c>
      <c r="AB155" s="14">
        <v>0</v>
      </c>
      <c r="AC155" s="14">
        <v>0</v>
      </c>
      <c r="AD155" s="14">
        <v>0</v>
      </c>
      <c r="AE155" s="14">
        <v>0</v>
      </c>
      <c r="AF155" s="14">
        <v>0</v>
      </c>
      <c r="AG155" s="14">
        <v>0</v>
      </c>
      <c r="AH155" s="14">
        <v>0</v>
      </c>
      <c r="AI155" s="14">
        <v>0</v>
      </c>
      <c r="AJ155" s="14">
        <v>0</v>
      </c>
      <c r="AK155" s="14">
        <v>0</v>
      </c>
      <c r="AL155" s="14">
        <v>0</v>
      </c>
      <c r="AM155" s="14">
        <v>0</v>
      </c>
      <c r="AN155" s="14">
        <v>0</v>
      </c>
      <c r="AO155" s="14">
        <v>0</v>
      </c>
      <c r="AP155" s="14">
        <v>0</v>
      </c>
      <c r="AQ155" s="14">
        <v>0</v>
      </c>
      <c r="AR155" s="14">
        <v>0</v>
      </c>
    </row>
    <row r="156" s="6" customFormat="1" spans="1:44">
      <c r="A156" s="5" t="s">
        <v>1127</v>
      </c>
      <c r="B156" s="14">
        <f t="shared" si="14"/>
        <v>0</v>
      </c>
      <c r="C156" s="14">
        <v>0</v>
      </c>
      <c r="D156" s="14">
        <v>0</v>
      </c>
      <c r="E156" s="14">
        <v>0</v>
      </c>
      <c r="F156" s="14">
        <v>0</v>
      </c>
      <c r="G156" s="14">
        <v>0</v>
      </c>
      <c r="H156" s="14">
        <v>0</v>
      </c>
      <c r="I156" s="14">
        <v>0</v>
      </c>
      <c r="J156" s="14">
        <v>0</v>
      </c>
      <c r="K156" s="14">
        <v>0</v>
      </c>
      <c r="L156" s="14">
        <v>0</v>
      </c>
      <c r="M156" s="14">
        <v>0</v>
      </c>
      <c r="N156" s="14">
        <v>0</v>
      </c>
      <c r="O156" s="14">
        <v>0</v>
      </c>
      <c r="P156" s="14">
        <v>0</v>
      </c>
      <c r="Q156" s="14">
        <v>0</v>
      </c>
      <c r="R156" s="14">
        <v>0</v>
      </c>
      <c r="S156" s="14">
        <v>0</v>
      </c>
      <c r="T156" s="14">
        <v>0</v>
      </c>
      <c r="U156" s="14">
        <v>0</v>
      </c>
      <c r="V156" s="14">
        <v>0</v>
      </c>
      <c r="W156" s="14">
        <v>0</v>
      </c>
      <c r="X156" s="14">
        <v>0</v>
      </c>
      <c r="Y156" s="14">
        <v>0</v>
      </c>
      <c r="Z156" s="14">
        <v>0</v>
      </c>
      <c r="AA156" s="14">
        <v>0</v>
      </c>
      <c r="AB156" s="14">
        <v>0</v>
      </c>
      <c r="AC156" s="14">
        <v>0</v>
      </c>
      <c r="AD156" s="14">
        <v>0</v>
      </c>
      <c r="AE156" s="14">
        <v>0</v>
      </c>
      <c r="AF156" s="14">
        <v>0</v>
      </c>
      <c r="AG156" s="14">
        <v>0</v>
      </c>
      <c r="AH156" s="14">
        <v>0</v>
      </c>
      <c r="AI156" s="14">
        <v>0</v>
      </c>
      <c r="AJ156" s="14">
        <v>0</v>
      </c>
      <c r="AK156" s="14">
        <v>0</v>
      </c>
      <c r="AL156" s="14">
        <v>0</v>
      </c>
      <c r="AM156" s="14">
        <v>0</v>
      </c>
      <c r="AN156" s="14">
        <v>0</v>
      </c>
      <c r="AO156" s="14">
        <v>0</v>
      </c>
      <c r="AP156" s="14">
        <v>0</v>
      </c>
      <c r="AQ156" s="14">
        <v>0</v>
      </c>
      <c r="AR156" s="14">
        <v>0</v>
      </c>
    </row>
    <row r="157" s="6" customFormat="1" spans="1:44">
      <c r="A157" s="5" t="s">
        <v>1128</v>
      </c>
      <c r="B157" s="14">
        <f t="shared" si="14"/>
        <v>0</v>
      </c>
      <c r="C157" s="14">
        <v>1364.14406600154</v>
      </c>
      <c r="D157" s="14">
        <v>1253.24534375542</v>
      </c>
      <c r="E157" s="14">
        <v>1280.72224828418</v>
      </c>
      <c r="F157" s="14">
        <v>676.527679890899</v>
      </c>
      <c r="G157" s="14">
        <v>553.817453043632</v>
      </c>
      <c r="H157" s="14">
        <v>548.183452222382</v>
      </c>
      <c r="I157" s="14">
        <v>542.279430088338</v>
      </c>
      <c r="J157" s="14">
        <v>538.060370146604</v>
      </c>
      <c r="K157" s="14">
        <v>533.687722587294</v>
      </c>
      <c r="L157" s="14">
        <v>529.153910007808</v>
      </c>
      <c r="M157" s="14">
        <v>524.455104091483</v>
      </c>
      <c r="N157" s="14">
        <v>519.593891163297</v>
      </c>
      <c r="O157" s="14">
        <v>513.461529625505</v>
      </c>
      <c r="P157" s="14">
        <v>507.157282624043</v>
      </c>
      <c r="Q157" s="14">
        <v>500.67254791579</v>
      </c>
      <c r="R157" s="14">
        <v>494.005110756247</v>
      </c>
      <c r="S157" s="14">
        <v>487.157128018962</v>
      </c>
      <c r="T157" s="14">
        <v>476.436876791163</v>
      </c>
      <c r="U157" s="14">
        <v>465.702591560456</v>
      </c>
      <c r="V157" s="14">
        <v>454.96340901769</v>
      </c>
      <c r="W157" s="14">
        <v>444.212882834305</v>
      </c>
      <c r="X157" s="14">
        <v>433.453256268748</v>
      </c>
      <c r="Y157" s="14">
        <v>423.530455850413</v>
      </c>
      <c r="Z157" s="14">
        <v>413.666369841339</v>
      </c>
      <c r="AA157" s="14">
        <v>403.862082240827</v>
      </c>
      <c r="AB157" s="14">
        <v>394.116614253441</v>
      </c>
      <c r="AC157" s="14">
        <v>384.428724739933</v>
      </c>
      <c r="AD157" s="14">
        <v>374.195678128804</v>
      </c>
      <c r="AE157" s="14">
        <v>364.053182746675</v>
      </c>
      <c r="AF157" s="14">
        <v>353.986737772443</v>
      </c>
      <c r="AG157" s="14">
        <v>344.008200613683</v>
      </c>
      <c r="AH157" s="14">
        <v>334.121308005085</v>
      </c>
      <c r="AI157" s="14">
        <v>331.646790625011</v>
      </c>
      <c r="AJ157" s="14">
        <v>329.170788405599</v>
      </c>
      <c r="AK157" s="14">
        <v>326.706188154256</v>
      </c>
      <c r="AL157" s="14">
        <v>324.240495913445</v>
      </c>
      <c r="AM157" s="14">
        <v>321.780402116195</v>
      </c>
      <c r="AN157" s="14">
        <v>318.87419466597</v>
      </c>
      <c r="AO157" s="14">
        <v>315.969674472642</v>
      </c>
      <c r="AP157" s="14">
        <v>313.071282737273</v>
      </c>
      <c r="AQ157" s="14">
        <v>310.178281701125</v>
      </c>
      <c r="AR157" s="14">
        <v>307.290353089221</v>
      </c>
    </row>
    <row r="158" s="6" customFormat="1" spans="1:44">
      <c r="A158" s="5" t="s">
        <v>1129</v>
      </c>
      <c r="B158" s="14">
        <f t="shared" si="14"/>
        <v>0</v>
      </c>
      <c r="C158" s="14">
        <v>0</v>
      </c>
      <c r="D158" s="14">
        <v>0</v>
      </c>
      <c r="E158" s="14">
        <v>0</v>
      </c>
      <c r="F158" s="14">
        <v>0</v>
      </c>
      <c r="G158" s="14">
        <v>0</v>
      </c>
      <c r="H158" s="14">
        <v>0</v>
      </c>
      <c r="I158" s="14">
        <v>0</v>
      </c>
      <c r="J158" s="14">
        <v>0</v>
      </c>
      <c r="K158" s="14">
        <v>0</v>
      </c>
      <c r="L158" s="14">
        <v>0</v>
      </c>
      <c r="M158" s="14">
        <v>0</v>
      </c>
      <c r="N158" s="14">
        <v>0</v>
      </c>
      <c r="O158" s="14">
        <v>0</v>
      </c>
      <c r="P158" s="14">
        <v>0</v>
      </c>
      <c r="Q158" s="14">
        <v>0</v>
      </c>
      <c r="R158" s="14">
        <v>0</v>
      </c>
      <c r="S158" s="14">
        <v>0</v>
      </c>
      <c r="T158" s="14">
        <v>0</v>
      </c>
      <c r="U158" s="14">
        <v>0</v>
      </c>
      <c r="V158" s="14">
        <v>0</v>
      </c>
      <c r="W158" s="14">
        <v>0</v>
      </c>
      <c r="X158" s="14">
        <v>0</v>
      </c>
      <c r="Y158" s="14">
        <v>0</v>
      </c>
      <c r="Z158" s="14">
        <v>0</v>
      </c>
      <c r="AA158" s="14">
        <v>0</v>
      </c>
      <c r="AB158" s="14">
        <v>0</v>
      </c>
      <c r="AC158" s="14">
        <v>0</v>
      </c>
      <c r="AD158" s="14">
        <v>0</v>
      </c>
      <c r="AE158" s="14">
        <v>0</v>
      </c>
      <c r="AF158" s="14">
        <v>0</v>
      </c>
      <c r="AG158" s="14">
        <v>0</v>
      </c>
      <c r="AH158" s="14">
        <v>0</v>
      </c>
      <c r="AI158" s="14">
        <v>0</v>
      </c>
      <c r="AJ158" s="14">
        <v>0</v>
      </c>
      <c r="AK158" s="14">
        <v>0</v>
      </c>
      <c r="AL158" s="14">
        <v>0</v>
      </c>
      <c r="AM158" s="14">
        <v>0</v>
      </c>
      <c r="AN158" s="14">
        <v>0</v>
      </c>
      <c r="AO158" s="14">
        <v>0</v>
      </c>
      <c r="AP158" s="14">
        <v>0</v>
      </c>
      <c r="AQ158" s="14">
        <v>0</v>
      </c>
      <c r="AR158" s="14">
        <v>0</v>
      </c>
    </row>
    <row r="159" s="6" customFormat="1" spans="1:44">
      <c r="A159" s="5" t="s">
        <v>1130</v>
      </c>
      <c r="B159" s="14">
        <f t="shared" si="14"/>
        <v>0</v>
      </c>
      <c r="C159" s="14">
        <v>0</v>
      </c>
      <c r="D159" s="14">
        <v>0</v>
      </c>
      <c r="E159" s="14">
        <v>0</v>
      </c>
      <c r="F159" s="14">
        <v>0</v>
      </c>
      <c r="G159" s="14">
        <v>0</v>
      </c>
      <c r="H159" s="14">
        <v>0</v>
      </c>
      <c r="I159" s="14">
        <v>0</v>
      </c>
      <c r="J159" s="14">
        <v>0</v>
      </c>
      <c r="K159" s="14">
        <v>0</v>
      </c>
      <c r="L159" s="14">
        <v>0</v>
      </c>
      <c r="M159" s="14">
        <v>0</v>
      </c>
      <c r="N159" s="14">
        <v>0</v>
      </c>
      <c r="O159" s="14">
        <v>0</v>
      </c>
      <c r="P159" s="14">
        <v>0</v>
      </c>
      <c r="Q159" s="14">
        <v>0</v>
      </c>
      <c r="R159" s="14">
        <v>0</v>
      </c>
      <c r="S159" s="14">
        <v>0</v>
      </c>
      <c r="T159" s="14">
        <v>0</v>
      </c>
      <c r="U159" s="14">
        <v>0</v>
      </c>
      <c r="V159" s="14">
        <v>0</v>
      </c>
      <c r="W159" s="14">
        <v>0</v>
      </c>
      <c r="X159" s="14">
        <v>0</v>
      </c>
      <c r="Y159" s="14">
        <v>0</v>
      </c>
      <c r="Z159" s="14">
        <v>0</v>
      </c>
      <c r="AA159" s="14">
        <v>0</v>
      </c>
      <c r="AB159" s="14">
        <v>0</v>
      </c>
      <c r="AC159" s="14">
        <v>0</v>
      </c>
      <c r="AD159" s="14">
        <v>0</v>
      </c>
      <c r="AE159" s="14">
        <v>0</v>
      </c>
      <c r="AF159" s="14">
        <v>0</v>
      </c>
      <c r="AG159" s="14">
        <v>0</v>
      </c>
      <c r="AH159" s="14">
        <v>0</v>
      </c>
      <c r="AI159" s="14">
        <v>0</v>
      </c>
      <c r="AJ159" s="14">
        <v>0</v>
      </c>
      <c r="AK159" s="14">
        <v>0</v>
      </c>
      <c r="AL159" s="14">
        <v>0</v>
      </c>
      <c r="AM159" s="14">
        <v>0</v>
      </c>
      <c r="AN159" s="14">
        <v>0</v>
      </c>
      <c r="AO159" s="14">
        <v>0</v>
      </c>
      <c r="AP159" s="14">
        <v>0</v>
      </c>
      <c r="AQ159" s="14">
        <v>0</v>
      </c>
      <c r="AR159" s="14">
        <v>0</v>
      </c>
    </row>
    <row r="160" s="6" customFormat="1" spans="1:44">
      <c r="A160" s="5" t="s">
        <v>1131</v>
      </c>
      <c r="B160" s="14">
        <f t="shared" si="14"/>
        <v>0</v>
      </c>
      <c r="C160" s="14">
        <v>1022.90452648208</v>
      </c>
      <c r="D160" s="14">
        <v>1042.79418659554</v>
      </c>
      <c r="E160" s="14">
        <v>948.010803147055</v>
      </c>
      <c r="F160" s="14">
        <v>1033.01677457445</v>
      </c>
      <c r="G160" s="14">
        <v>949.911515121467</v>
      </c>
      <c r="H160" s="14">
        <v>940.24803805534</v>
      </c>
      <c r="I160" s="14">
        <v>930.121418571178</v>
      </c>
      <c r="J160" s="14">
        <v>922.884857860395</v>
      </c>
      <c r="K160" s="14">
        <v>915.384862608658</v>
      </c>
      <c r="L160" s="14">
        <v>907.608436002766</v>
      </c>
      <c r="M160" s="14">
        <v>899.549011687573</v>
      </c>
      <c r="N160" s="14">
        <v>891.211025745521</v>
      </c>
      <c r="O160" s="14">
        <v>880.692756941201</v>
      </c>
      <c r="P160" s="14">
        <v>869.879669004105</v>
      </c>
      <c r="Q160" s="14">
        <v>858.757007307504</v>
      </c>
      <c r="R160" s="14">
        <v>847.320973106359</v>
      </c>
      <c r="S160" s="14">
        <v>835.575265885052</v>
      </c>
      <c r="T160" s="14">
        <v>817.187817041906</v>
      </c>
      <c r="U160" s="14">
        <v>798.776296980179</v>
      </c>
      <c r="V160" s="14">
        <v>780.356377015033</v>
      </c>
      <c r="W160" s="14">
        <v>761.917000359261</v>
      </c>
      <c r="X160" s="14">
        <v>743.462014665221</v>
      </c>
      <c r="Y160" s="14">
        <v>726.44235895046</v>
      </c>
      <c r="Z160" s="14">
        <v>709.523410595415</v>
      </c>
      <c r="AA160" s="14">
        <v>692.707028883164</v>
      </c>
      <c r="AB160" s="14">
        <v>675.991534977021</v>
      </c>
      <c r="AC160" s="14">
        <v>659.374800066392</v>
      </c>
      <c r="AD160" s="14">
        <v>641.823007941993</v>
      </c>
      <c r="AE160" s="14">
        <v>624.426529910104</v>
      </c>
      <c r="AF160" s="14">
        <v>607.160494062355</v>
      </c>
      <c r="AG160" s="14">
        <v>590.045238306004</v>
      </c>
      <c r="AH160" s="14">
        <v>573.087171914159</v>
      </c>
      <c r="AI160" s="14">
        <v>568.842862637188</v>
      </c>
      <c r="AJ160" s="14">
        <v>564.596006553546</v>
      </c>
      <c r="AK160" s="14">
        <v>560.368707204174</v>
      </c>
      <c r="AL160" s="14">
        <v>556.139534866936</v>
      </c>
      <c r="AM160" s="14">
        <v>551.919965018705</v>
      </c>
      <c r="AN160" s="14">
        <v>546.935217956062</v>
      </c>
      <c r="AO160" s="14">
        <v>541.953364888083</v>
      </c>
      <c r="AP160" s="14">
        <v>536.982023393464</v>
      </c>
      <c r="AQ160" s="14">
        <v>532.019928063329</v>
      </c>
      <c r="AR160" s="14">
        <v>527.066532990241</v>
      </c>
    </row>
    <row r="161" s="6" customFormat="1" spans="1:44">
      <c r="A161" s="5" t="s">
        <v>1132</v>
      </c>
      <c r="B161" s="14">
        <f t="shared" si="14"/>
        <v>0</v>
      </c>
      <c r="C161" s="14">
        <v>0</v>
      </c>
      <c r="D161" s="14">
        <v>0</v>
      </c>
      <c r="E161" s="14">
        <v>0</v>
      </c>
      <c r="F161" s="14">
        <v>0</v>
      </c>
      <c r="G161" s="14">
        <v>0</v>
      </c>
      <c r="H161" s="14">
        <v>0</v>
      </c>
      <c r="I161" s="14">
        <v>0</v>
      </c>
      <c r="J161" s="14">
        <v>0</v>
      </c>
      <c r="K161" s="14">
        <v>0</v>
      </c>
      <c r="L161" s="14">
        <v>0</v>
      </c>
      <c r="M161" s="14">
        <v>0</v>
      </c>
      <c r="N161" s="14">
        <v>0</v>
      </c>
      <c r="O161" s="14">
        <v>0</v>
      </c>
      <c r="P161" s="14">
        <v>0</v>
      </c>
      <c r="Q161" s="14">
        <v>0</v>
      </c>
      <c r="R161" s="14">
        <v>0</v>
      </c>
      <c r="S161" s="14">
        <v>0</v>
      </c>
      <c r="T161" s="14">
        <v>0</v>
      </c>
      <c r="U161" s="14">
        <v>0</v>
      </c>
      <c r="V161" s="14">
        <v>0</v>
      </c>
      <c r="W161" s="14">
        <v>0</v>
      </c>
      <c r="X161" s="14">
        <v>0</v>
      </c>
      <c r="Y161" s="14">
        <v>0</v>
      </c>
      <c r="Z161" s="14">
        <v>0</v>
      </c>
      <c r="AA161" s="14">
        <v>0</v>
      </c>
      <c r="AB161" s="14">
        <v>0</v>
      </c>
      <c r="AC161" s="14">
        <v>0</v>
      </c>
      <c r="AD161" s="14">
        <v>0</v>
      </c>
      <c r="AE161" s="14">
        <v>0</v>
      </c>
      <c r="AF161" s="14">
        <v>0</v>
      </c>
      <c r="AG161" s="14">
        <v>0</v>
      </c>
      <c r="AH161" s="14">
        <v>0</v>
      </c>
      <c r="AI161" s="14">
        <v>0</v>
      </c>
      <c r="AJ161" s="14">
        <v>0</v>
      </c>
      <c r="AK161" s="14">
        <v>0</v>
      </c>
      <c r="AL161" s="14">
        <v>0</v>
      </c>
      <c r="AM161" s="14">
        <v>0</v>
      </c>
      <c r="AN161" s="14">
        <v>0</v>
      </c>
      <c r="AO161" s="14">
        <v>0</v>
      </c>
      <c r="AP161" s="14">
        <v>0</v>
      </c>
      <c r="AQ161" s="14">
        <v>0</v>
      </c>
      <c r="AR161" s="14">
        <v>0</v>
      </c>
    </row>
    <row r="162" s="7" customFormat="1" spans="1:44">
      <c r="A162" s="5" t="s">
        <v>1119</v>
      </c>
      <c r="B162" s="7">
        <f>BAU建筑总能耗计算!B$5*$L$16</f>
        <v>2081.08011519697</v>
      </c>
      <c r="C162" s="7">
        <v>0</v>
      </c>
      <c r="D162" s="7">
        <v>0</v>
      </c>
      <c r="E162" s="7">
        <v>0</v>
      </c>
      <c r="F162" s="7">
        <v>0</v>
      </c>
      <c r="G162" s="7">
        <v>0</v>
      </c>
      <c r="H162" s="7">
        <v>0</v>
      </c>
      <c r="I162" s="7">
        <v>0</v>
      </c>
      <c r="J162" s="7">
        <v>0</v>
      </c>
      <c r="K162" s="7">
        <v>0</v>
      </c>
      <c r="L162" s="7">
        <v>0</v>
      </c>
      <c r="M162" s="7">
        <v>0</v>
      </c>
      <c r="N162" s="7">
        <v>0</v>
      </c>
      <c r="O162" s="7">
        <v>0</v>
      </c>
      <c r="P162" s="7">
        <v>0</v>
      </c>
      <c r="Q162" s="7">
        <v>0</v>
      </c>
      <c r="R162" s="7">
        <v>0</v>
      </c>
      <c r="S162" s="7">
        <v>0</v>
      </c>
      <c r="T162" s="7">
        <v>0</v>
      </c>
      <c r="U162" s="7">
        <v>0</v>
      </c>
      <c r="V162" s="7">
        <v>0</v>
      </c>
      <c r="W162" s="7">
        <v>0</v>
      </c>
      <c r="X162" s="7">
        <v>0</v>
      </c>
      <c r="Y162" s="7">
        <v>0</v>
      </c>
      <c r="Z162" s="7">
        <v>0</v>
      </c>
      <c r="AA162" s="7">
        <v>0</v>
      </c>
      <c r="AB162" s="7">
        <v>0</v>
      </c>
      <c r="AC162" s="7">
        <v>0</v>
      </c>
      <c r="AD162" s="7">
        <v>0</v>
      </c>
      <c r="AE162" s="7">
        <v>0</v>
      </c>
      <c r="AF162" s="7">
        <v>0</v>
      </c>
      <c r="AG162" s="7">
        <v>0</v>
      </c>
      <c r="AH162" s="7">
        <v>0</v>
      </c>
      <c r="AI162" s="7">
        <v>0</v>
      </c>
      <c r="AJ162" s="7">
        <v>0</v>
      </c>
      <c r="AK162" s="7">
        <v>0</v>
      </c>
      <c r="AL162" s="7">
        <v>0</v>
      </c>
      <c r="AM162" s="7">
        <v>0</v>
      </c>
      <c r="AN162" s="7">
        <v>0</v>
      </c>
      <c r="AO162" s="7">
        <v>0</v>
      </c>
      <c r="AP162" s="7">
        <v>0</v>
      </c>
      <c r="AQ162" s="7">
        <v>0</v>
      </c>
      <c r="AR162" s="7">
        <v>0</v>
      </c>
    </row>
    <row r="163" s="6" customFormat="1"/>
    <row r="164" s="5" customFormat="1" spans="1:44">
      <c r="A164" s="13" t="s">
        <v>109</v>
      </c>
      <c r="B164" s="5">
        <v>2018</v>
      </c>
      <c r="C164" s="5">
        <v>2019</v>
      </c>
      <c r="D164" s="5">
        <v>2020</v>
      </c>
      <c r="E164" s="5">
        <v>2021</v>
      </c>
      <c r="F164" s="5">
        <v>2022</v>
      </c>
      <c r="G164" s="5">
        <v>2023</v>
      </c>
      <c r="H164" s="5">
        <v>2024</v>
      </c>
      <c r="I164" s="5">
        <v>2025</v>
      </c>
      <c r="J164" s="5">
        <v>2026</v>
      </c>
      <c r="K164" s="5">
        <v>2027</v>
      </c>
      <c r="L164" s="5">
        <v>2028</v>
      </c>
      <c r="M164" s="5">
        <v>2029</v>
      </c>
      <c r="N164" s="5">
        <v>2030</v>
      </c>
      <c r="O164" s="5">
        <v>2031</v>
      </c>
      <c r="P164" s="5">
        <v>2032</v>
      </c>
      <c r="Q164" s="5">
        <v>2033</v>
      </c>
      <c r="R164" s="5">
        <v>2034</v>
      </c>
      <c r="S164" s="5">
        <v>2035</v>
      </c>
      <c r="T164" s="5">
        <v>2036</v>
      </c>
      <c r="U164" s="5">
        <v>2037</v>
      </c>
      <c r="V164" s="5">
        <v>2038</v>
      </c>
      <c r="W164" s="5">
        <v>2039</v>
      </c>
      <c r="X164" s="5">
        <v>2040</v>
      </c>
      <c r="Y164" s="5">
        <v>2041</v>
      </c>
      <c r="Z164" s="5">
        <v>2042</v>
      </c>
      <c r="AA164" s="5">
        <v>2043</v>
      </c>
      <c r="AB164" s="5">
        <v>2044</v>
      </c>
      <c r="AC164" s="5">
        <v>2045</v>
      </c>
      <c r="AD164" s="5">
        <v>2046</v>
      </c>
      <c r="AE164" s="5">
        <v>2047</v>
      </c>
      <c r="AF164" s="5">
        <v>2048</v>
      </c>
      <c r="AG164" s="5">
        <v>2049</v>
      </c>
      <c r="AH164" s="5">
        <v>2050</v>
      </c>
      <c r="AI164" s="5">
        <v>2051</v>
      </c>
      <c r="AJ164" s="5">
        <v>2052</v>
      </c>
      <c r="AK164" s="5">
        <v>2053</v>
      </c>
      <c r="AL164" s="5">
        <v>2054</v>
      </c>
      <c r="AM164" s="5">
        <v>2055</v>
      </c>
      <c r="AN164" s="5">
        <v>2056</v>
      </c>
      <c r="AO164" s="5">
        <v>2057</v>
      </c>
      <c r="AP164" s="5">
        <v>2058</v>
      </c>
      <c r="AQ164" s="5">
        <v>2059</v>
      </c>
      <c r="AR164" s="5">
        <v>2060</v>
      </c>
    </row>
    <row r="165" s="6" customFormat="1" spans="1:44">
      <c r="A165" s="5" t="s">
        <v>1123</v>
      </c>
      <c r="B165" s="14">
        <f t="shared" ref="B165:B174" si="15">B$175*$M4/$M$14</f>
        <v>1197.01224671104</v>
      </c>
      <c r="C165" s="14">
        <v>1415.34508842703</v>
      </c>
      <c r="D165" s="14">
        <v>1525.94734161334</v>
      </c>
      <c r="E165" s="14">
        <v>1595.18899004221</v>
      </c>
      <c r="F165" s="14">
        <v>1817.20910843811</v>
      </c>
      <c r="G165" s="14">
        <v>1751.8534086017</v>
      </c>
      <c r="H165" s="14">
        <v>1502.19730745843</v>
      </c>
      <c r="I165" s="14">
        <v>1352.04586033919</v>
      </c>
      <c r="J165" s="14">
        <v>1336.88041241004</v>
      </c>
      <c r="K165" s="14">
        <v>1309.73993900437</v>
      </c>
      <c r="L165" s="14">
        <v>1280.50963500212</v>
      </c>
      <c r="M165" s="14">
        <v>1240.01656060624</v>
      </c>
      <c r="N165" s="14">
        <v>1191.15713764413</v>
      </c>
      <c r="O165" s="14">
        <v>1131.00064371864</v>
      </c>
      <c r="P165" s="14">
        <v>1061.89440125942</v>
      </c>
      <c r="Q165" s="14">
        <v>983.137802830139</v>
      </c>
      <c r="R165" s="14">
        <v>896.121887619171</v>
      </c>
      <c r="S165" s="14">
        <v>950.757810729234</v>
      </c>
      <c r="T165" s="14">
        <v>907.184205983806</v>
      </c>
      <c r="U165" s="14">
        <v>858.469988042798</v>
      </c>
      <c r="V165" s="14">
        <v>840.838708727431</v>
      </c>
      <c r="W165" s="14">
        <v>826.676303929394</v>
      </c>
      <c r="X165" s="14">
        <v>809.507099142547</v>
      </c>
      <c r="Y165" s="14">
        <v>796.125597233979</v>
      </c>
      <c r="Z165" s="14">
        <v>780.482348111967</v>
      </c>
      <c r="AA165" s="14">
        <v>762.645439853862</v>
      </c>
      <c r="AB165" s="14">
        <v>742.737208534507</v>
      </c>
      <c r="AC165" s="14">
        <v>720.928277639503</v>
      </c>
      <c r="AD165" s="14">
        <v>694.504250455176</v>
      </c>
      <c r="AE165" s="14">
        <v>666.089653900208</v>
      </c>
      <c r="AF165" s="14">
        <v>635.825823661551</v>
      </c>
      <c r="AG165" s="14">
        <v>603.934678827237</v>
      </c>
      <c r="AH165" s="14">
        <v>570.236255021352</v>
      </c>
      <c r="AI165" s="14">
        <v>517.173884340452</v>
      </c>
      <c r="AJ165" s="14">
        <v>462.483694670684</v>
      </c>
      <c r="AK165" s="14">
        <v>406.098621319664</v>
      </c>
      <c r="AL165" s="14">
        <v>348.181315497743</v>
      </c>
      <c r="AM165" s="14">
        <v>288.836137071571</v>
      </c>
      <c r="AN165" s="14">
        <v>225.816234585517</v>
      </c>
      <c r="AO165" s="14">
        <v>161.381022779324</v>
      </c>
      <c r="AP165" s="14">
        <v>95.6370676070147</v>
      </c>
      <c r="AQ165" s="14">
        <v>28.6508510563493</v>
      </c>
      <c r="AR165" s="14">
        <v>0</v>
      </c>
    </row>
    <row r="166" s="6" customFormat="1" spans="1:44">
      <c r="A166" s="5" t="s">
        <v>1124</v>
      </c>
      <c r="B166" s="14">
        <f t="shared" si="15"/>
        <v>187.035151309924</v>
      </c>
      <c r="C166" s="14">
        <v>0</v>
      </c>
      <c r="D166" s="14">
        <v>0</v>
      </c>
      <c r="E166" s="14">
        <v>0</v>
      </c>
      <c r="F166" s="14">
        <v>0</v>
      </c>
      <c r="G166" s="14">
        <v>0</v>
      </c>
      <c r="H166" s="14">
        <v>0</v>
      </c>
      <c r="I166" s="14">
        <v>0</v>
      </c>
      <c r="J166" s="14">
        <v>0</v>
      </c>
      <c r="K166" s="14">
        <v>0</v>
      </c>
      <c r="L166" s="14">
        <v>0</v>
      </c>
      <c r="M166" s="14">
        <v>0</v>
      </c>
      <c r="N166" s="14">
        <v>0</v>
      </c>
      <c r="O166" s="14">
        <v>0</v>
      </c>
      <c r="P166" s="14">
        <v>0</v>
      </c>
      <c r="Q166" s="14">
        <v>0</v>
      </c>
      <c r="R166" s="14">
        <v>0</v>
      </c>
      <c r="S166" s="14">
        <v>0</v>
      </c>
      <c r="T166" s="14">
        <v>0</v>
      </c>
      <c r="U166" s="14">
        <v>0</v>
      </c>
      <c r="V166" s="14">
        <v>0</v>
      </c>
      <c r="W166" s="14">
        <v>0</v>
      </c>
      <c r="X166" s="14">
        <v>0</v>
      </c>
      <c r="Y166" s="14">
        <v>0</v>
      </c>
      <c r="Z166" s="14">
        <v>0</v>
      </c>
      <c r="AA166" s="14">
        <v>0</v>
      </c>
      <c r="AB166" s="14">
        <v>0</v>
      </c>
      <c r="AC166" s="14">
        <v>0</v>
      </c>
      <c r="AD166" s="14">
        <v>0</v>
      </c>
      <c r="AE166" s="14">
        <v>0</v>
      </c>
      <c r="AF166" s="14">
        <v>0</v>
      </c>
      <c r="AG166" s="14">
        <v>0</v>
      </c>
      <c r="AH166" s="14">
        <v>0</v>
      </c>
      <c r="AI166" s="14">
        <v>0</v>
      </c>
      <c r="AJ166" s="14">
        <v>0</v>
      </c>
      <c r="AK166" s="14">
        <v>0</v>
      </c>
      <c r="AL166" s="14">
        <v>0</v>
      </c>
      <c r="AM166" s="14">
        <v>0</v>
      </c>
      <c r="AN166" s="14">
        <v>0</v>
      </c>
      <c r="AO166" s="14">
        <v>0</v>
      </c>
      <c r="AP166" s="14">
        <v>0</v>
      </c>
      <c r="AQ166" s="14">
        <v>0</v>
      </c>
      <c r="AR166" s="14">
        <v>0</v>
      </c>
    </row>
    <row r="167" s="6" customFormat="1" spans="1:44">
      <c r="A167" s="5" t="s">
        <v>1125</v>
      </c>
      <c r="B167" s="14">
        <f t="shared" si="15"/>
        <v>138.404810815468</v>
      </c>
      <c r="C167" s="14">
        <v>0</v>
      </c>
      <c r="D167" s="14">
        <v>0</v>
      </c>
      <c r="E167" s="14">
        <v>0</v>
      </c>
      <c r="F167" s="14">
        <v>0</v>
      </c>
      <c r="G167" s="14">
        <v>0</v>
      </c>
      <c r="H167" s="14">
        <v>0</v>
      </c>
      <c r="I167" s="14">
        <v>0</v>
      </c>
      <c r="J167" s="14">
        <v>0</v>
      </c>
      <c r="K167" s="14">
        <v>0</v>
      </c>
      <c r="L167" s="14">
        <v>0</v>
      </c>
      <c r="M167" s="14">
        <v>0</v>
      </c>
      <c r="N167" s="14">
        <v>0</v>
      </c>
      <c r="O167" s="14">
        <v>0</v>
      </c>
      <c r="P167" s="14">
        <v>0</v>
      </c>
      <c r="Q167" s="14">
        <v>0</v>
      </c>
      <c r="R167" s="14">
        <v>0</v>
      </c>
      <c r="S167" s="14">
        <v>0</v>
      </c>
      <c r="T167" s="14">
        <v>0</v>
      </c>
      <c r="U167" s="14">
        <v>0</v>
      </c>
      <c r="V167" s="14">
        <v>0</v>
      </c>
      <c r="W167" s="14">
        <v>0</v>
      </c>
      <c r="X167" s="14">
        <v>0</v>
      </c>
      <c r="Y167" s="14">
        <v>0</v>
      </c>
      <c r="Z167" s="14">
        <v>0</v>
      </c>
      <c r="AA167" s="14">
        <v>0</v>
      </c>
      <c r="AB167" s="14">
        <v>0</v>
      </c>
      <c r="AC167" s="14">
        <v>0</v>
      </c>
      <c r="AD167" s="14">
        <v>0</v>
      </c>
      <c r="AE167" s="14">
        <v>0</v>
      </c>
      <c r="AF167" s="14">
        <v>0</v>
      </c>
      <c r="AG167" s="14">
        <v>0</v>
      </c>
      <c r="AH167" s="14">
        <v>0</v>
      </c>
      <c r="AI167" s="14">
        <v>0</v>
      </c>
      <c r="AJ167" s="14">
        <v>0</v>
      </c>
      <c r="AK167" s="14">
        <v>0</v>
      </c>
      <c r="AL167" s="14">
        <v>0</v>
      </c>
      <c r="AM167" s="14">
        <v>0</v>
      </c>
      <c r="AN167" s="14">
        <v>0</v>
      </c>
      <c r="AO167" s="14">
        <v>0</v>
      </c>
      <c r="AP167" s="14">
        <v>0</v>
      </c>
      <c r="AQ167" s="14">
        <v>0</v>
      </c>
      <c r="AR167" s="14">
        <v>0</v>
      </c>
    </row>
    <row r="168" s="6" customFormat="1" spans="1:44">
      <c r="A168" s="5" t="s">
        <v>1126</v>
      </c>
      <c r="B168" s="14">
        <f t="shared" si="15"/>
        <v>0</v>
      </c>
      <c r="C168" s="14">
        <v>0</v>
      </c>
      <c r="D168" s="14">
        <v>0</v>
      </c>
      <c r="E168" s="14">
        <v>0</v>
      </c>
      <c r="F168" s="14">
        <v>0</v>
      </c>
      <c r="G168" s="14">
        <v>0</v>
      </c>
      <c r="H168" s="14">
        <v>0</v>
      </c>
      <c r="I168" s="14">
        <v>0</v>
      </c>
      <c r="J168" s="14">
        <v>0</v>
      </c>
      <c r="K168" s="14">
        <v>0</v>
      </c>
      <c r="L168" s="14">
        <v>0</v>
      </c>
      <c r="M168" s="14">
        <v>0</v>
      </c>
      <c r="N168" s="14">
        <v>0</v>
      </c>
      <c r="O168" s="14">
        <v>0</v>
      </c>
      <c r="P168" s="14">
        <v>0</v>
      </c>
      <c r="Q168" s="14">
        <v>0</v>
      </c>
      <c r="R168" s="14">
        <v>0</v>
      </c>
      <c r="S168" s="14">
        <v>0</v>
      </c>
      <c r="T168" s="14">
        <v>0</v>
      </c>
      <c r="U168" s="14">
        <v>0</v>
      </c>
      <c r="V168" s="14">
        <v>0</v>
      </c>
      <c r="W168" s="14">
        <v>0</v>
      </c>
      <c r="X168" s="14">
        <v>0</v>
      </c>
      <c r="Y168" s="14">
        <v>0</v>
      </c>
      <c r="Z168" s="14">
        <v>0</v>
      </c>
      <c r="AA168" s="14">
        <v>0</v>
      </c>
      <c r="AB168" s="14">
        <v>0</v>
      </c>
      <c r="AC168" s="14">
        <v>0</v>
      </c>
      <c r="AD168" s="14">
        <v>0</v>
      </c>
      <c r="AE168" s="14">
        <v>0</v>
      </c>
      <c r="AF168" s="14">
        <v>0</v>
      </c>
      <c r="AG168" s="14">
        <v>0</v>
      </c>
      <c r="AH168" s="14">
        <v>0</v>
      </c>
      <c r="AI168" s="14">
        <v>0</v>
      </c>
      <c r="AJ168" s="14">
        <v>0</v>
      </c>
      <c r="AK168" s="14">
        <v>0</v>
      </c>
      <c r="AL168" s="14">
        <v>0</v>
      </c>
      <c r="AM168" s="14">
        <v>0</v>
      </c>
      <c r="AN168" s="14">
        <v>0</v>
      </c>
      <c r="AO168" s="14">
        <v>0</v>
      </c>
      <c r="AP168" s="14">
        <v>0</v>
      </c>
      <c r="AQ168" s="14">
        <v>0</v>
      </c>
      <c r="AR168" s="14">
        <v>0</v>
      </c>
    </row>
    <row r="169" s="6" customFormat="1" spans="1:44">
      <c r="A169" s="5" t="s">
        <v>1127</v>
      </c>
      <c r="B169" s="14">
        <f t="shared" si="15"/>
        <v>0</v>
      </c>
      <c r="C169" s="14">
        <v>0</v>
      </c>
      <c r="D169" s="14">
        <v>0</v>
      </c>
      <c r="E169" s="14">
        <v>0</v>
      </c>
      <c r="F169" s="14">
        <v>0</v>
      </c>
      <c r="G169" s="14">
        <v>0</v>
      </c>
      <c r="H169" s="14">
        <v>0</v>
      </c>
      <c r="I169" s="14">
        <v>0</v>
      </c>
      <c r="J169" s="14">
        <v>0</v>
      </c>
      <c r="K169" s="14">
        <v>0</v>
      </c>
      <c r="L169" s="14">
        <v>0</v>
      </c>
      <c r="M169" s="14">
        <v>0</v>
      </c>
      <c r="N169" s="14">
        <v>0</v>
      </c>
      <c r="O169" s="14">
        <v>0</v>
      </c>
      <c r="P169" s="14">
        <v>0</v>
      </c>
      <c r="Q169" s="14">
        <v>0</v>
      </c>
      <c r="R169" s="14">
        <v>0</v>
      </c>
      <c r="S169" s="14">
        <v>0</v>
      </c>
      <c r="T169" s="14">
        <v>0</v>
      </c>
      <c r="U169" s="14">
        <v>0</v>
      </c>
      <c r="V169" s="14">
        <v>0</v>
      </c>
      <c r="W169" s="14">
        <v>0</v>
      </c>
      <c r="X169" s="14">
        <v>0</v>
      </c>
      <c r="Y169" s="14">
        <v>0</v>
      </c>
      <c r="Z169" s="14">
        <v>0</v>
      </c>
      <c r="AA169" s="14">
        <v>0</v>
      </c>
      <c r="AB169" s="14">
        <v>0</v>
      </c>
      <c r="AC169" s="14">
        <v>0</v>
      </c>
      <c r="AD169" s="14">
        <v>0</v>
      </c>
      <c r="AE169" s="14">
        <v>0</v>
      </c>
      <c r="AF169" s="14">
        <v>0</v>
      </c>
      <c r="AG169" s="14">
        <v>0</v>
      </c>
      <c r="AH169" s="14">
        <v>0</v>
      </c>
      <c r="AI169" s="14">
        <v>0</v>
      </c>
      <c r="AJ169" s="14">
        <v>0</v>
      </c>
      <c r="AK169" s="14">
        <v>0</v>
      </c>
      <c r="AL169" s="14">
        <v>0</v>
      </c>
      <c r="AM169" s="14">
        <v>0</v>
      </c>
      <c r="AN169" s="14">
        <v>0</v>
      </c>
      <c r="AO169" s="14">
        <v>0</v>
      </c>
      <c r="AP169" s="14">
        <v>0</v>
      </c>
      <c r="AQ169" s="14">
        <v>0</v>
      </c>
      <c r="AR169" s="14">
        <v>0</v>
      </c>
    </row>
    <row r="170" s="6" customFormat="1" spans="1:44">
      <c r="A170" s="5" t="s">
        <v>1128</v>
      </c>
      <c r="B170" s="14">
        <f t="shared" si="15"/>
        <v>236.3654074849</v>
      </c>
      <c r="C170" s="14">
        <v>0</v>
      </c>
      <c r="D170" s="14">
        <v>0</v>
      </c>
      <c r="E170" s="14">
        <v>0</v>
      </c>
      <c r="F170" s="14">
        <v>0</v>
      </c>
      <c r="G170" s="14">
        <v>0</v>
      </c>
      <c r="H170" s="14">
        <v>0</v>
      </c>
      <c r="I170" s="14">
        <v>0</v>
      </c>
      <c r="J170" s="14">
        <v>0</v>
      </c>
      <c r="K170" s="14">
        <v>0</v>
      </c>
      <c r="L170" s="14">
        <v>0</v>
      </c>
      <c r="M170" s="14">
        <v>0</v>
      </c>
      <c r="N170" s="14">
        <v>0</v>
      </c>
      <c r="O170" s="14">
        <v>0</v>
      </c>
      <c r="P170" s="14">
        <v>0</v>
      </c>
      <c r="Q170" s="14">
        <v>0</v>
      </c>
      <c r="R170" s="14">
        <v>0</v>
      </c>
      <c r="S170" s="14">
        <v>0</v>
      </c>
      <c r="T170" s="14">
        <v>0</v>
      </c>
      <c r="U170" s="14">
        <v>0</v>
      </c>
      <c r="V170" s="14">
        <v>0</v>
      </c>
      <c r="W170" s="14">
        <v>0</v>
      </c>
      <c r="X170" s="14">
        <v>0</v>
      </c>
      <c r="Y170" s="14">
        <v>0</v>
      </c>
      <c r="Z170" s="14">
        <v>0</v>
      </c>
      <c r="AA170" s="14">
        <v>0</v>
      </c>
      <c r="AB170" s="14">
        <v>0</v>
      </c>
      <c r="AC170" s="14">
        <v>0</v>
      </c>
      <c r="AD170" s="14">
        <v>0</v>
      </c>
      <c r="AE170" s="14">
        <v>0</v>
      </c>
      <c r="AF170" s="14">
        <v>0</v>
      </c>
      <c r="AG170" s="14">
        <v>0</v>
      </c>
      <c r="AH170" s="14">
        <v>0</v>
      </c>
      <c r="AI170" s="14">
        <v>0</v>
      </c>
      <c r="AJ170" s="14">
        <v>0</v>
      </c>
      <c r="AK170" s="14">
        <v>0</v>
      </c>
      <c r="AL170" s="14">
        <v>0</v>
      </c>
      <c r="AM170" s="14">
        <v>0</v>
      </c>
      <c r="AN170" s="14">
        <v>0</v>
      </c>
      <c r="AO170" s="14">
        <v>0</v>
      </c>
      <c r="AP170" s="14">
        <v>0</v>
      </c>
      <c r="AQ170" s="14">
        <v>0</v>
      </c>
      <c r="AR170" s="14">
        <v>0</v>
      </c>
    </row>
    <row r="171" s="6" customFormat="1" spans="1:44">
      <c r="A171" s="5" t="s">
        <v>1129</v>
      </c>
      <c r="B171" s="14">
        <f t="shared" si="15"/>
        <v>0</v>
      </c>
      <c r="C171" s="14">
        <v>0</v>
      </c>
      <c r="D171" s="14">
        <v>0</v>
      </c>
      <c r="E171" s="14">
        <v>0</v>
      </c>
      <c r="F171" s="14">
        <v>0</v>
      </c>
      <c r="G171" s="14">
        <v>0</v>
      </c>
      <c r="H171" s="14">
        <v>0</v>
      </c>
      <c r="I171" s="14">
        <v>0</v>
      </c>
      <c r="J171" s="14">
        <v>0</v>
      </c>
      <c r="K171" s="14">
        <v>0</v>
      </c>
      <c r="L171" s="14">
        <v>0</v>
      </c>
      <c r="M171" s="14">
        <v>0</v>
      </c>
      <c r="N171" s="14">
        <v>0</v>
      </c>
      <c r="O171" s="14">
        <v>0</v>
      </c>
      <c r="P171" s="14">
        <v>0</v>
      </c>
      <c r="Q171" s="14">
        <v>0</v>
      </c>
      <c r="R171" s="14">
        <v>0</v>
      </c>
      <c r="S171" s="14">
        <v>0</v>
      </c>
      <c r="T171" s="14">
        <v>0</v>
      </c>
      <c r="U171" s="14">
        <v>0</v>
      </c>
      <c r="V171" s="14">
        <v>0</v>
      </c>
      <c r="W171" s="14">
        <v>0</v>
      </c>
      <c r="X171" s="14">
        <v>0</v>
      </c>
      <c r="Y171" s="14">
        <v>0</v>
      </c>
      <c r="Z171" s="14">
        <v>0</v>
      </c>
      <c r="AA171" s="14">
        <v>0</v>
      </c>
      <c r="AB171" s="14">
        <v>0</v>
      </c>
      <c r="AC171" s="14">
        <v>0</v>
      </c>
      <c r="AD171" s="14">
        <v>0</v>
      </c>
      <c r="AE171" s="14">
        <v>0</v>
      </c>
      <c r="AF171" s="14">
        <v>0</v>
      </c>
      <c r="AG171" s="14">
        <v>0</v>
      </c>
      <c r="AH171" s="14">
        <v>0</v>
      </c>
      <c r="AI171" s="14">
        <v>0</v>
      </c>
      <c r="AJ171" s="14">
        <v>0</v>
      </c>
      <c r="AK171" s="14">
        <v>0</v>
      </c>
      <c r="AL171" s="14">
        <v>0</v>
      </c>
      <c r="AM171" s="14">
        <v>0</v>
      </c>
      <c r="AN171" s="14">
        <v>0</v>
      </c>
      <c r="AO171" s="14">
        <v>0</v>
      </c>
      <c r="AP171" s="14">
        <v>0</v>
      </c>
      <c r="AQ171" s="14">
        <v>0</v>
      </c>
      <c r="AR171" s="14">
        <v>0</v>
      </c>
    </row>
    <row r="172" s="6" customFormat="1" spans="1:44">
      <c r="A172" s="5" t="s">
        <v>1130</v>
      </c>
      <c r="B172" s="14">
        <f t="shared" si="15"/>
        <v>0</v>
      </c>
      <c r="C172" s="14">
        <v>0</v>
      </c>
      <c r="D172" s="14">
        <v>0</v>
      </c>
      <c r="E172" s="14">
        <v>0</v>
      </c>
      <c r="F172" s="14">
        <v>0</v>
      </c>
      <c r="G172" s="14">
        <v>0</v>
      </c>
      <c r="H172" s="14">
        <v>0</v>
      </c>
      <c r="I172" s="14">
        <v>0</v>
      </c>
      <c r="J172" s="14">
        <v>0</v>
      </c>
      <c r="K172" s="14">
        <v>0</v>
      </c>
      <c r="L172" s="14">
        <v>0</v>
      </c>
      <c r="M172" s="14">
        <v>0</v>
      </c>
      <c r="N172" s="14">
        <v>0</v>
      </c>
      <c r="O172" s="14">
        <v>0</v>
      </c>
      <c r="P172" s="14">
        <v>0</v>
      </c>
      <c r="Q172" s="14">
        <v>0</v>
      </c>
      <c r="R172" s="14">
        <v>0</v>
      </c>
      <c r="S172" s="14">
        <v>0</v>
      </c>
      <c r="T172" s="14">
        <v>0</v>
      </c>
      <c r="U172" s="14">
        <v>0</v>
      </c>
      <c r="V172" s="14">
        <v>0</v>
      </c>
      <c r="W172" s="14">
        <v>0</v>
      </c>
      <c r="X172" s="14">
        <v>0</v>
      </c>
      <c r="Y172" s="14">
        <v>0</v>
      </c>
      <c r="Z172" s="14">
        <v>0</v>
      </c>
      <c r="AA172" s="14">
        <v>0</v>
      </c>
      <c r="AB172" s="14">
        <v>0</v>
      </c>
      <c r="AC172" s="14">
        <v>0</v>
      </c>
      <c r="AD172" s="14">
        <v>0</v>
      </c>
      <c r="AE172" s="14">
        <v>0</v>
      </c>
      <c r="AF172" s="14">
        <v>0</v>
      </c>
      <c r="AG172" s="14">
        <v>0</v>
      </c>
      <c r="AH172" s="14">
        <v>0</v>
      </c>
      <c r="AI172" s="14">
        <v>0</v>
      </c>
      <c r="AJ172" s="14">
        <v>0</v>
      </c>
      <c r="AK172" s="14">
        <v>0</v>
      </c>
      <c r="AL172" s="14">
        <v>0</v>
      </c>
      <c r="AM172" s="14">
        <v>0</v>
      </c>
      <c r="AN172" s="14">
        <v>0</v>
      </c>
      <c r="AO172" s="14">
        <v>0</v>
      </c>
      <c r="AP172" s="14">
        <v>0</v>
      </c>
      <c r="AQ172" s="14">
        <v>0</v>
      </c>
      <c r="AR172" s="14">
        <v>0</v>
      </c>
    </row>
    <row r="173" s="6" customFormat="1" spans="1:44">
      <c r="A173" s="5" t="s">
        <v>1131</v>
      </c>
      <c r="B173" s="14">
        <f t="shared" si="15"/>
        <v>695.326372984837</v>
      </c>
      <c r="C173" s="14">
        <v>0</v>
      </c>
      <c r="D173" s="14">
        <v>0</v>
      </c>
      <c r="E173" s="14">
        <v>0</v>
      </c>
      <c r="F173" s="14">
        <v>0</v>
      </c>
      <c r="G173" s="14">
        <v>0</v>
      </c>
      <c r="H173" s="14">
        <v>0</v>
      </c>
      <c r="I173" s="14">
        <v>0</v>
      </c>
      <c r="J173" s="14">
        <v>0</v>
      </c>
      <c r="K173" s="14">
        <v>0</v>
      </c>
      <c r="L173" s="14">
        <v>0</v>
      </c>
      <c r="M173" s="14">
        <v>0</v>
      </c>
      <c r="N173" s="14">
        <v>0</v>
      </c>
      <c r="O173" s="14">
        <v>0</v>
      </c>
      <c r="P173" s="14">
        <v>0</v>
      </c>
      <c r="Q173" s="14">
        <v>0</v>
      </c>
      <c r="R173" s="14">
        <v>0</v>
      </c>
      <c r="S173" s="14">
        <v>0</v>
      </c>
      <c r="T173" s="14">
        <v>0</v>
      </c>
      <c r="U173" s="14">
        <v>0</v>
      </c>
      <c r="V173" s="14">
        <v>0</v>
      </c>
      <c r="W173" s="14">
        <v>0</v>
      </c>
      <c r="X173" s="14">
        <v>0</v>
      </c>
      <c r="Y173" s="14">
        <v>0</v>
      </c>
      <c r="Z173" s="14">
        <v>0</v>
      </c>
      <c r="AA173" s="14">
        <v>0</v>
      </c>
      <c r="AB173" s="14">
        <v>0</v>
      </c>
      <c r="AC173" s="14">
        <v>0</v>
      </c>
      <c r="AD173" s="14">
        <v>0</v>
      </c>
      <c r="AE173" s="14">
        <v>0</v>
      </c>
      <c r="AF173" s="14">
        <v>0</v>
      </c>
      <c r="AG173" s="14">
        <v>0</v>
      </c>
      <c r="AH173" s="14">
        <v>0</v>
      </c>
      <c r="AI173" s="14">
        <v>0</v>
      </c>
      <c r="AJ173" s="14">
        <v>0</v>
      </c>
      <c r="AK173" s="14">
        <v>0</v>
      </c>
      <c r="AL173" s="14">
        <v>0</v>
      </c>
      <c r="AM173" s="14">
        <v>0</v>
      </c>
      <c r="AN173" s="14">
        <v>0</v>
      </c>
      <c r="AO173" s="14">
        <v>0</v>
      </c>
      <c r="AP173" s="14">
        <v>0</v>
      </c>
      <c r="AQ173" s="14">
        <v>0</v>
      </c>
      <c r="AR173" s="14">
        <v>0</v>
      </c>
    </row>
    <row r="174" s="6" customFormat="1" spans="1:44">
      <c r="A174" s="5" t="s">
        <v>1132</v>
      </c>
      <c r="B174" s="14">
        <f t="shared" si="15"/>
        <v>0</v>
      </c>
      <c r="C174" s="14">
        <v>0</v>
      </c>
      <c r="D174" s="14">
        <v>0</v>
      </c>
      <c r="E174" s="14">
        <v>0</v>
      </c>
      <c r="F174" s="14">
        <v>0</v>
      </c>
      <c r="G174" s="14">
        <v>0</v>
      </c>
      <c r="H174" s="14">
        <v>0</v>
      </c>
      <c r="I174" s="14">
        <v>0</v>
      </c>
      <c r="J174" s="14">
        <v>0</v>
      </c>
      <c r="K174" s="14">
        <v>0</v>
      </c>
      <c r="L174" s="14">
        <v>0</v>
      </c>
      <c r="M174" s="14">
        <v>0</v>
      </c>
      <c r="N174" s="14">
        <v>0</v>
      </c>
      <c r="O174" s="14">
        <v>0</v>
      </c>
      <c r="P174" s="14">
        <v>0</v>
      </c>
      <c r="Q174" s="14">
        <v>0</v>
      </c>
      <c r="R174" s="14">
        <v>0</v>
      </c>
      <c r="S174" s="14">
        <v>0</v>
      </c>
      <c r="T174" s="14">
        <v>0</v>
      </c>
      <c r="U174" s="14">
        <v>0</v>
      </c>
      <c r="V174" s="14">
        <v>0</v>
      </c>
      <c r="W174" s="14">
        <v>0</v>
      </c>
      <c r="X174" s="14">
        <v>0</v>
      </c>
      <c r="Y174" s="14">
        <v>0</v>
      </c>
      <c r="Z174" s="14">
        <v>0</v>
      </c>
      <c r="AA174" s="14">
        <v>0</v>
      </c>
      <c r="AB174" s="14">
        <v>0</v>
      </c>
      <c r="AC174" s="14">
        <v>0</v>
      </c>
      <c r="AD174" s="14">
        <v>0</v>
      </c>
      <c r="AE174" s="14">
        <v>0</v>
      </c>
      <c r="AF174" s="14">
        <v>0</v>
      </c>
      <c r="AG174" s="14">
        <v>0</v>
      </c>
      <c r="AH174" s="14">
        <v>0</v>
      </c>
      <c r="AI174" s="14">
        <v>0</v>
      </c>
      <c r="AJ174" s="14">
        <v>0</v>
      </c>
      <c r="AK174" s="14">
        <v>0</v>
      </c>
      <c r="AL174" s="14">
        <v>0</v>
      </c>
      <c r="AM174" s="14">
        <v>0</v>
      </c>
      <c r="AN174" s="14">
        <v>0</v>
      </c>
      <c r="AO174" s="14">
        <v>0</v>
      </c>
      <c r="AP174" s="14">
        <v>0</v>
      </c>
      <c r="AQ174" s="14">
        <v>0</v>
      </c>
      <c r="AR174" s="14">
        <v>0</v>
      </c>
    </row>
    <row r="175" s="7" customFormat="1" spans="1:44">
      <c r="A175" s="5" t="s">
        <v>1119</v>
      </c>
      <c r="B175" s="7">
        <f>BAU建筑总能耗计算!B$5*$M$16</f>
        <v>2454.14398930617</v>
      </c>
      <c r="C175" s="7">
        <v>0</v>
      </c>
      <c r="D175" s="7">
        <v>0</v>
      </c>
      <c r="E175" s="7">
        <v>0</v>
      </c>
      <c r="F175" s="7">
        <v>0</v>
      </c>
      <c r="G175" s="7">
        <v>0</v>
      </c>
      <c r="H175" s="7">
        <v>0</v>
      </c>
      <c r="I175" s="7">
        <v>0</v>
      </c>
      <c r="J175" s="7">
        <v>0</v>
      </c>
      <c r="K175" s="7">
        <v>0</v>
      </c>
      <c r="L175" s="7">
        <v>0</v>
      </c>
      <c r="M175" s="7">
        <v>0</v>
      </c>
      <c r="N175" s="7">
        <v>0</v>
      </c>
      <c r="O175" s="7">
        <v>0</v>
      </c>
      <c r="P175" s="7">
        <v>0</v>
      </c>
      <c r="Q175" s="7">
        <v>0</v>
      </c>
      <c r="R175" s="7">
        <v>0</v>
      </c>
      <c r="S175" s="7">
        <v>0</v>
      </c>
      <c r="T175" s="7">
        <v>0</v>
      </c>
      <c r="U175" s="7">
        <v>0</v>
      </c>
      <c r="V175" s="7">
        <v>0</v>
      </c>
      <c r="W175" s="7">
        <v>0</v>
      </c>
      <c r="X175" s="7">
        <v>0</v>
      </c>
      <c r="Y175" s="7">
        <v>0</v>
      </c>
      <c r="Z175" s="7">
        <v>0</v>
      </c>
      <c r="AA175" s="7">
        <v>0</v>
      </c>
      <c r="AB175" s="7">
        <v>0</v>
      </c>
      <c r="AC175" s="7">
        <v>0</v>
      </c>
      <c r="AD175" s="7">
        <v>0</v>
      </c>
      <c r="AE175" s="7">
        <v>0</v>
      </c>
      <c r="AF175" s="7">
        <v>0</v>
      </c>
      <c r="AG175" s="7">
        <v>0</v>
      </c>
      <c r="AH175" s="7">
        <v>0</v>
      </c>
      <c r="AI175" s="7">
        <v>0</v>
      </c>
      <c r="AJ175" s="7">
        <v>0</v>
      </c>
      <c r="AK175" s="7">
        <v>0</v>
      </c>
      <c r="AL175" s="7">
        <v>0</v>
      </c>
      <c r="AM175" s="7">
        <v>0</v>
      </c>
      <c r="AN175" s="7">
        <v>0</v>
      </c>
      <c r="AO175" s="7">
        <v>0</v>
      </c>
      <c r="AP175" s="7">
        <v>0</v>
      </c>
      <c r="AQ175" s="7">
        <v>0</v>
      </c>
      <c r="AR175" s="7">
        <v>0</v>
      </c>
    </row>
    <row r="176" s="6" customFormat="1"/>
    <row r="177" s="5" customFormat="1" spans="1:44">
      <c r="A177" s="13" t="s">
        <v>110</v>
      </c>
      <c r="B177" s="5">
        <v>2018</v>
      </c>
      <c r="C177" s="5">
        <v>2019</v>
      </c>
      <c r="D177" s="5">
        <v>2020</v>
      </c>
      <c r="E177" s="5">
        <v>2021</v>
      </c>
      <c r="F177" s="5">
        <v>2022</v>
      </c>
      <c r="G177" s="5">
        <v>2023</v>
      </c>
      <c r="H177" s="5">
        <v>2024</v>
      </c>
      <c r="I177" s="5">
        <v>2025</v>
      </c>
      <c r="J177" s="5">
        <v>2026</v>
      </c>
      <c r="K177" s="5">
        <v>2027</v>
      </c>
      <c r="L177" s="5">
        <v>2028</v>
      </c>
      <c r="M177" s="5">
        <v>2029</v>
      </c>
      <c r="N177" s="5">
        <v>2030</v>
      </c>
      <c r="O177" s="5">
        <v>2031</v>
      </c>
      <c r="P177" s="5">
        <v>2032</v>
      </c>
      <c r="Q177" s="5">
        <v>2033</v>
      </c>
      <c r="R177" s="5">
        <v>2034</v>
      </c>
      <c r="S177" s="5">
        <v>2035</v>
      </c>
      <c r="T177" s="5">
        <v>2036</v>
      </c>
      <c r="U177" s="5">
        <v>2037</v>
      </c>
      <c r="V177" s="5">
        <v>2038</v>
      </c>
      <c r="W177" s="5">
        <v>2039</v>
      </c>
      <c r="X177" s="5">
        <v>2040</v>
      </c>
      <c r="Y177" s="5">
        <v>2041</v>
      </c>
      <c r="Z177" s="5">
        <v>2042</v>
      </c>
      <c r="AA177" s="5">
        <v>2043</v>
      </c>
      <c r="AB177" s="5">
        <v>2044</v>
      </c>
      <c r="AC177" s="5">
        <v>2045</v>
      </c>
      <c r="AD177" s="5">
        <v>2046</v>
      </c>
      <c r="AE177" s="5">
        <v>2047</v>
      </c>
      <c r="AF177" s="5">
        <v>2048</v>
      </c>
      <c r="AG177" s="5">
        <v>2049</v>
      </c>
      <c r="AH177" s="5">
        <v>2050</v>
      </c>
      <c r="AI177" s="5">
        <v>2051</v>
      </c>
      <c r="AJ177" s="5">
        <v>2052</v>
      </c>
      <c r="AK177" s="5">
        <v>2053</v>
      </c>
      <c r="AL177" s="5">
        <v>2054</v>
      </c>
      <c r="AM177" s="5">
        <v>2055</v>
      </c>
      <c r="AN177" s="5">
        <v>2056</v>
      </c>
      <c r="AO177" s="5">
        <v>2057</v>
      </c>
      <c r="AP177" s="5">
        <v>2058</v>
      </c>
      <c r="AQ177" s="5">
        <v>2059</v>
      </c>
      <c r="AR177" s="5">
        <v>2060</v>
      </c>
    </row>
    <row r="178" s="6" customFormat="1" spans="1:44">
      <c r="A178" s="5" t="s">
        <v>1123</v>
      </c>
      <c r="B178" s="14">
        <f t="shared" ref="B178:B187" si="16">B$188*$N4/$N$14</f>
        <v>0</v>
      </c>
      <c r="C178" s="14">
        <v>527.229470652735</v>
      </c>
      <c r="D178" s="14">
        <v>536.411907992311</v>
      </c>
      <c r="E178" s="14">
        <v>637.545267556999</v>
      </c>
      <c r="F178" s="14">
        <v>653.875928821352</v>
      </c>
      <c r="G178" s="14">
        <v>760.501169302715</v>
      </c>
      <c r="H178" s="14">
        <v>620.829453189841</v>
      </c>
      <c r="I178" s="14">
        <v>607.279532241479</v>
      </c>
      <c r="J178" s="14">
        <v>628.517529501834</v>
      </c>
      <c r="K178" s="14">
        <v>649.18119651976</v>
      </c>
      <c r="L178" s="14">
        <v>669.334828235281</v>
      </c>
      <c r="M178" s="14">
        <v>688.19761877817</v>
      </c>
      <c r="N178" s="14">
        <v>705.984216260381</v>
      </c>
      <c r="O178" s="14">
        <v>722.028390817771</v>
      </c>
      <c r="P178" s="14">
        <v>736.185760488593</v>
      </c>
      <c r="Q178" s="14">
        <v>748.83812029748</v>
      </c>
      <c r="R178" s="14">
        <v>759.804223236986</v>
      </c>
      <c r="S178" s="14">
        <v>825.579154802743</v>
      </c>
      <c r="T178" s="14">
        <v>845.365630266872</v>
      </c>
      <c r="U178" s="14">
        <v>864.062425302845</v>
      </c>
      <c r="V178" s="14">
        <v>889.375537470581</v>
      </c>
      <c r="W178" s="14">
        <v>915.06659703877</v>
      </c>
      <c r="X178" s="14">
        <v>939.768094420492</v>
      </c>
      <c r="Y178" s="14">
        <v>962.600649726421</v>
      </c>
      <c r="Z178" s="14">
        <v>984.471918272665</v>
      </c>
      <c r="AA178" s="14">
        <v>1005.42147765457</v>
      </c>
      <c r="AB178" s="14">
        <v>1025.44902529333</v>
      </c>
      <c r="AC178" s="14">
        <v>1044.70002783754</v>
      </c>
      <c r="AD178" s="14">
        <v>1062.2207208495</v>
      </c>
      <c r="AE178" s="14">
        <v>1078.89947652013</v>
      </c>
      <c r="AF178" s="14">
        <v>1094.83233135204</v>
      </c>
      <c r="AG178" s="14">
        <v>1110.14705535306</v>
      </c>
      <c r="AH178" s="14">
        <v>1124.71285170604</v>
      </c>
      <c r="AI178" s="14">
        <v>1135.48381391343</v>
      </c>
      <c r="AJ178" s="14">
        <v>1145.5043357726</v>
      </c>
      <c r="AK178" s="14">
        <v>1154.68453677048</v>
      </c>
      <c r="AL178" s="14">
        <v>1163.01454853555</v>
      </c>
      <c r="AM178" s="14">
        <v>1170.41639684623</v>
      </c>
      <c r="AN178" s="14">
        <v>1175.44128971372</v>
      </c>
      <c r="AO178" s="14">
        <v>1179.24340470138</v>
      </c>
      <c r="AP178" s="14">
        <v>1181.80517193435</v>
      </c>
      <c r="AQ178" s="14">
        <v>1183.1401292047</v>
      </c>
      <c r="AR178" s="14">
        <v>1183.24849967385</v>
      </c>
    </row>
    <row r="179" s="6" customFormat="1" spans="1:44">
      <c r="A179" s="5" t="s">
        <v>1124</v>
      </c>
      <c r="B179" s="14">
        <f t="shared" si="16"/>
        <v>1543.36406549681</v>
      </c>
      <c r="C179" s="14">
        <v>3301.78650915049</v>
      </c>
      <c r="D179" s="14">
        <v>2994.36357038636</v>
      </c>
      <c r="E179" s="14">
        <v>2395.67059184292</v>
      </c>
      <c r="F179" s="14">
        <v>2146.37101605728</v>
      </c>
      <c r="G179" s="14">
        <v>2353.9910273736</v>
      </c>
      <c r="H179" s="14">
        <v>2402.67136283882</v>
      </c>
      <c r="I179" s="14">
        <v>2474.47579748516</v>
      </c>
      <c r="J179" s="14">
        <v>2535.23348588572</v>
      </c>
      <c r="K179" s="14">
        <v>2597.29126313821</v>
      </c>
      <c r="L179" s="14">
        <v>2660.6857271643</v>
      </c>
      <c r="M179" s="14">
        <v>2725.44523618928</v>
      </c>
      <c r="N179" s="14">
        <v>2791.58480093616</v>
      </c>
      <c r="O179" s="14">
        <v>2857.32769102465</v>
      </c>
      <c r="P179" s="14">
        <v>2924.40144340116</v>
      </c>
      <c r="Q179" s="14">
        <v>2992.84406456136</v>
      </c>
      <c r="R179" s="14">
        <v>3062.67961100504</v>
      </c>
      <c r="S179" s="14">
        <v>3133.92249464594</v>
      </c>
      <c r="T179" s="14">
        <v>3163.69400691057</v>
      </c>
      <c r="U179" s="14">
        <v>3193.52816336704</v>
      </c>
      <c r="V179" s="14">
        <v>3223.40397439634</v>
      </c>
      <c r="W179" s="14">
        <v>3253.33616411797</v>
      </c>
      <c r="X179" s="14">
        <v>3283.31952901628</v>
      </c>
      <c r="Y179" s="14">
        <v>3291.29601148824</v>
      </c>
      <c r="Z179" s="14">
        <v>3299.13754031779</v>
      </c>
      <c r="AA179" s="14">
        <v>3306.84152548244</v>
      </c>
      <c r="AB179" s="14">
        <v>3314.4103580077</v>
      </c>
      <c r="AC179" s="14">
        <v>3321.84679323663</v>
      </c>
      <c r="AD179" s="14">
        <v>3323.9836260839</v>
      </c>
      <c r="AE179" s="14">
        <v>3325.91237542202</v>
      </c>
      <c r="AF179" s="14">
        <v>3327.66613598284</v>
      </c>
      <c r="AG179" s="14">
        <v>3329.21795438807</v>
      </c>
      <c r="AH179" s="14">
        <v>3330.55899823243</v>
      </c>
      <c r="AI179" s="14">
        <v>3307.3991058919</v>
      </c>
      <c r="AJ179" s="14">
        <v>3284.24245873324</v>
      </c>
      <c r="AK179" s="14">
        <v>3261.05981644338</v>
      </c>
      <c r="AL179" s="14">
        <v>3237.87946721126</v>
      </c>
      <c r="AM179" s="14">
        <v>3214.68641584756</v>
      </c>
      <c r="AN179" s="14">
        <v>3186.78765487191</v>
      </c>
      <c r="AO179" s="14">
        <v>3158.88499049358</v>
      </c>
      <c r="AP179" s="14">
        <v>3130.96828305004</v>
      </c>
      <c r="AQ179" s="14">
        <v>3103.03913676324</v>
      </c>
      <c r="AR179" s="14">
        <v>3075.09835374419</v>
      </c>
    </row>
    <row r="180" s="6" customFormat="1" spans="1:44">
      <c r="A180" s="5" t="s">
        <v>1125</v>
      </c>
      <c r="B180" s="14">
        <f t="shared" si="16"/>
        <v>0</v>
      </c>
      <c r="C180" s="14">
        <v>514.779345923196</v>
      </c>
      <c r="D180" s="14">
        <v>505.797138267667</v>
      </c>
      <c r="E180" s="14">
        <v>564.202976563676</v>
      </c>
      <c r="F180" s="14">
        <v>583.499681048527</v>
      </c>
      <c r="G180" s="14">
        <v>644.103277938346</v>
      </c>
      <c r="H180" s="14">
        <v>657.423279280607</v>
      </c>
      <c r="I180" s="14">
        <v>677.070538419832</v>
      </c>
      <c r="J180" s="14">
        <v>693.695166892788</v>
      </c>
      <c r="K180" s="14">
        <v>710.675528026319</v>
      </c>
      <c r="L180" s="14">
        <v>728.021635809877</v>
      </c>
      <c r="M180" s="14">
        <v>745.741249672298</v>
      </c>
      <c r="N180" s="14">
        <v>763.838476874738</v>
      </c>
      <c r="O180" s="14">
        <v>781.827165240462</v>
      </c>
      <c r="P180" s="14">
        <v>800.180006549945</v>
      </c>
      <c r="Q180" s="14">
        <v>818.907400209201</v>
      </c>
      <c r="R180" s="14">
        <v>838.015928601161</v>
      </c>
      <c r="S180" s="14">
        <v>857.509535139704</v>
      </c>
      <c r="T180" s="14">
        <v>865.655670114665</v>
      </c>
      <c r="U180" s="14">
        <v>873.818945906576</v>
      </c>
      <c r="V180" s="14">
        <v>881.993619297965</v>
      </c>
      <c r="W180" s="14">
        <v>890.183719129011</v>
      </c>
      <c r="X180" s="14">
        <v>898.38782160436</v>
      </c>
      <c r="Y180" s="14">
        <v>900.570361149693</v>
      </c>
      <c r="Z180" s="14">
        <v>902.715974435568</v>
      </c>
      <c r="AA180" s="14">
        <v>904.823952775349</v>
      </c>
      <c r="AB180" s="14">
        <v>906.894950405754</v>
      </c>
      <c r="AC180" s="14">
        <v>908.929721248731</v>
      </c>
      <c r="AD180" s="14">
        <v>909.514405313082</v>
      </c>
      <c r="AE180" s="14">
        <v>910.042153191711</v>
      </c>
      <c r="AF180" s="14">
        <v>910.522020324936</v>
      </c>
      <c r="AG180" s="14">
        <v>910.946631680693</v>
      </c>
      <c r="AH180" s="14">
        <v>911.313570520291</v>
      </c>
      <c r="AI180" s="14">
        <v>904.976518934383</v>
      </c>
      <c r="AJ180" s="14">
        <v>898.640355300998</v>
      </c>
      <c r="AK180" s="14">
        <v>892.29707883285</v>
      </c>
      <c r="AL180" s="14">
        <v>885.954429795305</v>
      </c>
      <c r="AM180" s="14">
        <v>879.608305177566</v>
      </c>
      <c r="AN180" s="14">
        <v>871.974595793855</v>
      </c>
      <c r="AO180" s="14">
        <v>864.33981835405</v>
      </c>
      <c r="AP180" s="14">
        <v>856.701198425369</v>
      </c>
      <c r="AQ180" s="14">
        <v>849.059174957923</v>
      </c>
      <c r="AR180" s="14">
        <v>841.413967426774</v>
      </c>
    </row>
    <row r="181" s="6" customFormat="1" spans="1:44">
      <c r="A181" s="5" t="s">
        <v>1126</v>
      </c>
      <c r="B181" s="14">
        <f t="shared" si="16"/>
        <v>691.408714690097</v>
      </c>
      <c r="C181" s="14">
        <v>0</v>
      </c>
      <c r="D181" s="14">
        <v>0</v>
      </c>
      <c r="E181" s="14">
        <v>0</v>
      </c>
      <c r="F181" s="14">
        <v>0</v>
      </c>
      <c r="G181" s="14">
        <v>0</v>
      </c>
      <c r="H181" s="14">
        <v>0</v>
      </c>
      <c r="I181" s="14">
        <v>0</v>
      </c>
      <c r="J181" s="14">
        <v>0</v>
      </c>
      <c r="K181" s="14">
        <v>0</v>
      </c>
      <c r="L181" s="14">
        <v>0</v>
      </c>
      <c r="M181" s="14">
        <v>0</v>
      </c>
      <c r="N181" s="14">
        <v>0</v>
      </c>
      <c r="O181" s="14">
        <v>0</v>
      </c>
      <c r="P181" s="14">
        <v>0</v>
      </c>
      <c r="Q181" s="14">
        <v>0</v>
      </c>
      <c r="R181" s="14">
        <v>0</v>
      </c>
      <c r="S181" s="14">
        <v>0</v>
      </c>
      <c r="T181" s="14">
        <v>0</v>
      </c>
      <c r="U181" s="14">
        <v>0</v>
      </c>
      <c r="V181" s="14">
        <v>0</v>
      </c>
      <c r="W181" s="14">
        <v>0</v>
      </c>
      <c r="X181" s="14">
        <v>0</v>
      </c>
      <c r="Y181" s="14">
        <v>0</v>
      </c>
      <c r="Z181" s="14">
        <v>0</v>
      </c>
      <c r="AA181" s="14">
        <v>0</v>
      </c>
      <c r="AB181" s="14">
        <v>0</v>
      </c>
      <c r="AC181" s="14">
        <v>0</v>
      </c>
      <c r="AD181" s="14">
        <v>0</v>
      </c>
      <c r="AE181" s="14">
        <v>0</v>
      </c>
      <c r="AF181" s="14">
        <v>0</v>
      </c>
      <c r="AG181" s="14">
        <v>0</v>
      </c>
      <c r="AH181" s="14">
        <v>0</v>
      </c>
      <c r="AI181" s="14">
        <v>0</v>
      </c>
      <c r="AJ181" s="14">
        <v>0</v>
      </c>
      <c r="AK181" s="14">
        <v>0</v>
      </c>
      <c r="AL181" s="14">
        <v>0</v>
      </c>
      <c r="AM181" s="14">
        <v>0</v>
      </c>
      <c r="AN181" s="14">
        <v>0</v>
      </c>
      <c r="AO181" s="14">
        <v>0</v>
      </c>
      <c r="AP181" s="14">
        <v>0</v>
      </c>
      <c r="AQ181" s="14">
        <v>0</v>
      </c>
      <c r="AR181" s="14">
        <v>0</v>
      </c>
    </row>
    <row r="182" s="6" customFormat="1" spans="1:44">
      <c r="A182" s="5" t="s">
        <v>1127</v>
      </c>
      <c r="B182" s="14">
        <f t="shared" si="16"/>
        <v>1800.76906434703</v>
      </c>
      <c r="C182" s="14">
        <v>3282.89419795222</v>
      </c>
      <c r="D182" s="14">
        <v>3445.8976109215</v>
      </c>
      <c r="E182" s="14">
        <v>3584.83303754266</v>
      </c>
      <c r="F182" s="14">
        <v>3594.81836177474</v>
      </c>
      <c r="G182" s="14">
        <v>3623.76791808874</v>
      </c>
      <c r="H182" s="14">
        <v>3700.36070642071</v>
      </c>
      <c r="I182" s="14">
        <v>3787.65033064503</v>
      </c>
      <c r="J182" s="14">
        <v>3860.6244437062</v>
      </c>
      <c r="K182" s="14">
        <v>3934.79683870134</v>
      </c>
      <c r="L182" s="14">
        <v>4010.2280657301</v>
      </c>
      <c r="M182" s="14">
        <v>4086.92271762747</v>
      </c>
      <c r="N182" s="14">
        <v>4164.89736304734</v>
      </c>
      <c r="O182" s="14">
        <v>4240.0935245636</v>
      </c>
      <c r="P182" s="14">
        <v>4316.41838248179</v>
      </c>
      <c r="Q182" s="14">
        <v>4393.89078612121</v>
      </c>
      <c r="R182" s="14">
        <v>4472.54226780174</v>
      </c>
      <c r="S182" s="14">
        <v>4552.34394373764</v>
      </c>
      <c r="T182" s="14">
        <v>4584.92277876898</v>
      </c>
      <c r="U182" s="14">
        <v>4617.35266554102</v>
      </c>
      <c r="V182" s="14">
        <v>4649.63069650389</v>
      </c>
      <c r="W182" s="14">
        <v>4681.76362485429</v>
      </c>
      <c r="X182" s="14">
        <v>4713.72922130026</v>
      </c>
      <c r="Y182" s="14">
        <v>4716.53349719765</v>
      </c>
      <c r="Z182" s="14">
        <v>4719.04692770693</v>
      </c>
      <c r="AA182" s="14">
        <v>4721.24373488418</v>
      </c>
      <c r="AB182" s="14">
        <v>4723.1612765036</v>
      </c>
      <c r="AC182" s="14">
        <v>4724.79627296293</v>
      </c>
      <c r="AD182" s="14">
        <v>4718.6117258329</v>
      </c>
      <c r="AE182" s="14">
        <v>4712.01544690449</v>
      </c>
      <c r="AF182" s="14">
        <v>4705.09031699106</v>
      </c>
      <c r="AG182" s="14">
        <v>4697.76410386445</v>
      </c>
      <c r="AH182" s="14">
        <v>4690.04091040159</v>
      </c>
      <c r="AI182" s="14">
        <v>4648.19512867077</v>
      </c>
      <c r="AJ182" s="14">
        <v>4606.36274877151</v>
      </c>
      <c r="AK182" s="14">
        <v>4564.48494030723</v>
      </c>
      <c r="AL182" s="14">
        <v>4522.58960014182</v>
      </c>
      <c r="AM182" s="14">
        <v>4480.69857879424</v>
      </c>
      <c r="AN182" s="14">
        <v>4432.64491482081</v>
      </c>
      <c r="AO182" s="14">
        <v>4384.60578636864</v>
      </c>
      <c r="AP182" s="14">
        <v>4336.52037908417</v>
      </c>
      <c r="AQ182" s="14">
        <v>4288.43139527869</v>
      </c>
      <c r="AR182" s="14">
        <v>4240.31741631503</v>
      </c>
    </row>
    <row r="183" s="6" customFormat="1" spans="1:44">
      <c r="A183" s="5" t="s">
        <v>1128</v>
      </c>
      <c r="B183" s="14">
        <f t="shared" si="16"/>
        <v>23.2289991963185</v>
      </c>
      <c r="C183" s="14">
        <v>1823.98290426381</v>
      </c>
      <c r="D183" s="14">
        <v>1516.25778034464</v>
      </c>
      <c r="E183" s="14">
        <v>1229.32205949906</v>
      </c>
      <c r="F183" s="14">
        <v>710.006566959691</v>
      </c>
      <c r="G183" s="14">
        <v>747.44</v>
      </c>
      <c r="H183" s="14">
        <v>762.89699601953</v>
      </c>
      <c r="I183" s="14">
        <v>785.6963635651</v>
      </c>
      <c r="J183" s="14">
        <v>804.988164634021</v>
      </c>
      <c r="K183" s="14">
        <v>824.692770339911</v>
      </c>
      <c r="L183" s="14">
        <v>844.821801266816</v>
      </c>
      <c r="M183" s="14">
        <v>865.384261727693</v>
      </c>
      <c r="N183" s="14">
        <v>886.384917932219</v>
      </c>
      <c r="O183" s="14">
        <v>907.259621869626</v>
      </c>
      <c r="P183" s="14">
        <v>928.556901635486</v>
      </c>
      <c r="Q183" s="14">
        <v>950.288825064719</v>
      </c>
      <c r="R183" s="14">
        <v>972.463030584993</v>
      </c>
      <c r="S183" s="14">
        <v>995.084094271868</v>
      </c>
      <c r="T183" s="14">
        <v>1004.53715457172</v>
      </c>
      <c r="U183" s="14">
        <v>1014.01010567583</v>
      </c>
      <c r="V183" s="14">
        <v>1023.49628295351</v>
      </c>
      <c r="W183" s="14">
        <v>1033.000361612</v>
      </c>
      <c r="X183" s="14">
        <v>1042.52068942931</v>
      </c>
      <c r="Y183" s="14">
        <v>1045.05338474952</v>
      </c>
      <c r="Z183" s="14">
        <v>1047.5432295451</v>
      </c>
      <c r="AA183" s="14">
        <v>1049.98940143128</v>
      </c>
      <c r="AB183" s="14">
        <v>1052.39265960724</v>
      </c>
      <c r="AC183" s="14">
        <v>1054.75387895042</v>
      </c>
      <c r="AD183" s="14">
        <v>1055.43236681413</v>
      </c>
      <c r="AE183" s="14">
        <v>1056.04478393405</v>
      </c>
      <c r="AF183" s="14">
        <v>1056.60163856023</v>
      </c>
      <c r="AG183" s="14">
        <v>1057.0943724472</v>
      </c>
      <c r="AH183" s="14">
        <v>1057.52018112674</v>
      </c>
      <c r="AI183" s="14">
        <v>1050.16644454503</v>
      </c>
      <c r="AJ183" s="14">
        <v>1042.81373837453</v>
      </c>
      <c r="AK183" s="14">
        <v>1035.45277822148</v>
      </c>
      <c r="AL183" s="14">
        <v>1028.09254616088</v>
      </c>
      <c r="AM183" s="14">
        <v>1020.7282809153</v>
      </c>
      <c r="AN183" s="14">
        <v>1011.86985721651</v>
      </c>
      <c r="AO183" s="14">
        <v>1003.01019410802</v>
      </c>
      <c r="AP183" s="14">
        <v>994.146072040873</v>
      </c>
      <c r="AQ183" s="14">
        <v>985.278000388156</v>
      </c>
      <c r="AR183" s="14">
        <v>976.406233836412</v>
      </c>
    </row>
    <row r="184" s="6" customFormat="1" spans="1:44">
      <c r="A184" s="5" t="s">
        <v>1129</v>
      </c>
      <c r="B184" s="14">
        <f t="shared" si="16"/>
        <v>6.35537316553597</v>
      </c>
      <c r="C184" s="14">
        <v>293.4639862868</v>
      </c>
      <c r="D184" s="14">
        <v>290.641651816401</v>
      </c>
      <c r="E184" s="14">
        <v>307.752054543201</v>
      </c>
      <c r="F184" s="14">
        <v>319.614679114101</v>
      </c>
      <c r="G184" s="14">
        <v>250.74</v>
      </c>
      <c r="H184" s="14">
        <v>255.92528200516</v>
      </c>
      <c r="I184" s="14">
        <v>263.573673071167</v>
      </c>
      <c r="J184" s="14">
        <v>270.045398159497</v>
      </c>
      <c r="K184" s="14">
        <v>276.65560477768</v>
      </c>
      <c r="L184" s="14">
        <v>283.408191225572</v>
      </c>
      <c r="M184" s="14">
        <v>290.306178135505</v>
      </c>
      <c r="N184" s="14">
        <v>297.351164404266</v>
      </c>
      <c r="O184" s="14">
        <v>304.35389808893</v>
      </c>
      <c r="P184" s="14">
        <v>311.498391196727</v>
      </c>
      <c r="Q184" s="14">
        <v>318.788692064551</v>
      </c>
      <c r="R184" s="14">
        <v>326.227363117951</v>
      </c>
      <c r="S184" s="14">
        <v>333.815939470363</v>
      </c>
      <c r="T184" s="14">
        <v>336.987110854803</v>
      </c>
      <c r="U184" s="14">
        <v>340.164954908966</v>
      </c>
      <c r="V184" s="14">
        <v>343.347235882163</v>
      </c>
      <c r="W184" s="14">
        <v>346.53552214304</v>
      </c>
      <c r="X184" s="14">
        <v>349.729259428858</v>
      </c>
      <c r="Y184" s="14">
        <v>350.578890201346</v>
      </c>
      <c r="Z184" s="14">
        <v>351.414146120276</v>
      </c>
      <c r="AA184" s="14">
        <v>352.23475130429</v>
      </c>
      <c r="AB184" s="14">
        <v>353.040960438188</v>
      </c>
      <c r="AC184" s="14">
        <v>353.833067012775</v>
      </c>
      <c r="AD184" s="14">
        <v>354.060675980649</v>
      </c>
      <c r="AE184" s="14">
        <v>354.266120522882</v>
      </c>
      <c r="AF184" s="14">
        <v>354.452925790152</v>
      </c>
      <c r="AG184" s="14">
        <v>354.618220790177</v>
      </c>
      <c r="AH184" s="14">
        <v>354.761064721876</v>
      </c>
      <c r="AI184" s="14">
        <v>352.294143082016</v>
      </c>
      <c r="AJ184" s="14">
        <v>349.827567109107</v>
      </c>
      <c r="AK184" s="14">
        <v>347.358222213496</v>
      </c>
      <c r="AL184" s="14">
        <v>344.889121567456</v>
      </c>
      <c r="AM184" s="14">
        <v>342.418667928801</v>
      </c>
      <c r="AN184" s="14">
        <v>339.446976343877</v>
      </c>
      <c r="AO184" s="14">
        <v>336.474868980312</v>
      </c>
      <c r="AP184" s="14">
        <v>333.501265791941</v>
      </c>
      <c r="AQ184" s="14">
        <v>330.526337655633</v>
      </c>
      <c r="AR184" s="14">
        <v>327.550170009823</v>
      </c>
    </row>
    <row r="185" s="6" customFormat="1" spans="1:44">
      <c r="A185" s="5" t="s">
        <v>1130</v>
      </c>
      <c r="B185" s="14">
        <f t="shared" si="16"/>
        <v>0</v>
      </c>
      <c r="C185" s="14">
        <v>0</v>
      </c>
      <c r="D185" s="14">
        <v>0</v>
      </c>
      <c r="E185" s="14">
        <v>0</v>
      </c>
      <c r="F185" s="14">
        <v>0</v>
      </c>
      <c r="G185" s="14">
        <v>0</v>
      </c>
      <c r="H185" s="14">
        <v>0</v>
      </c>
      <c r="I185" s="14">
        <v>0</v>
      </c>
      <c r="J185" s="14">
        <v>0</v>
      </c>
      <c r="K185" s="14">
        <v>0</v>
      </c>
      <c r="L185" s="14">
        <v>0</v>
      </c>
      <c r="M185" s="14">
        <v>0</v>
      </c>
      <c r="N185" s="14">
        <v>0</v>
      </c>
      <c r="O185" s="14">
        <v>0</v>
      </c>
      <c r="P185" s="14">
        <v>0</v>
      </c>
      <c r="Q185" s="14">
        <v>0</v>
      </c>
      <c r="R185" s="14">
        <v>0</v>
      </c>
      <c r="S185" s="14">
        <v>0</v>
      </c>
      <c r="T185" s="14">
        <v>0</v>
      </c>
      <c r="U185" s="14">
        <v>0</v>
      </c>
      <c r="V185" s="14">
        <v>0</v>
      </c>
      <c r="W185" s="14">
        <v>0</v>
      </c>
      <c r="X185" s="14">
        <v>0</v>
      </c>
      <c r="Y185" s="14">
        <v>0</v>
      </c>
      <c r="Z185" s="14">
        <v>0</v>
      </c>
      <c r="AA185" s="14">
        <v>0</v>
      </c>
      <c r="AB185" s="14">
        <v>0</v>
      </c>
      <c r="AC185" s="14">
        <v>0</v>
      </c>
      <c r="AD185" s="14">
        <v>0</v>
      </c>
      <c r="AE185" s="14">
        <v>0</v>
      </c>
      <c r="AF185" s="14">
        <v>0</v>
      </c>
      <c r="AG185" s="14">
        <v>0</v>
      </c>
      <c r="AH185" s="14">
        <v>0</v>
      </c>
      <c r="AI185" s="14">
        <v>0</v>
      </c>
      <c r="AJ185" s="14">
        <v>0</v>
      </c>
      <c r="AK185" s="14">
        <v>0</v>
      </c>
      <c r="AL185" s="14">
        <v>0</v>
      </c>
      <c r="AM185" s="14">
        <v>0</v>
      </c>
      <c r="AN185" s="14">
        <v>0</v>
      </c>
      <c r="AO185" s="14">
        <v>0</v>
      </c>
      <c r="AP185" s="14">
        <v>0</v>
      </c>
      <c r="AQ185" s="14">
        <v>0</v>
      </c>
      <c r="AR185" s="14">
        <v>0</v>
      </c>
    </row>
    <row r="186" s="6" customFormat="1" spans="1:44">
      <c r="A186" s="5" t="s">
        <v>1131</v>
      </c>
      <c r="B186" s="14">
        <f t="shared" si="16"/>
        <v>0</v>
      </c>
      <c r="C186" s="14">
        <v>6.65080454175918</v>
      </c>
      <c r="D186" s="14">
        <v>6.71788763331287</v>
      </c>
      <c r="E186" s="14">
        <v>7.21702389266721</v>
      </c>
      <c r="F186" s="14">
        <v>7.46669990943285</v>
      </c>
      <c r="G186" s="14">
        <v>7.52779121678013</v>
      </c>
      <c r="H186" s="14">
        <v>7.68346530282533</v>
      </c>
      <c r="I186" s="14">
        <v>7.91308758522617</v>
      </c>
      <c r="J186" s="14">
        <v>8.10738364998386</v>
      </c>
      <c r="K186" s="14">
        <v>8.30583724861775</v>
      </c>
      <c r="L186" s="14">
        <v>8.50856541705114</v>
      </c>
      <c r="M186" s="14">
        <v>8.71565884161068</v>
      </c>
      <c r="N186" s="14">
        <v>8.92716552485355</v>
      </c>
      <c r="O186" s="14">
        <v>9.13740368838895</v>
      </c>
      <c r="P186" s="14">
        <v>9.3518977956922</v>
      </c>
      <c r="Q186" s="14">
        <v>9.57076938714345</v>
      </c>
      <c r="R186" s="14">
        <v>9.79409539264837</v>
      </c>
      <c r="S186" s="14">
        <v>10.0219218998413</v>
      </c>
      <c r="T186" s="14">
        <v>10.1171277548891</v>
      </c>
      <c r="U186" s="14">
        <v>10.2125339388216</v>
      </c>
      <c r="V186" s="14">
        <v>10.3080733292633</v>
      </c>
      <c r="W186" s="14">
        <v>10.4037930122465</v>
      </c>
      <c r="X186" s="14">
        <v>10.4996763475296</v>
      </c>
      <c r="Y186" s="14">
        <v>10.525184216504</v>
      </c>
      <c r="Z186" s="14">
        <v>10.5502605193288</v>
      </c>
      <c r="AA186" s="14">
        <v>10.5748969734114</v>
      </c>
      <c r="AB186" s="14">
        <v>10.5991012249749</v>
      </c>
      <c r="AC186" s="14">
        <v>10.6228820852881</v>
      </c>
      <c r="AD186" s="14">
        <v>10.6297154297454</v>
      </c>
      <c r="AE186" s="14">
        <v>10.635883347192</v>
      </c>
      <c r="AF186" s="14">
        <v>10.6414916707551</v>
      </c>
      <c r="AG186" s="14">
        <v>10.6464542066463</v>
      </c>
      <c r="AH186" s="14">
        <v>10.6507427098544</v>
      </c>
      <c r="AI186" s="14">
        <v>10.5766800511122</v>
      </c>
      <c r="AJ186" s="14">
        <v>10.5026277700865</v>
      </c>
      <c r="AK186" s="14">
        <v>10.4284923596359</v>
      </c>
      <c r="AL186" s="14">
        <v>10.354364282119</v>
      </c>
      <c r="AM186" s="14">
        <v>10.2801955846534</v>
      </c>
      <c r="AN186" s="14">
        <v>10.1909785717636</v>
      </c>
      <c r="AO186" s="14">
        <v>10.1017490762433</v>
      </c>
      <c r="AP186" s="14">
        <v>10.0124746726236</v>
      </c>
      <c r="AQ186" s="14">
        <v>9.92316049102088</v>
      </c>
      <c r="AR186" s="14">
        <v>9.83380909649351</v>
      </c>
    </row>
    <row r="187" s="6" customFormat="1" spans="1:44">
      <c r="A187" s="5" t="s">
        <v>1132</v>
      </c>
      <c r="B187" s="14">
        <f t="shared" si="16"/>
        <v>0</v>
      </c>
      <c r="C187" s="14">
        <v>0</v>
      </c>
      <c r="D187" s="14">
        <v>0</v>
      </c>
      <c r="E187" s="14">
        <v>0</v>
      </c>
      <c r="F187" s="14">
        <v>0</v>
      </c>
      <c r="G187" s="14">
        <v>0</v>
      </c>
      <c r="H187" s="14">
        <v>0</v>
      </c>
      <c r="I187" s="14">
        <v>0</v>
      </c>
      <c r="J187" s="14">
        <v>0</v>
      </c>
      <c r="K187" s="14">
        <v>0</v>
      </c>
      <c r="L187" s="14">
        <v>0</v>
      </c>
      <c r="M187" s="14">
        <v>0</v>
      </c>
      <c r="N187" s="14">
        <v>0</v>
      </c>
      <c r="O187" s="14">
        <v>0</v>
      </c>
      <c r="P187" s="14">
        <v>0</v>
      </c>
      <c r="Q187" s="14">
        <v>0</v>
      </c>
      <c r="R187" s="14">
        <v>0</v>
      </c>
      <c r="S187" s="14">
        <v>0</v>
      </c>
      <c r="T187" s="14">
        <v>0</v>
      </c>
      <c r="U187" s="14">
        <v>0</v>
      </c>
      <c r="V187" s="14">
        <v>0</v>
      </c>
      <c r="W187" s="14">
        <v>0</v>
      </c>
      <c r="X187" s="14">
        <v>0</v>
      </c>
      <c r="Y187" s="14">
        <v>0</v>
      </c>
      <c r="Z187" s="14">
        <v>0</v>
      </c>
      <c r="AA187" s="14">
        <v>0</v>
      </c>
      <c r="AB187" s="14">
        <v>0</v>
      </c>
      <c r="AC187" s="14">
        <v>0</v>
      </c>
      <c r="AD187" s="14">
        <v>0</v>
      </c>
      <c r="AE187" s="14">
        <v>0</v>
      </c>
      <c r="AF187" s="14">
        <v>0</v>
      </c>
      <c r="AG187" s="14">
        <v>0</v>
      </c>
      <c r="AH187" s="14">
        <v>0</v>
      </c>
      <c r="AI187" s="14">
        <v>0</v>
      </c>
      <c r="AJ187" s="14">
        <v>0</v>
      </c>
      <c r="AK187" s="14">
        <v>0</v>
      </c>
      <c r="AL187" s="14">
        <v>0</v>
      </c>
      <c r="AM187" s="14">
        <v>0</v>
      </c>
      <c r="AN187" s="14">
        <v>0</v>
      </c>
      <c r="AO187" s="14">
        <v>0</v>
      </c>
      <c r="AP187" s="14">
        <v>0</v>
      </c>
      <c r="AQ187" s="14">
        <v>0</v>
      </c>
      <c r="AR187" s="14">
        <v>0</v>
      </c>
    </row>
    <row r="188" s="7" customFormat="1" spans="1:44">
      <c r="A188" s="5" t="s">
        <v>1119</v>
      </c>
      <c r="B188" s="7">
        <f>BAU建筑总能耗计算!B$7*$N$16</f>
        <v>4065.12621689579</v>
      </c>
      <c r="C188" s="7">
        <v>0</v>
      </c>
      <c r="D188" s="7">
        <v>0</v>
      </c>
      <c r="E188" s="7">
        <v>0</v>
      </c>
      <c r="F188" s="7">
        <v>0</v>
      </c>
      <c r="G188" s="7">
        <v>0</v>
      </c>
      <c r="H188" s="7">
        <v>0</v>
      </c>
      <c r="I188" s="7">
        <v>0</v>
      </c>
      <c r="J188" s="7">
        <v>0</v>
      </c>
      <c r="K188" s="7">
        <v>0</v>
      </c>
      <c r="L188" s="7">
        <v>0</v>
      </c>
      <c r="M188" s="7">
        <v>0</v>
      </c>
      <c r="N188" s="7">
        <v>0</v>
      </c>
      <c r="O188" s="7">
        <v>0</v>
      </c>
      <c r="P188" s="7">
        <v>0</v>
      </c>
      <c r="Q188" s="7">
        <v>0</v>
      </c>
      <c r="R188" s="7">
        <v>0</v>
      </c>
      <c r="S188" s="7">
        <v>0</v>
      </c>
      <c r="T188" s="7">
        <v>0</v>
      </c>
      <c r="U188" s="7">
        <v>0</v>
      </c>
      <c r="V188" s="7">
        <v>0</v>
      </c>
      <c r="W188" s="7">
        <v>0</v>
      </c>
      <c r="X188" s="7">
        <v>0</v>
      </c>
      <c r="Y188" s="7">
        <v>0</v>
      </c>
      <c r="Z188" s="7">
        <v>0</v>
      </c>
      <c r="AA188" s="7">
        <v>0</v>
      </c>
      <c r="AB188" s="7">
        <v>0</v>
      </c>
      <c r="AC188" s="7">
        <v>0</v>
      </c>
      <c r="AD188" s="7">
        <v>0</v>
      </c>
      <c r="AE188" s="7">
        <v>0</v>
      </c>
      <c r="AF188" s="7">
        <v>0</v>
      </c>
      <c r="AG188" s="7">
        <v>0</v>
      </c>
      <c r="AH188" s="7">
        <v>0</v>
      </c>
      <c r="AI188" s="7">
        <v>0</v>
      </c>
      <c r="AJ188" s="7">
        <v>0</v>
      </c>
      <c r="AK188" s="7">
        <v>0</v>
      </c>
      <c r="AL188" s="7">
        <v>0</v>
      </c>
      <c r="AM188" s="7">
        <v>0</v>
      </c>
      <c r="AN188" s="7">
        <v>0</v>
      </c>
      <c r="AO188" s="7">
        <v>0</v>
      </c>
      <c r="AP188" s="7">
        <v>0</v>
      </c>
      <c r="AQ188" s="7">
        <v>0</v>
      </c>
      <c r="AR188" s="7">
        <v>0</v>
      </c>
    </row>
    <row r="189" s="6" customFormat="1"/>
    <row r="190" s="5" customFormat="1" spans="1:44">
      <c r="A190" s="13" t="s">
        <v>111</v>
      </c>
      <c r="B190" s="5">
        <v>2018</v>
      </c>
      <c r="C190" s="5">
        <v>2019</v>
      </c>
      <c r="D190" s="5">
        <v>2020</v>
      </c>
      <c r="E190" s="5">
        <v>2021</v>
      </c>
      <c r="F190" s="5">
        <v>2022</v>
      </c>
      <c r="G190" s="5">
        <v>2023</v>
      </c>
      <c r="H190" s="5">
        <v>2024</v>
      </c>
      <c r="I190" s="5">
        <v>2025</v>
      </c>
      <c r="J190" s="5">
        <v>2026</v>
      </c>
      <c r="K190" s="5">
        <v>2027</v>
      </c>
      <c r="L190" s="5">
        <v>2028</v>
      </c>
      <c r="M190" s="5">
        <v>2029</v>
      </c>
      <c r="N190" s="5">
        <v>2030</v>
      </c>
      <c r="O190" s="5">
        <v>2031</v>
      </c>
      <c r="P190" s="5">
        <v>2032</v>
      </c>
      <c r="Q190" s="5">
        <v>2033</v>
      </c>
      <c r="R190" s="5">
        <v>2034</v>
      </c>
      <c r="S190" s="5">
        <v>2035</v>
      </c>
      <c r="T190" s="5">
        <v>2036</v>
      </c>
      <c r="U190" s="5">
        <v>2037</v>
      </c>
      <c r="V190" s="5">
        <v>2038</v>
      </c>
      <c r="W190" s="5">
        <v>2039</v>
      </c>
      <c r="X190" s="5">
        <v>2040</v>
      </c>
      <c r="Y190" s="5">
        <v>2041</v>
      </c>
      <c r="Z190" s="5">
        <v>2042</v>
      </c>
      <c r="AA190" s="5">
        <v>2043</v>
      </c>
      <c r="AB190" s="5">
        <v>2044</v>
      </c>
      <c r="AC190" s="5">
        <v>2045</v>
      </c>
      <c r="AD190" s="5">
        <v>2046</v>
      </c>
      <c r="AE190" s="5">
        <v>2047</v>
      </c>
      <c r="AF190" s="5">
        <v>2048</v>
      </c>
      <c r="AG190" s="5">
        <v>2049</v>
      </c>
      <c r="AH190" s="5">
        <v>2050</v>
      </c>
      <c r="AI190" s="5">
        <v>2051</v>
      </c>
      <c r="AJ190" s="5">
        <v>2052</v>
      </c>
      <c r="AK190" s="5">
        <v>2053</v>
      </c>
      <c r="AL190" s="5">
        <v>2054</v>
      </c>
      <c r="AM190" s="5">
        <v>2055</v>
      </c>
      <c r="AN190" s="5">
        <v>2056</v>
      </c>
      <c r="AO190" s="5">
        <v>2057</v>
      </c>
      <c r="AP190" s="5">
        <v>2058</v>
      </c>
      <c r="AQ190" s="5">
        <v>2059</v>
      </c>
      <c r="AR190" s="5">
        <v>2060</v>
      </c>
    </row>
    <row r="191" s="6" customFormat="1" spans="1:44">
      <c r="A191" s="5" t="s">
        <v>1123</v>
      </c>
      <c r="B191" s="14">
        <f t="shared" ref="B191:B200" si="17">B$201*$O4/$O$14</f>
        <v>4524.04474596198</v>
      </c>
      <c r="C191" s="14">
        <v>5799.73869319747</v>
      </c>
      <c r="D191" s="14">
        <v>5900.74924002875</v>
      </c>
      <c r="E191" s="14">
        <v>7013.25734378516</v>
      </c>
      <c r="F191" s="14">
        <v>7192.90126221618</v>
      </c>
      <c r="G191" s="14">
        <v>8365.82229056015</v>
      </c>
      <c r="H191" s="14">
        <v>6829.37658451446</v>
      </c>
      <c r="I191" s="14">
        <v>6680.32194097057</v>
      </c>
      <c r="J191" s="14">
        <v>6913.94855202553</v>
      </c>
      <c r="K191" s="14">
        <v>7141.25729673368</v>
      </c>
      <c r="L191" s="14">
        <v>7362.95544559522</v>
      </c>
      <c r="M191" s="14">
        <v>7570.45381634796</v>
      </c>
      <c r="N191" s="14">
        <v>7766.11362555816</v>
      </c>
      <c r="O191" s="14">
        <v>7942.60607364856</v>
      </c>
      <c r="P191" s="14">
        <v>8098.34290029468</v>
      </c>
      <c r="Q191" s="14">
        <v>8237.52400610997</v>
      </c>
      <c r="R191" s="14">
        <v>8358.15560026782</v>
      </c>
      <c r="S191" s="14">
        <v>9081.70660960735</v>
      </c>
      <c r="T191" s="14">
        <v>9299.36589031721</v>
      </c>
      <c r="U191" s="14">
        <v>9505.0382429546</v>
      </c>
      <c r="V191" s="14">
        <v>9783.49277604947</v>
      </c>
      <c r="W191" s="14">
        <v>10066.1048843263</v>
      </c>
      <c r="X191" s="14">
        <v>10337.8314059248</v>
      </c>
      <c r="Y191" s="14">
        <v>10588.9988042655</v>
      </c>
      <c r="Z191" s="14">
        <v>10829.5916571269</v>
      </c>
      <c r="AA191" s="14">
        <v>11060.0453341611</v>
      </c>
      <c r="AB191" s="14">
        <v>11280.3565068779</v>
      </c>
      <c r="AC191" s="14">
        <v>11492.1253675985</v>
      </c>
      <c r="AD191" s="14">
        <v>11684.8601194463</v>
      </c>
      <c r="AE191" s="14">
        <v>11868.333217977</v>
      </c>
      <c r="AF191" s="14">
        <v>12043.601103794</v>
      </c>
      <c r="AG191" s="14">
        <v>12212.0692989699</v>
      </c>
      <c r="AH191" s="14">
        <v>12372.2989852979</v>
      </c>
      <c r="AI191" s="14">
        <v>12490.7839520048</v>
      </c>
      <c r="AJ191" s="14">
        <v>12601.0137695465</v>
      </c>
      <c r="AK191" s="14">
        <v>12701.9997157091</v>
      </c>
      <c r="AL191" s="14">
        <v>12793.633234391</v>
      </c>
      <c r="AM191" s="14">
        <v>12875.0565774289</v>
      </c>
      <c r="AN191" s="14">
        <v>12930.33244347</v>
      </c>
      <c r="AO191" s="14">
        <v>12972.1572553164</v>
      </c>
      <c r="AP191" s="14">
        <v>13000.3377371958</v>
      </c>
      <c r="AQ191" s="14">
        <v>13015.0228103293</v>
      </c>
      <c r="AR191" s="14">
        <v>13016.214929583</v>
      </c>
    </row>
    <row r="192" s="6" customFormat="1" spans="1:44">
      <c r="A192" s="5" t="s">
        <v>1124</v>
      </c>
      <c r="B192" s="14">
        <f t="shared" si="17"/>
        <v>0</v>
      </c>
      <c r="C192" s="14">
        <v>0</v>
      </c>
      <c r="D192" s="14">
        <v>0</v>
      </c>
      <c r="E192" s="14">
        <v>0</v>
      </c>
      <c r="F192" s="14">
        <v>0</v>
      </c>
      <c r="G192" s="14">
        <v>0</v>
      </c>
      <c r="H192" s="14">
        <v>0</v>
      </c>
      <c r="I192" s="14">
        <v>0</v>
      </c>
      <c r="J192" s="14">
        <v>0</v>
      </c>
      <c r="K192" s="14">
        <v>0</v>
      </c>
      <c r="L192" s="14">
        <v>0</v>
      </c>
      <c r="M192" s="14">
        <v>0</v>
      </c>
      <c r="N192" s="14">
        <v>0</v>
      </c>
      <c r="O192" s="14">
        <v>0</v>
      </c>
      <c r="P192" s="14">
        <v>0</v>
      </c>
      <c r="Q192" s="14">
        <v>0</v>
      </c>
      <c r="R192" s="14">
        <v>0</v>
      </c>
      <c r="S192" s="14">
        <v>0</v>
      </c>
      <c r="T192" s="14">
        <v>0</v>
      </c>
      <c r="U192" s="14">
        <v>0</v>
      </c>
      <c r="V192" s="14">
        <v>0</v>
      </c>
      <c r="W192" s="14">
        <v>0</v>
      </c>
      <c r="X192" s="14">
        <v>0</v>
      </c>
      <c r="Y192" s="14">
        <v>0</v>
      </c>
      <c r="Z192" s="14">
        <v>0</v>
      </c>
      <c r="AA192" s="14">
        <v>0</v>
      </c>
      <c r="AB192" s="14">
        <v>0</v>
      </c>
      <c r="AC192" s="14">
        <v>0</v>
      </c>
      <c r="AD192" s="14">
        <v>0</v>
      </c>
      <c r="AE192" s="14">
        <v>0</v>
      </c>
      <c r="AF192" s="14">
        <v>0</v>
      </c>
      <c r="AG192" s="14">
        <v>0</v>
      </c>
      <c r="AH192" s="14">
        <v>0</v>
      </c>
      <c r="AI192" s="14">
        <v>0</v>
      </c>
      <c r="AJ192" s="14">
        <v>0</v>
      </c>
      <c r="AK192" s="14">
        <v>0</v>
      </c>
      <c r="AL192" s="14">
        <v>0</v>
      </c>
      <c r="AM192" s="14">
        <v>0</v>
      </c>
      <c r="AN192" s="14">
        <v>0</v>
      </c>
      <c r="AO192" s="14">
        <v>0</v>
      </c>
      <c r="AP192" s="14">
        <v>0</v>
      </c>
      <c r="AQ192" s="14">
        <v>0</v>
      </c>
      <c r="AR192" s="14">
        <v>0</v>
      </c>
    </row>
    <row r="193" s="6" customFormat="1" spans="1:44">
      <c r="A193" s="5" t="s">
        <v>1125</v>
      </c>
      <c r="B193" s="14">
        <f t="shared" si="17"/>
        <v>0</v>
      </c>
      <c r="C193" s="14">
        <v>0</v>
      </c>
      <c r="D193" s="14">
        <v>0</v>
      </c>
      <c r="E193" s="14">
        <v>0</v>
      </c>
      <c r="F193" s="14">
        <v>0</v>
      </c>
      <c r="G193" s="14">
        <v>0</v>
      </c>
      <c r="H193" s="14">
        <v>0</v>
      </c>
      <c r="I193" s="14">
        <v>0</v>
      </c>
      <c r="J193" s="14">
        <v>0</v>
      </c>
      <c r="K193" s="14">
        <v>0</v>
      </c>
      <c r="L193" s="14">
        <v>0</v>
      </c>
      <c r="M193" s="14">
        <v>0</v>
      </c>
      <c r="N193" s="14">
        <v>0</v>
      </c>
      <c r="O193" s="14">
        <v>0</v>
      </c>
      <c r="P193" s="14">
        <v>0</v>
      </c>
      <c r="Q193" s="14">
        <v>0</v>
      </c>
      <c r="R193" s="14">
        <v>0</v>
      </c>
      <c r="S193" s="14">
        <v>0</v>
      </c>
      <c r="T193" s="14">
        <v>0</v>
      </c>
      <c r="U193" s="14">
        <v>0</v>
      </c>
      <c r="V193" s="14">
        <v>0</v>
      </c>
      <c r="W193" s="14">
        <v>0</v>
      </c>
      <c r="X193" s="14">
        <v>0</v>
      </c>
      <c r="Y193" s="14">
        <v>0</v>
      </c>
      <c r="Z193" s="14">
        <v>0</v>
      </c>
      <c r="AA193" s="14">
        <v>0</v>
      </c>
      <c r="AB193" s="14">
        <v>0</v>
      </c>
      <c r="AC193" s="14">
        <v>0</v>
      </c>
      <c r="AD193" s="14">
        <v>0</v>
      </c>
      <c r="AE193" s="14">
        <v>0</v>
      </c>
      <c r="AF193" s="14">
        <v>0</v>
      </c>
      <c r="AG193" s="14">
        <v>0</v>
      </c>
      <c r="AH193" s="14">
        <v>0</v>
      </c>
      <c r="AI193" s="14">
        <v>0</v>
      </c>
      <c r="AJ193" s="14">
        <v>0</v>
      </c>
      <c r="AK193" s="14">
        <v>0</v>
      </c>
      <c r="AL193" s="14">
        <v>0</v>
      </c>
      <c r="AM193" s="14">
        <v>0</v>
      </c>
      <c r="AN193" s="14">
        <v>0</v>
      </c>
      <c r="AO193" s="14">
        <v>0</v>
      </c>
      <c r="AP193" s="14">
        <v>0</v>
      </c>
      <c r="AQ193" s="14">
        <v>0</v>
      </c>
      <c r="AR193" s="14">
        <v>0</v>
      </c>
    </row>
    <row r="194" s="6" customFormat="1" spans="1:44">
      <c r="A194" s="5" t="s">
        <v>1126</v>
      </c>
      <c r="B194" s="14">
        <f t="shared" si="17"/>
        <v>0</v>
      </c>
      <c r="C194" s="14">
        <v>0</v>
      </c>
      <c r="D194" s="14">
        <v>0</v>
      </c>
      <c r="E194" s="14">
        <v>0</v>
      </c>
      <c r="F194" s="14">
        <v>0</v>
      </c>
      <c r="G194" s="14">
        <v>0</v>
      </c>
      <c r="H194" s="14">
        <v>0</v>
      </c>
      <c r="I194" s="14">
        <v>0</v>
      </c>
      <c r="J194" s="14">
        <v>0</v>
      </c>
      <c r="K194" s="14">
        <v>0</v>
      </c>
      <c r="L194" s="14">
        <v>0</v>
      </c>
      <c r="M194" s="14">
        <v>0</v>
      </c>
      <c r="N194" s="14">
        <v>0</v>
      </c>
      <c r="O194" s="14">
        <v>0</v>
      </c>
      <c r="P194" s="14">
        <v>0</v>
      </c>
      <c r="Q194" s="14">
        <v>0</v>
      </c>
      <c r="R194" s="14">
        <v>0</v>
      </c>
      <c r="S194" s="14">
        <v>0</v>
      </c>
      <c r="T194" s="14">
        <v>0</v>
      </c>
      <c r="U194" s="14">
        <v>0</v>
      </c>
      <c r="V194" s="14">
        <v>0</v>
      </c>
      <c r="W194" s="14">
        <v>0</v>
      </c>
      <c r="X194" s="14">
        <v>0</v>
      </c>
      <c r="Y194" s="14">
        <v>0</v>
      </c>
      <c r="Z194" s="14">
        <v>0</v>
      </c>
      <c r="AA194" s="14">
        <v>0</v>
      </c>
      <c r="AB194" s="14">
        <v>0</v>
      </c>
      <c r="AC194" s="14">
        <v>0</v>
      </c>
      <c r="AD194" s="14">
        <v>0</v>
      </c>
      <c r="AE194" s="14">
        <v>0</v>
      </c>
      <c r="AF194" s="14">
        <v>0</v>
      </c>
      <c r="AG194" s="14">
        <v>0</v>
      </c>
      <c r="AH194" s="14">
        <v>0</v>
      </c>
      <c r="AI194" s="14">
        <v>0</v>
      </c>
      <c r="AJ194" s="14">
        <v>0</v>
      </c>
      <c r="AK194" s="14">
        <v>0</v>
      </c>
      <c r="AL194" s="14">
        <v>0</v>
      </c>
      <c r="AM194" s="14">
        <v>0</v>
      </c>
      <c r="AN194" s="14">
        <v>0</v>
      </c>
      <c r="AO194" s="14">
        <v>0</v>
      </c>
      <c r="AP194" s="14">
        <v>0</v>
      </c>
      <c r="AQ194" s="14">
        <v>0</v>
      </c>
      <c r="AR194" s="14">
        <v>0</v>
      </c>
    </row>
    <row r="195" s="6" customFormat="1" spans="1:44">
      <c r="A195" s="5" t="s">
        <v>1127</v>
      </c>
      <c r="B195" s="14">
        <f t="shared" si="17"/>
        <v>0</v>
      </c>
      <c r="C195" s="14">
        <v>0</v>
      </c>
      <c r="D195" s="14">
        <v>0</v>
      </c>
      <c r="E195" s="14">
        <v>0</v>
      </c>
      <c r="F195" s="14">
        <v>0</v>
      </c>
      <c r="G195" s="14">
        <v>0</v>
      </c>
      <c r="H195" s="14">
        <v>0</v>
      </c>
      <c r="I195" s="14">
        <v>0</v>
      </c>
      <c r="J195" s="14">
        <v>0</v>
      </c>
      <c r="K195" s="14">
        <v>0</v>
      </c>
      <c r="L195" s="14">
        <v>0</v>
      </c>
      <c r="M195" s="14">
        <v>0</v>
      </c>
      <c r="N195" s="14">
        <v>0</v>
      </c>
      <c r="O195" s="14">
        <v>0</v>
      </c>
      <c r="P195" s="14">
        <v>0</v>
      </c>
      <c r="Q195" s="14">
        <v>0</v>
      </c>
      <c r="R195" s="14">
        <v>0</v>
      </c>
      <c r="S195" s="14">
        <v>0</v>
      </c>
      <c r="T195" s="14">
        <v>0</v>
      </c>
      <c r="U195" s="14">
        <v>0</v>
      </c>
      <c r="V195" s="14">
        <v>0</v>
      </c>
      <c r="W195" s="14">
        <v>0</v>
      </c>
      <c r="X195" s="14">
        <v>0</v>
      </c>
      <c r="Y195" s="14">
        <v>0</v>
      </c>
      <c r="Z195" s="14">
        <v>0</v>
      </c>
      <c r="AA195" s="14">
        <v>0</v>
      </c>
      <c r="AB195" s="14">
        <v>0</v>
      </c>
      <c r="AC195" s="14">
        <v>0</v>
      </c>
      <c r="AD195" s="14">
        <v>0</v>
      </c>
      <c r="AE195" s="14">
        <v>0</v>
      </c>
      <c r="AF195" s="14">
        <v>0</v>
      </c>
      <c r="AG195" s="14">
        <v>0</v>
      </c>
      <c r="AH195" s="14">
        <v>0</v>
      </c>
      <c r="AI195" s="14">
        <v>0</v>
      </c>
      <c r="AJ195" s="14">
        <v>0</v>
      </c>
      <c r="AK195" s="14">
        <v>0</v>
      </c>
      <c r="AL195" s="14">
        <v>0</v>
      </c>
      <c r="AM195" s="14">
        <v>0</v>
      </c>
      <c r="AN195" s="14">
        <v>0</v>
      </c>
      <c r="AO195" s="14">
        <v>0</v>
      </c>
      <c r="AP195" s="14">
        <v>0</v>
      </c>
      <c r="AQ195" s="14">
        <v>0</v>
      </c>
      <c r="AR195" s="14">
        <v>0</v>
      </c>
    </row>
    <row r="196" s="6" customFormat="1" spans="1:44">
      <c r="A196" s="5" t="s">
        <v>1128</v>
      </c>
      <c r="B196" s="14">
        <f t="shared" si="17"/>
        <v>0</v>
      </c>
      <c r="C196" s="14">
        <v>0</v>
      </c>
      <c r="D196" s="14">
        <v>0</v>
      </c>
      <c r="E196" s="14">
        <v>0</v>
      </c>
      <c r="F196" s="14">
        <v>0</v>
      </c>
      <c r="G196" s="14">
        <v>0</v>
      </c>
      <c r="H196" s="14">
        <v>0</v>
      </c>
      <c r="I196" s="14">
        <v>0</v>
      </c>
      <c r="J196" s="14">
        <v>0</v>
      </c>
      <c r="K196" s="14">
        <v>0</v>
      </c>
      <c r="L196" s="14">
        <v>0</v>
      </c>
      <c r="M196" s="14">
        <v>0</v>
      </c>
      <c r="N196" s="14">
        <v>0</v>
      </c>
      <c r="O196" s="14">
        <v>0</v>
      </c>
      <c r="P196" s="14">
        <v>0</v>
      </c>
      <c r="Q196" s="14">
        <v>0</v>
      </c>
      <c r="R196" s="14">
        <v>0</v>
      </c>
      <c r="S196" s="14">
        <v>0</v>
      </c>
      <c r="T196" s="14">
        <v>0</v>
      </c>
      <c r="U196" s="14">
        <v>0</v>
      </c>
      <c r="V196" s="14">
        <v>0</v>
      </c>
      <c r="W196" s="14">
        <v>0</v>
      </c>
      <c r="X196" s="14">
        <v>0</v>
      </c>
      <c r="Y196" s="14">
        <v>0</v>
      </c>
      <c r="Z196" s="14">
        <v>0</v>
      </c>
      <c r="AA196" s="14">
        <v>0</v>
      </c>
      <c r="AB196" s="14">
        <v>0</v>
      </c>
      <c r="AC196" s="14">
        <v>0</v>
      </c>
      <c r="AD196" s="14">
        <v>0</v>
      </c>
      <c r="AE196" s="14">
        <v>0</v>
      </c>
      <c r="AF196" s="14">
        <v>0</v>
      </c>
      <c r="AG196" s="14">
        <v>0</v>
      </c>
      <c r="AH196" s="14">
        <v>0</v>
      </c>
      <c r="AI196" s="14">
        <v>0</v>
      </c>
      <c r="AJ196" s="14">
        <v>0</v>
      </c>
      <c r="AK196" s="14">
        <v>0</v>
      </c>
      <c r="AL196" s="14">
        <v>0</v>
      </c>
      <c r="AM196" s="14">
        <v>0</v>
      </c>
      <c r="AN196" s="14">
        <v>0</v>
      </c>
      <c r="AO196" s="14">
        <v>0</v>
      </c>
      <c r="AP196" s="14">
        <v>0</v>
      </c>
      <c r="AQ196" s="14">
        <v>0</v>
      </c>
      <c r="AR196" s="14">
        <v>0</v>
      </c>
    </row>
    <row r="197" s="6" customFormat="1" spans="1:44">
      <c r="A197" s="5" t="s">
        <v>1129</v>
      </c>
      <c r="B197" s="14">
        <f t="shared" si="17"/>
        <v>0</v>
      </c>
      <c r="C197" s="14">
        <v>0</v>
      </c>
      <c r="D197" s="14">
        <v>0</v>
      </c>
      <c r="E197" s="14">
        <v>0</v>
      </c>
      <c r="F197" s="14">
        <v>0</v>
      </c>
      <c r="G197" s="14">
        <v>0</v>
      </c>
      <c r="H197" s="14">
        <v>0</v>
      </c>
      <c r="I197" s="14">
        <v>0</v>
      </c>
      <c r="J197" s="14">
        <v>0</v>
      </c>
      <c r="K197" s="14">
        <v>0</v>
      </c>
      <c r="L197" s="14">
        <v>0</v>
      </c>
      <c r="M197" s="14">
        <v>0</v>
      </c>
      <c r="N197" s="14">
        <v>0</v>
      </c>
      <c r="O197" s="14">
        <v>0</v>
      </c>
      <c r="P197" s="14">
        <v>0</v>
      </c>
      <c r="Q197" s="14">
        <v>0</v>
      </c>
      <c r="R197" s="14">
        <v>0</v>
      </c>
      <c r="S197" s="14">
        <v>0</v>
      </c>
      <c r="T197" s="14">
        <v>0</v>
      </c>
      <c r="U197" s="14">
        <v>0</v>
      </c>
      <c r="V197" s="14">
        <v>0</v>
      </c>
      <c r="W197" s="14">
        <v>0</v>
      </c>
      <c r="X197" s="14">
        <v>0</v>
      </c>
      <c r="Y197" s="14">
        <v>0</v>
      </c>
      <c r="Z197" s="14">
        <v>0</v>
      </c>
      <c r="AA197" s="14">
        <v>0</v>
      </c>
      <c r="AB197" s="14">
        <v>0</v>
      </c>
      <c r="AC197" s="14">
        <v>0</v>
      </c>
      <c r="AD197" s="14">
        <v>0</v>
      </c>
      <c r="AE197" s="14">
        <v>0</v>
      </c>
      <c r="AF197" s="14">
        <v>0</v>
      </c>
      <c r="AG197" s="14">
        <v>0</v>
      </c>
      <c r="AH197" s="14">
        <v>0</v>
      </c>
      <c r="AI197" s="14">
        <v>0</v>
      </c>
      <c r="AJ197" s="14">
        <v>0</v>
      </c>
      <c r="AK197" s="14">
        <v>0</v>
      </c>
      <c r="AL197" s="14">
        <v>0</v>
      </c>
      <c r="AM197" s="14">
        <v>0</v>
      </c>
      <c r="AN197" s="14">
        <v>0</v>
      </c>
      <c r="AO197" s="14">
        <v>0</v>
      </c>
      <c r="AP197" s="14">
        <v>0</v>
      </c>
      <c r="AQ197" s="14">
        <v>0</v>
      </c>
      <c r="AR197" s="14">
        <v>0</v>
      </c>
    </row>
    <row r="198" s="6" customFormat="1" spans="1:44">
      <c r="A198" s="5" t="s">
        <v>1130</v>
      </c>
      <c r="B198" s="14">
        <f t="shared" si="17"/>
        <v>0</v>
      </c>
      <c r="C198" s="14">
        <v>0</v>
      </c>
      <c r="D198" s="14">
        <v>0</v>
      </c>
      <c r="E198" s="14">
        <v>0</v>
      </c>
      <c r="F198" s="14">
        <v>0</v>
      </c>
      <c r="G198" s="14">
        <v>0</v>
      </c>
      <c r="H198" s="14">
        <v>0</v>
      </c>
      <c r="I198" s="14">
        <v>0</v>
      </c>
      <c r="J198" s="14">
        <v>0</v>
      </c>
      <c r="K198" s="14">
        <v>0</v>
      </c>
      <c r="L198" s="14">
        <v>0</v>
      </c>
      <c r="M198" s="14">
        <v>0</v>
      </c>
      <c r="N198" s="14">
        <v>0</v>
      </c>
      <c r="O198" s="14">
        <v>0</v>
      </c>
      <c r="P198" s="14">
        <v>0</v>
      </c>
      <c r="Q198" s="14">
        <v>0</v>
      </c>
      <c r="R198" s="14">
        <v>0</v>
      </c>
      <c r="S198" s="14">
        <v>0</v>
      </c>
      <c r="T198" s="14">
        <v>0</v>
      </c>
      <c r="U198" s="14">
        <v>0</v>
      </c>
      <c r="V198" s="14">
        <v>0</v>
      </c>
      <c r="W198" s="14">
        <v>0</v>
      </c>
      <c r="X198" s="14">
        <v>0</v>
      </c>
      <c r="Y198" s="14">
        <v>0</v>
      </c>
      <c r="Z198" s="14">
        <v>0</v>
      </c>
      <c r="AA198" s="14">
        <v>0</v>
      </c>
      <c r="AB198" s="14">
        <v>0</v>
      </c>
      <c r="AC198" s="14">
        <v>0</v>
      </c>
      <c r="AD198" s="14">
        <v>0</v>
      </c>
      <c r="AE198" s="14">
        <v>0</v>
      </c>
      <c r="AF198" s="14">
        <v>0</v>
      </c>
      <c r="AG198" s="14">
        <v>0</v>
      </c>
      <c r="AH198" s="14">
        <v>0</v>
      </c>
      <c r="AI198" s="14">
        <v>0</v>
      </c>
      <c r="AJ198" s="14">
        <v>0</v>
      </c>
      <c r="AK198" s="14">
        <v>0</v>
      </c>
      <c r="AL198" s="14">
        <v>0</v>
      </c>
      <c r="AM198" s="14">
        <v>0</v>
      </c>
      <c r="AN198" s="14">
        <v>0</v>
      </c>
      <c r="AO198" s="14">
        <v>0</v>
      </c>
      <c r="AP198" s="14">
        <v>0</v>
      </c>
      <c r="AQ198" s="14">
        <v>0</v>
      </c>
      <c r="AR198" s="14">
        <v>0</v>
      </c>
    </row>
    <row r="199" s="6" customFormat="1" spans="1:44">
      <c r="A199" s="5" t="s">
        <v>1131</v>
      </c>
      <c r="B199" s="14">
        <f t="shared" si="17"/>
        <v>0</v>
      </c>
      <c r="C199" s="14">
        <v>0</v>
      </c>
      <c r="D199" s="14">
        <v>0</v>
      </c>
      <c r="E199" s="14">
        <v>0</v>
      </c>
      <c r="F199" s="14">
        <v>0</v>
      </c>
      <c r="G199" s="14">
        <v>0</v>
      </c>
      <c r="H199" s="14">
        <v>0</v>
      </c>
      <c r="I199" s="14">
        <v>0</v>
      </c>
      <c r="J199" s="14">
        <v>0</v>
      </c>
      <c r="K199" s="14">
        <v>0</v>
      </c>
      <c r="L199" s="14">
        <v>0</v>
      </c>
      <c r="M199" s="14">
        <v>0</v>
      </c>
      <c r="N199" s="14">
        <v>0</v>
      </c>
      <c r="O199" s="14">
        <v>0</v>
      </c>
      <c r="P199" s="14">
        <v>0</v>
      </c>
      <c r="Q199" s="14">
        <v>0</v>
      </c>
      <c r="R199" s="14">
        <v>0</v>
      </c>
      <c r="S199" s="14">
        <v>0</v>
      </c>
      <c r="T199" s="14">
        <v>0</v>
      </c>
      <c r="U199" s="14">
        <v>0</v>
      </c>
      <c r="V199" s="14">
        <v>0</v>
      </c>
      <c r="W199" s="14">
        <v>0</v>
      </c>
      <c r="X199" s="14">
        <v>0</v>
      </c>
      <c r="Y199" s="14">
        <v>0</v>
      </c>
      <c r="Z199" s="14">
        <v>0</v>
      </c>
      <c r="AA199" s="14">
        <v>0</v>
      </c>
      <c r="AB199" s="14">
        <v>0</v>
      </c>
      <c r="AC199" s="14">
        <v>0</v>
      </c>
      <c r="AD199" s="14">
        <v>0</v>
      </c>
      <c r="AE199" s="14">
        <v>0</v>
      </c>
      <c r="AF199" s="14">
        <v>0</v>
      </c>
      <c r="AG199" s="14">
        <v>0</v>
      </c>
      <c r="AH199" s="14">
        <v>0</v>
      </c>
      <c r="AI199" s="14">
        <v>0</v>
      </c>
      <c r="AJ199" s="14">
        <v>0</v>
      </c>
      <c r="AK199" s="14">
        <v>0</v>
      </c>
      <c r="AL199" s="14">
        <v>0</v>
      </c>
      <c r="AM199" s="14">
        <v>0</v>
      </c>
      <c r="AN199" s="14">
        <v>0</v>
      </c>
      <c r="AO199" s="14">
        <v>0</v>
      </c>
      <c r="AP199" s="14">
        <v>0</v>
      </c>
      <c r="AQ199" s="14">
        <v>0</v>
      </c>
      <c r="AR199" s="14">
        <v>0</v>
      </c>
    </row>
    <row r="200" s="6" customFormat="1" spans="1:44">
      <c r="A200" s="5" t="s">
        <v>1132</v>
      </c>
      <c r="B200" s="14">
        <f t="shared" si="17"/>
        <v>0</v>
      </c>
      <c r="C200" s="14">
        <v>0</v>
      </c>
      <c r="D200" s="14">
        <v>0</v>
      </c>
      <c r="E200" s="14">
        <v>0</v>
      </c>
      <c r="F200" s="14">
        <v>0</v>
      </c>
      <c r="G200" s="14">
        <v>0</v>
      </c>
      <c r="H200" s="14">
        <v>0</v>
      </c>
      <c r="I200" s="14">
        <v>0</v>
      </c>
      <c r="J200" s="14">
        <v>0</v>
      </c>
      <c r="K200" s="14">
        <v>0</v>
      </c>
      <c r="L200" s="14">
        <v>0</v>
      </c>
      <c r="M200" s="14">
        <v>0</v>
      </c>
      <c r="N200" s="14">
        <v>0</v>
      </c>
      <c r="O200" s="14">
        <v>0</v>
      </c>
      <c r="P200" s="14">
        <v>0</v>
      </c>
      <c r="Q200" s="14">
        <v>0</v>
      </c>
      <c r="R200" s="14">
        <v>0</v>
      </c>
      <c r="S200" s="14">
        <v>0</v>
      </c>
      <c r="T200" s="14">
        <v>0</v>
      </c>
      <c r="U200" s="14">
        <v>0</v>
      </c>
      <c r="V200" s="14">
        <v>0</v>
      </c>
      <c r="W200" s="14">
        <v>0</v>
      </c>
      <c r="X200" s="14">
        <v>0</v>
      </c>
      <c r="Y200" s="14">
        <v>0</v>
      </c>
      <c r="Z200" s="14">
        <v>0</v>
      </c>
      <c r="AA200" s="14">
        <v>0</v>
      </c>
      <c r="AB200" s="14">
        <v>0</v>
      </c>
      <c r="AC200" s="14">
        <v>0</v>
      </c>
      <c r="AD200" s="14">
        <v>0</v>
      </c>
      <c r="AE200" s="14">
        <v>0</v>
      </c>
      <c r="AF200" s="14">
        <v>0</v>
      </c>
      <c r="AG200" s="14">
        <v>0</v>
      </c>
      <c r="AH200" s="14">
        <v>0</v>
      </c>
      <c r="AI200" s="14">
        <v>0</v>
      </c>
      <c r="AJ200" s="14">
        <v>0</v>
      </c>
      <c r="AK200" s="14">
        <v>0</v>
      </c>
      <c r="AL200" s="14">
        <v>0</v>
      </c>
      <c r="AM200" s="14">
        <v>0</v>
      </c>
      <c r="AN200" s="14">
        <v>0</v>
      </c>
      <c r="AO200" s="14">
        <v>0</v>
      </c>
      <c r="AP200" s="14">
        <v>0</v>
      </c>
      <c r="AQ200" s="14">
        <v>0</v>
      </c>
      <c r="AR200" s="14">
        <v>0</v>
      </c>
    </row>
    <row r="201" s="7" customFormat="1" spans="1:44">
      <c r="A201" s="5" t="s">
        <v>1119</v>
      </c>
      <c r="B201" s="7">
        <f>BAU建筑总能耗计算!B$3*$O$16</f>
        <v>4524.04474596198</v>
      </c>
      <c r="C201" s="7">
        <v>0</v>
      </c>
      <c r="D201" s="7">
        <v>0</v>
      </c>
      <c r="E201" s="7">
        <v>0</v>
      </c>
      <c r="F201" s="7">
        <v>0</v>
      </c>
      <c r="G201" s="7">
        <v>0</v>
      </c>
      <c r="H201" s="7">
        <v>0</v>
      </c>
      <c r="I201" s="7">
        <v>0</v>
      </c>
      <c r="J201" s="7">
        <v>0</v>
      </c>
      <c r="K201" s="7">
        <v>0</v>
      </c>
      <c r="L201" s="7">
        <v>0</v>
      </c>
      <c r="M201" s="7">
        <v>0</v>
      </c>
      <c r="N201" s="7">
        <v>0</v>
      </c>
      <c r="O201" s="7">
        <v>0</v>
      </c>
      <c r="P201" s="7">
        <v>0</v>
      </c>
      <c r="Q201" s="7">
        <v>0</v>
      </c>
      <c r="R201" s="7">
        <v>0</v>
      </c>
      <c r="S201" s="7">
        <v>0</v>
      </c>
      <c r="T201" s="7">
        <v>0</v>
      </c>
      <c r="U201" s="7">
        <v>0</v>
      </c>
      <c r="V201" s="7">
        <v>0</v>
      </c>
      <c r="W201" s="7">
        <v>0</v>
      </c>
      <c r="X201" s="7">
        <v>0</v>
      </c>
      <c r="Y201" s="7">
        <v>0</v>
      </c>
      <c r="Z201" s="7">
        <v>0</v>
      </c>
      <c r="AA201" s="7">
        <v>0</v>
      </c>
      <c r="AB201" s="7">
        <v>0</v>
      </c>
      <c r="AC201" s="7">
        <v>0</v>
      </c>
      <c r="AD201" s="7">
        <v>0</v>
      </c>
      <c r="AE201" s="7">
        <v>0</v>
      </c>
      <c r="AF201" s="7">
        <v>0</v>
      </c>
      <c r="AG201" s="7">
        <v>0</v>
      </c>
      <c r="AH201" s="7">
        <v>0</v>
      </c>
      <c r="AI201" s="7">
        <v>0</v>
      </c>
      <c r="AJ201" s="7">
        <v>0</v>
      </c>
      <c r="AK201" s="7">
        <v>0</v>
      </c>
      <c r="AL201" s="7">
        <v>0</v>
      </c>
      <c r="AM201" s="7">
        <v>0</v>
      </c>
      <c r="AN201" s="7">
        <v>0</v>
      </c>
      <c r="AO201" s="7">
        <v>0</v>
      </c>
      <c r="AP201" s="7">
        <v>0</v>
      </c>
      <c r="AQ201" s="7">
        <v>0</v>
      </c>
      <c r="AR201" s="7">
        <v>0</v>
      </c>
    </row>
    <row r="202" s="6" customFormat="1"/>
    <row r="203" s="5" customFormat="1" spans="1:44">
      <c r="A203" s="13" t="s">
        <v>112</v>
      </c>
      <c r="B203" s="5">
        <v>2018</v>
      </c>
      <c r="C203" s="5">
        <v>2019</v>
      </c>
      <c r="D203" s="5">
        <v>2020</v>
      </c>
      <c r="E203" s="5">
        <v>2021</v>
      </c>
      <c r="F203" s="5">
        <v>2022</v>
      </c>
      <c r="G203" s="5">
        <v>2023</v>
      </c>
      <c r="H203" s="5">
        <v>2024</v>
      </c>
      <c r="I203" s="5">
        <v>2025</v>
      </c>
      <c r="J203" s="5">
        <v>2026</v>
      </c>
      <c r="K203" s="5">
        <v>2027</v>
      </c>
      <c r="L203" s="5">
        <v>2028</v>
      </c>
      <c r="M203" s="5">
        <v>2029</v>
      </c>
      <c r="N203" s="5">
        <v>2030</v>
      </c>
      <c r="O203" s="5">
        <v>2031</v>
      </c>
      <c r="P203" s="5">
        <v>2032</v>
      </c>
      <c r="Q203" s="5">
        <v>2033</v>
      </c>
      <c r="R203" s="5">
        <v>2034</v>
      </c>
      <c r="S203" s="5">
        <v>2035</v>
      </c>
      <c r="T203" s="5">
        <v>2036</v>
      </c>
      <c r="U203" s="5">
        <v>2037</v>
      </c>
      <c r="V203" s="5">
        <v>2038</v>
      </c>
      <c r="W203" s="5">
        <v>2039</v>
      </c>
      <c r="X203" s="5">
        <v>2040</v>
      </c>
      <c r="Y203" s="5">
        <v>2041</v>
      </c>
      <c r="Z203" s="5">
        <v>2042</v>
      </c>
      <c r="AA203" s="5">
        <v>2043</v>
      </c>
      <c r="AB203" s="5">
        <v>2044</v>
      </c>
      <c r="AC203" s="5">
        <v>2045</v>
      </c>
      <c r="AD203" s="5">
        <v>2046</v>
      </c>
      <c r="AE203" s="5">
        <v>2047</v>
      </c>
      <c r="AF203" s="5">
        <v>2048</v>
      </c>
      <c r="AG203" s="5">
        <v>2049</v>
      </c>
      <c r="AH203" s="5">
        <v>2050</v>
      </c>
      <c r="AI203" s="5">
        <v>2051</v>
      </c>
      <c r="AJ203" s="5">
        <v>2052</v>
      </c>
      <c r="AK203" s="5">
        <v>2053</v>
      </c>
      <c r="AL203" s="5">
        <v>2054</v>
      </c>
      <c r="AM203" s="5">
        <v>2055</v>
      </c>
      <c r="AN203" s="5">
        <v>2056</v>
      </c>
      <c r="AO203" s="5">
        <v>2057</v>
      </c>
      <c r="AP203" s="5">
        <v>2058</v>
      </c>
      <c r="AQ203" s="5">
        <v>2059</v>
      </c>
      <c r="AR203" s="5">
        <v>2060</v>
      </c>
    </row>
    <row r="204" s="6" customFormat="1" spans="1:44">
      <c r="A204" s="5" t="s">
        <v>1123</v>
      </c>
      <c r="B204" s="6">
        <f t="shared" ref="B204:B213" si="18">IFERROR(B$214*$P4/$P$14,0)</f>
        <v>0</v>
      </c>
      <c r="C204" s="6">
        <v>0</v>
      </c>
      <c r="D204" s="6">
        <v>0</v>
      </c>
      <c r="E204" s="6">
        <v>0</v>
      </c>
      <c r="F204" s="6">
        <v>0</v>
      </c>
      <c r="G204" s="6">
        <v>0</v>
      </c>
      <c r="H204" s="6">
        <v>0</v>
      </c>
      <c r="I204" s="6">
        <v>0</v>
      </c>
      <c r="J204" s="6">
        <v>0</v>
      </c>
      <c r="K204" s="6">
        <v>0</v>
      </c>
      <c r="L204" s="6">
        <v>0</v>
      </c>
      <c r="M204" s="6">
        <v>0</v>
      </c>
      <c r="N204" s="6">
        <v>0</v>
      </c>
      <c r="O204" s="6">
        <v>0</v>
      </c>
      <c r="P204" s="6">
        <v>0</v>
      </c>
      <c r="Q204" s="6">
        <v>0</v>
      </c>
      <c r="R204" s="6">
        <v>0</v>
      </c>
      <c r="S204" s="6">
        <v>0</v>
      </c>
      <c r="T204" s="6">
        <v>0</v>
      </c>
      <c r="U204" s="6">
        <v>0</v>
      </c>
      <c r="V204" s="6">
        <v>0</v>
      </c>
      <c r="W204" s="6">
        <v>0</v>
      </c>
      <c r="X204" s="6">
        <v>0</v>
      </c>
      <c r="Y204" s="6">
        <v>0</v>
      </c>
      <c r="Z204" s="6">
        <v>0</v>
      </c>
      <c r="AA204" s="6">
        <v>0</v>
      </c>
      <c r="AB204" s="6">
        <v>0</v>
      </c>
      <c r="AC204" s="6">
        <v>0</v>
      </c>
      <c r="AD204" s="6">
        <v>0</v>
      </c>
      <c r="AE204" s="6">
        <v>0</v>
      </c>
      <c r="AF204" s="6">
        <v>0</v>
      </c>
      <c r="AG204" s="6">
        <v>0</v>
      </c>
      <c r="AH204" s="6">
        <v>0</v>
      </c>
      <c r="AI204" s="6">
        <v>0</v>
      </c>
      <c r="AJ204" s="6">
        <v>0</v>
      </c>
      <c r="AK204" s="6">
        <v>0</v>
      </c>
      <c r="AL204" s="6">
        <v>0</v>
      </c>
      <c r="AM204" s="6">
        <v>0</v>
      </c>
      <c r="AN204" s="6">
        <v>0</v>
      </c>
      <c r="AO204" s="6">
        <v>0</v>
      </c>
      <c r="AP204" s="6">
        <v>0</v>
      </c>
      <c r="AQ204" s="6">
        <v>0</v>
      </c>
      <c r="AR204" s="6">
        <v>0</v>
      </c>
    </row>
    <row r="205" s="6" customFormat="1" spans="1:44">
      <c r="A205" s="5" t="s">
        <v>1124</v>
      </c>
      <c r="B205" s="6">
        <f t="shared" si="18"/>
        <v>0</v>
      </c>
      <c r="C205" s="6">
        <v>0</v>
      </c>
      <c r="D205" s="6">
        <v>0</v>
      </c>
      <c r="E205" s="6">
        <v>0</v>
      </c>
      <c r="F205" s="6">
        <v>0</v>
      </c>
      <c r="G205" s="6">
        <v>0</v>
      </c>
      <c r="H205" s="6">
        <v>0</v>
      </c>
      <c r="I205" s="6">
        <v>0</v>
      </c>
      <c r="J205" s="6">
        <v>0</v>
      </c>
      <c r="K205" s="6">
        <v>0</v>
      </c>
      <c r="L205" s="6">
        <v>0</v>
      </c>
      <c r="M205" s="6">
        <v>0</v>
      </c>
      <c r="N205" s="6">
        <v>0</v>
      </c>
      <c r="O205" s="6">
        <v>0</v>
      </c>
      <c r="P205" s="6">
        <v>0</v>
      </c>
      <c r="Q205" s="6">
        <v>0</v>
      </c>
      <c r="R205" s="6">
        <v>0</v>
      </c>
      <c r="S205" s="6">
        <v>0</v>
      </c>
      <c r="T205" s="6">
        <v>0</v>
      </c>
      <c r="U205" s="6">
        <v>0</v>
      </c>
      <c r="V205" s="6">
        <v>0</v>
      </c>
      <c r="W205" s="6">
        <v>0</v>
      </c>
      <c r="X205" s="6">
        <v>0</v>
      </c>
      <c r="Y205" s="6">
        <v>0</v>
      </c>
      <c r="Z205" s="6">
        <v>0</v>
      </c>
      <c r="AA205" s="6">
        <v>0</v>
      </c>
      <c r="AB205" s="6">
        <v>0</v>
      </c>
      <c r="AC205" s="6">
        <v>0</v>
      </c>
      <c r="AD205" s="6">
        <v>0</v>
      </c>
      <c r="AE205" s="6">
        <v>0</v>
      </c>
      <c r="AF205" s="6">
        <v>0</v>
      </c>
      <c r="AG205" s="6">
        <v>0</v>
      </c>
      <c r="AH205" s="6">
        <v>0</v>
      </c>
      <c r="AI205" s="6">
        <v>0</v>
      </c>
      <c r="AJ205" s="6">
        <v>0</v>
      </c>
      <c r="AK205" s="6">
        <v>0</v>
      </c>
      <c r="AL205" s="6">
        <v>0</v>
      </c>
      <c r="AM205" s="6">
        <v>0</v>
      </c>
      <c r="AN205" s="6">
        <v>0</v>
      </c>
      <c r="AO205" s="6">
        <v>0</v>
      </c>
      <c r="AP205" s="6">
        <v>0</v>
      </c>
      <c r="AQ205" s="6">
        <v>0</v>
      </c>
      <c r="AR205" s="6">
        <v>0</v>
      </c>
    </row>
    <row r="206" s="6" customFormat="1" spans="1:44">
      <c r="A206" s="5" t="s">
        <v>1125</v>
      </c>
      <c r="B206" s="6">
        <f t="shared" si="18"/>
        <v>0</v>
      </c>
      <c r="C206" s="6">
        <v>0</v>
      </c>
      <c r="D206" s="6">
        <v>0</v>
      </c>
      <c r="E206" s="6">
        <v>0</v>
      </c>
      <c r="F206" s="6">
        <v>0</v>
      </c>
      <c r="G206" s="6">
        <v>0</v>
      </c>
      <c r="H206" s="6">
        <v>0</v>
      </c>
      <c r="I206" s="6">
        <v>0</v>
      </c>
      <c r="J206" s="6">
        <v>0</v>
      </c>
      <c r="K206" s="6">
        <v>0</v>
      </c>
      <c r="L206" s="6">
        <v>0</v>
      </c>
      <c r="M206" s="6">
        <v>0</v>
      </c>
      <c r="N206" s="6">
        <v>0</v>
      </c>
      <c r="O206" s="6">
        <v>0</v>
      </c>
      <c r="P206" s="6">
        <v>0</v>
      </c>
      <c r="Q206" s="6">
        <v>0</v>
      </c>
      <c r="R206" s="6">
        <v>0</v>
      </c>
      <c r="S206" s="6">
        <v>0</v>
      </c>
      <c r="T206" s="6">
        <v>0</v>
      </c>
      <c r="U206" s="6">
        <v>0</v>
      </c>
      <c r="V206" s="6">
        <v>0</v>
      </c>
      <c r="W206" s="6">
        <v>0</v>
      </c>
      <c r="X206" s="6">
        <v>0</v>
      </c>
      <c r="Y206" s="6">
        <v>0</v>
      </c>
      <c r="Z206" s="6">
        <v>0</v>
      </c>
      <c r="AA206" s="6">
        <v>0</v>
      </c>
      <c r="AB206" s="6">
        <v>0</v>
      </c>
      <c r="AC206" s="6">
        <v>0</v>
      </c>
      <c r="AD206" s="6">
        <v>0</v>
      </c>
      <c r="AE206" s="6">
        <v>0</v>
      </c>
      <c r="AF206" s="6">
        <v>0</v>
      </c>
      <c r="AG206" s="6">
        <v>0</v>
      </c>
      <c r="AH206" s="6">
        <v>0</v>
      </c>
      <c r="AI206" s="6">
        <v>0</v>
      </c>
      <c r="AJ206" s="6">
        <v>0</v>
      </c>
      <c r="AK206" s="6">
        <v>0</v>
      </c>
      <c r="AL206" s="6">
        <v>0</v>
      </c>
      <c r="AM206" s="6">
        <v>0</v>
      </c>
      <c r="AN206" s="6">
        <v>0</v>
      </c>
      <c r="AO206" s="6">
        <v>0</v>
      </c>
      <c r="AP206" s="6">
        <v>0</v>
      </c>
      <c r="AQ206" s="6">
        <v>0</v>
      </c>
      <c r="AR206" s="6">
        <v>0</v>
      </c>
    </row>
    <row r="207" s="6" customFormat="1" spans="1:44">
      <c r="A207" s="5" t="s">
        <v>1126</v>
      </c>
      <c r="B207" s="6">
        <f t="shared" si="18"/>
        <v>0</v>
      </c>
      <c r="C207" s="6">
        <v>0</v>
      </c>
      <c r="D207" s="6">
        <v>0</v>
      </c>
      <c r="E207" s="6">
        <v>0</v>
      </c>
      <c r="F207" s="6">
        <v>0</v>
      </c>
      <c r="G207" s="6">
        <v>0</v>
      </c>
      <c r="H207" s="6">
        <v>0</v>
      </c>
      <c r="I207" s="6">
        <v>0</v>
      </c>
      <c r="J207" s="6">
        <v>0</v>
      </c>
      <c r="K207" s="6">
        <v>0</v>
      </c>
      <c r="L207" s="6">
        <v>0</v>
      </c>
      <c r="M207" s="6">
        <v>0</v>
      </c>
      <c r="N207" s="6">
        <v>0</v>
      </c>
      <c r="O207" s="6">
        <v>0</v>
      </c>
      <c r="P207" s="6">
        <v>0</v>
      </c>
      <c r="Q207" s="6">
        <v>0</v>
      </c>
      <c r="R207" s="6">
        <v>0</v>
      </c>
      <c r="S207" s="6">
        <v>0</v>
      </c>
      <c r="T207" s="6">
        <v>0</v>
      </c>
      <c r="U207" s="6">
        <v>0</v>
      </c>
      <c r="V207" s="6">
        <v>0</v>
      </c>
      <c r="W207" s="6">
        <v>0</v>
      </c>
      <c r="X207" s="6">
        <v>0</v>
      </c>
      <c r="Y207" s="6">
        <v>0</v>
      </c>
      <c r="Z207" s="6">
        <v>0</v>
      </c>
      <c r="AA207" s="6">
        <v>0</v>
      </c>
      <c r="AB207" s="6">
        <v>0</v>
      </c>
      <c r="AC207" s="6">
        <v>0</v>
      </c>
      <c r="AD207" s="6">
        <v>0</v>
      </c>
      <c r="AE207" s="6">
        <v>0</v>
      </c>
      <c r="AF207" s="6">
        <v>0</v>
      </c>
      <c r="AG207" s="6">
        <v>0</v>
      </c>
      <c r="AH207" s="6">
        <v>0</v>
      </c>
      <c r="AI207" s="6">
        <v>0</v>
      </c>
      <c r="AJ207" s="6">
        <v>0</v>
      </c>
      <c r="AK207" s="6">
        <v>0</v>
      </c>
      <c r="AL207" s="6">
        <v>0</v>
      </c>
      <c r="AM207" s="6">
        <v>0</v>
      </c>
      <c r="AN207" s="6">
        <v>0</v>
      </c>
      <c r="AO207" s="6">
        <v>0</v>
      </c>
      <c r="AP207" s="6">
        <v>0</v>
      </c>
      <c r="AQ207" s="6">
        <v>0</v>
      </c>
      <c r="AR207" s="6">
        <v>0</v>
      </c>
    </row>
    <row r="208" s="6" customFormat="1" spans="1:44">
      <c r="A208" s="5" t="s">
        <v>1127</v>
      </c>
      <c r="B208" s="6">
        <f t="shared" si="18"/>
        <v>0</v>
      </c>
      <c r="C208" s="6">
        <v>0</v>
      </c>
      <c r="D208" s="6">
        <v>0</v>
      </c>
      <c r="E208" s="6">
        <v>0</v>
      </c>
      <c r="F208" s="6">
        <v>0</v>
      </c>
      <c r="G208" s="6">
        <v>0</v>
      </c>
      <c r="H208" s="6">
        <v>0</v>
      </c>
      <c r="I208" s="6">
        <v>0</v>
      </c>
      <c r="J208" s="6">
        <v>0</v>
      </c>
      <c r="K208" s="6">
        <v>0</v>
      </c>
      <c r="L208" s="6">
        <v>0</v>
      </c>
      <c r="M208" s="6">
        <v>0</v>
      </c>
      <c r="N208" s="6">
        <v>0</v>
      </c>
      <c r="O208" s="6">
        <v>0</v>
      </c>
      <c r="P208" s="6">
        <v>0</v>
      </c>
      <c r="Q208" s="6">
        <v>0</v>
      </c>
      <c r="R208" s="6">
        <v>0</v>
      </c>
      <c r="S208" s="6">
        <v>0</v>
      </c>
      <c r="T208" s="6">
        <v>0</v>
      </c>
      <c r="U208" s="6">
        <v>0</v>
      </c>
      <c r="V208" s="6">
        <v>0</v>
      </c>
      <c r="W208" s="6">
        <v>0</v>
      </c>
      <c r="X208" s="6">
        <v>0</v>
      </c>
      <c r="Y208" s="6">
        <v>0</v>
      </c>
      <c r="Z208" s="6">
        <v>0</v>
      </c>
      <c r="AA208" s="6">
        <v>0</v>
      </c>
      <c r="AB208" s="6">
        <v>0</v>
      </c>
      <c r="AC208" s="6">
        <v>0</v>
      </c>
      <c r="AD208" s="6">
        <v>0</v>
      </c>
      <c r="AE208" s="6">
        <v>0</v>
      </c>
      <c r="AF208" s="6">
        <v>0</v>
      </c>
      <c r="AG208" s="6">
        <v>0</v>
      </c>
      <c r="AH208" s="6">
        <v>0</v>
      </c>
      <c r="AI208" s="6">
        <v>0</v>
      </c>
      <c r="AJ208" s="6">
        <v>0</v>
      </c>
      <c r="AK208" s="6">
        <v>0</v>
      </c>
      <c r="AL208" s="6">
        <v>0</v>
      </c>
      <c r="AM208" s="6">
        <v>0</v>
      </c>
      <c r="AN208" s="6">
        <v>0</v>
      </c>
      <c r="AO208" s="6">
        <v>0</v>
      </c>
      <c r="AP208" s="6">
        <v>0</v>
      </c>
      <c r="AQ208" s="6">
        <v>0</v>
      </c>
      <c r="AR208" s="6">
        <v>0</v>
      </c>
    </row>
    <row r="209" s="6" customFormat="1" spans="1:44">
      <c r="A209" s="5" t="s">
        <v>1128</v>
      </c>
      <c r="B209" s="6">
        <f t="shared" si="18"/>
        <v>0</v>
      </c>
      <c r="C209" s="6">
        <v>0</v>
      </c>
      <c r="D209" s="6">
        <v>0</v>
      </c>
      <c r="E209" s="6">
        <v>0</v>
      </c>
      <c r="F209" s="6">
        <v>0</v>
      </c>
      <c r="G209" s="6">
        <v>0</v>
      </c>
      <c r="H209" s="6">
        <v>0</v>
      </c>
      <c r="I209" s="6">
        <v>0</v>
      </c>
      <c r="J209" s="6">
        <v>0</v>
      </c>
      <c r="K209" s="6">
        <v>0</v>
      </c>
      <c r="L209" s="6">
        <v>0</v>
      </c>
      <c r="M209" s="6">
        <v>0</v>
      </c>
      <c r="N209" s="6">
        <v>0</v>
      </c>
      <c r="O209" s="6">
        <v>0</v>
      </c>
      <c r="P209" s="6">
        <v>0</v>
      </c>
      <c r="Q209" s="6">
        <v>0</v>
      </c>
      <c r="R209" s="6">
        <v>0</v>
      </c>
      <c r="S209" s="6">
        <v>0</v>
      </c>
      <c r="T209" s="6">
        <v>0</v>
      </c>
      <c r="U209" s="6">
        <v>0</v>
      </c>
      <c r="V209" s="6">
        <v>0</v>
      </c>
      <c r="W209" s="6">
        <v>0</v>
      </c>
      <c r="X209" s="6">
        <v>0</v>
      </c>
      <c r="Y209" s="6">
        <v>0</v>
      </c>
      <c r="Z209" s="6">
        <v>0</v>
      </c>
      <c r="AA209" s="6">
        <v>0</v>
      </c>
      <c r="AB209" s="6">
        <v>0</v>
      </c>
      <c r="AC209" s="6">
        <v>0</v>
      </c>
      <c r="AD209" s="6">
        <v>0</v>
      </c>
      <c r="AE209" s="6">
        <v>0</v>
      </c>
      <c r="AF209" s="6">
        <v>0</v>
      </c>
      <c r="AG209" s="6">
        <v>0</v>
      </c>
      <c r="AH209" s="6">
        <v>0</v>
      </c>
      <c r="AI209" s="6">
        <v>0</v>
      </c>
      <c r="AJ209" s="6">
        <v>0</v>
      </c>
      <c r="AK209" s="6">
        <v>0</v>
      </c>
      <c r="AL209" s="6">
        <v>0</v>
      </c>
      <c r="AM209" s="6">
        <v>0</v>
      </c>
      <c r="AN209" s="6">
        <v>0</v>
      </c>
      <c r="AO209" s="6">
        <v>0</v>
      </c>
      <c r="AP209" s="6">
        <v>0</v>
      </c>
      <c r="AQ209" s="6">
        <v>0</v>
      </c>
      <c r="AR209" s="6">
        <v>0</v>
      </c>
    </row>
    <row r="210" s="6" customFormat="1" spans="1:44">
      <c r="A210" s="5" t="s">
        <v>1129</v>
      </c>
      <c r="B210" s="6">
        <f t="shared" si="18"/>
        <v>0</v>
      </c>
      <c r="C210" s="6">
        <v>0</v>
      </c>
      <c r="D210" s="6">
        <v>0</v>
      </c>
      <c r="E210" s="6">
        <v>0</v>
      </c>
      <c r="F210" s="6">
        <v>0</v>
      </c>
      <c r="G210" s="6">
        <v>0</v>
      </c>
      <c r="H210" s="6">
        <v>0</v>
      </c>
      <c r="I210" s="6">
        <v>0</v>
      </c>
      <c r="J210" s="6">
        <v>0</v>
      </c>
      <c r="K210" s="6">
        <v>0</v>
      </c>
      <c r="L210" s="6">
        <v>0</v>
      </c>
      <c r="M210" s="6">
        <v>0</v>
      </c>
      <c r="N210" s="6">
        <v>0</v>
      </c>
      <c r="O210" s="6">
        <v>0</v>
      </c>
      <c r="P210" s="6">
        <v>0</v>
      </c>
      <c r="Q210" s="6">
        <v>0</v>
      </c>
      <c r="R210" s="6">
        <v>0</v>
      </c>
      <c r="S210" s="6">
        <v>0</v>
      </c>
      <c r="T210" s="6">
        <v>0</v>
      </c>
      <c r="U210" s="6">
        <v>0</v>
      </c>
      <c r="V210" s="6">
        <v>0</v>
      </c>
      <c r="W210" s="6">
        <v>0</v>
      </c>
      <c r="X210" s="6">
        <v>0</v>
      </c>
      <c r="Y210" s="6">
        <v>0</v>
      </c>
      <c r="Z210" s="6">
        <v>0</v>
      </c>
      <c r="AA210" s="6">
        <v>0</v>
      </c>
      <c r="AB210" s="6">
        <v>0</v>
      </c>
      <c r="AC210" s="6">
        <v>0</v>
      </c>
      <c r="AD210" s="6">
        <v>0</v>
      </c>
      <c r="AE210" s="6">
        <v>0</v>
      </c>
      <c r="AF210" s="6">
        <v>0</v>
      </c>
      <c r="AG210" s="6">
        <v>0</v>
      </c>
      <c r="AH210" s="6">
        <v>0</v>
      </c>
      <c r="AI210" s="6">
        <v>0</v>
      </c>
      <c r="AJ210" s="6">
        <v>0</v>
      </c>
      <c r="AK210" s="6">
        <v>0</v>
      </c>
      <c r="AL210" s="6">
        <v>0</v>
      </c>
      <c r="AM210" s="6">
        <v>0</v>
      </c>
      <c r="AN210" s="6">
        <v>0</v>
      </c>
      <c r="AO210" s="6">
        <v>0</v>
      </c>
      <c r="AP210" s="6">
        <v>0</v>
      </c>
      <c r="AQ210" s="6">
        <v>0</v>
      </c>
      <c r="AR210" s="6">
        <v>0</v>
      </c>
    </row>
    <row r="211" s="6" customFormat="1" spans="1:44">
      <c r="A211" s="5" t="s">
        <v>1130</v>
      </c>
      <c r="B211" s="6">
        <f t="shared" si="18"/>
        <v>0</v>
      </c>
      <c r="C211" s="6">
        <v>0</v>
      </c>
      <c r="D211" s="6">
        <v>0</v>
      </c>
      <c r="E211" s="6">
        <v>0</v>
      </c>
      <c r="F211" s="6">
        <v>0</v>
      </c>
      <c r="G211" s="6">
        <v>0</v>
      </c>
      <c r="H211" s="6">
        <v>0</v>
      </c>
      <c r="I211" s="6">
        <v>0</v>
      </c>
      <c r="J211" s="6">
        <v>0</v>
      </c>
      <c r="K211" s="6">
        <v>0</v>
      </c>
      <c r="L211" s="6">
        <v>0</v>
      </c>
      <c r="M211" s="6">
        <v>0</v>
      </c>
      <c r="N211" s="6">
        <v>0</v>
      </c>
      <c r="O211" s="6">
        <v>0</v>
      </c>
      <c r="P211" s="6">
        <v>0</v>
      </c>
      <c r="Q211" s="6">
        <v>0</v>
      </c>
      <c r="R211" s="6">
        <v>0</v>
      </c>
      <c r="S211" s="6">
        <v>0</v>
      </c>
      <c r="T211" s="6">
        <v>0</v>
      </c>
      <c r="U211" s="6">
        <v>0</v>
      </c>
      <c r="V211" s="6">
        <v>0</v>
      </c>
      <c r="W211" s="6">
        <v>0</v>
      </c>
      <c r="X211" s="6">
        <v>0</v>
      </c>
      <c r="Y211" s="6">
        <v>0</v>
      </c>
      <c r="Z211" s="6">
        <v>0</v>
      </c>
      <c r="AA211" s="6">
        <v>0</v>
      </c>
      <c r="AB211" s="6">
        <v>0</v>
      </c>
      <c r="AC211" s="6">
        <v>0</v>
      </c>
      <c r="AD211" s="6">
        <v>0</v>
      </c>
      <c r="AE211" s="6">
        <v>0</v>
      </c>
      <c r="AF211" s="6">
        <v>0</v>
      </c>
      <c r="AG211" s="6">
        <v>0</v>
      </c>
      <c r="AH211" s="6">
        <v>0</v>
      </c>
      <c r="AI211" s="6">
        <v>0</v>
      </c>
      <c r="AJ211" s="6">
        <v>0</v>
      </c>
      <c r="AK211" s="6">
        <v>0</v>
      </c>
      <c r="AL211" s="6">
        <v>0</v>
      </c>
      <c r="AM211" s="6">
        <v>0</v>
      </c>
      <c r="AN211" s="6">
        <v>0</v>
      </c>
      <c r="AO211" s="6">
        <v>0</v>
      </c>
      <c r="AP211" s="6">
        <v>0</v>
      </c>
      <c r="AQ211" s="6">
        <v>0</v>
      </c>
      <c r="AR211" s="6">
        <v>0</v>
      </c>
    </row>
    <row r="212" s="6" customFormat="1" spans="1:44">
      <c r="A212" s="5" t="s">
        <v>1131</v>
      </c>
      <c r="B212" s="6">
        <f t="shared" si="18"/>
        <v>0</v>
      </c>
      <c r="C212" s="6">
        <v>0</v>
      </c>
      <c r="D212" s="6">
        <v>0</v>
      </c>
      <c r="E212" s="6">
        <v>0</v>
      </c>
      <c r="F212" s="6">
        <v>0</v>
      </c>
      <c r="G212" s="6">
        <v>0</v>
      </c>
      <c r="H212" s="6">
        <v>0</v>
      </c>
      <c r="I212" s="6">
        <v>0</v>
      </c>
      <c r="J212" s="6">
        <v>0</v>
      </c>
      <c r="K212" s="6">
        <v>0</v>
      </c>
      <c r="L212" s="6">
        <v>0</v>
      </c>
      <c r="M212" s="6">
        <v>0</v>
      </c>
      <c r="N212" s="6">
        <v>0</v>
      </c>
      <c r="O212" s="6">
        <v>0</v>
      </c>
      <c r="P212" s="6">
        <v>0</v>
      </c>
      <c r="Q212" s="6">
        <v>0</v>
      </c>
      <c r="R212" s="6">
        <v>0</v>
      </c>
      <c r="S212" s="6">
        <v>0</v>
      </c>
      <c r="T212" s="6">
        <v>0</v>
      </c>
      <c r="U212" s="6">
        <v>0</v>
      </c>
      <c r="V212" s="6">
        <v>0</v>
      </c>
      <c r="W212" s="6">
        <v>0</v>
      </c>
      <c r="X212" s="6">
        <v>0</v>
      </c>
      <c r="Y212" s="6">
        <v>0</v>
      </c>
      <c r="Z212" s="6">
        <v>0</v>
      </c>
      <c r="AA212" s="6">
        <v>0</v>
      </c>
      <c r="AB212" s="6">
        <v>0</v>
      </c>
      <c r="AC212" s="6">
        <v>0</v>
      </c>
      <c r="AD212" s="6">
        <v>0</v>
      </c>
      <c r="AE212" s="6">
        <v>0</v>
      </c>
      <c r="AF212" s="6">
        <v>0</v>
      </c>
      <c r="AG212" s="6">
        <v>0</v>
      </c>
      <c r="AH212" s="6">
        <v>0</v>
      </c>
      <c r="AI212" s="6">
        <v>0</v>
      </c>
      <c r="AJ212" s="6">
        <v>0</v>
      </c>
      <c r="AK212" s="6">
        <v>0</v>
      </c>
      <c r="AL212" s="6">
        <v>0</v>
      </c>
      <c r="AM212" s="6">
        <v>0</v>
      </c>
      <c r="AN212" s="6">
        <v>0</v>
      </c>
      <c r="AO212" s="6">
        <v>0</v>
      </c>
      <c r="AP212" s="6">
        <v>0</v>
      </c>
      <c r="AQ212" s="6">
        <v>0</v>
      </c>
      <c r="AR212" s="6">
        <v>0</v>
      </c>
    </row>
    <row r="213" s="6" customFormat="1" spans="1:44">
      <c r="A213" s="5" t="s">
        <v>1132</v>
      </c>
      <c r="B213" s="6">
        <f t="shared" si="18"/>
        <v>0</v>
      </c>
      <c r="C213" s="6">
        <v>0</v>
      </c>
      <c r="D213" s="6">
        <v>0</v>
      </c>
      <c r="E213" s="6">
        <v>0</v>
      </c>
      <c r="F213" s="6">
        <v>0</v>
      </c>
      <c r="G213" s="6">
        <v>0</v>
      </c>
      <c r="H213" s="6">
        <v>0</v>
      </c>
      <c r="I213" s="6">
        <v>0</v>
      </c>
      <c r="J213" s="6">
        <v>0</v>
      </c>
      <c r="K213" s="6">
        <v>0</v>
      </c>
      <c r="L213" s="6">
        <v>0</v>
      </c>
      <c r="M213" s="6">
        <v>0</v>
      </c>
      <c r="N213" s="6">
        <v>0</v>
      </c>
      <c r="O213" s="6">
        <v>0</v>
      </c>
      <c r="P213" s="6">
        <v>0</v>
      </c>
      <c r="Q213" s="6">
        <v>0</v>
      </c>
      <c r="R213" s="6">
        <v>0</v>
      </c>
      <c r="S213" s="6">
        <v>0</v>
      </c>
      <c r="T213" s="6">
        <v>0</v>
      </c>
      <c r="U213" s="6">
        <v>0</v>
      </c>
      <c r="V213" s="6">
        <v>0</v>
      </c>
      <c r="W213" s="6">
        <v>0</v>
      </c>
      <c r="X213" s="6">
        <v>0</v>
      </c>
      <c r="Y213" s="6">
        <v>0</v>
      </c>
      <c r="Z213" s="6">
        <v>0</v>
      </c>
      <c r="AA213" s="6">
        <v>0</v>
      </c>
      <c r="AB213" s="6">
        <v>0</v>
      </c>
      <c r="AC213" s="6">
        <v>0</v>
      </c>
      <c r="AD213" s="6">
        <v>0</v>
      </c>
      <c r="AE213" s="6">
        <v>0</v>
      </c>
      <c r="AF213" s="6">
        <v>0</v>
      </c>
      <c r="AG213" s="6">
        <v>0</v>
      </c>
      <c r="AH213" s="6">
        <v>0</v>
      </c>
      <c r="AI213" s="6">
        <v>0</v>
      </c>
      <c r="AJ213" s="6">
        <v>0</v>
      </c>
      <c r="AK213" s="6">
        <v>0</v>
      </c>
      <c r="AL213" s="6">
        <v>0</v>
      </c>
      <c r="AM213" s="6">
        <v>0</v>
      </c>
      <c r="AN213" s="6">
        <v>0</v>
      </c>
      <c r="AO213" s="6">
        <v>0</v>
      </c>
      <c r="AP213" s="6">
        <v>0</v>
      </c>
      <c r="AQ213" s="6">
        <v>0</v>
      </c>
      <c r="AR213" s="6">
        <v>0</v>
      </c>
    </row>
    <row r="214" s="7" customFormat="1" spans="1:44">
      <c r="A214" s="5" t="s">
        <v>1119</v>
      </c>
      <c r="B214" s="7">
        <f>BAU建筑总能耗计算!B$3*$P$16</f>
        <v>0</v>
      </c>
      <c r="C214" s="7">
        <v>0</v>
      </c>
      <c r="D214" s="7">
        <v>0</v>
      </c>
      <c r="E214" s="7">
        <v>0</v>
      </c>
      <c r="F214" s="7">
        <v>0</v>
      </c>
      <c r="G214" s="7">
        <v>0</v>
      </c>
      <c r="H214" s="7">
        <v>0</v>
      </c>
      <c r="I214" s="7">
        <v>0</v>
      </c>
      <c r="J214" s="7">
        <v>0</v>
      </c>
      <c r="K214" s="7">
        <v>0</v>
      </c>
      <c r="L214" s="7">
        <v>0</v>
      </c>
      <c r="M214" s="7">
        <v>0</v>
      </c>
      <c r="N214" s="7">
        <v>0</v>
      </c>
      <c r="O214" s="7">
        <v>0</v>
      </c>
      <c r="P214" s="7">
        <v>0</v>
      </c>
      <c r="Q214" s="7">
        <v>0</v>
      </c>
      <c r="R214" s="7">
        <v>0</v>
      </c>
      <c r="S214" s="7">
        <v>0</v>
      </c>
      <c r="T214" s="7">
        <v>0</v>
      </c>
      <c r="U214" s="7">
        <v>0</v>
      </c>
      <c r="V214" s="7">
        <v>0</v>
      </c>
      <c r="W214" s="7">
        <v>0</v>
      </c>
      <c r="X214" s="7">
        <v>0</v>
      </c>
      <c r="Y214" s="7">
        <v>0</v>
      </c>
      <c r="Z214" s="7">
        <v>0</v>
      </c>
      <c r="AA214" s="7">
        <v>0</v>
      </c>
      <c r="AB214" s="7">
        <v>0</v>
      </c>
      <c r="AC214" s="7">
        <v>0</v>
      </c>
      <c r="AD214" s="7">
        <v>0</v>
      </c>
      <c r="AE214" s="7">
        <v>0</v>
      </c>
      <c r="AF214" s="7">
        <v>0</v>
      </c>
      <c r="AG214" s="7">
        <v>0</v>
      </c>
      <c r="AH214" s="7">
        <v>0</v>
      </c>
      <c r="AI214" s="7">
        <v>0</v>
      </c>
      <c r="AJ214" s="7">
        <v>0</v>
      </c>
      <c r="AK214" s="7">
        <v>0</v>
      </c>
      <c r="AL214" s="7">
        <v>0</v>
      </c>
      <c r="AM214" s="7">
        <v>0</v>
      </c>
      <c r="AN214" s="7">
        <v>0</v>
      </c>
      <c r="AO214" s="7">
        <v>0</v>
      </c>
      <c r="AP214" s="7">
        <v>0</v>
      </c>
      <c r="AQ214" s="7">
        <v>0</v>
      </c>
      <c r="AR214" s="7">
        <v>0</v>
      </c>
    </row>
    <row r="215" s="6" customFormat="1"/>
    <row r="216" s="5" customFormat="1" spans="1:44">
      <c r="A216" s="13" t="s">
        <v>113</v>
      </c>
      <c r="B216" s="5">
        <v>2018</v>
      </c>
      <c r="C216" s="5">
        <v>2019</v>
      </c>
      <c r="D216" s="5">
        <v>2020</v>
      </c>
      <c r="E216" s="5">
        <v>2021</v>
      </c>
      <c r="F216" s="5">
        <v>2022</v>
      </c>
      <c r="G216" s="5">
        <v>2023</v>
      </c>
      <c r="H216" s="5">
        <v>2024</v>
      </c>
      <c r="I216" s="5">
        <v>2025</v>
      </c>
      <c r="J216" s="5">
        <v>2026</v>
      </c>
      <c r="K216" s="5">
        <v>2027</v>
      </c>
      <c r="L216" s="5">
        <v>2028</v>
      </c>
      <c r="M216" s="5">
        <v>2029</v>
      </c>
      <c r="N216" s="5">
        <v>2030</v>
      </c>
      <c r="O216" s="5">
        <v>2031</v>
      </c>
      <c r="P216" s="5">
        <v>2032</v>
      </c>
      <c r="Q216" s="5">
        <v>2033</v>
      </c>
      <c r="R216" s="5">
        <v>2034</v>
      </c>
      <c r="S216" s="5">
        <v>2035</v>
      </c>
      <c r="T216" s="5">
        <v>2036</v>
      </c>
      <c r="U216" s="5">
        <v>2037</v>
      </c>
      <c r="V216" s="5">
        <v>2038</v>
      </c>
      <c r="W216" s="5">
        <v>2039</v>
      </c>
      <c r="X216" s="5">
        <v>2040</v>
      </c>
      <c r="Y216" s="5">
        <v>2041</v>
      </c>
      <c r="Z216" s="5">
        <v>2042</v>
      </c>
      <c r="AA216" s="5">
        <v>2043</v>
      </c>
      <c r="AB216" s="5">
        <v>2044</v>
      </c>
      <c r="AC216" s="5">
        <v>2045</v>
      </c>
      <c r="AD216" s="5">
        <v>2046</v>
      </c>
      <c r="AE216" s="5">
        <v>2047</v>
      </c>
      <c r="AF216" s="5">
        <v>2048</v>
      </c>
      <c r="AG216" s="5">
        <v>2049</v>
      </c>
      <c r="AH216" s="5">
        <v>2050</v>
      </c>
      <c r="AI216" s="5">
        <v>2051</v>
      </c>
      <c r="AJ216" s="5">
        <v>2052</v>
      </c>
      <c r="AK216" s="5">
        <v>2053</v>
      </c>
      <c r="AL216" s="5">
        <v>2054</v>
      </c>
      <c r="AM216" s="5">
        <v>2055</v>
      </c>
      <c r="AN216" s="5">
        <v>2056</v>
      </c>
      <c r="AO216" s="5">
        <v>2057</v>
      </c>
      <c r="AP216" s="5">
        <v>2058</v>
      </c>
      <c r="AQ216" s="5">
        <v>2059</v>
      </c>
      <c r="AR216" s="5">
        <v>2060</v>
      </c>
    </row>
    <row r="217" s="6" customFormat="1" spans="1:44">
      <c r="A217" s="5" t="s">
        <v>1123</v>
      </c>
      <c r="B217" s="14">
        <f t="shared" ref="B217:B226" si="19">B$227*$Q4/$Q$14</f>
        <v>7060.01446515175</v>
      </c>
      <c r="C217" s="14">
        <v>2992.11092720459</v>
      </c>
      <c r="D217" s="14">
        <v>3044.22271653249</v>
      </c>
      <c r="E217" s="14">
        <v>3618.17058383167</v>
      </c>
      <c r="F217" s="14">
        <v>3710.84967849049</v>
      </c>
      <c r="G217" s="14">
        <v>4315.96484165678</v>
      </c>
      <c r="H217" s="14">
        <v>3523.30568418337</v>
      </c>
      <c r="I217" s="14">
        <v>3446.40773217367</v>
      </c>
      <c r="J217" s="14">
        <v>3566.93673749649</v>
      </c>
      <c r="K217" s="14">
        <v>3684.20632753649</v>
      </c>
      <c r="L217" s="14">
        <v>3798.58138628313</v>
      </c>
      <c r="M217" s="14">
        <v>3905.63071649428</v>
      </c>
      <c r="N217" s="14">
        <v>4006.57248027395</v>
      </c>
      <c r="O217" s="14">
        <v>4097.62571739992</v>
      </c>
      <c r="P217" s="14">
        <v>4177.97103732314</v>
      </c>
      <c r="Q217" s="14">
        <v>4249.77518740646</v>
      </c>
      <c r="R217" s="14">
        <v>4312.0095621153</v>
      </c>
      <c r="S217" s="14">
        <v>4685.29273847184</v>
      </c>
      <c r="T217" s="14">
        <v>4797.58412721722</v>
      </c>
      <c r="U217" s="14">
        <v>4903.69140658</v>
      </c>
      <c r="V217" s="14">
        <v>5047.34733579971</v>
      </c>
      <c r="W217" s="14">
        <v>5193.14817650438</v>
      </c>
      <c r="X217" s="14">
        <v>5333.33309473867</v>
      </c>
      <c r="Y217" s="14">
        <v>5462.91147005653</v>
      </c>
      <c r="Z217" s="14">
        <v>5587.03439043885</v>
      </c>
      <c r="AA217" s="14">
        <v>5705.92646502094</v>
      </c>
      <c r="AB217" s="14">
        <v>5819.58597662004</v>
      </c>
      <c r="AC217" s="14">
        <v>5928.83847155523</v>
      </c>
      <c r="AD217" s="14">
        <v>6028.27118526219</v>
      </c>
      <c r="AE217" s="14">
        <v>6122.92577092579</v>
      </c>
      <c r="AF217" s="14">
        <v>6213.34725094111</v>
      </c>
      <c r="AG217" s="14">
        <v>6300.26074038217</v>
      </c>
      <c r="AH217" s="14">
        <v>6382.9239465516</v>
      </c>
      <c r="AI217" s="14">
        <v>6444.05086663318</v>
      </c>
      <c r="AJ217" s="14">
        <v>6500.91891862959</v>
      </c>
      <c r="AK217" s="14">
        <v>6553.01801636338</v>
      </c>
      <c r="AL217" s="14">
        <v>6600.29215525998</v>
      </c>
      <c r="AM217" s="14">
        <v>6642.2988192359</v>
      </c>
      <c r="AN217" s="14">
        <v>6670.81588380406</v>
      </c>
      <c r="AO217" s="14">
        <v>6692.39348982632</v>
      </c>
      <c r="AP217" s="14">
        <v>6706.93192547414</v>
      </c>
      <c r="AQ217" s="14">
        <v>6714.50801986627</v>
      </c>
      <c r="AR217" s="14">
        <v>6715.12303947911</v>
      </c>
    </row>
    <row r="218" s="6" customFormat="1" spans="1:44">
      <c r="A218" s="5" t="s">
        <v>1124</v>
      </c>
      <c r="B218" s="14">
        <f t="shared" si="19"/>
        <v>0</v>
      </c>
      <c r="C218" s="14">
        <v>0</v>
      </c>
      <c r="D218" s="14">
        <v>0</v>
      </c>
      <c r="E218" s="14">
        <v>0</v>
      </c>
      <c r="F218" s="14">
        <v>0</v>
      </c>
      <c r="G218" s="14">
        <v>0</v>
      </c>
      <c r="H218" s="14">
        <v>0</v>
      </c>
      <c r="I218" s="14">
        <v>0</v>
      </c>
      <c r="J218" s="14">
        <v>0</v>
      </c>
      <c r="K218" s="14">
        <v>0</v>
      </c>
      <c r="L218" s="14">
        <v>0</v>
      </c>
      <c r="M218" s="14">
        <v>0</v>
      </c>
      <c r="N218" s="14">
        <v>0</v>
      </c>
      <c r="O218" s="14">
        <v>0</v>
      </c>
      <c r="P218" s="14">
        <v>0</v>
      </c>
      <c r="Q218" s="14">
        <v>0</v>
      </c>
      <c r="R218" s="14">
        <v>0</v>
      </c>
      <c r="S218" s="14">
        <v>0</v>
      </c>
      <c r="T218" s="14">
        <v>0</v>
      </c>
      <c r="U218" s="14">
        <v>0</v>
      </c>
      <c r="V218" s="14">
        <v>0</v>
      </c>
      <c r="W218" s="14">
        <v>0</v>
      </c>
      <c r="X218" s="14">
        <v>0</v>
      </c>
      <c r="Y218" s="14">
        <v>0</v>
      </c>
      <c r="Z218" s="14">
        <v>0</v>
      </c>
      <c r="AA218" s="14">
        <v>0</v>
      </c>
      <c r="AB218" s="14">
        <v>0</v>
      </c>
      <c r="AC218" s="14">
        <v>0</v>
      </c>
      <c r="AD218" s="14">
        <v>0</v>
      </c>
      <c r="AE218" s="14">
        <v>0</v>
      </c>
      <c r="AF218" s="14">
        <v>0</v>
      </c>
      <c r="AG218" s="14">
        <v>0</v>
      </c>
      <c r="AH218" s="14">
        <v>0</v>
      </c>
      <c r="AI218" s="14">
        <v>0</v>
      </c>
      <c r="AJ218" s="14">
        <v>0</v>
      </c>
      <c r="AK218" s="14">
        <v>0</v>
      </c>
      <c r="AL218" s="14">
        <v>0</v>
      </c>
      <c r="AM218" s="14">
        <v>0</v>
      </c>
      <c r="AN218" s="14">
        <v>0</v>
      </c>
      <c r="AO218" s="14">
        <v>0</v>
      </c>
      <c r="AP218" s="14">
        <v>0</v>
      </c>
      <c r="AQ218" s="14">
        <v>0</v>
      </c>
      <c r="AR218" s="14">
        <v>0</v>
      </c>
    </row>
    <row r="219" s="6" customFormat="1" spans="1:44">
      <c r="A219" s="5" t="s">
        <v>1125</v>
      </c>
      <c r="B219" s="14">
        <f t="shared" si="19"/>
        <v>0</v>
      </c>
      <c r="C219" s="14">
        <v>0</v>
      </c>
      <c r="D219" s="14">
        <v>0</v>
      </c>
      <c r="E219" s="14">
        <v>0</v>
      </c>
      <c r="F219" s="14">
        <v>0</v>
      </c>
      <c r="G219" s="14">
        <v>0</v>
      </c>
      <c r="H219" s="14">
        <v>0</v>
      </c>
      <c r="I219" s="14">
        <v>0</v>
      </c>
      <c r="J219" s="14">
        <v>0</v>
      </c>
      <c r="K219" s="14">
        <v>0</v>
      </c>
      <c r="L219" s="14">
        <v>0</v>
      </c>
      <c r="M219" s="14">
        <v>0</v>
      </c>
      <c r="N219" s="14">
        <v>0</v>
      </c>
      <c r="O219" s="14">
        <v>0</v>
      </c>
      <c r="P219" s="14">
        <v>0</v>
      </c>
      <c r="Q219" s="14">
        <v>0</v>
      </c>
      <c r="R219" s="14">
        <v>0</v>
      </c>
      <c r="S219" s="14">
        <v>0</v>
      </c>
      <c r="T219" s="14">
        <v>0</v>
      </c>
      <c r="U219" s="14">
        <v>0</v>
      </c>
      <c r="V219" s="14">
        <v>0</v>
      </c>
      <c r="W219" s="14">
        <v>0</v>
      </c>
      <c r="X219" s="14">
        <v>0</v>
      </c>
      <c r="Y219" s="14">
        <v>0</v>
      </c>
      <c r="Z219" s="14">
        <v>0</v>
      </c>
      <c r="AA219" s="14">
        <v>0</v>
      </c>
      <c r="AB219" s="14">
        <v>0</v>
      </c>
      <c r="AC219" s="14">
        <v>0</v>
      </c>
      <c r="AD219" s="14">
        <v>0</v>
      </c>
      <c r="AE219" s="14">
        <v>0</v>
      </c>
      <c r="AF219" s="14">
        <v>0</v>
      </c>
      <c r="AG219" s="14">
        <v>0</v>
      </c>
      <c r="AH219" s="14">
        <v>0</v>
      </c>
      <c r="AI219" s="14">
        <v>0</v>
      </c>
      <c r="AJ219" s="14">
        <v>0</v>
      </c>
      <c r="AK219" s="14">
        <v>0</v>
      </c>
      <c r="AL219" s="14">
        <v>0</v>
      </c>
      <c r="AM219" s="14">
        <v>0</v>
      </c>
      <c r="AN219" s="14">
        <v>0</v>
      </c>
      <c r="AO219" s="14">
        <v>0</v>
      </c>
      <c r="AP219" s="14">
        <v>0</v>
      </c>
      <c r="AQ219" s="14">
        <v>0</v>
      </c>
      <c r="AR219" s="14">
        <v>0</v>
      </c>
    </row>
    <row r="220" s="6" customFormat="1" spans="1:44">
      <c r="A220" s="5" t="s">
        <v>1126</v>
      </c>
      <c r="B220" s="14">
        <f t="shared" si="19"/>
        <v>0</v>
      </c>
      <c r="C220" s="14">
        <v>0</v>
      </c>
      <c r="D220" s="14">
        <v>0</v>
      </c>
      <c r="E220" s="14">
        <v>0</v>
      </c>
      <c r="F220" s="14">
        <v>0</v>
      </c>
      <c r="G220" s="14">
        <v>0</v>
      </c>
      <c r="H220" s="14">
        <v>0</v>
      </c>
      <c r="I220" s="14">
        <v>0</v>
      </c>
      <c r="J220" s="14">
        <v>0</v>
      </c>
      <c r="K220" s="14">
        <v>0</v>
      </c>
      <c r="L220" s="14">
        <v>0</v>
      </c>
      <c r="M220" s="14">
        <v>0</v>
      </c>
      <c r="N220" s="14">
        <v>0</v>
      </c>
      <c r="O220" s="14">
        <v>0</v>
      </c>
      <c r="P220" s="14">
        <v>0</v>
      </c>
      <c r="Q220" s="14">
        <v>0</v>
      </c>
      <c r="R220" s="14">
        <v>0</v>
      </c>
      <c r="S220" s="14">
        <v>0</v>
      </c>
      <c r="T220" s="14">
        <v>0</v>
      </c>
      <c r="U220" s="14">
        <v>0</v>
      </c>
      <c r="V220" s="14">
        <v>0</v>
      </c>
      <c r="W220" s="14">
        <v>0</v>
      </c>
      <c r="X220" s="14">
        <v>0</v>
      </c>
      <c r="Y220" s="14">
        <v>0</v>
      </c>
      <c r="Z220" s="14">
        <v>0</v>
      </c>
      <c r="AA220" s="14">
        <v>0</v>
      </c>
      <c r="AB220" s="14">
        <v>0</v>
      </c>
      <c r="AC220" s="14">
        <v>0</v>
      </c>
      <c r="AD220" s="14">
        <v>0</v>
      </c>
      <c r="AE220" s="14">
        <v>0</v>
      </c>
      <c r="AF220" s="14">
        <v>0</v>
      </c>
      <c r="AG220" s="14">
        <v>0</v>
      </c>
      <c r="AH220" s="14">
        <v>0</v>
      </c>
      <c r="AI220" s="14">
        <v>0</v>
      </c>
      <c r="AJ220" s="14">
        <v>0</v>
      </c>
      <c r="AK220" s="14">
        <v>0</v>
      </c>
      <c r="AL220" s="14">
        <v>0</v>
      </c>
      <c r="AM220" s="14">
        <v>0</v>
      </c>
      <c r="AN220" s="14">
        <v>0</v>
      </c>
      <c r="AO220" s="14">
        <v>0</v>
      </c>
      <c r="AP220" s="14">
        <v>0</v>
      </c>
      <c r="AQ220" s="14">
        <v>0</v>
      </c>
      <c r="AR220" s="14">
        <v>0</v>
      </c>
    </row>
    <row r="221" s="6" customFormat="1" spans="1:44">
      <c r="A221" s="5" t="s">
        <v>1127</v>
      </c>
      <c r="B221" s="14">
        <f t="shared" si="19"/>
        <v>0</v>
      </c>
      <c r="C221" s="14">
        <v>0</v>
      </c>
      <c r="D221" s="14">
        <v>0</v>
      </c>
      <c r="E221" s="14">
        <v>0</v>
      </c>
      <c r="F221" s="14">
        <v>0</v>
      </c>
      <c r="G221" s="14">
        <v>0</v>
      </c>
      <c r="H221" s="14">
        <v>0</v>
      </c>
      <c r="I221" s="14">
        <v>0</v>
      </c>
      <c r="J221" s="14">
        <v>0</v>
      </c>
      <c r="K221" s="14">
        <v>0</v>
      </c>
      <c r="L221" s="14">
        <v>0</v>
      </c>
      <c r="M221" s="14">
        <v>0</v>
      </c>
      <c r="N221" s="14">
        <v>0</v>
      </c>
      <c r="O221" s="14">
        <v>0</v>
      </c>
      <c r="P221" s="14">
        <v>0</v>
      </c>
      <c r="Q221" s="14">
        <v>0</v>
      </c>
      <c r="R221" s="14">
        <v>0</v>
      </c>
      <c r="S221" s="14">
        <v>0</v>
      </c>
      <c r="T221" s="14">
        <v>0</v>
      </c>
      <c r="U221" s="14">
        <v>0</v>
      </c>
      <c r="V221" s="14">
        <v>0</v>
      </c>
      <c r="W221" s="14">
        <v>0</v>
      </c>
      <c r="X221" s="14">
        <v>0</v>
      </c>
      <c r="Y221" s="14">
        <v>0</v>
      </c>
      <c r="Z221" s="14">
        <v>0</v>
      </c>
      <c r="AA221" s="14">
        <v>0</v>
      </c>
      <c r="AB221" s="14">
        <v>0</v>
      </c>
      <c r="AC221" s="14">
        <v>0</v>
      </c>
      <c r="AD221" s="14">
        <v>0</v>
      </c>
      <c r="AE221" s="14">
        <v>0</v>
      </c>
      <c r="AF221" s="14">
        <v>0</v>
      </c>
      <c r="AG221" s="14">
        <v>0</v>
      </c>
      <c r="AH221" s="14">
        <v>0</v>
      </c>
      <c r="AI221" s="14">
        <v>0</v>
      </c>
      <c r="AJ221" s="14">
        <v>0</v>
      </c>
      <c r="AK221" s="14">
        <v>0</v>
      </c>
      <c r="AL221" s="14">
        <v>0</v>
      </c>
      <c r="AM221" s="14">
        <v>0</v>
      </c>
      <c r="AN221" s="14">
        <v>0</v>
      </c>
      <c r="AO221" s="14">
        <v>0</v>
      </c>
      <c r="AP221" s="14">
        <v>0</v>
      </c>
      <c r="AQ221" s="14">
        <v>0</v>
      </c>
      <c r="AR221" s="14">
        <v>0</v>
      </c>
    </row>
    <row r="222" s="6" customFormat="1" spans="1:44">
      <c r="A222" s="5" t="s">
        <v>1128</v>
      </c>
      <c r="B222" s="14">
        <f t="shared" si="19"/>
        <v>0</v>
      </c>
      <c r="C222" s="14">
        <v>0</v>
      </c>
      <c r="D222" s="14">
        <v>0</v>
      </c>
      <c r="E222" s="14">
        <v>0</v>
      </c>
      <c r="F222" s="14">
        <v>0</v>
      </c>
      <c r="G222" s="14">
        <v>0</v>
      </c>
      <c r="H222" s="14">
        <v>0</v>
      </c>
      <c r="I222" s="14">
        <v>0</v>
      </c>
      <c r="J222" s="14">
        <v>0</v>
      </c>
      <c r="K222" s="14">
        <v>0</v>
      </c>
      <c r="L222" s="14">
        <v>0</v>
      </c>
      <c r="M222" s="14">
        <v>0</v>
      </c>
      <c r="N222" s="14">
        <v>0</v>
      </c>
      <c r="O222" s="14">
        <v>0</v>
      </c>
      <c r="P222" s="14">
        <v>0</v>
      </c>
      <c r="Q222" s="14">
        <v>0</v>
      </c>
      <c r="R222" s="14">
        <v>0</v>
      </c>
      <c r="S222" s="14">
        <v>0</v>
      </c>
      <c r="T222" s="14">
        <v>0</v>
      </c>
      <c r="U222" s="14">
        <v>0</v>
      </c>
      <c r="V222" s="14">
        <v>0</v>
      </c>
      <c r="W222" s="14">
        <v>0</v>
      </c>
      <c r="X222" s="14">
        <v>0</v>
      </c>
      <c r="Y222" s="14">
        <v>0</v>
      </c>
      <c r="Z222" s="14">
        <v>0</v>
      </c>
      <c r="AA222" s="14">
        <v>0</v>
      </c>
      <c r="AB222" s="14">
        <v>0</v>
      </c>
      <c r="AC222" s="14">
        <v>0</v>
      </c>
      <c r="AD222" s="14">
        <v>0</v>
      </c>
      <c r="AE222" s="14">
        <v>0</v>
      </c>
      <c r="AF222" s="14">
        <v>0</v>
      </c>
      <c r="AG222" s="14">
        <v>0</v>
      </c>
      <c r="AH222" s="14">
        <v>0</v>
      </c>
      <c r="AI222" s="14">
        <v>0</v>
      </c>
      <c r="AJ222" s="14">
        <v>0</v>
      </c>
      <c r="AK222" s="14">
        <v>0</v>
      </c>
      <c r="AL222" s="14">
        <v>0</v>
      </c>
      <c r="AM222" s="14">
        <v>0</v>
      </c>
      <c r="AN222" s="14">
        <v>0</v>
      </c>
      <c r="AO222" s="14">
        <v>0</v>
      </c>
      <c r="AP222" s="14">
        <v>0</v>
      </c>
      <c r="AQ222" s="14">
        <v>0</v>
      </c>
      <c r="AR222" s="14">
        <v>0</v>
      </c>
    </row>
    <row r="223" s="6" customFormat="1" spans="1:44">
      <c r="A223" s="5" t="s">
        <v>1129</v>
      </c>
      <c r="B223" s="14">
        <f t="shared" si="19"/>
        <v>0</v>
      </c>
      <c r="C223" s="14">
        <v>0</v>
      </c>
      <c r="D223" s="14">
        <v>0</v>
      </c>
      <c r="E223" s="14">
        <v>0</v>
      </c>
      <c r="F223" s="14">
        <v>0</v>
      </c>
      <c r="G223" s="14">
        <v>0</v>
      </c>
      <c r="H223" s="14">
        <v>0</v>
      </c>
      <c r="I223" s="14">
        <v>0</v>
      </c>
      <c r="J223" s="14">
        <v>0</v>
      </c>
      <c r="K223" s="14">
        <v>0</v>
      </c>
      <c r="L223" s="14">
        <v>0</v>
      </c>
      <c r="M223" s="14">
        <v>0</v>
      </c>
      <c r="N223" s="14">
        <v>0</v>
      </c>
      <c r="O223" s="14">
        <v>0</v>
      </c>
      <c r="P223" s="14">
        <v>0</v>
      </c>
      <c r="Q223" s="14">
        <v>0</v>
      </c>
      <c r="R223" s="14">
        <v>0</v>
      </c>
      <c r="S223" s="14">
        <v>0</v>
      </c>
      <c r="T223" s="14">
        <v>0</v>
      </c>
      <c r="U223" s="14">
        <v>0</v>
      </c>
      <c r="V223" s="14">
        <v>0</v>
      </c>
      <c r="W223" s="14">
        <v>0</v>
      </c>
      <c r="X223" s="14">
        <v>0</v>
      </c>
      <c r="Y223" s="14">
        <v>0</v>
      </c>
      <c r="Z223" s="14">
        <v>0</v>
      </c>
      <c r="AA223" s="14">
        <v>0</v>
      </c>
      <c r="AB223" s="14">
        <v>0</v>
      </c>
      <c r="AC223" s="14">
        <v>0</v>
      </c>
      <c r="AD223" s="14">
        <v>0</v>
      </c>
      <c r="AE223" s="14">
        <v>0</v>
      </c>
      <c r="AF223" s="14">
        <v>0</v>
      </c>
      <c r="AG223" s="14">
        <v>0</v>
      </c>
      <c r="AH223" s="14">
        <v>0</v>
      </c>
      <c r="AI223" s="14">
        <v>0</v>
      </c>
      <c r="AJ223" s="14">
        <v>0</v>
      </c>
      <c r="AK223" s="14">
        <v>0</v>
      </c>
      <c r="AL223" s="14">
        <v>0</v>
      </c>
      <c r="AM223" s="14">
        <v>0</v>
      </c>
      <c r="AN223" s="14">
        <v>0</v>
      </c>
      <c r="AO223" s="14">
        <v>0</v>
      </c>
      <c r="AP223" s="14">
        <v>0</v>
      </c>
      <c r="AQ223" s="14">
        <v>0</v>
      </c>
      <c r="AR223" s="14">
        <v>0</v>
      </c>
    </row>
    <row r="224" s="6" customFormat="1" spans="1:44">
      <c r="A224" s="5" t="s">
        <v>1130</v>
      </c>
      <c r="B224" s="14">
        <f t="shared" si="19"/>
        <v>0</v>
      </c>
      <c r="C224" s="14">
        <v>0</v>
      </c>
      <c r="D224" s="14">
        <v>0</v>
      </c>
      <c r="E224" s="14">
        <v>0</v>
      </c>
      <c r="F224" s="14">
        <v>0</v>
      </c>
      <c r="G224" s="14">
        <v>0</v>
      </c>
      <c r="H224" s="14">
        <v>0</v>
      </c>
      <c r="I224" s="14">
        <v>0</v>
      </c>
      <c r="J224" s="14">
        <v>0</v>
      </c>
      <c r="K224" s="14">
        <v>0</v>
      </c>
      <c r="L224" s="14">
        <v>0</v>
      </c>
      <c r="M224" s="14">
        <v>0</v>
      </c>
      <c r="N224" s="14">
        <v>0</v>
      </c>
      <c r="O224" s="14">
        <v>0</v>
      </c>
      <c r="P224" s="14">
        <v>0</v>
      </c>
      <c r="Q224" s="14">
        <v>0</v>
      </c>
      <c r="R224" s="14">
        <v>0</v>
      </c>
      <c r="S224" s="14">
        <v>0</v>
      </c>
      <c r="T224" s="14">
        <v>0</v>
      </c>
      <c r="U224" s="14">
        <v>0</v>
      </c>
      <c r="V224" s="14">
        <v>0</v>
      </c>
      <c r="W224" s="14">
        <v>0</v>
      </c>
      <c r="X224" s="14">
        <v>0</v>
      </c>
      <c r="Y224" s="14">
        <v>0</v>
      </c>
      <c r="Z224" s="14">
        <v>0</v>
      </c>
      <c r="AA224" s="14">
        <v>0</v>
      </c>
      <c r="AB224" s="14">
        <v>0</v>
      </c>
      <c r="AC224" s="14">
        <v>0</v>
      </c>
      <c r="AD224" s="14">
        <v>0</v>
      </c>
      <c r="AE224" s="14">
        <v>0</v>
      </c>
      <c r="AF224" s="14">
        <v>0</v>
      </c>
      <c r="AG224" s="14">
        <v>0</v>
      </c>
      <c r="AH224" s="14">
        <v>0</v>
      </c>
      <c r="AI224" s="14">
        <v>0</v>
      </c>
      <c r="AJ224" s="14">
        <v>0</v>
      </c>
      <c r="AK224" s="14">
        <v>0</v>
      </c>
      <c r="AL224" s="14">
        <v>0</v>
      </c>
      <c r="AM224" s="14">
        <v>0</v>
      </c>
      <c r="AN224" s="14">
        <v>0</v>
      </c>
      <c r="AO224" s="14">
        <v>0</v>
      </c>
      <c r="AP224" s="14">
        <v>0</v>
      </c>
      <c r="AQ224" s="14">
        <v>0</v>
      </c>
      <c r="AR224" s="14">
        <v>0</v>
      </c>
    </row>
    <row r="225" s="6" customFormat="1" spans="1:44">
      <c r="A225" s="5" t="s">
        <v>1131</v>
      </c>
      <c r="B225" s="14">
        <f t="shared" si="19"/>
        <v>0</v>
      </c>
      <c r="C225" s="14">
        <v>0</v>
      </c>
      <c r="D225" s="14">
        <v>0</v>
      </c>
      <c r="E225" s="14">
        <v>0</v>
      </c>
      <c r="F225" s="14">
        <v>0</v>
      </c>
      <c r="G225" s="14">
        <v>0</v>
      </c>
      <c r="H225" s="14">
        <v>0</v>
      </c>
      <c r="I225" s="14">
        <v>0</v>
      </c>
      <c r="J225" s="14">
        <v>0</v>
      </c>
      <c r="K225" s="14">
        <v>0</v>
      </c>
      <c r="L225" s="14">
        <v>0</v>
      </c>
      <c r="M225" s="14">
        <v>0</v>
      </c>
      <c r="N225" s="14">
        <v>0</v>
      </c>
      <c r="O225" s="14">
        <v>0</v>
      </c>
      <c r="P225" s="14">
        <v>0</v>
      </c>
      <c r="Q225" s="14">
        <v>0</v>
      </c>
      <c r="R225" s="14">
        <v>0</v>
      </c>
      <c r="S225" s="14">
        <v>0</v>
      </c>
      <c r="T225" s="14">
        <v>0</v>
      </c>
      <c r="U225" s="14">
        <v>0</v>
      </c>
      <c r="V225" s="14">
        <v>0</v>
      </c>
      <c r="W225" s="14">
        <v>0</v>
      </c>
      <c r="X225" s="14">
        <v>0</v>
      </c>
      <c r="Y225" s="14">
        <v>0</v>
      </c>
      <c r="Z225" s="14">
        <v>0</v>
      </c>
      <c r="AA225" s="14">
        <v>0</v>
      </c>
      <c r="AB225" s="14">
        <v>0</v>
      </c>
      <c r="AC225" s="14">
        <v>0</v>
      </c>
      <c r="AD225" s="14">
        <v>0</v>
      </c>
      <c r="AE225" s="14">
        <v>0</v>
      </c>
      <c r="AF225" s="14">
        <v>0</v>
      </c>
      <c r="AG225" s="14">
        <v>0</v>
      </c>
      <c r="AH225" s="14">
        <v>0</v>
      </c>
      <c r="AI225" s="14">
        <v>0</v>
      </c>
      <c r="AJ225" s="14">
        <v>0</v>
      </c>
      <c r="AK225" s="14">
        <v>0</v>
      </c>
      <c r="AL225" s="14">
        <v>0</v>
      </c>
      <c r="AM225" s="14">
        <v>0</v>
      </c>
      <c r="AN225" s="14">
        <v>0</v>
      </c>
      <c r="AO225" s="14">
        <v>0</v>
      </c>
      <c r="AP225" s="14">
        <v>0</v>
      </c>
      <c r="AQ225" s="14">
        <v>0</v>
      </c>
      <c r="AR225" s="14">
        <v>0</v>
      </c>
    </row>
    <row r="226" s="6" customFormat="1" spans="1:44">
      <c r="A226" s="5" t="s">
        <v>1132</v>
      </c>
      <c r="B226" s="14">
        <f t="shared" si="19"/>
        <v>0</v>
      </c>
      <c r="C226" s="14">
        <v>0</v>
      </c>
      <c r="D226" s="14">
        <v>0</v>
      </c>
      <c r="E226" s="14">
        <v>0</v>
      </c>
      <c r="F226" s="14">
        <v>0</v>
      </c>
      <c r="G226" s="14">
        <v>0</v>
      </c>
      <c r="H226" s="14">
        <v>0</v>
      </c>
      <c r="I226" s="14">
        <v>0</v>
      </c>
      <c r="J226" s="14">
        <v>0</v>
      </c>
      <c r="K226" s="14">
        <v>0</v>
      </c>
      <c r="L226" s="14">
        <v>0</v>
      </c>
      <c r="M226" s="14">
        <v>0</v>
      </c>
      <c r="N226" s="14">
        <v>0</v>
      </c>
      <c r="O226" s="14">
        <v>0</v>
      </c>
      <c r="P226" s="14">
        <v>0</v>
      </c>
      <c r="Q226" s="14">
        <v>0</v>
      </c>
      <c r="R226" s="14">
        <v>0</v>
      </c>
      <c r="S226" s="14">
        <v>0</v>
      </c>
      <c r="T226" s="14">
        <v>0</v>
      </c>
      <c r="U226" s="14">
        <v>0</v>
      </c>
      <c r="V226" s="14">
        <v>0</v>
      </c>
      <c r="W226" s="14">
        <v>0</v>
      </c>
      <c r="X226" s="14">
        <v>0</v>
      </c>
      <c r="Y226" s="14">
        <v>0</v>
      </c>
      <c r="Z226" s="14">
        <v>0</v>
      </c>
      <c r="AA226" s="14">
        <v>0</v>
      </c>
      <c r="AB226" s="14">
        <v>0</v>
      </c>
      <c r="AC226" s="14">
        <v>0</v>
      </c>
      <c r="AD226" s="14">
        <v>0</v>
      </c>
      <c r="AE226" s="14">
        <v>0</v>
      </c>
      <c r="AF226" s="14">
        <v>0</v>
      </c>
      <c r="AG226" s="14">
        <v>0</v>
      </c>
      <c r="AH226" s="14">
        <v>0</v>
      </c>
      <c r="AI226" s="14">
        <v>0</v>
      </c>
      <c r="AJ226" s="14">
        <v>0</v>
      </c>
      <c r="AK226" s="14">
        <v>0</v>
      </c>
      <c r="AL226" s="14">
        <v>0</v>
      </c>
      <c r="AM226" s="14">
        <v>0</v>
      </c>
      <c r="AN226" s="14">
        <v>0</v>
      </c>
      <c r="AO226" s="14">
        <v>0</v>
      </c>
      <c r="AP226" s="14">
        <v>0</v>
      </c>
      <c r="AQ226" s="14">
        <v>0</v>
      </c>
      <c r="AR226" s="14">
        <v>0</v>
      </c>
    </row>
    <row r="227" s="7" customFormat="1" spans="1:44">
      <c r="A227" s="5" t="s">
        <v>1119</v>
      </c>
      <c r="B227" s="7">
        <f>BAU建筑总能耗计算!B$3*$Q$16</f>
        <v>7060.01446515175</v>
      </c>
      <c r="C227" s="7">
        <v>0</v>
      </c>
      <c r="D227" s="7">
        <v>0</v>
      </c>
      <c r="E227" s="7">
        <v>0</v>
      </c>
      <c r="F227" s="7">
        <v>0</v>
      </c>
      <c r="G227" s="7">
        <v>0</v>
      </c>
      <c r="H227" s="7">
        <v>0</v>
      </c>
      <c r="I227" s="7">
        <v>0</v>
      </c>
      <c r="J227" s="7">
        <v>0</v>
      </c>
      <c r="K227" s="7">
        <v>0</v>
      </c>
      <c r="L227" s="7">
        <v>0</v>
      </c>
      <c r="M227" s="7">
        <v>0</v>
      </c>
      <c r="N227" s="7">
        <v>0</v>
      </c>
      <c r="O227" s="7">
        <v>0</v>
      </c>
      <c r="P227" s="7">
        <v>0</v>
      </c>
      <c r="Q227" s="7">
        <v>0</v>
      </c>
      <c r="R227" s="7">
        <v>0</v>
      </c>
      <c r="S227" s="7">
        <v>0</v>
      </c>
      <c r="T227" s="7">
        <v>0</v>
      </c>
      <c r="U227" s="7">
        <v>0</v>
      </c>
      <c r="V227" s="7">
        <v>0</v>
      </c>
      <c r="W227" s="7">
        <v>0</v>
      </c>
      <c r="X227" s="7">
        <v>0</v>
      </c>
      <c r="Y227" s="7">
        <v>0</v>
      </c>
      <c r="Z227" s="7">
        <v>0</v>
      </c>
      <c r="AA227" s="7">
        <v>0</v>
      </c>
      <c r="AB227" s="7">
        <v>0</v>
      </c>
      <c r="AC227" s="7">
        <v>0</v>
      </c>
      <c r="AD227" s="7">
        <v>0</v>
      </c>
      <c r="AE227" s="7">
        <v>0</v>
      </c>
      <c r="AF227" s="7">
        <v>0</v>
      </c>
      <c r="AG227" s="7">
        <v>0</v>
      </c>
      <c r="AH227" s="7">
        <v>0</v>
      </c>
      <c r="AI227" s="7">
        <v>0</v>
      </c>
      <c r="AJ227" s="7">
        <v>0</v>
      </c>
      <c r="AK227" s="7">
        <v>0</v>
      </c>
      <c r="AL227" s="7">
        <v>0</v>
      </c>
      <c r="AM227" s="7">
        <v>0</v>
      </c>
      <c r="AN227" s="7">
        <v>0</v>
      </c>
      <c r="AO227" s="7">
        <v>0</v>
      </c>
      <c r="AP227" s="7">
        <v>0</v>
      </c>
      <c r="AQ227" s="7">
        <v>0</v>
      </c>
      <c r="AR227" s="7">
        <v>0</v>
      </c>
    </row>
    <row r="228" s="6" customFormat="1"/>
    <row r="229" s="5" customFormat="1" spans="1:44">
      <c r="A229" s="13" t="s">
        <v>114</v>
      </c>
      <c r="B229" s="5">
        <v>2018</v>
      </c>
      <c r="C229" s="5">
        <v>2019</v>
      </c>
      <c r="D229" s="5">
        <v>2020</v>
      </c>
      <c r="E229" s="5">
        <v>2021</v>
      </c>
      <c r="F229" s="5">
        <v>2022</v>
      </c>
      <c r="G229" s="5">
        <v>2023</v>
      </c>
      <c r="H229" s="5">
        <v>2024</v>
      </c>
      <c r="I229" s="5">
        <v>2025</v>
      </c>
      <c r="J229" s="5">
        <v>2026</v>
      </c>
      <c r="K229" s="5">
        <v>2027</v>
      </c>
      <c r="L229" s="5">
        <v>2028</v>
      </c>
      <c r="M229" s="5">
        <v>2029</v>
      </c>
      <c r="N229" s="5">
        <v>2030</v>
      </c>
      <c r="O229" s="5">
        <v>2031</v>
      </c>
      <c r="P229" s="5">
        <v>2032</v>
      </c>
      <c r="Q229" s="5">
        <v>2033</v>
      </c>
      <c r="R229" s="5">
        <v>2034</v>
      </c>
      <c r="S229" s="5">
        <v>2035</v>
      </c>
      <c r="T229" s="5">
        <v>2036</v>
      </c>
      <c r="U229" s="5">
        <v>2037</v>
      </c>
      <c r="V229" s="5">
        <v>2038</v>
      </c>
      <c r="W229" s="5">
        <v>2039</v>
      </c>
      <c r="X229" s="5">
        <v>2040</v>
      </c>
      <c r="Y229" s="5">
        <v>2041</v>
      </c>
      <c r="Z229" s="5">
        <v>2042</v>
      </c>
      <c r="AA229" s="5">
        <v>2043</v>
      </c>
      <c r="AB229" s="5">
        <v>2044</v>
      </c>
      <c r="AC229" s="5">
        <v>2045</v>
      </c>
      <c r="AD229" s="5">
        <v>2046</v>
      </c>
      <c r="AE229" s="5">
        <v>2047</v>
      </c>
      <c r="AF229" s="5">
        <v>2048</v>
      </c>
      <c r="AG229" s="5">
        <v>2049</v>
      </c>
      <c r="AH229" s="5">
        <v>2050</v>
      </c>
      <c r="AI229" s="5">
        <v>2051</v>
      </c>
      <c r="AJ229" s="5">
        <v>2052</v>
      </c>
      <c r="AK229" s="5">
        <v>2053</v>
      </c>
      <c r="AL229" s="5">
        <v>2054</v>
      </c>
      <c r="AM229" s="5">
        <v>2055</v>
      </c>
      <c r="AN229" s="5">
        <v>2056</v>
      </c>
      <c r="AO229" s="5">
        <v>2057</v>
      </c>
      <c r="AP229" s="5">
        <v>2058</v>
      </c>
      <c r="AQ229" s="5">
        <v>2059</v>
      </c>
      <c r="AR229" s="5">
        <v>2060</v>
      </c>
    </row>
    <row r="230" s="6" customFormat="1" spans="1:44">
      <c r="A230" s="5" t="s">
        <v>1123</v>
      </c>
      <c r="B230" s="14">
        <f t="shared" ref="B230:B239" si="20">B$240*$R4/$R$14</f>
        <v>4539.69888003105</v>
      </c>
      <c r="C230" s="14">
        <v>273.71014168038</v>
      </c>
      <c r="D230" s="14">
        <v>278.477185946845</v>
      </c>
      <c r="E230" s="14">
        <v>330.980370453571</v>
      </c>
      <c r="F230" s="14">
        <v>339.458401097166</v>
      </c>
      <c r="G230" s="14">
        <v>394.812684769372</v>
      </c>
      <c r="H230" s="14">
        <v>322.302388334943</v>
      </c>
      <c r="I230" s="14">
        <v>315.267973551675</v>
      </c>
      <c r="J230" s="14">
        <v>326.293638016035</v>
      </c>
      <c r="K230" s="14">
        <v>337.02114006578</v>
      </c>
      <c r="L230" s="14">
        <v>347.483858292437</v>
      </c>
      <c r="M230" s="14">
        <v>357.27643886573</v>
      </c>
      <c r="N230" s="14">
        <v>366.51031593038</v>
      </c>
      <c r="O230" s="14">
        <v>374.839617564091</v>
      </c>
      <c r="P230" s="14">
        <v>382.189388155679</v>
      </c>
      <c r="Q230" s="14">
        <v>388.757835840506</v>
      </c>
      <c r="R230" s="14">
        <v>394.450866591495</v>
      </c>
      <c r="S230" s="14">
        <v>428.597792816222</v>
      </c>
      <c r="T230" s="14">
        <v>438.869902597827</v>
      </c>
      <c r="U230" s="14">
        <v>448.576306930516</v>
      </c>
      <c r="V230" s="14">
        <v>461.71755927596</v>
      </c>
      <c r="W230" s="14">
        <v>475.055022270246</v>
      </c>
      <c r="X230" s="14">
        <v>487.878756003678</v>
      </c>
      <c r="Y230" s="14">
        <v>499.732232138033</v>
      </c>
      <c r="Z230" s="14">
        <v>511.086658143679</v>
      </c>
      <c r="AA230" s="14">
        <v>521.962580651318</v>
      </c>
      <c r="AB230" s="14">
        <v>532.359842577758</v>
      </c>
      <c r="AC230" s="14">
        <v>542.353962647226</v>
      </c>
      <c r="AD230" s="14">
        <v>551.449795929658</v>
      </c>
      <c r="AE230" s="14">
        <v>560.108539098945</v>
      </c>
      <c r="AF230" s="14">
        <v>568.380049316337</v>
      </c>
      <c r="AG230" s="14">
        <v>576.330658129852</v>
      </c>
      <c r="AH230" s="14">
        <v>583.892462629369</v>
      </c>
      <c r="AI230" s="14">
        <v>589.484186453474</v>
      </c>
      <c r="AJ230" s="14">
        <v>594.686320648267</v>
      </c>
      <c r="AK230" s="14">
        <v>599.45220392234</v>
      </c>
      <c r="AL230" s="14">
        <v>603.776713130057</v>
      </c>
      <c r="AM230" s="14">
        <v>607.619368107796</v>
      </c>
      <c r="AN230" s="14">
        <v>610.228031346947</v>
      </c>
      <c r="AO230" s="14">
        <v>612.201891857189</v>
      </c>
      <c r="AP230" s="14">
        <v>613.53182827258</v>
      </c>
      <c r="AQ230" s="14">
        <v>614.224868711221</v>
      </c>
      <c r="AR230" s="14">
        <v>614.281129026918</v>
      </c>
    </row>
    <row r="231" s="6" customFormat="1" spans="1:44">
      <c r="A231" s="5" t="s">
        <v>1124</v>
      </c>
      <c r="B231" s="14">
        <f t="shared" si="20"/>
        <v>0</v>
      </c>
      <c r="C231" s="14">
        <v>403.115406782277</v>
      </c>
      <c r="D231" s="14">
        <v>365.582113012176</v>
      </c>
      <c r="E231" s="14">
        <v>292.487634336954</v>
      </c>
      <c r="F231" s="14">
        <v>262.05062709104</v>
      </c>
      <c r="G231" s="14">
        <v>287.398972626394</v>
      </c>
      <c r="H231" s="14">
        <v>293.342359086717</v>
      </c>
      <c r="I231" s="14">
        <v>302.108968860248</v>
      </c>
      <c r="J231" s="14">
        <v>309.526880408092</v>
      </c>
      <c r="K231" s="14">
        <v>317.103519918797</v>
      </c>
      <c r="L231" s="14">
        <v>324.843355635854</v>
      </c>
      <c r="M231" s="14">
        <v>332.749849817497</v>
      </c>
      <c r="N231" s="14">
        <v>340.824835124225</v>
      </c>
      <c r="O231" s="14">
        <v>348.851390386843</v>
      </c>
      <c r="P231" s="14">
        <v>357.040430743854</v>
      </c>
      <c r="Q231" s="14">
        <v>365.396596411677</v>
      </c>
      <c r="R231" s="14">
        <v>373.922824450494</v>
      </c>
      <c r="S231" s="14">
        <v>382.620874412128</v>
      </c>
      <c r="T231" s="14">
        <v>386.255680976338</v>
      </c>
      <c r="U231" s="14">
        <v>389.898135775467</v>
      </c>
      <c r="V231" s="14">
        <v>393.545676185076</v>
      </c>
      <c r="W231" s="14">
        <v>397.200099874215</v>
      </c>
      <c r="X231" s="14">
        <v>400.8607715452</v>
      </c>
      <c r="Y231" s="14">
        <v>401.834620995327</v>
      </c>
      <c r="Z231" s="14">
        <v>402.791993943323</v>
      </c>
      <c r="AA231" s="14">
        <v>403.732574173113</v>
      </c>
      <c r="AB231" s="14">
        <v>404.656653605212</v>
      </c>
      <c r="AC231" s="14">
        <v>405.564568639697</v>
      </c>
      <c r="AD231" s="14">
        <v>405.825454750918</v>
      </c>
      <c r="AE231" s="14">
        <v>406.060935928112</v>
      </c>
      <c r="AF231" s="14">
        <v>406.275052710016</v>
      </c>
      <c r="AG231" s="14">
        <v>406.464514356292</v>
      </c>
      <c r="AH231" s="14">
        <v>406.628242517799</v>
      </c>
      <c r="AI231" s="14">
        <v>403.800649214594</v>
      </c>
      <c r="AJ231" s="14">
        <v>400.97345211593</v>
      </c>
      <c r="AK231" s="14">
        <v>398.1430812694</v>
      </c>
      <c r="AL231" s="14">
        <v>395.312990382493</v>
      </c>
      <c r="AM231" s="14">
        <v>392.481348691218</v>
      </c>
      <c r="AN231" s="14">
        <v>389.075186497432</v>
      </c>
      <c r="AO231" s="14">
        <v>385.668547736868</v>
      </c>
      <c r="AP231" s="14">
        <v>382.260194457231</v>
      </c>
      <c r="AQ231" s="14">
        <v>378.850322518121</v>
      </c>
      <c r="AR231" s="14">
        <v>375.439029849341</v>
      </c>
    </row>
    <row r="232" s="6" customFormat="1" spans="1:44">
      <c r="A232" s="5" t="s">
        <v>1125</v>
      </c>
      <c r="B232" s="14">
        <f t="shared" si="20"/>
        <v>3865.4768853586</v>
      </c>
      <c r="C232" s="14">
        <v>939.934446355802</v>
      </c>
      <c r="D232" s="14">
        <v>923.533853661835</v>
      </c>
      <c r="E232" s="14">
        <v>1030.17694204032</v>
      </c>
      <c r="F232" s="14">
        <v>1065.41075122498</v>
      </c>
      <c r="G232" s="14">
        <v>1176.06672206166</v>
      </c>
      <c r="H232" s="14">
        <v>1200.38768246197</v>
      </c>
      <c r="I232" s="14">
        <v>1236.26156859918</v>
      </c>
      <c r="J232" s="14">
        <v>1266.61644022204</v>
      </c>
      <c r="K232" s="14">
        <v>1297.6208433073</v>
      </c>
      <c r="L232" s="14">
        <v>1329.29306237569</v>
      </c>
      <c r="M232" s="14">
        <v>1361.64726535084</v>
      </c>
      <c r="N232" s="14">
        <v>1394.69095167162</v>
      </c>
      <c r="O232" s="14">
        <v>1427.5364571753</v>
      </c>
      <c r="P232" s="14">
        <v>1461.04686871745</v>
      </c>
      <c r="Q232" s="14">
        <v>1495.24117455005</v>
      </c>
      <c r="R232" s="14">
        <v>1530.13139343123</v>
      </c>
      <c r="S232" s="14">
        <v>1565.7247256315</v>
      </c>
      <c r="T232" s="14">
        <v>1580.59873510423</v>
      </c>
      <c r="U232" s="14">
        <v>1595.50404195597</v>
      </c>
      <c r="V232" s="14">
        <v>1610.43015965887</v>
      </c>
      <c r="W232" s="14">
        <v>1625.38444446315</v>
      </c>
      <c r="X232" s="14">
        <v>1640.36429666406</v>
      </c>
      <c r="Y232" s="14">
        <v>1644.34939069598</v>
      </c>
      <c r="Z232" s="14">
        <v>1648.26706115406</v>
      </c>
      <c r="AA232" s="14">
        <v>1652.11601404897</v>
      </c>
      <c r="AB232" s="14">
        <v>1655.89744395006</v>
      </c>
      <c r="AC232" s="14">
        <v>1659.61272744172</v>
      </c>
      <c r="AD232" s="14">
        <v>1660.68030075574</v>
      </c>
      <c r="AE232" s="14">
        <v>1661.64391441671</v>
      </c>
      <c r="AF232" s="14">
        <v>1662.52010273266</v>
      </c>
      <c r="AG232" s="14">
        <v>1663.2953996492</v>
      </c>
      <c r="AH232" s="14">
        <v>1663.96539244859</v>
      </c>
      <c r="AI232" s="14">
        <v>1652.39458425455</v>
      </c>
      <c r="AJ232" s="14">
        <v>1640.82539737103</v>
      </c>
      <c r="AK232" s="14">
        <v>1629.24322317855</v>
      </c>
      <c r="AL232" s="14">
        <v>1617.6621946102</v>
      </c>
      <c r="AM232" s="14">
        <v>1606.07481998781</v>
      </c>
      <c r="AN232" s="14">
        <v>1592.13644724609</v>
      </c>
      <c r="AO232" s="14">
        <v>1578.19612434315</v>
      </c>
      <c r="AP232" s="14">
        <v>1564.24878544844</v>
      </c>
      <c r="AQ232" s="14">
        <v>1550.29523203998</v>
      </c>
      <c r="AR232" s="14">
        <v>1536.33586485678</v>
      </c>
    </row>
    <row r="233" s="6" customFormat="1" spans="1:44">
      <c r="A233" s="5" t="s">
        <v>1126</v>
      </c>
      <c r="B233" s="14">
        <f t="shared" si="20"/>
        <v>0</v>
      </c>
      <c r="C233" s="14">
        <v>0</v>
      </c>
      <c r="D233" s="14">
        <v>0</v>
      </c>
      <c r="E233" s="14">
        <v>0</v>
      </c>
      <c r="F233" s="14">
        <v>0</v>
      </c>
      <c r="G233" s="14">
        <v>0</v>
      </c>
      <c r="H233" s="14">
        <v>0</v>
      </c>
      <c r="I233" s="14">
        <v>0</v>
      </c>
      <c r="J233" s="14">
        <v>0</v>
      </c>
      <c r="K233" s="14">
        <v>0</v>
      </c>
      <c r="L233" s="14">
        <v>0</v>
      </c>
      <c r="M233" s="14">
        <v>0</v>
      </c>
      <c r="N233" s="14">
        <v>0</v>
      </c>
      <c r="O233" s="14">
        <v>0</v>
      </c>
      <c r="P233" s="14">
        <v>0</v>
      </c>
      <c r="Q233" s="14">
        <v>0</v>
      </c>
      <c r="R233" s="14">
        <v>0</v>
      </c>
      <c r="S233" s="14">
        <v>0</v>
      </c>
      <c r="T233" s="14">
        <v>0</v>
      </c>
      <c r="U233" s="14">
        <v>0</v>
      </c>
      <c r="V233" s="14">
        <v>0</v>
      </c>
      <c r="W233" s="14">
        <v>0</v>
      </c>
      <c r="X233" s="14">
        <v>0</v>
      </c>
      <c r="Y233" s="14">
        <v>0</v>
      </c>
      <c r="Z233" s="14">
        <v>0</v>
      </c>
      <c r="AA233" s="14">
        <v>0</v>
      </c>
      <c r="AB233" s="14">
        <v>0</v>
      </c>
      <c r="AC233" s="14">
        <v>0</v>
      </c>
      <c r="AD233" s="14">
        <v>0</v>
      </c>
      <c r="AE233" s="14">
        <v>0</v>
      </c>
      <c r="AF233" s="14">
        <v>0</v>
      </c>
      <c r="AG233" s="14">
        <v>0</v>
      </c>
      <c r="AH233" s="14">
        <v>0</v>
      </c>
      <c r="AI233" s="14">
        <v>0</v>
      </c>
      <c r="AJ233" s="14">
        <v>0</v>
      </c>
      <c r="AK233" s="14">
        <v>0</v>
      </c>
      <c r="AL233" s="14">
        <v>0</v>
      </c>
      <c r="AM233" s="14">
        <v>0</v>
      </c>
      <c r="AN233" s="14">
        <v>0</v>
      </c>
      <c r="AO233" s="14">
        <v>0</v>
      </c>
      <c r="AP233" s="14">
        <v>0</v>
      </c>
      <c r="AQ233" s="14">
        <v>0</v>
      </c>
      <c r="AR233" s="14">
        <v>0</v>
      </c>
    </row>
    <row r="234" s="6" customFormat="1" spans="1:44">
      <c r="A234" s="5" t="s">
        <v>1127</v>
      </c>
      <c r="B234" s="14">
        <f t="shared" si="20"/>
        <v>0</v>
      </c>
      <c r="C234" s="14">
        <v>0</v>
      </c>
      <c r="D234" s="14">
        <v>0</v>
      </c>
      <c r="E234" s="14">
        <v>0</v>
      </c>
      <c r="F234" s="14">
        <v>0</v>
      </c>
      <c r="G234" s="14">
        <v>0</v>
      </c>
      <c r="H234" s="14">
        <v>0</v>
      </c>
      <c r="I234" s="14">
        <v>0</v>
      </c>
      <c r="J234" s="14">
        <v>0</v>
      </c>
      <c r="K234" s="14">
        <v>0</v>
      </c>
      <c r="L234" s="14">
        <v>0</v>
      </c>
      <c r="M234" s="14">
        <v>0</v>
      </c>
      <c r="N234" s="14">
        <v>0</v>
      </c>
      <c r="O234" s="14">
        <v>0</v>
      </c>
      <c r="P234" s="14">
        <v>0</v>
      </c>
      <c r="Q234" s="14">
        <v>0</v>
      </c>
      <c r="R234" s="14">
        <v>0</v>
      </c>
      <c r="S234" s="14">
        <v>0</v>
      </c>
      <c r="T234" s="14">
        <v>0</v>
      </c>
      <c r="U234" s="14">
        <v>0</v>
      </c>
      <c r="V234" s="14">
        <v>0</v>
      </c>
      <c r="W234" s="14">
        <v>0</v>
      </c>
      <c r="X234" s="14">
        <v>0</v>
      </c>
      <c r="Y234" s="14">
        <v>0</v>
      </c>
      <c r="Z234" s="14">
        <v>0</v>
      </c>
      <c r="AA234" s="14">
        <v>0</v>
      </c>
      <c r="AB234" s="14">
        <v>0</v>
      </c>
      <c r="AC234" s="14">
        <v>0</v>
      </c>
      <c r="AD234" s="14">
        <v>0</v>
      </c>
      <c r="AE234" s="14">
        <v>0</v>
      </c>
      <c r="AF234" s="14">
        <v>0</v>
      </c>
      <c r="AG234" s="14">
        <v>0</v>
      </c>
      <c r="AH234" s="14">
        <v>0</v>
      </c>
      <c r="AI234" s="14">
        <v>0</v>
      </c>
      <c r="AJ234" s="14">
        <v>0</v>
      </c>
      <c r="AK234" s="14">
        <v>0</v>
      </c>
      <c r="AL234" s="14">
        <v>0</v>
      </c>
      <c r="AM234" s="14">
        <v>0</v>
      </c>
      <c r="AN234" s="14">
        <v>0</v>
      </c>
      <c r="AO234" s="14">
        <v>0</v>
      </c>
      <c r="AP234" s="14">
        <v>0</v>
      </c>
      <c r="AQ234" s="14">
        <v>0</v>
      </c>
      <c r="AR234" s="14">
        <v>0</v>
      </c>
    </row>
    <row r="235" s="6" customFormat="1" spans="1:44">
      <c r="A235" s="5" t="s">
        <v>1128</v>
      </c>
      <c r="B235" s="14">
        <f t="shared" si="20"/>
        <v>0</v>
      </c>
      <c r="C235" s="14">
        <v>0</v>
      </c>
      <c r="D235" s="14">
        <v>0</v>
      </c>
      <c r="E235" s="14">
        <v>0</v>
      </c>
      <c r="F235" s="14">
        <v>0</v>
      </c>
      <c r="G235" s="14">
        <v>0</v>
      </c>
      <c r="H235" s="14">
        <v>0</v>
      </c>
      <c r="I235" s="14">
        <v>0</v>
      </c>
      <c r="J235" s="14">
        <v>0</v>
      </c>
      <c r="K235" s="14">
        <v>0</v>
      </c>
      <c r="L235" s="14">
        <v>0</v>
      </c>
      <c r="M235" s="14">
        <v>0</v>
      </c>
      <c r="N235" s="14">
        <v>0</v>
      </c>
      <c r="O235" s="14">
        <v>0</v>
      </c>
      <c r="P235" s="14">
        <v>0</v>
      </c>
      <c r="Q235" s="14">
        <v>0</v>
      </c>
      <c r="R235" s="14">
        <v>0</v>
      </c>
      <c r="S235" s="14">
        <v>0</v>
      </c>
      <c r="T235" s="14">
        <v>0</v>
      </c>
      <c r="U235" s="14">
        <v>0</v>
      </c>
      <c r="V235" s="14">
        <v>0</v>
      </c>
      <c r="W235" s="14">
        <v>0</v>
      </c>
      <c r="X235" s="14">
        <v>0</v>
      </c>
      <c r="Y235" s="14">
        <v>0</v>
      </c>
      <c r="Z235" s="14">
        <v>0</v>
      </c>
      <c r="AA235" s="14">
        <v>0</v>
      </c>
      <c r="AB235" s="14">
        <v>0</v>
      </c>
      <c r="AC235" s="14">
        <v>0</v>
      </c>
      <c r="AD235" s="14">
        <v>0</v>
      </c>
      <c r="AE235" s="14">
        <v>0</v>
      </c>
      <c r="AF235" s="14">
        <v>0</v>
      </c>
      <c r="AG235" s="14">
        <v>0</v>
      </c>
      <c r="AH235" s="14">
        <v>0</v>
      </c>
      <c r="AI235" s="14">
        <v>0</v>
      </c>
      <c r="AJ235" s="14">
        <v>0</v>
      </c>
      <c r="AK235" s="14">
        <v>0</v>
      </c>
      <c r="AL235" s="14">
        <v>0</v>
      </c>
      <c r="AM235" s="14">
        <v>0</v>
      </c>
      <c r="AN235" s="14">
        <v>0</v>
      </c>
      <c r="AO235" s="14">
        <v>0</v>
      </c>
      <c r="AP235" s="14">
        <v>0</v>
      </c>
      <c r="AQ235" s="14">
        <v>0</v>
      </c>
      <c r="AR235" s="14">
        <v>0</v>
      </c>
    </row>
    <row r="236" s="6" customFormat="1" spans="1:44">
      <c r="A236" s="5" t="s">
        <v>1129</v>
      </c>
      <c r="B236" s="14">
        <f t="shared" si="20"/>
        <v>0</v>
      </c>
      <c r="C236" s="14">
        <v>0</v>
      </c>
      <c r="D236" s="14">
        <v>0</v>
      </c>
      <c r="E236" s="14">
        <v>0</v>
      </c>
      <c r="F236" s="14">
        <v>0</v>
      </c>
      <c r="G236" s="14">
        <v>0</v>
      </c>
      <c r="H236" s="14">
        <v>0</v>
      </c>
      <c r="I236" s="14">
        <v>0</v>
      </c>
      <c r="J236" s="14">
        <v>0</v>
      </c>
      <c r="K236" s="14">
        <v>0</v>
      </c>
      <c r="L236" s="14">
        <v>0</v>
      </c>
      <c r="M236" s="14">
        <v>0</v>
      </c>
      <c r="N236" s="14">
        <v>0</v>
      </c>
      <c r="O236" s="14">
        <v>0</v>
      </c>
      <c r="P236" s="14">
        <v>0</v>
      </c>
      <c r="Q236" s="14">
        <v>0</v>
      </c>
      <c r="R236" s="14">
        <v>0</v>
      </c>
      <c r="S236" s="14">
        <v>0</v>
      </c>
      <c r="T236" s="14">
        <v>0</v>
      </c>
      <c r="U236" s="14">
        <v>0</v>
      </c>
      <c r="V236" s="14">
        <v>0</v>
      </c>
      <c r="W236" s="14">
        <v>0</v>
      </c>
      <c r="X236" s="14">
        <v>0</v>
      </c>
      <c r="Y236" s="14">
        <v>0</v>
      </c>
      <c r="Z236" s="14">
        <v>0</v>
      </c>
      <c r="AA236" s="14">
        <v>0</v>
      </c>
      <c r="AB236" s="14">
        <v>0</v>
      </c>
      <c r="AC236" s="14">
        <v>0</v>
      </c>
      <c r="AD236" s="14">
        <v>0</v>
      </c>
      <c r="AE236" s="14">
        <v>0</v>
      </c>
      <c r="AF236" s="14">
        <v>0</v>
      </c>
      <c r="AG236" s="14">
        <v>0</v>
      </c>
      <c r="AH236" s="14">
        <v>0</v>
      </c>
      <c r="AI236" s="14">
        <v>0</v>
      </c>
      <c r="AJ236" s="14">
        <v>0</v>
      </c>
      <c r="AK236" s="14">
        <v>0</v>
      </c>
      <c r="AL236" s="14">
        <v>0</v>
      </c>
      <c r="AM236" s="14">
        <v>0</v>
      </c>
      <c r="AN236" s="14">
        <v>0</v>
      </c>
      <c r="AO236" s="14">
        <v>0</v>
      </c>
      <c r="AP236" s="14">
        <v>0</v>
      </c>
      <c r="AQ236" s="14">
        <v>0</v>
      </c>
      <c r="AR236" s="14">
        <v>0</v>
      </c>
    </row>
    <row r="237" s="6" customFormat="1" spans="1:44">
      <c r="A237" s="5" t="s">
        <v>1130</v>
      </c>
      <c r="B237" s="14">
        <f t="shared" si="20"/>
        <v>0</v>
      </c>
      <c r="C237" s="14">
        <v>0</v>
      </c>
      <c r="D237" s="14">
        <v>0</v>
      </c>
      <c r="E237" s="14">
        <v>0</v>
      </c>
      <c r="F237" s="14">
        <v>0</v>
      </c>
      <c r="G237" s="14">
        <v>0</v>
      </c>
      <c r="H237" s="14">
        <v>0</v>
      </c>
      <c r="I237" s="14">
        <v>0</v>
      </c>
      <c r="J237" s="14">
        <v>0</v>
      </c>
      <c r="K237" s="14">
        <v>0</v>
      </c>
      <c r="L237" s="14">
        <v>0</v>
      </c>
      <c r="M237" s="14">
        <v>0</v>
      </c>
      <c r="N237" s="14">
        <v>0</v>
      </c>
      <c r="O237" s="14">
        <v>0</v>
      </c>
      <c r="P237" s="14">
        <v>0</v>
      </c>
      <c r="Q237" s="14">
        <v>0</v>
      </c>
      <c r="R237" s="14">
        <v>0</v>
      </c>
      <c r="S237" s="14">
        <v>0</v>
      </c>
      <c r="T237" s="14">
        <v>0</v>
      </c>
      <c r="U237" s="14">
        <v>0</v>
      </c>
      <c r="V237" s="14">
        <v>0</v>
      </c>
      <c r="W237" s="14">
        <v>0</v>
      </c>
      <c r="X237" s="14">
        <v>0</v>
      </c>
      <c r="Y237" s="14">
        <v>0</v>
      </c>
      <c r="Z237" s="14">
        <v>0</v>
      </c>
      <c r="AA237" s="14">
        <v>0</v>
      </c>
      <c r="AB237" s="14">
        <v>0</v>
      </c>
      <c r="AC237" s="14">
        <v>0</v>
      </c>
      <c r="AD237" s="14">
        <v>0</v>
      </c>
      <c r="AE237" s="14">
        <v>0</v>
      </c>
      <c r="AF237" s="14">
        <v>0</v>
      </c>
      <c r="AG237" s="14">
        <v>0</v>
      </c>
      <c r="AH237" s="14">
        <v>0</v>
      </c>
      <c r="AI237" s="14">
        <v>0</v>
      </c>
      <c r="AJ237" s="14">
        <v>0</v>
      </c>
      <c r="AK237" s="14">
        <v>0</v>
      </c>
      <c r="AL237" s="14">
        <v>0</v>
      </c>
      <c r="AM237" s="14">
        <v>0</v>
      </c>
      <c r="AN237" s="14">
        <v>0</v>
      </c>
      <c r="AO237" s="14">
        <v>0</v>
      </c>
      <c r="AP237" s="14">
        <v>0</v>
      </c>
      <c r="AQ237" s="14">
        <v>0</v>
      </c>
      <c r="AR237" s="14">
        <v>0</v>
      </c>
    </row>
    <row r="238" s="6" customFormat="1" spans="1:44">
      <c r="A238" s="5" t="s">
        <v>1131</v>
      </c>
      <c r="B238" s="14">
        <f t="shared" si="20"/>
        <v>0</v>
      </c>
      <c r="C238" s="14">
        <v>302.44171701328</v>
      </c>
      <c r="D238" s="14">
        <v>305.492284093498</v>
      </c>
      <c r="E238" s="14">
        <v>328.190233846023</v>
      </c>
      <c r="F238" s="14">
        <v>339.544114828919</v>
      </c>
      <c r="G238" s="14">
        <v>342.32220878322</v>
      </c>
      <c r="H238" s="14">
        <v>349.40140312465</v>
      </c>
      <c r="I238" s="14">
        <v>359.843351451018</v>
      </c>
      <c r="J238" s="14">
        <v>368.678859255416</v>
      </c>
      <c r="K238" s="14">
        <v>377.703428650207</v>
      </c>
      <c r="L238" s="14">
        <v>386.92238178031</v>
      </c>
      <c r="M238" s="14">
        <v>396.339842557074</v>
      </c>
      <c r="N238" s="14">
        <v>405.957993870665</v>
      </c>
      <c r="O238" s="14">
        <v>415.518459940917</v>
      </c>
      <c r="P238" s="14">
        <v>425.272462737828</v>
      </c>
      <c r="Q238" s="14">
        <v>435.22552924404</v>
      </c>
      <c r="R238" s="14">
        <v>445.381157805146</v>
      </c>
      <c r="S238" s="14">
        <v>455.741444231237</v>
      </c>
      <c r="T238" s="14">
        <v>460.070878676285</v>
      </c>
      <c r="U238" s="14">
        <v>464.40942296834</v>
      </c>
      <c r="V238" s="14">
        <v>468.754024753909</v>
      </c>
      <c r="W238" s="14">
        <v>473.106825244682</v>
      </c>
      <c r="X238" s="14">
        <v>477.46706773473</v>
      </c>
      <c r="Y238" s="14">
        <v>478.627024194362</v>
      </c>
      <c r="Z238" s="14">
        <v>479.767355418209</v>
      </c>
      <c r="AA238" s="14">
        <v>480.887684759881</v>
      </c>
      <c r="AB238" s="14">
        <v>481.988359927214</v>
      </c>
      <c r="AC238" s="14">
        <v>483.069781607857</v>
      </c>
      <c r="AD238" s="14">
        <v>483.380524228186</v>
      </c>
      <c r="AE238" s="14">
        <v>483.661006917346</v>
      </c>
      <c r="AF238" s="14">
        <v>483.916042379196</v>
      </c>
      <c r="AG238" s="14">
        <v>484.141710998121</v>
      </c>
      <c r="AH238" s="14">
        <v>484.336728347608</v>
      </c>
      <c r="AI238" s="14">
        <v>480.968769247935</v>
      </c>
      <c r="AJ238" s="14">
        <v>477.601282069272</v>
      </c>
      <c r="AK238" s="14">
        <v>474.230014625254</v>
      </c>
      <c r="AL238" s="14">
        <v>470.859080642401</v>
      </c>
      <c r="AM238" s="14">
        <v>467.486299489491</v>
      </c>
      <c r="AN238" s="14">
        <v>463.429204382313</v>
      </c>
      <c r="AO238" s="14">
        <v>459.371541634302</v>
      </c>
      <c r="AP238" s="14">
        <v>455.311836714912</v>
      </c>
      <c r="AQ238" s="14">
        <v>451.250322913394</v>
      </c>
      <c r="AR238" s="14">
        <v>447.187116874378</v>
      </c>
    </row>
    <row r="239" s="6" customFormat="1" spans="1:44">
      <c r="A239" s="5" t="s">
        <v>1132</v>
      </c>
      <c r="B239" s="14">
        <f t="shared" si="20"/>
        <v>0</v>
      </c>
      <c r="C239" s="14">
        <v>0</v>
      </c>
      <c r="D239" s="14">
        <v>0</v>
      </c>
      <c r="E239" s="14">
        <v>0</v>
      </c>
      <c r="F239" s="14">
        <v>0</v>
      </c>
      <c r="G239" s="14">
        <v>0</v>
      </c>
      <c r="H239" s="14">
        <v>0</v>
      </c>
      <c r="I239" s="14">
        <v>0</v>
      </c>
      <c r="J239" s="14">
        <v>0</v>
      </c>
      <c r="K239" s="14">
        <v>0</v>
      </c>
      <c r="L239" s="14">
        <v>0</v>
      </c>
      <c r="M239" s="14">
        <v>0</v>
      </c>
      <c r="N239" s="14">
        <v>0</v>
      </c>
      <c r="O239" s="14">
        <v>0</v>
      </c>
      <c r="P239" s="14">
        <v>0</v>
      </c>
      <c r="Q239" s="14">
        <v>0</v>
      </c>
      <c r="R239" s="14">
        <v>0</v>
      </c>
      <c r="S239" s="14">
        <v>0</v>
      </c>
      <c r="T239" s="14">
        <v>0</v>
      </c>
      <c r="U239" s="14">
        <v>0</v>
      </c>
      <c r="V239" s="14">
        <v>0</v>
      </c>
      <c r="W239" s="14">
        <v>0</v>
      </c>
      <c r="X239" s="14">
        <v>0</v>
      </c>
      <c r="Y239" s="14">
        <v>0</v>
      </c>
      <c r="Z239" s="14">
        <v>0</v>
      </c>
      <c r="AA239" s="14">
        <v>0</v>
      </c>
      <c r="AB239" s="14">
        <v>0</v>
      </c>
      <c r="AC239" s="14">
        <v>0</v>
      </c>
      <c r="AD239" s="14">
        <v>0</v>
      </c>
      <c r="AE239" s="14">
        <v>0</v>
      </c>
      <c r="AF239" s="14">
        <v>0</v>
      </c>
      <c r="AG239" s="14">
        <v>0</v>
      </c>
      <c r="AH239" s="14">
        <v>0</v>
      </c>
      <c r="AI239" s="14">
        <v>0</v>
      </c>
      <c r="AJ239" s="14">
        <v>0</v>
      </c>
      <c r="AK239" s="14">
        <v>0</v>
      </c>
      <c r="AL239" s="14">
        <v>0</v>
      </c>
      <c r="AM239" s="14">
        <v>0</v>
      </c>
      <c r="AN239" s="14">
        <v>0</v>
      </c>
      <c r="AO239" s="14">
        <v>0</v>
      </c>
      <c r="AP239" s="14">
        <v>0</v>
      </c>
      <c r="AQ239" s="14">
        <v>0</v>
      </c>
      <c r="AR239" s="14">
        <v>0</v>
      </c>
    </row>
    <row r="240" s="7" customFormat="1" spans="1:44">
      <c r="A240" s="5" t="s">
        <v>1119</v>
      </c>
      <c r="B240" s="7">
        <f>BAU建筑总能耗计算!B$3*$R$16</f>
        <v>8405.17576538964</v>
      </c>
      <c r="C240" s="7">
        <v>0</v>
      </c>
      <c r="D240" s="7">
        <v>0</v>
      </c>
      <c r="E240" s="7">
        <v>0</v>
      </c>
      <c r="F240" s="7">
        <v>0</v>
      </c>
      <c r="G240" s="7">
        <v>0</v>
      </c>
      <c r="H240" s="7">
        <v>0</v>
      </c>
      <c r="I240" s="7">
        <v>0</v>
      </c>
      <c r="J240" s="7">
        <v>0</v>
      </c>
      <c r="K240" s="7">
        <v>0</v>
      </c>
      <c r="L240" s="7">
        <v>0</v>
      </c>
      <c r="M240" s="7">
        <v>0</v>
      </c>
      <c r="N240" s="7">
        <v>0</v>
      </c>
      <c r="O240" s="7">
        <v>0</v>
      </c>
      <c r="P240" s="7">
        <v>0</v>
      </c>
      <c r="Q240" s="7">
        <v>0</v>
      </c>
      <c r="R240" s="7">
        <v>0</v>
      </c>
      <c r="S240" s="7">
        <v>0</v>
      </c>
      <c r="T240" s="7">
        <v>0</v>
      </c>
      <c r="U240" s="7">
        <v>0</v>
      </c>
      <c r="V240" s="7">
        <v>0</v>
      </c>
      <c r="W240" s="7">
        <v>0</v>
      </c>
      <c r="X240" s="7">
        <v>0</v>
      </c>
      <c r="Y240" s="7">
        <v>0</v>
      </c>
      <c r="Z240" s="7">
        <v>0</v>
      </c>
      <c r="AA240" s="7">
        <v>0</v>
      </c>
      <c r="AB240" s="7">
        <v>0</v>
      </c>
      <c r="AC240" s="7">
        <v>0</v>
      </c>
      <c r="AD240" s="7">
        <v>0</v>
      </c>
      <c r="AE240" s="7">
        <v>0</v>
      </c>
      <c r="AF240" s="7">
        <v>0</v>
      </c>
      <c r="AG240" s="7">
        <v>0</v>
      </c>
      <c r="AH240" s="7">
        <v>0</v>
      </c>
      <c r="AI240" s="7">
        <v>0</v>
      </c>
      <c r="AJ240" s="7">
        <v>0</v>
      </c>
      <c r="AK240" s="7">
        <v>0</v>
      </c>
      <c r="AL240" s="7">
        <v>0</v>
      </c>
      <c r="AM240" s="7">
        <v>0</v>
      </c>
      <c r="AN240" s="7">
        <v>0</v>
      </c>
      <c r="AO240" s="7">
        <v>0</v>
      </c>
      <c r="AP240" s="7">
        <v>0</v>
      </c>
      <c r="AQ240" s="7">
        <v>0</v>
      </c>
      <c r="AR240" s="7">
        <v>0</v>
      </c>
    </row>
    <row r="241" s="6" customFormat="1"/>
    <row r="242" s="5" customFormat="1" spans="1:44">
      <c r="A242" s="13" t="s">
        <v>115</v>
      </c>
      <c r="B242" s="5">
        <v>2018</v>
      </c>
      <c r="C242" s="5">
        <v>2019</v>
      </c>
      <c r="D242" s="5">
        <v>2020</v>
      </c>
      <c r="E242" s="5">
        <v>2021</v>
      </c>
      <c r="F242" s="5">
        <v>2022</v>
      </c>
      <c r="G242" s="5">
        <v>2023</v>
      </c>
      <c r="H242" s="5">
        <v>2024</v>
      </c>
      <c r="I242" s="5">
        <v>2025</v>
      </c>
      <c r="J242" s="5">
        <v>2026</v>
      </c>
      <c r="K242" s="5">
        <v>2027</v>
      </c>
      <c r="L242" s="5">
        <v>2028</v>
      </c>
      <c r="M242" s="5">
        <v>2029</v>
      </c>
      <c r="N242" s="5">
        <v>2030</v>
      </c>
      <c r="O242" s="5">
        <v>2031</v>
      </c>
      <c r="P242" s="5">
        <v>2032</v>
      </c>
      <c r="Q242" s="5">
        <v>2033</v>
      </c>
      <c r="R242" s="5">
        <v>2034</v>
      </c>
      <c r="S242" s="5">
        <v>2035</v>
      </c>
      <c r="T242" s="5">
        <v>2036</v>
      </c>
      <c r="U242" s="5">
        <v>2037</v>
      </c>
      <c r="V242" s="5">
        <v>2038</v>
      </c>
      <c r="W242" s="5">
        <v>2039</v>
      </c>
      <c r="X242" s="5">
        <v>2040</v>
      </c>
      <c r="Y242" s="5">
        <v>2041</v>
      </c>
      <c r="Z242" s="5">
        <v>2042</v>
      </c>
      <c r="AA242" s="5">
        <v>2043</v>
      </c>
      <c r="AB242" s="5">
        <v>2044</v>
      </c>
      <c r="AC242" s="5">
        <v>2045</v>
      </c>
      <c r="AD242" s="5">
        <v>2046</v>
      </c>
      <c r="AE242" s="5">
        <v>2047</v>
      </c>
      <c r="AF242" s="5">
        <v>2048</v>
      </c>
      <c r="AG242" s="5">
        <v>2049</v>
      </c>
      <c r="AH242" s="5">
        <v>2050</v>
      </c>
      <c r="AI242" s="5">
        <v>2051</v>
      </c>
      <c r="AJ242" s="5">
        <v>2052</v>
      </c>
      <c r="AK242" s="5">
        <v>2053</v>
      </c>
      <c r="AL242" s="5">
        <v>2054</v>
      </c>
      <c r="AM242" s="5">
        <v>2055</v>
      </c>
      <c r="AN242" s="5">
        <v>2056</v>
      </c>
      <c r="AO242" s="5">
        <v>2057</v>
      </c>
      <c r="AP242" s="5">
        <v>2058</v>
      </c>
      <c r="AQ242" s="5">
        <v>2059</v>
      </c>
      <c r="AR242" s="5">
        <v>2060</v>
      </c>
    </row>
    <row r="243" s="6" customFormat="1" spans="1:44">
      <c r="A243" s="5" t="s">
        <v>1123</v>
      </c>
      <c r="B243" s="14">
        <f t="shared" ref="B243:B252" si="21">B$253*$S4/$S$14</f>
        <v>292.210502622688</v>
      </c>
      <c r="C243" s="14">
        <v>3666.09548587968</v>
      </c>
      <c r="D243" s="14">
        <v>3729.94565730184</v>
      </c>
      <c r="E243" s="14">
        <v>4433.17750151746</v>
      </c>
      <c r="F243" s="14">
        <v>4546.73292069491</v>
      </c>
      <c r="G243" s="14">
        <v>5288.15261471469</v>
      </c>
      <c r="H243" s="14">
        <v>4316.94391632282</v>
      </c>
      <c r="I243" s="14">
        <v>4222.72440321154</v>
      </c>
      <c r="J243" s="14">
        <v>4370.40303314267</v>
      </c>
      <c r="K243" s="14">
        <v>4514.08805189239</v>
      </c>
      <c r="L243" s="14">
        <v>4654.22653497999</v>
      </c>
      <c r="M243" s="14">
        <v>4785.3891408464</v>
      </c>
      <c r="N243" s="14">
        <v>4909.06842732096</v>
      </c>
      <c r="O243" s="14">
        <v>5020.6317582681</v>
      </c>
      <c r="P243" s="14">
        <v>5119.07517224849</v>
      </c>
      <c r="Q243" s="14">
        <v>5207.05348484862</v>
      </c>
      <c r="R243" s="14">
        <v>5283.306393159</v>
      </c>
      <c r="S243" s="14">
        <v>5740.67304870412</v>
      </c>
      <c r="T243" s="14">
        <v>5878.25850706385</v>
      </c>
      <c r="U243" s="14">
        <v>6008.26686148481</v>
      </c>
      <c r="V243" s="14">
        <v>6184.28184436657</v>
      </c>
      <c r="W243" s="14">
        <v>6362.92488834095</v>
      </c>
      <c r="X243" s="14">
        <v>6534.68700158831</v>
      </c>
      <c r="Y243" s="14">
        <v>6693.45340710531</v>
      </c>
      <c r="Z243" s="14">
        <v>6845.53549536297</v>
      </c>
      <c r="AA243" s="14">
        <v>6991.20846957301</v>
      </c>
      <c r="AB243" s="14">
        <v>7130.47022575062</v>
      </c>
      <c r="AC243" s="14">
        <v>7264.33226771616</v>
      </c>
      <c r="AD243" s="14">
        <v>7386.16258475271</v>
      </c>
      <c r="AE243" s="14">
        <v>7502.13848192419</v>
      </c>
      <c r="AF243" s="14">
        <v>7612.9277500281</v>
      </c>
      <c r="AG243" s="14">
        <v>7719.41883911336</v>
      </c>
      <c r="AH243" s="14">
        <v>7820.70225218161</v>
      </c>
      <c r="AI243" s="14">
        <v>7895.59824742674</v>
      </c>
      <c r="AJ243" s="14">
        <v>7965.27604807887</v>
      </c>
      <c r="AK243" s="14">
        <v>8029.11066907626</v>
      </c>
      <c r="AL243" s="14">
        <v>8087.03349059732</v>
      </c>
      <c r="AM243" s="14">
        <v>8138.50231809926</v>
      </c>
      <c r="AN243" s="14">
        <v>8173.44296175432</v>
      </c>
      <c r="AO243" s="14">
        <v>8199.88100698689</v>
      </c>
      <c r="AP243" s="14">
        <v>8217.6942814934</v>
      </c>
      <c r="AQ243" s="14">
        <v>8226.97692044874</v>
      </c>
      <c r="AR243" s="14">
        <v>8227.73047560803</v>
      </c>
    </row>
    <row r="244" s="6" customFormat="1" spans="1:44">
      <c r="A244" s="5" t="s">
        <v>1124</v>
      </c>
      <c r="B244" s="14">
        <f t="shared" si="21"/>
        <v>239.913503091931</v>
      </c>
      <c r="C244" s="14">
        <v>0</v>
      </c>
      <c r="D244" s="14">
        <v>0</v>
      </c>
      <c r="E244" s="14">
        <v>0</v>
      </c>
      <c r="F244" s="14">
        <v>0</v>
      </c>
      <c r="G244" s="14">
        <v>0</v>
      </c>
      <c r="H244" s="14">
        <v>0</v>
      </c>
      <c r="I244" s="14">
        <v>0</v>
      </c>
      <c r="J244" s="14">
        <v>0</v>
      </c>
      <c r="K244" s="14">
        <v>0</v>
      </c>
      <c r="L244" s="14">
        <v>0</v>
      </c>
      <c r="M244" s="14">
        <v>0</v>
      </c>
      <c r="N244" s="14">
        <v>0</v>
      </c>
      <c r="O244" s="14">
        <v>0</v>
      </c>
      <c r="P244" s="14">
        <v>0</v>
      </c>
      <c r="Q244" s="14">
        <v>0</v>
      </c>
      <c r="R244" s="14">
        <v>0</v>
      </c>
      <c r="S244" s="14">
        <v>0</v>
      </c>
      <c r="T244" s="14">
        <v>0</v>
      </c>
      <c r="U244" s="14">
        <v>0</v>
      </c>
      <c r="V244" s="14">
        <v>0</v>
      </c>
      <c r="W244" s="14">
        <v>0</v>
      </c>
      <c r="X244" s="14">
        <v>0</v>
      </c>
      <c r="Y244" s="14">
        <v>0</v>
      </c>
      <c r="Z244" s="14">
        <v>0</v>
      </c>
      <c r="AA244" s="14">
        <v>0</v>
      </c>
      <c r="AB244" s="14">
        <v>0</v>
      </c>
      <c r="AC244" s="14">
        <v>0</v>
      </c>
      <c r="AD244" s="14">
        <v>0</v>
      </c>
      <c r="AE244" s="14">
        <v>0</v>
      </c>
      <c r="AF244" s="14">
        <v>0</v>
      </c>
      <c r="AG244" s="14">
        <v>0</v>
      </c>
      <c r="AH244" s="14">
        <v>0</v>
      </c>
      <c r="AI244" s="14">
        <v>0</v>
      </c>
      <c r="AJ244" s="14">
        <v>0</v>
      </c>
      <c r="AK244" s="14">
        <v>0</v>
      </c>
      <c r="AL244" s="14">
        <v>0</v>
      </c>
      <c r="AM244" s="14">
        <v>0</v>
      </c>
      <c r="AN244" s="14">
        <v>0</v>
      </c>
      <c r="AO244" s="14">
        <v>0</v>
      </c>
      <c r="AP244" s="14">
        <v>0</v>
      </c>
      <c r="AQ244" s="14">
        <v>0</v>
      </c>
      <c r="AR244" s="14">
        <v>0</v>
      </c>
    </row>
    <row r="245" s="6" customFormat="1" spans="1:44">
      <c r="A245" s="5" t="s">
        <v>1125</v>
      </c>
      <c r="B245" s="14">
        <f t="shared" si="21"/>
        <v>0</v>
      </c>
      <c r="C245" s="14">
        <v>0</v>
      </c>
      <c r="D245" s="14">
        <v>0</v>
      </c>
      <c r="E245" s="14">
        <v>0</v>
      </c>
      <c r="F245" s="14">
        <v>0</v>
      </c>
      <c r="G245" s="14">
        <v>0</v>
      </c>
      <c r="H245" s="14">
        <v>0</v>
      </c>
      <c r="I245" s="14">
        <v>0</v>
      </c>
      <c r="J245" s="14">
        <v>0</v>
      </c>
      <c r="K245" s="14">
        <v>0</v>
      </c>
      <c r="L245" s="14">
        <v>0</v>
      </c>
      <c r="M245" s="14">
        <v>0</v>
      </c>
      <c r="N245" s="14">
        <v>0</v>
      </c>
      <c r="O245" s="14">
        <v>0</v>
      </c>
      <c r="P245" s="14">
        <v>0</v>
      </c>
      <c r="Q245" s="14">
        <v>0</v>
      </c>
      <c r="R245" s="14">
        <v>0</v>
      </c>
      <c r="S245" s="14">
        <v>0</v>
      </c>
      <c r="T245" s="14">
        <v>0</v>
      </c>
      <c r="U245" s="14">
        <v>0</v>
      </c>
      <c r="V245" s="14">
        <v>0</v>
      </c>
      <c r="W245" s="14">
        <v>0</v>
      </c>
      <c r="X245" s="14">
        <v>0</v>
      </c>
      <c r="Y245" s="14">
        <v>0</v>
      </c>
      <c r="Z245" s="14">
        <v>0</v>
      </c>
      <c r="AA245" s="14">
        <v>0</v>
      </c>
      <c r="AB245" s="14">
        <v>0</v>
      </c>
      <c r="AC245" s="14">
        <v>0</v>
      </c>
      <c r="AD245" s="14">
        <v>0</v>
      </c>
      <c r="AE245" s="14">
        <v>0</v>
      </c>
      <c r="AF245" s="14">
        <v>0</v>
      </c>
      <c r="AG245" s="14">
        <v>0</v>
      </c>
      <c r="AH245" s="14">
        <v>0</v>
      </c>
      <c r="AI245" s="14">
        <v>0</v>
      </c>
      <c r="AJ245" s="14">
        <v>0</v>
      </c>
      <c r="AK245" s="14">
        <v>0</v>
      </c>
      <c r="AL245" s="14">
        <v>0</v>
      </c>
      <c r="AM245" s="14">
        <v>0</v>
      </c>
      <c r="AN245" s="14">
        <v>0</v>
      </c>
      <c r="AO245" s="14">
        <v>0</v>
      </c>
      <c r="AP245" s="14">
        <v>0</v>
      </c>
      <c r="AQ245" s="14">
        <v>0</v>
      </c>
      <c r="AR245" s="14">
        <v>0</v>
      </c>
    </row>
    <row r="246" s="6" customFormat="1" spans="1:44">
      <c r="A246" s="5" t="s">
        <v>1126</v>
      </c>
      <c r="B246" s="14">
        <f t="shared" si="21"/>
        <v>107.478391209137</v>
      </c>
      <c r="C246" s="14">
        <v>0</v>
      </c>
      <c r="D246" s="14">
        <v>0</v>
      </c>
      <c r="E246" s="14">
        <v>0</v>
      </c>
      <c r="F246" s="14">
        <v>0</v>
      </c>
      <c r="G246" s="14">
        <v>0</v>
      </c>
      <c r="H246" s="14">
        <v>0</v>
      </c>
      <c r="I246" s="14">
        <v>0</v>
      </c>
      <c r="J246" s="14">
        <v>0</v>
      </c>
      <c r="K246" s="14">
        <v>0</v>
      </c>
      <c r="L246" s="14">
        <v>0</v>
      </c>
      <c r="M246" s="14">
        <v>0</v>
      </c>
      <c r="N246" s="14">
        <v>0</v>
      </c>
      <c r="O246" s="14">
        <v>0</v>
      </c>
      <c r="P246" s="14">
        <v>0</v>
      </c>
      <c r="Q246" s="14">
        <v>0</v>
      </c>
      <c r="R246" s="14">
        <v>0</v>
      </c>
      <c r="S246" s="14">
        <v>0</v>
      </c>
      <c r="T246" s="14">
        <v>0</v>
      </c>
      <c r="U246" s="14">
        <v>0</v>
      </c>
      <c r="V246" s="14">
        <v>0</v>
      </c>
      <c r="W246" s="14">
        <v>0</v>
      </c>
      <c r="X246" s="14">
        <v>0</v>
      </c>
      <c r="Y246" s="14">
        <v>0</v>
      </c>
      <c r="Z246" s="14">
        <v>0</v>
      </c>
      <c r="AA246" s="14">
        <v>0</v>
      </c>
      <c r="AB246" s="14">
        <v>0</v>
      </c>
      <c r="AC246" s="14">
        <v>0</v>
      </c>
      <c r="AD246" s="14">
        <v>0</v>
      </c>
      <c r="AE246" s="14">
        <v>0</v>
      </c>
      <c r="AF246" s="14">
        <v>0</v>
      </c>
      <c r="AG246" s="14">
        <v>0</v>
      </c>
      <c r="AH246" s="14">
        <v>0</v>
      </c>
      <c r="AI246" s="14">
        <v>0</v>
      </c>
      <c r="AJ246" s="14">
        <v>0</v>
      </c>
      <c r="AK246" s="14">
        <v>0</v>
      </c>
      <c r="AL246" s="14">
        <v>0</v>
      </c>
      <c r="AM246" s="14">
        <v>0</v>
      </c>
      <c r="AN246" s="14">
        <v>0</v>
      </c>
      <c r="AO246" s="14">
        <v>0</v>
      </c>
      <c r="AP246" s="14">
        <v>0</v>
      </c>
      <c r="AQ246" s="14">
        <v>0</v>
      </c>
      <c r="AR246" s="14">
        <v>0</v>
      </c>
    </row>
    <row r="247" s="6" customFormat="1" spans="1:44">
      <c r="A247" s="5" t="s">
        <v>1127</v>
      </c>
      <c r="B247" s="14">
        <f t="shared" si="21"/>
        <v>0</v>
      </c>
      <c r="C247" s="14">
        <v>0</v>
      </c>
      <c r="D247" s="14">
        <v>0</v>
      </c>
      <c r="E247" s="14">
        <v>0</v>
      </c>
      <c r="F247" s="14">
        <v>0</v>
      </c>
      <c r="G247" s="14">
        <v>0</v>
      </c>
      <c r="H247" s="14">
        <v>0</v>
      </c>
      <c r="I247" s="14">
        <v>0</v>
      </c>
      <c r="J247" s="14">
        <v>0</v>
      </c>
      <c r="K247" s="14">
        <v>0</v>
      </c>
      <c r="L247" s="14">
        <v>0</v>
      </c>
      <c r="M247" s="14">
        <v>0</v>
      </c>
      <c r="N247" s="14">
        <v>0</v>
      </c>
      <c r="O247" s="14">
        <v>0</v>
      </c>
      <c r="P247" s="14">
        <v>0</v>
      </c>
      <c r="Q247" s="14">
        <v>0</v>
      </c>
      <c r="R247" s="14">
        <v>0</v>
      </c>
      <c r="S247" s="14">
        <v>0</v>
      </c>
      <c r="T247" s="14">
        <v>0</v>
      </c>
      <c r="U247" s="14">
        <v>0</v>
      </c>
      <c r="V247" s="14">
        <v>0</v>
      </c>
      <c r="W247" s="14">
        <v>0</v>
      </c>
      <c r="X247" s="14">
        <v>0</v>
      </c>
      <c r="Y247" s="14">
        <v>0</v>
      </c>
      <c r="Z247" s="14">
        <v>0</v>
      </c>
      <c r="AA247" s="14">
        <v>0</v>
      </c>
      <c r="AB247" s="14">
        <v>0</v>
      </c>
      <c r="AC247" s="14">
        <v>0</v>
      </c>
      <c r="AD247" s="14">
        <v>0</v>
      </c>
      <c r="AE247" s="14">
        <v>0</v>
      </c>
      <c r="AF247" s="14">
        <v>0</v>
      </c>
      <c r="AG247" s="14">
        <v>0</v>
      </c>
      <c r="AH247" s="14">
        <v>0</v>
      </c>
      <c r="AI247" s="14">
        <v>0</v>
      </c>
      <c r="AJ247" s="14">
        <v>0</v>
      </c>
      <c r="AK247" s="14">
        <v>0</v>
      </c>
      <c r="AL247" s="14">
        <v>0</v>
      </c>
      <c r="AM247" s="14">
        <v>0</v>
      </c>
      <c r="AN247" s="14">
        <v>0</v>
      </c>
      <c r="AO247" s="14">
        <v>0</v>
      </c>
      <c r="AP247" s="14">
        <v>0</v>
      </c>
      <c r="AQ247" s="14">
        <v>0</v>
      </c>
      <c r="AR247" s="14">
        <v>0</v>
      </c>
    </row>
    <row r="248" s="6" customFormat="1" spans="1:44">
      <c r="A248" s="5" t="s">
        <v>1128</v>
      </c>
      <c r="B248" s="14">
        <f t="shared" si="21"/>
        <v>0</v>
      </c>
      <c r="C248" s="14">
        <v>0</v>
      </c>
      <c r="D248" s="14">
        <v>0</v>
      </c>
      <c r="E248" s="14">
        <v>0</v>
      </c>
      <c r="F248" s="14">
        <v>0</v>
      </c>
      <c r="G248" s="14">
        <v>0</v>
      </c>
      <c r="H248" s="14">
        <v>0</v>
      </c>
      <c r="I248" s="14">
        <v>0</v>
      </c>
      <c r="J248" s="14">
        <v>0</v>
      </c>
      <c r="K248" s="14">
        <v>0</v>
      </c>
      <c r="L248" s="14">
        <v>0</v>
      </c>
      <c r="M248" s="14">
        <v>0</v>
      </c>
      <c r="N248" s="14">
        <v>0</v>
      </c>
      <c r="O248" s="14">
        <v>0</v>
      </c>
      <c r="P248" s="14">
        <v>0</v>
      </c>
      <c r="Q248" s="14">
        <v>0</v>
      </c>
      <c r="R248" s="14">
        <v>0</v>
      </c>
      <c r="S248" s="14">
        <v>0</v>
      </c>
      <c r="T248" s="14">
        <v>0</v>
      </c>
      <c r="U248" s="14">
        <v>0</v>
      </c>
      <c r="V248" s="14">
        <v>0</v>
      </c>
      <c r="W248" s="14">
        <v>0</v>
      </c>
      <c r="X248" s="14">
        <v>0</v>
      </c>
      <c r="Y248" s="14">
        <v>0</v>
      </c>
      <c r="Z248" s="14">
        <v>0</v>
      </c>
      <c r="AA248" s="14">
        <v>0</v>
      </c>
      <c r="AB248" s="14">
        <v>0</v>
      </c>
      <c r="AC248" s="14">
        <v>0</v>
      </c>
      <c r="AD248" s="14">
        <v>0</v>
      </c>
      <c r="AE248" s="14">
        <v>0</v>
      </c>
      <c r="AF248" s="14">
        <v>0</v>
      </c>
      <c r="AG248" s="14">
        <v>0</v>
      </c>
      <c r="AH248" s="14">
        <v>0</v>
      </c>
      <c r="AI248" s="14">
        <v>0</v>
      </c>
      <c r="AJ248" s="14">
        <v>0</v>
      </c>
      <c r="AK248" s="14">
        <v>0</v>
      </c>
      <c r="AL248" s="14">
        <v>0</v>
      </c>
      <c r="AM248" s="14">
        <v>0</v>
      </c>
      <c r="AN248" s="14">
        <v>0</v>
      </c>
      <c r="AO248" s="14">
        <v>0</v>
      </c>
      <c r="AP248" s="14">
        <v>0</v>
      </c>
      <c r="AQ248" s="14">
        <v>0</v>
      </c>
      <c r="AR248" s="14">
        <v>0</v>
      </c>
    </row>
    <row r="249" s="6" customFormat="1" spans="1:44">
      <c r="A249" s="5" t="s">
        <v>1129</v>
      </c>
      <c r="B249" s="14">
        <f t="shared" si="21"/>
        <v>0</v>
      </c>
      <c r="C249" s="14">
        <v>0</v>
      </c>
      <c r="D249" s="14">
        <v>0</v>
      </c>
      <c r="E249" s="14">
        <v>0</v>
      </c>
      <c r="F249" s="14">
        <v>0</v>
      </c>
      <c r="G249" s="14">
        <v>0</v>
      </c>
      <c r="H249" s="14">
        <v>0</v>
      </c>
      <c r="I249" s="14">
        <v>0</v>
      </c>
      <c r="J249" s="14">
        <v>0</v>
      </c>
      <c r="K249" s="14">
        <v>0</v>
      </c>
      <c r="L249" s="14">
        <v>0</v>
      </c>
      <c r="M249" s="14">
        <v>0</v>
      </c>
      <c r="N249" s="14">
        <v>0</v>
      </c>
      <c r="O249" s="14">
        <v>0</v>
      </c>
      <c r="P249" s="14">
        <v>0</v>
      </c>
      <c r="Q249" s="14">
        <v>0</v>
      </c>
      <c r="R249" s="14">
        <v>0</v>
      </c>
      <c r="S249" s="14">
        <v>0</v>
      </c>
      <c r="T249" s="14">
        <v>0</v>
      </c>
      <c r="U249" s="14">
        <v>0</v>
      </c>
      <c r="V249" s="14">
        <v>0</v>
      </c>
      <c r="W249" s="14">
        <v>0</v>
      </c>
      <c r="X249" s="14">
        <v>0</v>
      </c>
      <c r="Y249" s="14">
        <v>0</v>
      </c>
      <c r="Z249" s="14">
        <v>0</v>
      </c>
      <c r="AA249" s="14">
        <v>0</v>
      </c>
      <c r="AB249" s="14">
        <v>0</v>
      </c>
      <c r="AC249" s="14">
        <v>0</v>
      </c>
      <c r="AD249" s="14">
        <v>0</v>
      </c>
      <c r="AE249" s="14">
        <v>0</v>
      </c>
      <c r="AF249" s="14">
        <v>0</v>
      </c>
      <c r="AG249" s="14">
        <v>0</v>
      </c>
      <c r="AH249" s="14">
        <v>0</v>
      </c>
      <c r="AI249" s="14">
        <v>0</v>
      </c>
      <c r="AJ249" s="14">
        <v>0</v>
      </c>
      <c r="AK249" s="14">
        <v>0</v>
      </c>
      <c r="AL249" s="14">
        <v>0</v>
      </c>
      <c r="AM249" s="14">
        <v>0</v>
      </c>
      <c r="AN249" s="14">
        <v>0</v>
      </c>
      <c r="AO249" s="14">
        <v>0</v>
      </c>
      <c r="AP249" s="14">
        <v>0</v>
      </c>
      <c r="AQ249" s="14">
        <v>0</v>
      </c>
      <c r="AR249" s="14">
        <v>0</v>
      </c>
    </row>
    <row r="250" s="6" customFormat="1" spans="1:44">
      <c r="A250" s="5" t="s">
        <v>1130</v>
      </c>
      <c r="B250" s="14">
        <f t="shared" si="21"/>
        <v>0</v>
      </c>
      <c r="C250" s="14">
        <v>0</v>
      </c>
      <c r="D250" s="14">
        <v>0</v>
      </c>
      <c r="E250" s="14">
        <v>0</v>
      </c>
      <c r="F250" s="14">
        <v>0</v>
      </c>
      <c r="G250" s="14">
        <v>0</v>
      </c>
      <c r="H250" s="14">
        <v>0</v>
      </c>
      <c r="I250" s="14">
        <v>0</v>
      </c>
      <c r="J250" s="14">
        <v>0</v>
      </c>
      <c r="K250" s="14">
        <v>0</v>
      </c>
      <c r="L250" s="14">
        <v>0</v>
      </c>
      <c r="M250" s="14">
        <v>0</v>
      </c>
      <c r="N250" s="14">
        <v>0</v>
      </c>
      <c r="O250" s="14">
        <v>0</v>
      </c>
      <c r="P250" s="14">
        <v>0</v>
      </c>
      <c r="Q250" s="14">
        <v>0</v>
      </c>
      <c r="R250" s="14">
        <v>0</v>
      </c>
      <c r="S250" s="14">
        <v>0</v>
      </c>
      <c r="T250" s="14">
        <v>0</v>
      </c>
      <c r="U250" s="14">
        <v>0</v>
      </c>
      <c r="V250" s="14">
        <v>0</v>
      </c>
      <c r="W250" s="14">
        <v>0</v>
      </c>
      <c r="X250" s="14">
        <v>0</v>
      </c>
      <c r="Y250" s="14">
        <v>0</v>
      </c>
      <c r="Z250" s="14">
        <v>0</v>
      </c>
      <c r="AA250" s="14">
        <v>0</v>
      </c>
      <c r="AB250" s="14">
        <v>0</v>
      </c>
      <c r="AC250" s="14">
        <v>0</v>
      </c>
      <c r="AD250" s="14">
        <v>0</v>
      </c>
      <c r="AE250" s="14">
        <v>0</v>
      </c>
      <c r="AF250" s="14">
        <v>0</v>
      </c>
      <c r="AG250" s="14">
        <v>0</v>
      </c>
      <c r="AH250" s="14">
        <v>0</v>
      </c>
      <c r="AI250" s="14">
        <v>0</v>
      </c>
      <c r="AJ250" s="14">
        <v>0</v>
      </c>
      <c r="AK250" s="14">
        <v>0</v>
      </c>
      <c r="AL250" s="14">
        <v>0</v>
      </c>
      <c r="AM250" s="14">
        <v>0</v>
      </c>
      <c r="AN250" s="14">
        <v>0</v>
      </c>
      <c r="AO250" s="14">
        <v>0</v>
      </c>
      <c r="AP250" s="14">
        <v>0</v>
      </c>
      <c r="AQ250" s="14">
        <v>0</v>
      </c>
      <c r="AR250" s="14">
        <v>0</v>
      </c>
    </row>
    <row r="251" s="6" customFormat="1" spans="1:44">
      <c r="A251" s="5" t="s">
        <v>1131</v>
      </c>
      <c r="B251" s="14">
        <f t="shared" si="21"/>
        <v>799.958297699168</v>
      </c>
      <c r="C251" s="14">
        <v>0</v>
      </c>
      <c r="D251" s="14">
        <v>0</v>
      </c>
      <c r="E251" s="14">
        <v>0</v>
      </c>
      <c r="F251" s="14">
        <v>0</v>
      </c>
      <c r="G251" s="14">
        <v>0</v>
      </c>
      <c r="H251" s="14">
        <v>0</v>
      </c>
      <c r="I251" s="14">
        <v>0</v>
      </c>
      <c r="J251" s="14">
        <v>0</v>
      </c>
      <c r="K251" s="14">
        <v>0</v>
      </c>
      <c r="L251" s="14">
        <v>0</v>
      </c>
      <c r="M251" s="14">
        <v>0</v>
      </c>
      <c r="N251" s="14">
        <v>0</v>
      </c>
      <c r="O251" s="14">
        <v>0</v>
      </c>
      <c r="P251" s="14">
        <v>0</v>
      </c>
      <c r="Q251" s="14">
        <v>0</v>
      </c>
      <c r="R251" s="14">
        <v>0</v>
      </c>
      <c r="S251" s="14">
        <v>0</v>
      </c>
      <c r="T251" s="14">
        <v>0</v>
      </c>
      <c r="U251" s="14">
        <v>0</v>
      </c>
      <c r="V251" s="14">
        <v>0</v>
      </c>
      <c r="W251" s="14">
        <v>0</v>
      </c>
      <c r="X251" s="14">
        <v>0</v>
      </c>
      <c r="Y251" s="14">
        <v>0</v>
      </c>
      <c r="Z251" s="14">
        <v>0</v>
      </c>
      <c r="AA251" s="14">
        <v>0</v>
      </c>
      <c r="AB251" s="14">
        <v>0</v>
      </c>
      <c r="AC251" s="14">
        <v>0</v>
      </c>
      <c r="AD251" s="14">
        <v>0</v>
      </c>
      <c r="AE251" s="14">
        <v>0</v>
      </c>
      <c r="AF251" s="14">
        <v>0</v>
      </c>
      <c r="AG251" s="14">
        <v>0</v>
      </c>
      <c r="AH251" s="14">
        <v>0</v>
      </c>
      <c r="AI251" s="14">
        <v>0</v>
      </c>
      <c r="AJ251" s="14">
        <v>0</v>
      </c>
      <c r="AK251" s="14">
        <v>0</v>
      </c>
      <c r="AL251" s="14">
        <v>0</v>
      </c>
      <c r="AM251" s="14">
        <v>0</v>
      </c>
      <c r="AN251" s="14">
        <v>0</v>
      </c>
      <c r="AO251" s="14">
        <v>0</v>
      </c>
      <c r="AP251" s="14">
        <v>0</v>
      </c>
      <c r="AQ251" s="14">
        <v>0</v>
      </c>
      <c r="AR251" s="14">
        <v>0</v>
      </c>
    </row>
    <row r="252" s="6" customFormat="1" spans="1:44">
      <c r="A252" s="5" t="s">
        <v>1132</v>
      </c>
      <c r="B252" s="14">
        <f t="shared" si="21"/>
        <v>0</v>
      </c>
      <c r="C252" s="14">
        <v>0</v>
      </c>
      <c r="D252" s="14">
        <v>0</v>
      </c>
      <c r="E252" s="14">
        <v>0</v>
      </c>
      <c r="F252" s="14">
        <v>0</v>
      </c>
      <c r="G252" s="14">
        <v>0</v>
      </c>
      <c r="H252" s="14">
        <v>0</v>
      </c>
      <c r="I252" s="14">
        <v>0</v>
      </c>
      <c r="J252" s="14">
        <v>0</v>
      </c>
      <c r="K252" s="14">
        <v>0</v>
      </c>
      <c r="L252" s="14">
        <v>0</v>
      </c>
      <c r="M252" s="14">
        <v>0</v>
      </c>
      <c r="N252" s="14">
        <v>0</v>
      </c>
      <c r="O252" s="14">
        <v>0</v>
      </c>
      <c r="P252" s="14">
        <v>0</v>
      </c>
      <c r="Q252" s="14">
        <v>0</v>
      </c>
      <c r="R252" s="14">
        <v>0</v>
      </c>
      <c r="S252" s="14">
        <v>0</v>
      </c>
      <c r="T252" s="14">
        <v>0</v>
      </c>
      <c r="U252" s="14">
        <v>0</v>
      </c>
      <c r="V252" s="14">
        <v>0</v>
      </c>
      <c r="W252" s="14">
        <v>0</v>
      </c>
      <c r="X252" s="14">
        <v>0</v>
      </c>
      <c r="Y252" s="14">
        <v>0</v>
      </c>
      <c r="Z252" s="14">
        <v>0</v>
      </c>
      <c r="AA252" s="14">
        <v>0</v>
      </c>
      <c r="AB252" s="14">
        <v>0</v>
      </c>
      <c r="AC252" s="14">
        <v>0</v>
      </c>
      <c r="AD252" s="14">
        <v>0</v>
      </c>
      <c r="AE252" s="14">
        <v>0</v>
      </c>
      <c r="AF252" s="14">
        <v>0</v>
      </c>
      <c r="AG252" s="14">
        <v>0</v>
      </c>
      <c r="AH252" s="14">
        <v>0</v>
      </c>
      <c r="AI252" s="14">
        <v>0</v>
      </c>
      <c r="AJ252" s="14">
        <v>0</v>
      </c>
      <c r="AK252" s="14">
        <v>0</v>
      </c>
      <c r="AL252" s="14">
        <v>0</v>
      </c>
      <c r="AM252" s="14">
        <v>0</v>
      </c>
      <c r="AN252" s="14">
        <v>0</v>
      </c>
      <c r="AO252" s="14">
        <v>0</v>
      </c>
      <c r="AP252" s="14">
        <v>0</v>
      </c>
      <c r="AQ252" s="14">
        <v>0</v>
      </c>
      <c r="AR252" s="14">
        <v>0</v>
      </c>
    </row>
    <row r="253" s="7" customFormat="1" spans="1:44">
      <c r="A253" s="5" t="s">
        <v>1119</v>
      </c>
      <c r="B253" s="7">
        <f>BAU建筑总能耗计算!B$3*$S$16</f>
        <v>1439.56069462292</v>
      </c>
      <c r="C253" s="7">
        <v>0</v>
      </c>
      <c r="D253" s="7">
        <v>0</v>
      </c>
      <c r="E253" s="7">
        <v>0</v>
      </c>
      <c r="F253" s="7">
        <v>0</v>
      </c>
      <c r="G253" s="7">
        <v>0</v>
      </c>
      <c r="H253" s="7">
        <v>0</v>
      </c>
      <c r="I253" s="7">
        <v>0</v>
      </c>
      <c r="J253" s="7">
        <v>0</v>
      </c>
      <c r="K253" s="7">
        <v>0</v>
      </c>
      <c r="L253" s="7">
        <v>0</v>
      </c>
      <c r="M253" s="7">
        <v>0</v>
      </c>
      <c r="N253" s="7">
        <v>0</v>
      </c>
      <c r="O253" s="7">
        <v>0</v>
      </c>
      <c r="P253" s="7">
        <v>0</v>
      </c>
      <c r="Q253" s="7">
        <v>0</v>
      </c>
      <c r="R253" s="7">
        <v>0</v>
      </c>
      <c r="S253" s="7">
        <v>0</v>
      </c>
      <c r="T253" s="7">
        <v>0</v>
      </c>
      <c r="U253" s="7">
        <v>0</v>
      </c>
      <c r="V253" s="7">
        <v>0</v>
      </c>
      <c r="W253" s="7">
        <v>0</v>
      </c>
      <c r="X253" s="7">
        <v>0</v>
      </c>
      <c r="Y253" s="7">
        <v>0</v>
      </c>
      <c r="Z253" s="7">
        <v>0</v>
      </c>
      <c r="AA253" s="7">
        <v>0</v>
      </c>
      <c r="AB253" s="7">
        <v>0</v>
      </c>
      <c r="AC253" s="7">
        <v>0</v>
      </c>
      <c r="AD253" s="7">
        <v>0</v>
      </c>
      <c r="AE253" s="7">
        <v>0</v>
      </c>
      <c r="AF253" s="7">
        <v>0</v>
      </c>
      <c r="AG253" s="7">
        <v>0</v>
      </c>
      <c r="AH253" s="7">
        <v>0</v>
      </c>
      <c r="AI253" s="7">
        <v>0</v>
      </c>
      <c r="AJ253" s="7">
        <v>0</v>
      </c>
      <c r="AK253" s="7">
        <v>0</v>
      </c>
      <c r="AL253" s="7">
        <v>0</v>
      </c>
      <c r="AM253" s="7">
        <v>0</v>
      </c>
      <c r="AN253" s="7">
        <v>0</v>
      </c>
      <c r="AO253" s="7">
        <v>0</v>
      </c>
      <c r="AP253" s="7">
        <v>0</v>
      </c>
      <c r="AQ253" s="7">
        <v>0</v>
      </c>
      <c r="AR253" s="7">
        <v>0</v>
      </c>
    </row>
    <row r="255" spans="1:44">
      <c r="D255">
        <f>3.98*10^4</f>
        <v>39800</v>
      </c>
    </row>
  </sheetData>
  <mergeCells count="1">
    <mergeCell ref="A2:B2"/>
  </mergeCells>
  <conditionalFormatting sqref="B4:S17 C18:S19">
    <cfRule type="colorScale" priority="1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030A0"/>
  </sheetPr>
  <dimension ref="A1:AR12"/>
  <sheetViews>
    <sheetView workbookViewId="0">
      <selection activeCell="A1" sqref="$A1:$XFD1048576"/>
    </sheetView>
  </sheetViews>
  <sheetFormatPr defaultColWidth="9" defaultRowHeight="13.5"/>
  <cols>
    <col min="1" max="1" width="37.25" customWidth="1"/>
    <col min="2" max="44" width="13.6333333333333" customWidth="1"/>
  </cols>
  <sheetData>
    <row r="1" spans="1:44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>
      <c r="A2" t="s">
        <v>1109</v>
      </c>
      <c r="B2" s="1">
        <f>建筑各项能耗拆分!$B$18*建筑各项能耗拆分!B100</f>
        <v>411725623274289</v>
      </c>
      <c r="C2" s="1">
        <f>建筑各项能耗拆分!$B$18*建筑各项能耗拆分!C100</f>
        <v>29772220222245.4</v>
      </c>
      <c r="D2" s="1">
        <f>建筑各项能耗拆分!$B$18*建筑各项能耗拆分!D100</f>
        <v>32098772711715.7</v>
      </c>
      <c r="E2" s="1">
        <f>建筑各项能耗拆分!$B$18*建筑各项能耗拆分!E100</f>
        <v>33555292130500.5</v>
      </c>
      <c r="F2" s="1">
        <f>建筑各项能耗拆分!$B$18*建筑各项能耗拆分!F100</f>
        <v>38225553759767.2</v>
      </c>
      <c r="G2" s="1">
        <f>建筑各项能耗拆分!$B$18*建筑各项能耗拆分!G100</f>
        <v>36850776467487.7</v>
      </c>
      <c r="H2" s="1">
        <f>建筑各项能耗拆分!$B$18*建筑各项能耗拆分!H100</f>
        <v>31599183422200.8</v>
      </c>
      <c r="I2" s="1">
        <f>建筑各项能耗拆分!$B$18*建筑各项能耗拆分!I100</f>
        <v>28440701447114.9</v>
      </c>
      <c r="J2" s="1">
        <f>建筑各项能耗拆分!$B$18*建筑各项能耗拆分!J100</f>
        <v>28121691575100.4</v>
      </c>
      <c r="K2" s="1">
        <f>建筑各项能耗拆分!$B$18*建筑各项能耗拆分!K100</f>
        <v>27550783350825.8</v>
      </c>
      <c r="L2" s="1">
        <f>建筑各项能耗拆分!$B$18*建筑各项能耗拆分!L100</f>
        <v>26935914895751.5</v>
      </c>
      <c r="M2" s="1">
        <f>建筑各项能耗拆分!$B$18*建筑各项能耗拆分!M100</f>
        <v>26084130593642</v>
      </c>
      <c r="N2" s="1">
        <f>建筑各项能耗拆分!$B$18*建筑各项能耗拆分!N100</f>
        <v>25056357570473.2</v>
      </c>
      <c r="O2" s="1">
        <f>建筑各项能耗拆分!$B$18*建筑各项能耗拆分!O100</f>
        <v>23790947177211.1</v>
      </c>
      <c r="P2" s="1">
        <f>建筑各项能耗拆分!$B$18*建筑各项能耗拆分!P100</f>
        <v>22337276064737.6</v>
      </c>
      <c r="Q2" s="1">
        <f>建筑各项能耗拆分!$B$18*建筑各项能耗拆分!Q100</f>
        <v>20680606739663.4</v>
      </c>
      <c r="R2" s="1">
        <f>建筑各项能耗拆分!$B$18*建筑各项能耗拆分!R100</f>
        <v>18850200140110.8</v>
      </c>
      <c r="S2" s="1">
        <f>建筑各项能耗拆分!$B$18*建筑各项能耗拆分!S100</f>
        <v>19999483624526.8</v>
      </c>
      <c r="T2" s="1">
        <f>建筑各项能耗拆分!$B$18*建筑各项能耗拆分!T100</f>
        <v>19082899416925.7</v>
      </c>
      <c r="U2" s="1">
        <f>建筑各项能耗拆分!$B$18*建筑各项能耗拆分!U100</f>
        <v>18058180826135.9</v>
      </c>
      <c r="V2" s="1">
        <f>建筑各项能耗拆分!$B$18*建筑各项能耗拆分!V100</f>
        <v>17687301430807.4</v>
      </c>
      <c r="W2" s="1">
        <f>建筑各项能耗拆分!$B$18*建筑各项能耗拆分!W100</f>
        <v>17389390880248.8</v>
      </c>
      <c r="X2" s="1">
        <f>建筑各项能耗拆分!$B$18*建筑各项能耗拆分!X100</f>
        <v>17028231365064.4</v>
      </c>
      <c r="Y2" s="1">
        <f>建筑各项能耗拆分!$B$18*建筑各项能耗拆分!Y100</f>
        <v>16746747347503</v>
      </c>
      <c r="Z2" s="1">
        <f>建筑各项能耗拆分!$B$18*建筑各项能耗拆分!Z100</f>
        <v>16417686780111.9</v>
      </c>
      <c r="AA2" s="1">
        <f>建筑各项能耗拆分!$B$18*建筑各项能耗拆分!AA100</f>
        <v>16042481916586.7</v>
      </c>
      <c r="AB2" s="1">
        <f>建筑各项能耗拆分!$B$18*建筑各项能耗拆分!AB100</f>
        <v>15623706133972.5</v>
      </c>
      <c r="AC2" s="1">
        <f>建筑各项能耗拆分!$B$18*建筑各项能耗拆分!AC100</f>
        <v>15164948549884.3</v>
      </c>
      <c r="AD2" s="1">
        <f>建筑各项能耗拆分!$B$18*建筑各项能耗拆分!AD100</f>
        <v>14609110992723.9</v>
      </c>
      <c r="AE2" s="1">
        <f>建筑各项能耗拆分!$B$18*建筑各项能耗拆分!AE100</f>
        <v>14011401195249</v>
      </c>
      <c r="AF2" s="1">
        <f>建筑各项能耗拆分!$B$18*建筑各项能耗拆分!AF100</f>
        <v>13374792197202.2</v>
      </c>
      <c r="AG2" s="1">
        <f>建筑各项能耗拆分!$B$18*建筑各项能耗拆分!AG100</f>
        <v>12703952135008</v>
      </c>
      <c r="AH2" s="1">
        <f>建筑各项能耗拆分!$B$18*建筑各项能耗拆分!AH100</f>
        <v>11995095402544</v>
      </c>
      <c r="AI2" s="1">
        <f>建筑各项能耗拆分!$B$18*建筑各项能耗拆分!AI100</f>
        <v>10878912078530.8</v>
      </c>
      <c r="AJ2" s="1">
        <f>建筑各项能耗拆分!$B$18*建筑各项能耗拆分!AJ100</f>
        <v>9728487080303.48</v>
      </c>
      <c r="AK2" s="1">
        <f>建筑各项能耗拆分!$B$18*建筑各项能耗拆分!AK100</f>
        <v>8542409681384.67</v>
      </c>
      <c r="AL2" s="1">
        <f>建筑各项能耗拆分!$B$18*建筑各项能耗拆分!AL100</f>
        <v>7324101300122.17</v>
      </c>
      <c r="AM2" s="1">
        <f>建筑各项能耗拆分!$B$18*建筑各项能耗拆分!AM100</f>
        <v>6075757178480.4</v>
      </c>
      <c r="AN2" s="1">
        <f>建筑各项能耗拆分!$B$18*建筑各项能耗拆分!AN100</f>
        <v>4750114103486.99</v>
      </c>
      <c r="AO2" s="1">
        <f>建筑各项能耗拆分!$B$18*建筑各项能耗拆分!AO100</f>
        <v>3394699560668.27</v>
      </c>
      <c r="AP2" s="1">
        <f>建筑各项能耗拆分!$B$18*建筑各项能耗拆分!AP100</f>
        <v>2011755197716.66</v>
      </c>
      <c r="AQ2" s="1">
        <f>建筑各项能耗拆分!$B$18*建筑各项能耗拆分!AQ100</f>
        <v>602679483738.05</v>
      </c>
      <c r="AR2" s="1">
        <f>建筑各项能耗拆分!$B$18*建筑各项能耗拆分!AR100</f>
        <v>0</v>
      </c>
    </row>
    <row r="3" spans="1:44">
      <c r="A3" t="s">
        <v>1110</v>
      </c>
      <c r="B3" s="1">
        <f>建筑各项能耗拆分!$B$18*建筑各项能耗拆分!B101</f>
        <v>990599214954608</v>
      </c>
      <c r="C3" s="1">
        <f>建筑各项能耗拆分!$B$18*建筑各项能耗拆分!C101</f>
        <v>849303580908038</v>
      </c>
      <c r="D3" s="1">
        <f>建筑各项能耗拆分!$B$18*建筑各项能耗拆分!D101</f>
        <v>841420115676797</v>
      </c>
      <c r="E3" s="1">
        <f>建筑各项能耗拆分!$B$18*建筑各项能耗拆分!E101</f>
        <v>801859015840644</v>
      </c>
      <c r="F3" s="1">
        <f>建筑各项能耗拆分!$B$18*建筑各项能耗拆分!F101</f>
        <v>749362954089960</v>
      </c>
      <c r="G3" s="1">
        <f>建筑各项能耗拆分!$B$18*建筑各项能耗拆分!G101</f>
        <v>564377759799059</v>
      </c>
      <c r="H3" s="1">
        <f>建筑各项能耗拆分!$B$18*建筑各项能耗拆分!H101</f>
        <v>558636328674547</v>
      </c>
      <c r="I3" s="1">
        <f>建筑各项能耗拆分!$B$18*建筑各项能耗拆分!I101</f>
        <v>552619727414505</v>
      </c>
      <c r="J3" s="1">
        <f>建筑各项能耗拆分!$B$18*建筑各项能耗拆分!J101</f>
        <v>548320217557442</v>
      </c>
      <c r="K3" s="1">
        <f>建筑各项能耗拆分!$B$18*建筑各项能耗拆分!K101</f>
        <v>543864191442065</v>
      </c>
      <c r="L3" s="1">
        <f>建筑各项能耗拆分!$B$18*建筑各项能耗拆分!L101</f>
        <v>539243927178279</v>
      </c>
      <c r="M3" s="1">
        <f>建筑各项能耗拆分!$B$18*建筑各项能耗拆分!M101</f>
        <v>534455523450279</v>
      </c>
      <c r="N3" s="1">
        <f>建筑各项能耗拆分!$B$18*建筑各项能耗拆分!N101</f>
        <v>529501615899627</v>
      </c>
      <c r="O3" s="1">
        <f>建筑各项能耗拆分!$B$18*建筑各项能耗拆分!O101</f>
        <v>523252321212440</v>
      </c>
      <c r="P3" s="1">
        <f>建筑各项能耗拆分!$B$18*建筑各项能耗拆分!P101</f>
        <v>516827863513693</v>
      </c>
      <c r="Q3" s="1">
        <f>建筑各项能耗拆分!$B$18*建筑各项能耗拆分!Q101</f>
        <v>510219476530905</v>
      </c>
      <c r="R3" s="1">
        <f>建筑各项能耗拆分!$B$18*建筑各项能耗拆分!R101</f>
        <v>503424903288361</v>
      </c>
      <c r="S3" s="1">
        <f>建筑各项能耗拆分!$B$18*建筑各项能耗拆分!S101</f>
        <v>496446341787328</v>
      </c>
      <c r="T3" s="1">
        <f>建筑各项能耗拆分!$B$18*建筑各项能耗拆分!T101</f>
        <v>485521674572203</v>
      </c>
      <c r="U3" s="1">
        <f>建筑各项能耗拆分!$B$18*建筑各项能耗拆分!U101</f>
        <v>474582705750878</v>
      </c>
      <c r="V3" s="1">
        <f>建筑各项能耗拆分!$B$18*建筑各项能耗拆分!V101</f>
        <v>463638746234524</v>
      </c>
      <c r="W3" s="1">
        <f>建筑各项能耗拆分!$B$18*建筑各项能耗拆分!W101</f>
        <v>452683226774646</v>
      </c>
      <c r="X3" s="1">
        <f>建筑各项能耗拆分!$B$18*建筑各项能耗拆分!X101</f>
        <v>441718433404610</v>
      </c>
      <c r="Y3" s="1">
        <f>建筑各项能耗拆分!$B$18*建筑各项能耗拆分!Y101</f>
        <v>431606422957385</v>
      </c>
      <c r="Z3" s="1">
        <f>建筑各项能耗拆分!$B$18*建筑各项能耗拆分!Z101</f>
        <v>421554246498026</v>
      </c>
      <c r="AA3" s="1">
        <f>建筑各项能耗拆分!$B$18*建筑各项能耗拆分!AA101</f>
        <v>411563008695763</v>
      </c>
      <c r="AB3" s="1">
        <f>建筑各项能耗拆分!$B$18*建筑各项能耗拆分!AB101</f>
        <v>401631712091282</v>
      </c>
      <c r="AC3" s="1">
        <f>建筑各项能耗拆分!$B$18*建筑各项能耗拆分!AC101</f>
        <v>391759091879034</v>
      </c>
      <c r="AD3" s="1">
        <f>建筑各项能耗拆分!$B$18*建筑各项能耗拆分!AD101</f>
        <v>381330919399875</v>
      </c>
      <c r="AE3" s="1">
        <f>建筑各项能耗拆分!$B$18*建筑各项能耗拆分!AE101</f>
        <v>370995024799443</v>
      </c>
      <c r="AF3" s="1">
        <f>建筑各项能耗拆分!$B$18*建筑各项能耗拆分!AF101</f>
        <v>360736630751955</v>
      </c>
      <c r="AG3" s="1">
        <f>建筑各项能耗拆分!$B$18*建筑各项能耗拆分!AG101</f>
        <v>350567820764509</v>
      </c>
      <c r="AH3" s="1">
        <f>建筑各项能耗拆分!$B$18*建筑各项能耗拆分!AH101</f>
        <v>340492402824627</v>
      </c>
      <c r="AI3" s="1">
        <f>建筑各项能耗拆分!$B$18*建筑各项能耗拆分!AI101</f>
        <v>337970700830813</v>
      </c>
      <c r="AJ3" s="1">
        <f>建筑各项能耗拆分!$B$18*建筑各项能耗拆分!AJ101</f>
        <v>335447485684431</v>
      </c>
      <c r="AK3" s="1">
        <f>建筑各项能耗拆分!$B$18*建筑各项能耗拆分!AK101</f>
        <v>332935889921228</v>
      </c>
      <c r="AL3" s="1">
        <f>建筑各项能耗拆分!$B$18*建筑各项能耗拆分!AL101</f>
        <v>330423181346273</v>
      </c>
      <c r="AM3" s="1">
        <f>建筑各项能耗拆分!$B$18*建筑各项能耗拆分!AM101</f>
        <v>327916177967166</v>
      </c>
      <c r="AN3" s="1">
        <f>建筑各项能耗拆分!$B$18*建筑各项能耗拆分!AN101</f>
        <v>324954554346865</v>
      </c>
      <c r="AO3" s="1">
        <f>建筑各项能耗拆分!$B$18*建筑各项能耗拆分!AO101</f>
        <v>321994650156426</v>
      </c>
      <c r="AP3" s="1">
        <f>建筑各项能耗拆分!$B$18*建筑各项能耗拆分!AP101</f>
        <v>319040991282664</v>
      </c>
      <c r="AQ3" s="1">
        <f>建筑各项能耗拆分!$B$18*建筑各项能耗拆分!AQ101</f>
        <v>316092825899099</v>
      </c>
      <c r="AR3" s="1">
        <f>建筑各项能耗拆分!$B$18*建筑各项能耗拆分!AR101</f>
        <v>313149829661821</v>
      </c>
    </row>
    <row r="4" spans="1:44">
      <c r="A4" t="s">
        <v>1111</v>
      </c>
      <c r="B4" s="1">
        <f>建筑各项能耗拆分!$B$18*建筑各项能耗拆分!B102</f>
        <v>208997925062877</v>
      </c>
      <c r="C4" s="1">
        <f>建筑各项能耗拆分!$B$18*建筑各项能耗拆分!C102</f>
        <v>9497250328981.38</v>
      </c>
      <c r="D4" s="1">
        <f>建筑各项能耗拆分!$B$18*建筑各项能耗拆分!D102</f>
        <v>12161113226134.7</v>
      </c>
      <c r="E4" s="1">
        <f>建筑各项能耗拆分!$B$18*建筑各项能耗拆分!E102</f>
        <v>16465761241099.9</v>
      </c>
      <c r="F4" s="1">
        <f>建筑各项能耗拆分!$B$18*建筑各项能耗拆分!F102</f>
        <v>18955893949308.5</v>
      </c>
      <c r="G4" s="1">
        <f>建筑各项能耗拆分!$B$18*建筑各项能耗拆分!G102</f>
        <v>20098255759906.9</v>
      </c>
      <c r="H4" s="1">
        <f>建筑各项能耗拆分!$B$18*建筑各项能耗拆分!H102</f>
        <v>19893795628080.6</v>
      </c>
      <c r="I4" s="1">
        <f>建筑各项能耗拆分!$B$18*建筑各项能耗拆分!I102</f>
        <v>19679536315359.3</v>
      </c>
      <c r="J4" s="1">
        <f>建筑各项能耗拆分!$B$18*建筑各项能耗拆分!J102</f>
        <v>19526424951119.5</v>
      </c>
      <c r="K4" s="1">
        <f>建筑各项能耗拆分!$B$18*建筑各项能耗拆分!K102</f>
        <v>19367739831118.4</v>
      </c>
      <c r="L4" s="1">
        <f>建筑各项能耗拆分!$B$18*建筑各项能耗拆分!L102</f>
        <v>19203205968400.2</v>
      </c>
      <c r="M4" s="1">
        <f>建筑各项能耗拆分!$B$18*建筑各项能耗拆分!M102</f>
        <v>19032684431829.9</v>
      </c>
      <c r="N4" s="1">
        <f>建筑各项能耗拆分!$B$18*建筑各项能耗拆分!N102</f>
        <v>18856269080170.1</v>
      </c>
      <c r="O4" s="1">
        <f>建筑各项能耗拆分!$B$18*建筑各项能耗拆分!O102</f>
        <v>18633723239620.2</v>
      </c>
      <c r="P4" s="1">
        <f>建筑各项能耗拆分!$B$18*建筑各项能耗拆分!P102</f>
        <v>18404939607192.8</v>
      </c>
      <c r="Q4" s="1">
        <f>建筑各项能耗拆分!$B$18*建筑各项能耗拆分!Q102</f>
        <v>18169606004061.8</v>
      </c>
      <c r="R4" s="1">
        <f>建筑各项能耗拆分!$B$18*建筑各项能耗拆分!R102</f>
        <v>17927642056267.9</v>
      </c>
      <c r="S4" s="1">
        <f>建筑各项能耗拆分!$B$18*建筑各项能耗拆分!S102</f>
        <v>17679126037610.5</v>
      </c>
      <c r="T4" s="1">
        <f>建筑各项能耗拆分!$B$18*建筑各项能耗拆分!T102</f>
        <v>17290083854482</v>
      </c>
      <c r="U4" s="1">
        <f>建筑各项能耗拆分!$B$18*建筑各项能耗拆分!U102</f>
        <v>16900532371803.2</v>
      </c>
      <c r="V4" s="1">
        <f>建筑各项能耗拆分!$B$18*建筑各项能耗拆分!V102</f>
        <v>16510803163720.9</v>
      </c>
      <c r="W4" s="1">
        <f>建筑各项能耗拆分!$B$18*建筑各项能耗拆分!W102</f>
        <v>16120662290406.5</v>
      </c>
      <c r="X4" s="1">
        <f>建筑各项能耗拆分!$B$18*建筑各项能耗拆分!X102</f>
        <v>15730191160601.5</v>
      </c>
      <c r="Y4" s="1">
        <f>建筑各项能耗拆分!$B$18*建筑各项能耗拆分!Y102</f>
        <v>15370088784690.1</v>
      </c>
      <c r="Z4" s="1">
        <f>建筑各项能耗拆分!$B$18*建筑各项能耗拆分!Z102</f>
        <v>15012117178055.9</v>
      </c>
      <c r="AA4" s="1">
        <f>建筑各项能耗拆分!$B$18*建筑各项能耗拆分!AA102</f>
        <v>14656315679464.9</v>
      </c>
      <c r="AB4" s="1">
        <f>建筑各项能耗拆分!$B$18*建筑各项能耗拆分!AB102</f>
        <v>14302648768041.2</v>
      </c>
      <c r="AC4" s="1">
        <f>建筑各项能耗拆分!$B$18*建筑各项能耗拆分!AC102</f>
        <v>13951071402347.6</v>
      </c>
      <c r="AD4" s="1">
        <f>建筑各项能耗拆分!$B$18*建筑各项能耗拆分!AD102</f>
        <v>13579710068638.8</v>
      </c>
      <c r="AE4" s="1">
        <f>建筑各项能耗拆分!$B$18*建筑各项能耗拆分!AE102</f>
        <v>13211634875064.8</v>
      </c>
      <c r="AF4" s="1">
        <f>建筑各项能耗拆分!$B$18*建筑各项能耗拆分!AF102</f>
        <v>12846319581057.2</v>
      </c>
      <c r="AG4" s="1">
        <f>建筑各项能耗拆分!$B$18*建筑各项能耗拆分!AG102</f>
        <v>12484194496655.7</v>
      </c>
      <c r="AH4" s="1">
        <f>建筑各项能耗拆分!$B$18*建筑各项能耗拆分!AH102</f>
        <v>12125395229449</v>
      </c>
      <c r="AI4" s="1">
        <f>建筑各项能耗拆分!$B$18*建筑各项能耗拆分!AI102</f>
        <v>12035594009003.9</v>
      </c>
      <c r="AJ4" s="1">
        <f>建筑各项能耗拆分!$B$18*建筑各项能耗拆分!AJ102</f>
        <v>11945738903148.5</v>
      </c>
      <c r="AK4" s="1">
        <f>建筑各项能耗拆分!$B$18*建筑各项能耗拆分!AK102</f>
        <v>11856297579251.6</v>
      </c>
      <c r="AL4" s="1">
        <f>建筑各项能耗拆分!$B$18*建筑各项能耗拆分!AL102</f>
        <v>11766816626622.4</v>
      </c>
      <c r="AM4" s="1">
        <f>建筑各项能耗拆分!$B$18*建筑各项能耗拆分!AM102</f>
        <v>11677538843737.8</v>
      </c>
      <c r="AN4" s="1">
        <f>建筑各项能耗拆分!$B$18*建筑各项能耗拆分!AN102</f>
        <v>11572071418858.1</v>
      </c>
      <c r="AO4" s="1">
        <f>建筑各项能耗拆分!$B$18*建筑各项能耗拆分!AO102</f>
        <v>11466665225202.6</v>
      </c>
      <c r="AP4" s="1">
        <f>建筑各项能耗拆分!$B$18*建筑各项能耗拆分!AP102</f>
        <v>11361481435725.2</v>
      </c>
      <c r="AQ4" s="1">
        <f>建筑各项能耗拆分!$B$18*建筑各项能耗拆分!AQ102</f>
        <v>11256493276867.7</v>
      </c>
      <c r="AR4" s="1">
        <f>建筑各项能耗拆分!$B$18*建筑各项能耗拆分!AR102</f>
        <v>11151689198304.6</v>
      </c>
    </row>
    <row r="5" spans="1:44">
      <c r="A5" t="s">
        <v>1112</v>
      </c>
      <c r="B5" s="1">
        <f>建筑各项能耗拆分!$B$18*建筑各项能耗拆分!B103</f>
        <v>0</v>
      </c>
      <c r="C5" s="1">
        <f>建筑各项能耗拆分!$B$18*建筑各项能耗拆分!C103</f>
        <v>0</v>
      </c>
      <c r="D5" s="1">
        <f>建筑各项能耗拆分!$B$18*建筑各项能耗拆分!D103</f>
        <v>0</v>
      </c>
      <c r="E5" s="1">
        <f>建筑各项能耗拆分!$B$18*建筑各项能耗拆分!E103</f>
        <v>0</v>
      </c>
      <c r="F5" s="1">
        <f>建筑各项能耗拆分!$B$18*建筑各项能耗拆分!F103</f>
        <v>0</v>
      </c>
      <c r="G5" s="1">
        <f>建筑各项能耗拆分!$B$18*建筑各项能耗拆分!G103</f>
        <v>0</v>
      </c>
      <c r="H5" s="1">
        <f>建筑各项能耗拆分!$B$18*建筑各项能耗拆分!H103</f>
        <v>0</v>
      </c>
      <c r="I5" s="1">
        <f>建筑各项能耗拆分!$B$18*建筑各项能耗拆分!I103</f>
        <v>0</v>
      </c>
      <c r="J5" s="1">
        <f>建筑各项能耗拆分!$B$18*建筑各项能耗拆分!J103</f>
        <v>0</v>
      </c>
      <c r="K5" s="1">
        <f>建筑各项能耗拆分!$B$18*建筑各项能耗拆分!K103</f>
        <v>0</v>
      </c>
      <c r="L5" s="1">
        <f>建筑各项能耗拆分!$B$18*建筑各项能耗拆分!L103</f>
        <v>0</v>
      </c>
      <c r="M5" s="1">
        <f>建筑各项能耗拆分!$B$18*建筑各项能耗拆分!M103</f>
        <v>0</v>
      </c>
      <c r="N5" s="1">
        <f>建筑各项能耗拆分!$B$18*建筑各项能耗拆分!N103</f>
        <v>0</v>
      </c>
      <c r="O5" s="1">
        <f>建筑各项能耗拆分!$B$18*建筑各项能耗拆分!O103</f>
        <v>0</v>
      </c>
      <c r="P5" s="1">
        <f>建筑各项能耗拆分!$B$18*建筑各项能耗拆分!P103</f>
        <v>0</v>
      </c>
      <c r="Q5" s="1">
        <f>建筑各项能耗拆分!$B$18*建筑各项能耗拆分!Q103</f>
        <v>0</v>
      </c>
      <c r="R5" s="1">
        <f>建筑各项能耗拆分!$B$18*建筑各项能耗拆分!R103</f>
        <v>0</v>
      </c>
      <c r="S5" s="1">
        <f>建筑各项能耗拆分!$B$18*建筑各项能耗拆分!S103</f>
        <v>0</v>
      </c>
      <c r="T5" s="1">
        <f>建筑各项能耗拆分!$B$18*建筑各项能耗拆分!T103</f>
        <v>0</v>
      </c>
      <c r="U5" s="1">
        <f>建筑各项能耗拆分!$B$18*建筑各项能耗拆分!U103</f>
        <v>0</v>
      </c>
      <c r="V5" s="1">
        <f>建筑各项能耗拆分!$B$18*建筑各项能耗拆分!V103</f>
        <v>0</v>
      </c>
      <c r="W5" s="1">
        <f>建筑各项能耗拆分!$B$18*建筑各项能耗拆分!W103</f>
        <v>0</v>
      </c>
      <c r="X5" s="1">
        <f>建筑各项能耗拆分!$B$18*建筑各项能耗拆分!X103</f>
        <v>0</v>
      </c>
      <c r="Y5" s="1">
        <f>建筑各项能耗拆分!$B$18*建筑各项能耗拆分!Y103</f>
        <v>0</v>
      </c>
      <c r="Z5" s="1">
        <f>建筑各项能耗拆分!$B$18*建筑各项能耗拆分!Z103</f>
        <v>0</v>
      </c>
      <c r="AA5" s="1">
        <f>建筑各项能耗拆分!$B$18*建筑各项能耗拆分!AA103</f>
        <v>0</v>
      </c>
      <c r="AB5" s="1">
        <f>建筑各项能耗拆分!$B$18*建筑各项能耗拆分!AB103</f>
        <v>0</v>
      </c>
      <c r="AC5" s="1">
        <f>建筑各项能耗拆分!$B$18*建筑各项能耗拆分!AC103</f>
        <v>0</v>
      </c>
      <c r="AD5" s="1">
        <f>建筑各项能耗拆分!$B$18*建筑各项能耗拆分!AD103</f>
        <v>0</v>
      </c>
      <c r="AE5" s="1">
        <f>建筑各项能耗拆分!$B$18*建筑各项能耗拆分!AE103</f>
        <v>0</v>
      </c>
      <c r="AF5" s="1">
        <f>建筑各项能耗拆分!$B$18*建筑各项能耗拆分!AF103</f>
        <v>0</v>
      </c>
      <c r="AG5" s="1">
        <f>建筑各项能耗拆分!$B$18*建筑各项能耗拆分!AG103</f>
        <v>0</v>
      </c>
      <c r="AH5" s="1">
        <f>建筑各项能耗拆分!$B$18*建筑各项能耗拆分!AH103</f>
        <v>0</v>
      </c>
      <c r="AI5" s="1">
        <f>建筑各项能耗拆分!$B$18*建筑各项能耗拆分!AI103</f>
        <v>0</v>
      </c>
      <c r="AJ5" s="1">
        <f>建筑各项能耗拆分!$B$18*建筑各项能耗拆分!AJ103</f>
        <v>0</v>
      </c>
      <c r="AK5" s="1">
        <f>建筑各项能耗拆分!$B$18*建筑各项能耗拆分!AK103</f>
        <v>0</v>
      </c>
      <c r="AL5" s="1">
        <f>建筑各项能耗拆分!$B$18*建筑各项能耗拆分!AL103</f>
        <v>0</v>
      </c>
      <c r="AM5" s="1">
        <f>建筑各项能耗拆分!$B$18*建筑各项能耗拆分!AM103</f>
        <v>0</v>
      </c>
      <c r="AN5" s="1">
        <f>建筑各项能耗拆分!$B$18*建筑各项能耗拆分!AN103</f>
        <v>0</v>
      </c>
      <c r="AO5" s="1">
        <f>建筑各项能耗拆分!$B$18*建筑各项能耗拆分!AO103</f>
        <v>0</v>
      </c>
      <c r="AP5" s="1">
        <f>建筑各项能耗拆分!$B$18*建筑各项能耗拆分!AP103</f>
        <v>0</v>
      </c>
      <c r="AQ5" s="1">
        <f>建筑各项能耗拆分!$B$18*建筑各项能耗拆分!AQ103</f>
        <v>0</v>
      </c>
      <c r="AR5" s="1">
        <f>建筑各项能耗拆分!$B$18*建筑各项能耗拆分!AR103</f>
        <v>0</v>
      </c>
    </row>
    <row r="6" spans="1:44">
      <c r="A6" t="s">
        <v>1113</v>
      </c>
      <c r="B6" s="1">
        <f>建筑各项能耗拆分!$B$18*建筑各项能耗拆分!B104</f>
        <v>77854165833273.8</v>
      </c>
      <c r="C6" s="1">
        <f>建筑各项能耗拆分!$B$18*建筑各项能耗拆分!C104</f>
        <v>0</v>
      </c>
      <c r="D6" s="1">
        <f>建筑各项能耗拆分!$B$18*建筑各项能耗拆分!D104</f>
        <v>0</v>
      </c>
      <c r="E6" s="1">
        <f>建筑各项能耗拆分!$B$18*建筑各项能耗拆分!E104</f>
        <v>0</v>
      </c>
      <c r="F6" s="1">
        <f>建筑各项能耗拆分!$B$18*建筑各项能耗拆分!F104</f>
        <v>0</v>
      </c>
      <c r="G6" s="1">
        <f>建筑各项能耗拆分!$B$18*建筑各项能耗拆分!G104</f>
        <v>0</v>
      </c>
      <c r="H6" s="1">
        <f>建筑各项能耗拆分!$B$18*建筑各项能耗拆分!H104</f>
        <v>0</v>
      </c>
      <c r="I6" s="1">
        <f>建筑各项能耗拆分!$B$18*建筑各项能耗拆分!I104</f>
        <v>0</v>
      </c>
      <c r="J6" s="1">
        <f>建筑各项能耗拆分!$B$18*建筑各项能耗拆分!J104</f>
        <v>0</v>
      </c>
      <c r="K6" s="1">
        <f>建筑各项能耗拆分!$B$18*建筑各项能耗拆分!K104</f>
        <v>0</v>
      </c>
      <c r="L6" s="1">
        <f>建筑各项能耗拆分!$B$18*建筑各项能耗拆分!L104</f>
        <v>0</v>
      </c>
      <c r="M6" s="1">
        <f>建筑各项能耗拆分!$B$18*建筑各项能耗拆分!M104</f>
        <v>0</v>
      </c>
      <c r="N6" s="1">
        <f>建筑各项能耗拆分!$B$18*建筑各项能耗拆分!N104</f>
        <v>0</v>
      </c>
      <c r="O6" s="1">
        <f>建筑各项能耗拆分!$B$18*建筑各项能耗拆分!O104</f>
        <v>0</v>
      </c>
      <c r="P6" s="1">
        <f>建筑各项能耗拆分!$B$18*建筑各项能耗拆分!P104</f>
        <v>0</v>
      </c>
      <c r="Q6" s="1">
        <f>建筑各项能耗拆分!$B$18*建筑各项能耗拆分!Q104</f>
        <v>0</v>
      </c>
      <c r="R6" s="1">
        <f>建筑各项能耗拆分!$B$18*建筑各项能耗拆分!R104</f>
        <v>0</v>
      </c>
      <c r="S6" s="1">
        <f>建筑各项能耗拆分!$B$18*建筑各项能耗拆分!S104</f>
        <v>0</v>
      </c>
      <c r="T6" s="1">
        <f>建筑各项能耗拆分!$B$18*建筑各项能耗拆分!T104</f>
        <v>0</v>
      </c>
      <c r="U6" s="1">
        <f>建筑各项能耗拆分!$B$18*建筑各项能耗拆分!U104</f>
        <v>0</v>
      </c>
      <c r="V6" s="1">
        <f>建筑各项能耗拆分!$B$18*建筑各项能耗拆分!V104</f>
        <v>0</v>
      </c>
      <c r="W6" s="1">
        <f>建筑各项能耗拆分!$B$18*建筑各项能耗拆分!W104</f>
        <v>0</v>
      </c>
      <c r="X6" s="1">
        <f>建筑各项能耗拆分!$B$18*建筑各项能耗拆分!X104</f>
        <v>0</v>
      </c>
      <c r="Y6" s="1">
        <f>建筑各项能耗拆分!$B$18*建筑各项能耗拆分!Y104</f>
        <v>0</v>
      </c>
      <c r="Z6" s="1">
        <f>建筑各项能耗拆分!$B$18*建筑各项能耗拆分!Z104</f>
        <v>0</v>
      </c>
      <c r="AA6" s="1">
        <f>建筑各项能耗拆分!$B$18*建筑各项能耗拆分!AA104</f>
        <v>0</v>
      </c>
      <c r="AB6" s="1">
        <f>建筑各项能耗拆分!$B$18*建筑各项能耗拆分!AB104</f>
        <v>0</v>
      </c>
      <c r="AC6" s="1">
        <f>建筑各项能耗拆分!$B$18*建筑各项能耗拆分!AC104</f>
        <v>0</v>
      </c>
      <c r="AD6" s="1">
        <f>建筑各项能耗拆分!$B$18*建筑各项能耗拆分!AD104</f>
        <v>0</v>
      </c>
      <c r="AE6" s="1">
        <f>建筑各项能耗拆分!$B$18*建筑各项能耗拆分!AE104</f>
        <v>0</v>
      </c>
      <c r="AF6" s="1">
        <f>建筑各项能耗拆分!$B$18*建筑各项能耗拆分!AF104</f>
        <v>0</v>
      </c>
      <c r="AG6" s="1">
        <f>建筑各项能耗拆分!$B$18*建筑各项能耗拆分!AG104</f>
        <v>0</v>
      </c>
      <c r="AH6" s="1">
        <f>建筑各项能耗拆分!$B$18*建筑各项能耗拆分!AH104</f>
        <v>0</v>
      </c>
      <c r="AI6" s="1">
        <f>建筑各项能耗拆分!$B$18*建筑各项能耗拆分!AI104</f>
        <v>0</v>
      </c>
      <c r="AJ6" s="1">
        <f>建筑各项能耗拆分!$B$18*建筑各项能耗拆分!AJ104</f>
        <v>0</v>
      </c>
      <c r="AK6" s="1">
        <f>建筑各项能耗拆分!$B$18*建筑各项能耗拆分!AK104</f>
        <v>0</v>
      </c>
      <c r="AL6" s="1">
        <f>建筑各项能耗拆分!$B$18*建筑各项能耗拆分!AL104</f>
        <v>0</v>
      </c>
      <c r="AM6" s="1">
        <f>建筑各项能耗拆分!$B$18*建筑各项能耗拆分!AM104</f>
        <v>0</v>
      </c>
      <c r="AN6" s="1">
        <f>建筑各项能耗拆分!$B$18*建筑各项能耗拆分!AN104</f>
        <v>0</v>
      </c>
      <c r="AO6" s="1">
        <f>建筑各项能耗拆分!$B$18*建筑各项能耗拆分!AO104</f>
        <v>0</v>
      </c>
      <c r="AP6" s="1">
        <f>建筑各项能耗拆分!$B$18*建筑各项能耗拆分!AP104</f>
        <v>0</v>
      </c>
      <c r="AQ6" s="1">
        <f>建筑各项能耗拆分!$B$18*建筑各项能耗拆分!AQ104</f>
        <v>0</v>
      </c>
      <c r="AR6" s="1">
        <f>建筑各项能耗拆分!$B$18*建筑各项能耗拆分!AR104</f>
        <v>0</v>
      </c>
    </row>
    <row r="7" spans="1:44">
      <c r="A7" t="s">
        <v>1114</v>
      </c>
      <c r="B7" s="1">
        <f>建筑各项能耗拆分!$B$18*建筑各项能耗拆分!B105</f>
        <v>46335810613569.6</v>
      </c>
      <c r="C7" s="1">
        <f>建筑各项能耗拆分!$B$18*建筑各项能耗拆分!C105</f>
        <v>270322922838118</v>
      </c>
      <c r="D7" s="1">
        <f>建筑各项能耗拆分!$B$18*建筑各项能耗拆分!D105</f>
        <v>248346895903914</v>
      </c>
      <c r="E7" s="1">
        <f>建筑各项能耗拆分!$B$18*建筑各项能耗拆分!E105</f>
        <v>253791802587803</v>
      </c>
      <c r="F7" s="1">
        <f>建筑各项能耗拆分!$B$18*建筑各项能耗拆分!F105</f>
        <v>134062775601878</v>
      </c>
      <c r="G7" s="1">
        <f>建筑各项能耗拆分!$B$18*建筑各项能耗拆分!G105</f>
        <v>109746145115253</v>
      </c>
      <c r="H7" s="1">
        <f>建筑各项能耗拆分!$B$18*建筑各项能耗拆分!H105</f>
        <v>108629694435864</v>
      </c>
      <c r="I7" s="1">
        <f>建筑各项能耗拆分!$B$18*建筑各项能耗拆分!I105</f>
        <v>107459735514697</v>
      </c>
      <c r="J7" s="1">
        <f>建筑各项能耗拆分!$B$18*建筑各项能耗拆分!J105</f>
        <v>106623673808676</v>
      </c>
      <c r="K7" s="1">
        <f>建筑各项能耗拆分!$B$18*建筑各项能耗拆分!K105</f>
        <v>105757176714833</v>
      </c>
      <c r="L7" s="1">
        <f>建筑各项能耗拆分!$B$18*建筑各项能耗拆分!L105</f>
        <v>104858742672101</v>
      </c>
      <c r="M7" s="1">
        <f>建筑各项能耗拆分!$B$18*建筑各项能耗拆分!M105</f>
        <v>103927613049646</v>
      </c>
      <c r="N7" s="1">
        <f>建筑各项能耗拆分!$B$18*建筑各项能耗拆分!N105</f>
        <v>102964300361465</v>
      </c>
      <c r="O7" s="1">
        <f>建筑各项能耗拆分!$B$18*建筑各项能耗拆分!O105</f>
        <v>101749093011955</v>
      </c>
      <c r="P7" s="1">
        <f>建筑各项能耗拆分!$B$18*建筑各项能耗拆分!P105</f>
        <v>100499824317979</v>
      </c>
      <c r="Q7" s="1">
        <f>建筑各项能耗拆分!$B$18*建筑各项能耗拆分!Q105</f>
        <v>99214789632967.6</v>
      </c>
      <c r="R7" s="1">
        <f>建筑各项能耗拆分!$B$18*建筑各项能耗拆分!R105</f>
        <v>97893550076437.4</v>
      </c>
      <c r="S7" s="1">
        <f>建筑各项能耗拆分!$B$18*建筑各项能耗拆分!S105</f>
        <v>96536533060988.3</v>
      </c>
      <c r="T7" s="1">
        <f>建筑各项能耗拆分!$B$18*建筑各项能耗拆分!T105</f>
        <v>94412175584617.5</v>
      </c>
      <c r="U7" s="1">
        <f>建筑各项能耗拆分!$B$18*建筑各项能耗拆分!U105</f>
        <v>92285037087693</v>
      </c>
      <c r="V7" s="1">
        <f>建筑各项能耗拆分!$B$18*建筑各项能耗拆分!V105</f>
        <v>90156928124567.2</v>
      </c>
      <c r="W7" s="1">
        <f>建筑各项能耗拆分!$B$18*建筑各项能耗拆分!W105</f>
        <v>88026571271234.2</v>
      </c>
      <c r="X7" s="1">
        <f>建筑各项能耗拆分!$B$18*建筑各项能耗拆分!X105</f>
        <v>85894411058586.2</v>
      </c>
      <c r="Y7" s="1">
        <f>建筑各项能耗拆分!$B$18*建筑各项能耗拆分!Y105</f>
        <v>83928078851691.1</v>
      </c>
      <c r="Z7" s="1">
        <f>建筑各项能耗拆分!$B$18*建筑各项能耗拆分!Z105</f>
        <v>81973381670098.6</v>
      </c>
      <c r="AA7" s="1">
        <f>建筑各项能耗拆分!$B$18*建筑各项能耗拆分!AA105</f>
        <v>80030534322395.7</v>
      </c>
      <c r="AB7" s="1">
        <f>建筑各项能耗拆分!$B$18*建筑各项能耗拆分!AB105</f>
        <v>78099342847511.8</v>
      </c>
      <c r="AC7" s="1">
        <f>建筑各项能耗拆分!$B$18*建筑各项能耗拆分!AC105</f>
        <v>76179561297531.8</v>
      </c>
      <c r="AD7" s="1">
        <f>建筑各项能耗拆分!$B$18*建筑各项能耗拆分!AD105</f>
        <v>74151749764716.9</v>
      </c>
      <c r="AE7" s="1">
        <f>建筑各项能耗拆分!$B$18*建筑各项能耗拆分!AE105</f>
        <v>72141882137901.3</v>
      </c>
      <c r="AF7" s="1">
        <f>建筑各项能耗拆分!$B$18*建筑各项能耗拆分!AF105</f>
        <v>70147084890423.1</v>
      </c>
      <c r="AG7" s="1">
        <f>建筑各项能耗拆分!$B$18*建筑各项能耗拆分!AG105</f>
        <v>68169707722107.7</v>
      </c>
      <c r="AH7" s="1">
        <f>建筑各项能耗拆分!$B$18*建筑各项能耗拆分!AH105</f>
        <v>66210491115626.5</v>
      </c>
      <c r="AI7" s="1">
        <f>建筑各项能耗拆分!$B$18*建筑各项能耗拆分!AI105</f>
        <v>65720133251331.2</v>
      </c>
      <c r="AJ7" s="1">
        <f>建筑各项能耗拆分!$B$18*建筑各项能耗拆分!AJ105</f>
        <v>65229481146772.5</v>
      </c>
      <c r="AK7" s="1">
        <f>建筑各项能耗拆分!$B$18*建筑各项能耗拆分!AK105</f>
        <v>64741088490765.4</v>
      </c>
      <c r="AL7" s="1">
        <f>建筑各项能耗拆分!$B$18*建筑各项能耗拆分!AL105</f>
        <v>64252479442815.9</v>
      </c>
      <c r="AM7" s="1">
        <f>建筑各项能耗拆分!$B$18*建筑各项能耗拆分!AM105</f>
        <v>63764979799410.9</v>
      </c>
      <c r="AN7" s="1">
        <f>建筑各项能耗拆分!$B$18*建筑各项能耗拆分!AN105</f>
        <v>63189076922362.6</v>
      </c>
      <c r="AO7" s="1">
        <f>建筑各项能耗拆分!$B$18*建筑各项能耗拆分!AO105</f>
        <v>62613508397255.1</v>
      </c>
      <c r="AP7" s="1">
        <f>建筑各项能耗拆分!$B$18*建筑各项能耗拆分!AP105</f>
        <v>62039154305952</v>
      </c>
      <c r="AQ7" s="1">
        <f>建筑各项能耗拆分!$B$18*建筑各项能耗拆分!AQ105</f>
        <v>61465868451945.7</v>
      </c>
      <c r="AR7" s="1">
        <f>建筑各项能耗拆分!$B$18*建筑各项能耗拆分!AR105</f>
        <v>60893587764902.4</v>
      </c>
    </row>
    <row r="8" spans="1:44">
      <c r="A8" t="s">
        <v>1115</v>
      </c>
      <c r="B8" s="1">
        <f>建筑各项能耗拆分!$B$18*建筑各项能耗拆分!B106</f>
        <v>0</v>
      </c>
      <c r="C8" s="1">
        <f>建筑各项能耗拆分!$B$18*建筑各项能耗拆分!C106</f>
        <v>9417732795950.11</v>
      </c>
      <c r="D8" s="1">
        <f>建筑各项能耗拆分!$B$18*建筑各项能耗拆分!D106</f>
        <v>4923184114397.86</v>
      </c>
      <c r="E8" s="1">
        <f>建筑各项能耗拆分!$B$18*建筑各项能耗拆分!E106</f>
        <v>1020560554394.25</v>
      </c>
      <c r="F8" s="1">
        <f>建筑各项能耗拆分!$B$18*建筑各项能耗拆分!F106</f>
        <v>759297052469.325</v>
      </c>
      <c r="G8" s="1">
        <f>建筑各项能耗拆分!$B$18*建筑各项能耗拆分!G106</f>
        <v>788696400000</v>
      </c>
      <c r="H8" s="1">
        <f>建筑各项能耗拆分!$B$18*建筑各项能耗拆分!H106</f>
        <v>780672968920.147</v>
      </c>
      <c r="I8" s="1">
        <f>建筑各项能耗拆分!$B$18*建筑各项能耗拆分!I106</f>
        <v>772264998067.928</v>
      </c>
      <c r="J8" s="1">
        <f>建筑各项能耗拆分!$B$18*建筑各项能耗拆分!J106</f>
        <v>766256596979.911</v>
      </c>
      <c r="K8" s="1">
        <f>建筑各项能耗拆分!$B$18*建筑各项能耗拆分!K106</f>
        <v>760029470388.75</v>
      </c>
      <c r="L8" s="1">
        <f>建筑各项能耗拆分!$B$18*建筑各项能耗拆分!L106</f>
        <v>753572827247.471</v>
      </c>
      <c r="M8" s="1">
        <f>建筑各项能耗拆分!$B$18*建筑各项能耗拆分!M106</f>
        <v>746881215615.989</v>
      </c>
      <c r="N8" s="1">
        <f>建筑各项能耗拆分!$B$18*建筑各项能耗拆分!N106</f>
        <v>739958318702.896</v>
      </c>
      <c r="O8" s="1">
        <f>建筑各项能耗拆分!$B$18*建筑各项能耗拆分!O106</f>
        <v>731225167658.675</v>
      </c>
      <c r="P8" s="1">
        <f>建筑各项能耗拆分!$B$18*建筑各项能耗拆分!P106</f>
        <v>722247232984.643</v>
      </c>
      <c r="Q8" s="1">
        <f>建筑各项能耗拆分!$B$18*建筑各项能耗拆分!Q106</f>
        <v>713012264149.25</v>
      </c>
      <c r="R8" s="1">
        <f>建筑各项能耗拆分!$B$18*建筑各项能耗拆分!R106</f>
        <v>703517107115.003</v>
      </c>
      <c r="S8" s="1">
        <f>建筑各项能耗拆分!$B$18*建筑各项能耗拆分!S106</f>
        <v>693764833504.85</v>
      </c>
      <c r="T8" s="1">
        <f>建筑各项能耗拆分!$B$18*建筑各项能耗拆分!T106</f>
        <v>678498027621.443</v>
      </c>
      <c r="U8" s="1">
        <f>建筑各项能耗拆分!$B$18*建筑各项能耗拆分!U106</f>
        <v>663211235788.673</v>
      </c>
      <c r="V8" s="1">
        <f>建筑各项能耗拆分!$B$18*建筑各项能耗拆分!V106</f>
        <v>647917469649.896</v>
      </c>
      <c r="W8" s="1">
        <f>建筑各项能耗拆分!$B$18*建筑各项能耗拆分!W106</f>
        <v>632607548930.815</v>
      </c>
      <c r="X8" s="1">
        <f>建筑各项能耗拆分!$B$18*建筑各项能耗拆分!X106</f>
        <v>617284668275.895</v>
      </c>
      <c r="Y8" s="1">
        <f>建筑各项能耗拆分!$B$18*建筑各项能耗拆分!Y106</f>
        <v>603153519239.602</v>
      </c>
      <c r="Z8" s="1">
        <f>建筑各项能耗拆分!$B$18*建筑各项能耗拆分!Z106</f>
        <v>589105985919.931</v>
      </c>
      <c r="AA8" s="1">
        <f>建筑各项能耗拆分!$B$18*建筑各项能耗拆分!AA106</f>
        <v>575143612050</v>
      </c>
      <c r="AB8" s="1">
        <f>建筑各项能耗拆分!$B$18*建筑各项能耗拆分!AB106</f>
        <v>561265003718.453</v>
      </c>
      <c r="AC8" s="1">
        <f>建筑各项能耗拆分!$B$18*建筑各项能耗拆分!AC106</f>
        <v>547468393407.764</v>
      </c>
      <c r="AD8" s="1">
        <f>建筑各项能耗拆分!$B$18*建筑各项能耗拆分!AD106</f>
        <v>532895419986.874</v>
      </c>
      <c r="AE8" s="1">
        <f>建筑各项能耗拆分!$B$18*建筑各项能耗拆分!AE106</f>
        <v>518451401383.021</v>
      </c>
      <c r="AF8" s="1">
        <f>建筑各项能耗拆分!$B$18*建筑各项能耗拆分!AF106</f>
        <v>504115686846.861</v>
      </c>
      <c r="AG8" s="1">
        <f>建筑各项能耗拆分!$B$18*建筑各项能耗拆分!AG106</f>
        <v>489905162618.836</v>
      </c>
      <c r="AH8" s="1">
        <f>建筑各项能耗拆分!$B$18*建筑各项能耗拆分!AH106</f>
        <v>475825150216.315</v>
      </c>
      <c r="AI8" s="1">
        <f>建筑各项能耗拆分!$B$18*建筑各项能耗拆分!AI106</f>
        <v>472301167830.645</v>
      </c>
      <c r="AJ8" s="1">
        <f>建筑各项能耗拆分!$B$18*建筑各项能耗拆分!AJ106</f>
        <v>468775070871.961</v>
      </c>
      <c r="AK8" s="1">
        <f>建筑各项能耗拆分!$B$18*建筑各项能耗拆分!AK106</f>
        <v>465265211558.229</v>
      </c>
      <c r="AL8" s="1">
        <f>建筑各项能耗拆分!$B$18*建筑各项能耗拆分!AL106</f>
        <v>461753797132.505</v>
      </c>
      <c r="AM8" s="1">
        <f>建筑各项能耗拆分!$B$18*建筑各项能耗拆分!AM106</f>
        <v>458250355500.445</v>
      </c>
      <c r="AN8" s="1">
        <f>建筑各项能耗拆分!$B$18*建筑各项能耗拆分!AN106</f>
        <v>454111599415.659</v>
      </c>
      <c r="AO8" s="1">
        <f>建筑各项能耗拆分!$B$18*建筑各项能耗拆分!AO106</f>
        <v>449975246168.545</v>
      </c>
      <c r="AP8" s="1">
        <f>建筑各项能耗拆分!$B$18*建筑各项能耗拆分!AP106</f>
        <v>445847620513.355</v>
      </c>
      <c r="AQ8" s="1">
        <f>建筑各项能耗拆分!$B$18*建筑各项能耗拆分!AQ106</f>
        <v>441727671801.255</v>
      </c>
      <c r="AR8" s="1">
        <f>建筑各项能耗拆分!$B$18*建筑各项能耗拆分!AR106</f>
        <v>437614946773.993</v>
      </c>
    </row>
    <row r="9" spans="1:44">
      <c r="A9" t="s">
        <v>1116</v>
      </c>
      <c r="B9" s="1">
        <f>建筑各项能耗拆分!$B$18*建筑各项能耗拆分!B107</f>
        <v>0</v>
      </c>
      <c r="C9" s="1">
        <f>建筑各项能耗拆分!$B$18*建筑各项能耗拆分!C107</f>
        <v>0</v>
      </c>
      <c r="D9" s="1">
        <f>建筑各项能耗拆分!$B$18*建筑各项能耗拆分!D107</f>
        <v>0</v>
      </c>
      <c r="E9" s="1">
        <f>建筑各项能耗拆分!$B$18*建筑各项能耗拆分!E107</f>
        <v>0</v>
      </c>
      <c r="F9" s="1">
        <f>建筑各项能耗拆分!$B$18*建筑各项能耗拆分!F107</f>
        <v>0</v>
      </c>
      <c r="G9" s="1">
        <f>建筑各项能耗拆分!$B$18*建筑各项能耗拆分!G107</f>
        <v>0</v>
      </c>
      <c r="H9" s="1">
        <f>建筑各项能耗拆分!$B$18*建筑各项能耗拆分!H107</f>
        <v>0</v>
      </c>
      <c r="I9" s="1">
        <f>建筑各项能耗拆分!$B$18*建筑各项能耗拆分!I107</f>
        <v>0</v>
      </c>
      <c r="J9" s="1">
        <f>建筑各项能耗拆分!$B$18*建筑各项能耗拆分!J107</f>
        <v>0</v>
      </c>
      <c r="K9" s="1">
        <f>建筑各项能耗拆分!$B$18*建筑各项能耗拆分!K107</f>
        <v>0</v>
      </c>
      <c r="L9" s="1">
        <f>建筑各项能耗拆分!$B$18*建筑各项能耗拆分!L107</f>
        <v>0</v>
      </c>
      <c r="M9" s="1">
        <f>建筑各项能耗拆分!$B$18*建筑各项能耗拆分!M107</f>
        <v>0</v>
      </c>
      <c r="N9" s="1">
        <f>建筑各项能耗拆分!$B$18*建筑各项能耗拆分!N107</f>
        <v>0</v>
      </c>
      <c r="O9" s="1">
        <f>建筑各项能耗拆分!$B$18*建筑各项能耗拆分!O107</f>
        <v>0</v>
      </c>
      <c r="P9" s="1">
        <f>建筑各项能耗拆分!$B$18*建筑各项能耗拆分!P107</f>
        <v>0</v>
      </c>
      <c r="Q9" s="1">
        <f>建筑各项能耗拆分!$B$18*建筑各项能耗拆分!Q107</f>
        <v>0</v>
      </c>
      <c r="R9" s="1">
        <f>建筑各项能耗拆分!$B$18*建筑各项能耗拆分!R107</f>
        <v>0</v>
      </c>
      <c r="S9" s="1">
        <f>建筑各项能耗拆分!$B$18*建筑各项能耗拆分!S107</f>
        <v>0</v>
      </c>
      <c r="T9" s="1">
        <f>建筑各项能耗拆分!$B$18*建筑各项能耗拆分!T107</f>
        <v>0</v>
      </c>
      <c r="U9" s="1">
        <f>建筑各项能耗拆分!$B$18*建筑各项能耗拆分!U107</f>
        <v>0</v>
      </c>
      <c r="V9" s="1">
        <f>建筑各项能耗拆分!$B$18*建筑各项能耗拆分!V107</f>
        <v>0</v>
      </c>
      <c r="W9" s="1">
        <f>建筑各项能耗拆分!$B$18*建筑各项能耗拆分!W107</f>
        <v>0</v>
      </c>
      <c r="X9" s="1">
        <f>建筑各项能耗拆分!$B$18*建筑各项能耗拆分!X107</f>
        <v>0</v>
      </c>
      <c r="Y9" s="1">
        <f>建筑各项能耗拆分!$B$18*建筑各项能耗拆分!Y107</f>
        <v>0</v>
      </c>
      <c r="Z9" s="1">
        <f>建筑各项能耗拆分!$B$18*建筑各项能耗拆分!Z107</f>
        <v>0</v>
      </c>
      <c r="AA9" s="1">
        <f>建筑各项能耗拆分!$B$18*建筑各项能耗拆分!AA107</f>
        <v>0</v>
      </c>
      <c r="AB9" s="1">
        <f>建筑各项能耗拆分!$B$18*建筑各项能耗拆分!AB107</f>
        <v>0</v>
      </c>
      <c r="AC9" s="1">
        <f>建筑各项能耗拆分!$B$18*建筑各项能耗拆分!AC107</f>
        <v>0</v>
      </c>
      <c r="AD9" s="1">
        <f>建筑各项能耗拆分!$B$18*建筑各项能耗拆分!AD107</f>
        <v>0</v>
      </c>
      <c r="AE9" s="1">
        <f>建筑各项能耗拆分!$B$18*建筑各项能耗拆分!AE107</f>
        <v>0</v>
      </c>
      <c r="AF9" s="1">
        <f>建筑各项能耗拆分!$B$18*建筑各项能耗拆分!AF107</f>
        <v>0</v>
      </c>
      <c r="AG9" s="1">
        <f>建筑各项能耗拆分!$B$18*建筑各项能耗拆分!AG107</f>
        <v>0</v>
      </c>
      <c r="AH9" s="1">
        <f>建筑各项能耗拆分!$B$18*建筑各项能耗拆分!AH107</f>
        <v>0</v>
      </c>
      <c r="AI9" s="1">
        <f>建筑各项能耗拆分!$B$18*建筑各项能耗拆分!AI107</f>
        <v>0</v>
      </c>
      <c r="AJ9" s="1">
        <f>建筑各项能耗拆分!$B$18*建筑各项能耗拆分!AJ107</f>
        <v>0</v>
      </c>
      <c r="AK9" s="1">
        <f>建筑各项能耗拆分!$B$18*建筑各项能耗拆分!AK107</f>
        <v>0</v>
      </c>
      <c r="AL9" s="1">
        <f>建筑各项能耗拆分!$B$18*建筑各项能耗拆分!AL107</f>
        <v>0</v>
      </c>
      <c r="AM9" s="1">
        <f>建筑各项能耗拆分!$B$18*建筑各项能耗拆分!AM107</f>
        <v>0</v>
      </c>
      <c r="AN9" s="1">
        <f>建筑各项能耗拆分!$B$18*建筑各项能耗拆分!AN107</f>
        <v>0</v>
      </c>
      <c r="AO9" s="1">
        <f>建筑各项能耗拆分!$B$18*建筑各项能耗拆分!AO107</f>
        <v>0</v>
      </c>
      <c r="AP9" s="1">
        <f>建筑各项能耗拆分!$B$18*建筑各项能耗拆分!AP107</f>
        <v>0</v>
      </c>
      <c r="AQ9" s="1">
        <f>建筑各项能耗拆分!$B$18*建筑各项能耗拆分!AQ107</f>
        <v>0</v>
      </c>
      <c r="AR9" s="1">
        <f>建筑各项能耗拆分!$B$18*建筑各项能耗拆分!AR107</f>
        <v>0</v>
      </c>
    </row>
    <row r="10" spans="1:44">
      <c r="A10" t="s">
        <v>1117</v>
      </c>
      <c r="B10" s="1">
        <f>建筑各项能耗拆分!$B$18*建筑各项能耗拆分!B108</f>
        <v>107192800286883</v>
      </c>
      <c r="C10" s="1">
        <f>建筑各项能耗拆分!$B$18*建筑各项能耗拆分!C108</f>
        <v>70117745471039.2</v>
      </c>
      <c r="D10" s="1">
        <f>建筑各项能耗拆分!$B$18*建筑各项能耗拆分!D108</f>
        <v>71481135786788.2</v>
      </c>
      <c r="E10" s="1">
        <f>建筑各项能耗拆分!$B$18*建筑各项能耗拆分!E108</f>
        <v>64983953514673.8</v>
      </c>
      <c r="F10" s="1">
        <f>建筑各项能耗拆分!$B$18*建筑各项能耗拆分!F108</f>
        <v>70810916749027.3</v>
      </c>
      <c r="G10" s="1">
        <f>建筑各项能耗拆分!$B$18*建筑各项能耗拆分!G108</f>
        <v>65114242935617.1</v>
      </c>
      <c r="H10" s="1">
        <f>建筑各项能耗拆分!$B$18*建筑各项能耗拆分!H108</f>
        <v>64451833876173</v>
      </c>
      <c r="I10" s="1">
        <f>建筑各项能耗拆分!$B$18*建筑各项能耗拆分!I108</f>
        <v>63757677472432.7</v>
      </c>
      <c r="J10" s="1">
        <f>建筑各项能耗拆分!$B$18*建筑各项能耗拆分!J108</f>
        <v>63261627930302.6</v>
      </c>
      <c r="K10" s="1">
        <f>建筑各项能耗拆分!$B$18*建筑各项能耗拆分!K108</f>
        <v>62747520558127.9</v>
      </c>
      <c r="L10" s="1">
        <f>建筑各项能耗拆分!$B$18*建筑各项能耗拆分!L108</f>
        <v>62214464454347.1</v>
      </c>
      <c r="M10" s="1">
        <f>建筑各项能耗拆分!$B$18*建筑各项能耗拆分!M108</f>
        <v>61662009510463.8</v>
      </c>
      <c r="N10" s="1">
        <f>建筑各项能耗拆分!$B$18*建筑各项能耗拆分!N108</f>
        <v>61090459809694.9</v>
      </c>
      <c r="O10" s="1">
        <f>建筑各项能耗拆分!$B$18*建筑各项能耗拆分!O108</f>
        <v>60369456748584.4</v>
      </c>
      <c r="P10" s="1">
        <f>建筑各项能耗拆分!$B$18*建筑各项能耗拆分!P108</f>
        <v>59628244516063.9</v>
      </c>
      <c r="Q10" s="1">
        <f>建筑各项能耗拆分!$B$18*建筑各项能耗拆分!Q108</f>
        <v>58865811716509.2</v>
      </c>
      <c r="R10" s="1">
        <f>建筑各项能耗拆分!$B$18*建筑各项能耗拆分!R108</f>
        <v>58081897954712.1</v>
      </c>
      <c r="S10" s="1">
        <f>建筑各项能耗拆分!$B$18*建筑各项能耗拆分!S108</f>
        <v>57276756821791.7</v>
      </c>
      <c r="T10" s="1">
        <f>建筑各项能耗拆分!$B$18*建筑各项能耗拆分!T108</f>
        <v>56016339623053.4</v>
      </c>
      <c r="U10" s="1">
        <f>建筑各项能耗拆分!$B$18*建筑各项能耗拆分!U108</f>
        <v>54754272397812.9</v>
      </c>
      <c r="V10" s="1">
        <f>建筑各项能耗拆分!$B$18*建筑各项能耗拆分!V108</f>
        <v>53491629378571.5</v>
      </c>
      <c r="W10" s="1">
        <f>建筑各项能耗拆分!$B$18*建筑各项能耗拆分!W108</f>
        <v>52227652648073.9</v>
      </c>
      <c r="X10" s="1">
        <f>建筑各项能耗拆分!$B$18*建筑各项能耗拆分!X108</f>
        <v>50962605954012.8</v>
      </c>
      <c r="Y10" s="1">
        <f>建筑各项能耗拆分!$B$18*建筑各项能耗拆分!Y108</f>
        <v>49795947818754.9</v>
      </c>
      <c r="Z10" s="1">
        <f>建筑各项能耗拆分!$B$18*建筑各项能耗拆分!Z108</f>
        <v>48636192940675.8</v>
      </c>
      <c r="AA10" s="1">
        <f>建筑各项能耗拆分!$B$18*建筑各项能耗拆分!AA108</f>
        <v>47483468769341.2</v>
      </c>
      <c r="AB10" s="1">
        <f>建筑各项能耗拆分!$B$18*建筑各项能耗拆分!AB108</f>
        <v>46337660224369.4</v>
      </c>
      <c r="AC10" s="1">
        <f>建筑各项能耗拆分!$B$18*建筑各项能耗拆分!AC108</f>
        <v>45198621380704.8</v>
      </c>
      <c r="AD10" s="1">
        <f>建筑各项能耗拆分!$B$18*建筑各项能耗拆分!AD108</f>
        <v>43995486522194</v>
      </c>
      <c r="AE10" s="1">
        <f>建筑各项能耗拆分!$B$18*建筑各项能耗拆分!AE108</f>
        <v>42802998086418.5</v>
      </c>
      <c r="AF10" s="1">
        <f>建筑各项能耗拆分!$B$18*建筑各项能耗拆分!AF108</f>
        <v>41619451161437.9</v>
      </c>
      <c r="AG10" s="1">
        <f>建筑各项能耗拆分!$B$18*建筑各项能耗拆分!AG108</f>
        <v>40446239863876.5</v>
      </c>
      <c r="AH10" s="1">
        <f>建筑各项能耗拆分!$B$18*建筑各项能耗拆分!AH108</f>
        <v>39283803534619.3</v>
      </c>
      <c r="AI10" s="1">
        <f>建筑各项能耗拆分!$B$18*建筑各项能耗拆分!AI108</f>
        <v>38992865925215.6</v>
      </c>
      <c r="AJ10" s="1">
        <f>建筑各项能耗拆分!$B$18*建筑各项能耗拆分!AJ108</f>
        <v>38701753738089.9</v>
      </c>
      <c r="AK10" s="1">
        <f>建筑各项能耗拆分!$B$18*建筑各项能耗拆分!AK108</f>
        <v>38411982119981.3</v>
      </c>
      <c r="AL10" s="1">
        <f>建筑各项能耗拆分!$B$18*建筑各项能耗拆分!AL108</f>
        <v>38122082112875.6</v>
      </c>
      <c r="AM10" s="1">
        <f>建筑各项能耗拆分!$B$18*建筑各项能耗拆分!AM108</f>
        <v>37832840334238.6</v>
      </c>
      <c r="AN10" s="1">
        <f>建筑各项能耗拆分!$B$18*建筑各项能耗拆分!AN108</f>
        <v>37491147422801.4</v>
      </c>
      <c r="AO10" s="1">
        <f>建筑各项能耗拆分!$B$18*建筑各项能耗拆分!AO108</f>
        <v>37149652888022.1</v>
      </c>
      <c r="AP10" s="1">
        <f>建筑各项能耗拆分!$B$18*建筑各项能耗拆分!AP108</f>
        <v>36808878897346.6</v>
      </c>
      <c r="AQ10" s="1">
        <f>建筑各项能耗拆分!$B$18*建筑各项能耗拆分!AQ108</f>
        <v>36468738709915.9</v>
      </c>
      <c r="AR10" s="1">
        <f>建筑各项能耗拆分!$B$18*建筑各项能耗拆分!AR108</f>
        <v>36129194905034.3</v>
      </c>
    </row>
    <row r="11" spans="1:44">
      <c r="A11" t="s">
        <v>1118</v>
      </c>
      <c r="B11" s="1">
        <f>建筑各项能耗拆分!$B$18*建筑各项能耗拆分!B109</f>
        <v>0</v>
      </c>
      <c r="C11" s="1">
        <f>建筑各项能耗拆分!$B$18*建筑各项能耗拆分!C109</f>
        <v>0</v>
      </c>
      <c r="D11" s="1">
        <f>建筑各项能耗拆分!$B$18*建筑各项能耗拆分!D109</f>
        <v>0</v>
      </c>
      <c r="E11" s="1">
        <f>建筑各项能耗拆分!$B$18*建筑各项能耗拆分!E109</f>
        <v>0</v>
      </c>
      <c r="F11" s="1">
        <f>建筑各项能耗拆分!$B$18*建筑各项能耗拆分!F109</f>
        <v>0</v>
      </c>
      <c r="G11" s="1">
        <f>建筑各项能耗拆分!$B$18*建筑各项能耗拆分!G109</f>
        <v>0</v>
      </c>
      <c r="H11" s="1">
        <f>建筑各项能耗拆分!$B$18*建筑各项能耗拆分!H109</f>
        <v>0</v>
      </c>
      <c r="I11" s="1">
        <f>建筑各项能耗拆分!$B$18*建筑各项能耗拆分!I109</f>
        <v>0</v>
      </c>
      <c r="J11" s="1">
        <f>建筑各项能耗拆分!$B$18*建筑各项能耗拆分!J109</f>
        <v>0</v>
      </c>
      <c r="K11" s="1">
        <f>建筑各项能耗拆分!$B$18*建筑各项能耗拆分!K109</f>
        <v>0</v>
      </c>
      <c r="L11" s="1">
        <f>建筑各项能耗拆分!$B$18*建筑各项能耗拆分!L109</f>
        <v>0</v>
      </c>
      <c r="M11" s="1">
        <f>建筑各项能耗拆分!$B$18*建筑各项能耗拆分!M109</f>
        <v>0</v>
      </c>
      <c r="N11" s="1">
        <f>建筑各项能耗拆分!$B$18*建筑各项能耗拆分!N109</f>
        <v>0</v>
      </c>
      <c r="O11" s="1">
        <f>建筑各项能耗拆分!$B$18*建筑各项能耗拆分!O109</f>
        <v>0</v>
      </c>
      <c r="P11" s="1">
        <f>建筑各项能耗拆分!$B$18*建筑各项能耗拆分!P109</f>
        <v>0</v>
      </c>
      <c r="Q11" s="1">
        <f>建筑各项能耗拆分!$B$18*建筑各项能耗拆分!Q109</f>
        <v>0</v>
      </c>
      <c r="R11" s="1">
        <f>建筑各项能耗拆分!$B$18*建筑各项能耗拆分!R109</f>
        <v>0</v>
      </c>
      <c r="S11" s="1">
        <f>建筑各项能耗拆分!$B$18*建筑各项能耗拆分!S109</f>
        <v>0</v>
      </c>
      <c r="T11" s="1">
        <f>建筑各项能耗拆分!$B$18*建筑各项能耗拆分!T109</f>
        <v>0</v>
      </c>
      <c r="U11" s="1">
        <f>建筑各项能耗拆分!$B$18*建筑各项能耗拆分!U109</f>
        <v>0</v>
      </c>
      <c r="V11" s="1">
        <f>建筑各项能耗拆分!$B$18*建筑各项能耗拆分!V109</f>
        <v>0</v>
      </c>
      <c r="W11" s="1">
        <f>建筑各项能耗拆分!$B$18*建筑各项能耗拆分!W109</f>
        <v>0</v>
      </c>
      <c r="X11" s="1">
        <f>建筑各项能耗拆分!$B$18*建筑各项能耗拆分!X109</f>
        <v>0</v>
      </c>
      <c r="Y11" s="1">
        <f>建筑各项能耗拆分!$B$18*建筑各项能耗拆分!Y109</f>
        <v>0</v>
      </c>
      <c r="Z11" s="1">
        <f>建筑各项能耗拆分!$B$18*建筑各项能耗拆分!Z109</f>
        <v>0</v>
      </c>
      <c r="AA11" s="1">
        <f>建筑各项能耗拆分!$B$18*建筑各项能耗拆分!AA109</f>
        <v>0</v>
      </c>
      <c r="AB11" s="1">
        <f>建筑各项能耗拆分!$B$18*建筑各项能耗拆分!AB109</f>
        <v>0</v>
      </c>
      <c r="AC11" s="1">
        <f>建筑各项能耗拆分!$B$18*建筑各项能耗拆分!AC109</f>
        <v>0</v>
      </c>
      <c r="AD11" s="1">
        <f>建筑各项能耗拆分!$B$18*建筑各项能耗拆分!AD109</f>
        <v>0</v>
      </c>
      <c r="AE11" s="1">
        <f>建筑各项能耗拆分!$B$18*建筑各项能耗拆分!AE109</f>
        <v>0</v>
      </c>
      <c r="AF11" s="1">
        <f>建筑各项能耗拆分!$B$18*建筑各项能耗拆分!AF109</f>
        <v>0</v>
      </c>
      <c r="AG11" s="1">
        <f>建筑各项能耗拆分!$B$18*建筑各项能耗拆分!AG109</f>
        <v>0</v>
      </c>
      <c r="AH11" s="1">
        <f>建筑各项能耗拆分!$B$18*建筑各项能耗拆分!AH109</f>
        <v>0</v>
      </c>
      <c r="AI11" s="1">
        <f>建筑各项能耗拆分!$B$18*建筑各项能耗拆分!AI109</f>
        <v>0</v>
      </c>
      <c r="AJ11" s="1">
        <f>建筑各项能耗拆分!$B$18*建筑各项能耗拆分!AJ109</f>
        <v>0</v>
      </c>
      <c r="AK11" s="1">
        <f>建筑各项能耗拆分!$B$18*建筑各项能耗拆分!AK109</f>
        <v>0</v>
      </c>
      <c r="AL11" s="1">
        <f>建筑各项能耗拆分!$B$18*建筑各项能耗拆分!AL109</f>
        <v>0</v>
      </c>
      <c r="AM11" s="1">
        <f>建筑各项能耗拆分!$B$18*建筑各项能耗拆分!AM109</f>
        <v>0</v>
      </c>
      <c r="AN11" s="1">
        <f>建筑各项能耗拆分!$B$18*建筑各项能耗拆分!AN109</f>
        <v>0</v>
      </c>
      <c r="AO11" s="1">
        <f>建筑各项能耗拆分!$B$18*建筑各项能耗拆分!AO109</f>
        <v>0</v>
      </c>
      <c r="AP11" s="1">
        <f>建筑各项能耗拆分!$B$18*建筑各项能耗拆分!AP109</f>
        <v>0</v>
      </c>
      <c r="AQ11" s="1">
        <f>建筑各项能耗拆分!$B$18*建筑各项能耗拆分!AQ109</f>
        <v>0</v>
      </c>
      <c r="AR11" s="1">
        <f>建筑各项能耗拆分!$B$18*建筑各项能耗拆分!AR109</f>
        <v>0</v>
      </c>
    </row>
    <row r="12" spans="1:44">
      <c r="A12" t="s">
        <v>1119</v>
      </c>
      <c r="B12" s="1">
        <f>SUM(B2:B11)</f>
        <v>1842705540025500</v>
      </c>
      <c r="C12" s="1">
        <f t="shared" ref="C12:AR12" si="0">SUM(C2:C11)</f>
        <v>1238431452564370</v>
      </c>
      <c r="D12" s="1">
        <f t="shared" si="0"/>
        <v>1210431217419750</v>
      </c>
      <c r="E12" s="1">
        <f t="shared" si="0"/>
        <v>1171676385869120</v>
      </c>
      <c r="F12" s="1">
        <f t="shared" si="0"/>
        <v>1012177391202410</v>
      </c>
      <c r="G12" s="1">
        <f t="shared" si="0"/>
        <v>796975876477324</v>
      </c>
      <c r="H12" s="1">
        <f t="shared" si="0"/>
        <v>783991509005785</v>
      </c>
      <c r="I12" s="1">
        <f t="shared" si="0"/>
        <v>772729643162176</v>
      </c>
      <c r="J12" s="1">
        <f t="shared" si="0"/>
        <v>766619892419621</v>
      </c>
      <c r="K12" s="1">
        <f t="shared" si="0"/>
        <v>760047441367359</v>
      </c>
      <c r="L12" s="1">
        <f t="shared" si="0"/>
        <v>753209827996126</v>
      </c>
      <c r="M12" s="1">
        <f t="shared" si="0"/>
        <v>745908842251477</v>
      </c>
      <c r="N12" s="1">
        <f t="shared" si="0"/>
        <v>738208961040133</v>
      </c>
      <c r="O12" s="1">
        <f t="shared" si="0"/>
        <v>728526766557470</v>
      </c>
      <c r="P12" s="1">
        <f t="shared" si="0"/>
        <v>718420395252651</v>
      </c>
      <c r="Q12" s="1">
        <f t="shared" si="0"/>
        <v>707863302888257</v>
      </c>
      <c r="R12" s="1">
        <f t="shared" si="0"/>
        <v>696881710623004</v>
      </c>
      <c r="S12" s="1">
        <f t="shared" si="0"/>
        <v>688632006165750</v>
      </c>
      <c r="T12" s="1">
        <f t="shared" si="0"/>
        <v>673001671078903</v>
      </c>
      <c r="U12" s="1">
        <f t="shared" si="0"/>
        <v>657243939670112</v>
      </c>
      <c r="V12" s="1">
        <f t="shared" si="0"/>
        <v>642133325801841</v>
      </c>
      <c r="W12" s="1">
        <f t="shared" si="0"/>
        <v>627080111413540</v>
      </c>
      <c r="X12" s="1">
        <f t="shared" si="0"/>
        <v>611951157611151</v>
      </c>
      <c r="Y12" s="1">
        <f t="shared" si="0"/>
        <v>598050439279263</v>
      </c>
      <c r="Z12" s="1">
        <f t="shared" si="0"/>
        <v>584182731052888</v>
      </c>
      <c r="AA12" s="1">
        <f t="shared" si="0"/>
        <v>570350952995602</v>
      </c>
      <c r="AB12" s="1">
        <f t="shared" si="0"/>
        <v>556556335068895</v>
      </c>
      <c r="AC12" s="1">
        <f t="shared" si="0"/>
        <v>542800762902910</v>
      </c>
      <c r="AD12" s="1">
        <f t="shared" si="0"/>
        <v>528199872168135</v>
      </c>
      <c r="AE12" s="1">
        <f t="shared" si="0"/>
        <v>513681392495459</v>
      </c>
      <c r="AF12" s="1">
        <f t="shared" si="0"/>
        <v>499228394268923</v>
      </c>
      <c r="AG12" s="1">
        <f t="shared" si="0"/>
        <v>484861820144775</v>
      </c>
      <c r="AH12" s="1">
        <f t="shared" si="0"/>
        <v>470583013257082</v>
      </c>
      <c r="AI12" s="1">
        <f t="shared" si="0"/>
        <v>466070507262725</v>
      </c>
      <c r="AJ12" s="1">
        <f t="shared" si="0"/>
        <v>461521721623618</v>
      </c>
      <c r="AK12" s="1">
        <f t="shared" si="0"/>
        <v>456952933004169</v>
      </c>
      <c r="AL12" s="1">
        <f t="shared" si="0"/>
        <v>452350414625842</v>
      </c>
      <c r="AM12" s="1">
        <f t="shared" si="0"/>
        <v>447725544478534</v>
      </c>
      <c r="AN12" s="1">
        <f t="shared" si="0"/>
        <v>442411075813790</v>
      </c>
      <c r="AO12" s="1">
        <f t="shared" si="0"/>
        <v>437069151473743</v>
      </c>
      <c r="AP12" s="1">
        <f t="shared" si="0"/>
        <v>431708108739918</v>
      </c>
      <c r="AQ12" s="1">
        <f t="shared" si="0"/>
        <v>426328333493368</v>
      </c>
      <c r="AR12" s="1">
        <f t="shared" si="0"/>
        <v>421761916476837</v>
      </c>
    </row>
  </sheetData>
  <pageMargins left="0.7" right="0.7" top="0.75" bottom="0.75" header="0.3" footer="0.3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030A0"/>
  </sheetPr>
  <dimension ref="A1:AR11"/>
  <sheetViews>
    <sheetView workbookViewId="0">
      <selection activeCell="A1" sqref="$A1:$XFD1048576"/>
    </sheetView>
  </sheetViews>
  <sheetFormatPr defaultColWidth="9" defaultRowHeight="13.5"/>
  <cols>
    <col min="1" max="1" width="37.25" customWidth="1"/>
    <col min="2" max="44" width="13.6333333333333" customWidth="1"/>
  </cols>
  <sheetData>
    <row r="1" spans="1:44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>
      <c r="A2" t="s">
        <v>1109</v>
      </c>
      <c r="B2" s="1">
        <f>建筑各项能耗拆分!$B$18*建筑各项能耗拆分!B113</f>
        <v>35849460601719.1</v>
      </c>
      <c r="C2" s="1">
        <f>建筑各项能耗拆分!$B$18*建筑各项能耗拆分!C113</f>
        <v>840360672223540</v>
      </c>
      <c r="D2" s="1">
        <f>建筑各项能耗拆分!$B$18*建筑各项能耗拆分!D113</f>
        <v>906030723009801</v>
      </c>
      <c r="E2" s="1">
        <f>建筑各项能耗拆分!$B$18*建筑各项能耗拆分!E113</f>
        <v>947142928573902</v>
      </c>
      <c r="F2" s="1">
        <f>建筑各项能耗拆分!$B$18*建筑各项能耗拆分!F113</f>
        <v>1078967299512080</v>
      </c>
      <c r="G2" s="1">
        <f>建筑各项能耗拆分!$B$18*建筑各项能耗拆分!G113</f>
        <v>1040162374623260</v>
      </c>
      <c r="H2" s="1">
        <f>建筑各项能耗拆分!$B$18*建筑各项能耗拆分!H113</f>
        <v>891929148184732</v>
      </c>
      <c r="I2" s="1">
        <f>建筑各项能耗拆分!$B$18*建筑各项能耗拆分!I113</f>
        <v>802776776746681</v>
      </c>
      <c r="J2" s="1">
        <f>建筑各项能耗拆分!$B$18*建筑各项能耗拆分!J113</f>
        <v>793772297117992</v>
      </c>
      <c r="K2" s="1">
        <f>建筑各项能耗拆分!$B$18*建筑各项能耗拆分!K113</f>
        <v>777657650123310</v>
      </c>
      <c r="L2" s="1">
        <f>建筑各项能耗拆分!$B$18*建筑各项能耗拆分!L113</f>
        <v>760302166911844</v>
      </c>
      <c r="M2" s="1">
        <f>建筑各项能耗拆分!$B$18*建筑各项能耗拆分!M113</f>
        <v>736259417551305</v>
      </c>
      <c r="N2" s="1">
        <f>建筑各项能耗拆分!$B$18*建筑各项能耗拆分!N113</f>
        <v>707249151531643</v>
      </c>
      <c r="O2" s="1">
        <f>建筑各项能耗拆分!$B$18*建筑各项能耗拆分!O113</f>
        <v>671531253411104</v>
      </c>
      <c r="P2" s="1">
        <f>建筑各项能耗拆分!$B$18*建筑各项能耗拆分!P113</f>
        <v>630499445096136</v>
      </c>
      <c r="Q2" s="1">
        <f>建筑各项能耗拆分!$B$18*建筑各项能耗拆分!Q113</f>
        <v>583737741156056</v>
      </c>
      <c r="R2" s="1">
        <f>建筑各项能耗拆分!$B$18*建筑各项能耗拆分!R113</f>
        <v>532072070643075</v>
      </c>
      <c r="S2" s="1">
        <f>建筑各项能耗拆分!$B$18*建筑各项能耗拆分!S113</f>
        <v>564512131690911</v>
      </c>
      <c r="T2" s="1">
        <f>建筑各项能耗拆分!$B$18*建筑各项能耗拆分!T113</f>
        <v>538640318467065</v>
      </c>
      <c r="U2" s="1">
        <f>建筑各项能耗拆分!$B$18*建筑各项能耗拆分!U113</f>
        <v>509716267880048</v>
      </c>
      <c r="V2" s="1">
        <f>建筑各项能耗拆分!$B$18*建筑各项能耗拆分!V113</f>
        <v>499247701691650</v>
      </c>
      <c r="W2" s="1">
        <f>建筑各项能耗拆分!$B$18*建筑各项能耗拆分!W113</f>
        <v>490838778586114</v>
      </c>
      <c r="X2" s="1">
        <f>建筑各项能耗拆分!$B$18*建筑各项能耗拆分!X113</f>
        <v>480644568994266</v>
      </c>
      <c r="Y2" s="1">
        <f>建筑各项能耗拆分!$B$18*建筑各项能耗拆分!Y113</f>
        <v>472699306717811</v>
      </c>
      <c r="Z2" s="1">
        <f>建筑各项能耗拆分!$B$18*建筑各项能耗拆分!Z113</f>
        <v>463411132790882</v>
      </c>
      <c r="AA2" s="1">
        <f>建筑各项能耗拆分!$B$18*建筑各项能耗拆分!AA113</f>
        <v>452820474486603</v>
      </c>
      <c r="AB2" s="1">
        <f>建筑各项能耗拆分!$B$18*建筑各项能耗拆分!AB113</f>
        <v>440999968808438</v>
      </c>
      <c r="AC2" s="1">
        <f>建筑各项能耗拆分!$B$18*建筑各项能耗拆分!AC113</f>
        <v>428050923393817</v>
      </c>
      <c r="AD2" s="1">
        <f>建筑各项能耗拆分!$B$18*建筑各项能耗拆分!AD113</f>
        <v>412361666103107</v>
      </c>
      <c r="AE2" s="1">
        <f>建筑各项能耗拆分!$B$18*建筑各项能耗拆分!AE113</f>
        <v>395490508915264</v>
      </c>
      <c r="AF2" s="1">
        <f>建筑各项能耗拆分!$B$18*建筑各项能耗拆分!AF113</f>
        <v>377521369847080</v>
      </c>
      <c r="AG2" s="1">
        <f>建筑各项能耗拆分!$B$18*建筑各项能耗拆分!AG113</f>
        <v>358586013282747</v>
      </c>
      <c r="AH2" s="1">
        <f>建筑各项能耗拆分!$B$18*建筑各项能耗拆分!AH113</f>
        <v>338577585434342</v>
      </c>
      <c r="AI2" s="1">
        <f>建筑各项能耗拆分!$B$18*建筑各项能耗拆分!AI113</f>
        <v>307071820614305</v>
      </c>
      <c r="AJ2" s="1">
        <f>建筑各项能耗拆分!$B$18*建筑各项能耗拆分!AJ113</f>
        <v>274599538814821</v>
      </c>
      <c r="AK2" s="1">
        <f>建筑各项能耗拆分!$B$18*建筑各项能耗拆分!AK113</f>
        <v>241120920397246</v>
      </c>
      <c r="AL2" s="1">
        <f>建筑各项能耗拆分!$B$18*建筑各项能耗拆分!AL113</f>
        <v>206732539463252</v>
      </c>
      <c r="AM2" s="1">
        <f>建筑各项能耗拆分!$B$18*建筑各项能耗拆分!AM113</f>
        <v>171496359648710</v>
      </c>
      <c r="AN2" s="1">
        <f>建筑各项能耗拆分!$B$18*建筑各项能耗拆分!AN113</f>
        <v>134078313654358</v>
      </c>
      <c r="AO2" s="1">
        <f>建筑各项能耗拆分!$B$18*建筑各项能耗拆分!AO113</f>
        <v>95819928225191.4</v>
      </c>
      <c r="AP2" s="1">
        <f>建筑各项能耗拆分!$B$18*建筑各项能耗拆分!AP113</f>
        <v>56784476860720.6</v>
      </c>
      <c r="AQ2" s="1">
        <f>建筑各项能耗拆分!$B$18*建筑各项能耗拆分!AQ113</f>
        <v>17011433218911.1</v>
      </c>
      <c r="AR2" s="1">
        <f>建筑各项能耗拆分!$B$18*建筑各项能耗拆分!AR113</f>
        <v>0</v>
      </c>
    </row>
    <row r="3" spans="1:44">
      <c r="A3" t="s">
        <v>1110</v>
      </c>
      <c r="B3" s="1">
        <f>建筑各项能耗拆分!$B$18*建筑各项能耗拆分!B114</f>
        <v>0</v>
      </c>
      <c r="C3" s="1">
        <f>建筑各项能耗拆分!$B$18*建筑各项能耗拆分!C114</f>
        <v>0</v>
      </c>
      <c r="D3" s="1">
        <f>建筑各项能耗拆分!$B$18*建筑各项能耗拆分!D114</f>
        <v>0</v>
      </c>
      <c r="E3" s="1">
        <f>建筑各项能耗拆分!$B$18*建筑各项能耗拆分!E114</f>
        <v>0</v>
      </c>
      <c r="F3" s="1">
        <f>建筑各项能耗拆分!$B$18*建筑各项能耗拆分!F114</f>
        <v>0</v>
      </c>
      <c r="G3" s="1">
        <f>建筑各项能耗拆分!$B$18*建筑各项能耗拆分!G114</f>
        <v>0</v>
      </c>
      <c r="H3" s="1">
        <f>建筑各项能耗拆分!$B$18*建筑各项能耗拆分!H114</f>
        <v>0</v>
      </c>
      <c r="I3" s="1">
        <f>建筑各项能耗拆分!$B$18*建筑各项能耗拆分!I114</f>
        <v>0</v>
      </c>
      <c r="J3" s="1">
        <f>建筑各项能耗拆分!$B$18*建筑各项能耗拆分!J114</f>
        <v>0</v>
      </c>
      <c r="K3" s="1">
        <f>建筑各项能耗拆分!$B$18*建筑各项能耗拆分!K114</f>
        <v>0</v>
      </c>
      <c r="L3" s="1">
        <f>建筑各项能耗拆分!$B$18*建筑各项能耗拆分!L114</f>
        <v>0</v>
      </c>
      <c r="M3" s="1">
        <f>建筑各项能耗拆分!$B$18*建筑各项能耗拆分!M114</f>
        <v>0</v>
      </c>
      <c r="N3" s="1">
        <f>建筑各项能耗拆分!$B$18*建筑各项能耗拆分!N114</f>
        <v>0</v>
      </c>
      <c r="O3" s="1">
        <f>建筑各项能耗拆分!$B$18*建筑各项能耗拆分!O114</f>
        <v>0</v>
      </c>
      <c r="P3" s="1">
        <f>建筑各项能耗拆分!$B$18*建筑各项能耗拆分!P114</f>
        <v>0</v>
      </c>
      <c r="Q3" s="1">
        <f>建筑各项能耗拆分!$B$18*建筑各项能耗拆分!Q114</f>
        <v>0</v>
      </c>
      <c r="R3" s="1">
        <f>建筑各项能耗拆分!$B$18*建筑各项能耗拆分!R114</f>
        <v>0</v>
      </c>
      <c r="S3" s="1">
        <f>建筑各项能耗拆分!$B$18*建筑各项能耗拆分!S114</f>
        <v>0</v>
      </c>
      <c r="T3" s="1">
        <f>建筑各项能耗拆分!$B$18*建筑各项能耗拆分!T114</f>
        <v>0</v>
      </c>
      <c r="U3" s="1">
        <f>建筑各项能耗拆分!$B$18*建筑各项能耗拆分!U114</f>
        <v>0</v>
      </c>
      <c r="V3" s="1">
        <f>建筑各项能耗拆分!$B$18*建筑各项能耗拆分!V114</f>
        <v>0</v>
      </c>
      <c r="W3" s="1">
        <f>建筑各项能耗拆分!$B$18*建筑各项能耗拆分!W114</f>
        <v>0</v>
      </c>
      <c r="X3" s="1">
        <f>建筑各项能耗拆分!$B$18*建筑各项能耗拆分!X114</f>
        <v>0</v>
      </c>
      <c r="Y3" s="1">
        <f>建筑各项能耗拆分!$B$18*建筑各项能耗拆分!Y114</f>
        <v>0</v>
      </c>
      <c r="Z3" s="1">
        <f>建筑各项能耗拆分!$B$18*建筑各项能耗拆分!Z114</f>
        <v>0</v>
      </c>
      <c r="AA3" s="1">
        <f>建筑各项能耗拆分!$B$18*建筑各项能耗拆分!AA114</f>
        <v>0</v>
      </c>
      <c r="AB3" s="1">
        <f>建筑各项能耗拆分!$B$18*建筑各项能耗拆分!AB114</f>
        <v>0</v>
      </c>
      <c r="AC3" s="1">
        <f>建筑各项能耗拆分!$B$18*建筑各项能耗拆分!AC114</f>
        <v>0</v>
      </c>
      <c r="AD3" s="1">
        <f>建筑各项能耗拆分!$B$18*建筑各项能耗拆分!AD114</f>
        <v>0</v>
      </c>
      <c r="AE3" s="1">
        <f>建筑各项能耗拆分!$B$18*建筑各项能耗拆分!AE114</f>
        <v>0</v>
      </c>
      <c r="AF3" s="1">
        <f>建筑各项能耗拆分!$B$18*建筑各项能耗拆分!AF114</f>
        <v>0</v>
      </c>
      <c r="AG3" s="1">
        <f>建筑各项能耗拆分!$B$18*建筑各项能耗拆分!AG114</f>
        <v>0</v>
      </c>
      <c r="AH3" s="1">
        <f>建筑各项能耗拆分!$B$18*建筑各项能耗拆分!AH114</f>
        <v>0</v>
      </c>
      <c r="AI3" s="1">
        <f>建筑各项能耗拆分!$B$18*建筑各项能耗拆分!AI114</f>
        <v>0</v>
      </c>
      <c r="AJ3" s="1">
        <f>建筑各项能耗拆分!$B$18*建筑各项能耗拆分!AJ114</f>
        <v>0</v>
      </c>
      <c r="AK3" s="1">
        <f>建筑各项能耗拆分!$B$18*建筑各项能耗拆分!AK114</f>
        <v>0</v>
      </c>
      <c r="AL3" s="1">
        <f>建筑各项能耗拆分!$B$18*建筑各项能耗拆分!AL114</f>
        <v>0</v>
      </c>
      <c r="AM3" s="1">
        <f>建筑各项能耗拆分!$B$18*建筑各项能耗拆分!AM114</f>
        <v>0</v>
      </c>
      <c r="AN3" s="1">
        <f>建筑各项能耗拆分!$B$18*建筑各项能耗拆分!AN114</f>
        <v>0</v>
      </c>
      <c r="AO3" s="1">
        <f>建筑各项能耗拆分!$B$18*建筑各项能耗拆分!AO114</f>
        <v>0</v>
      </c>
      <c r="AP3" s="1">
        <f>建筑各项能耗拆分!$B$18*建筑各项能耗拆分!AP114</f>
        <v>0</v>
      </c>
      <c r="AQ3" s="1">
        <f>建筑各项能耗拆分!$B$18*建筑各项能耗拆分!AQ114</f>
        <v>0</v>
      </c>
      <c r="AR3" s="1">
        <f>建筑各项能耗拆分!$B$18*建筑各项能耗拆分!AR114</f>
        <v>0</v>
      </c>
    </row>
    <row r="4" spans="1:44">
      <c r="A4" t="s">
        <v>1111</v>
      </c>
      <c r="B4" s="1">
        <f>建筑各项能耗拆分!$B$18*建筑各项能耗拆分!B115</f>
        <v>0</v>
      </c>
      <c r="C4" s="1">
        <f>建筑各项能耗拆分!$B$18*建筑各项能耗拆分!C115</f>
        <v>0</v>
      </c>
      <c r="D4" s="1">
        <f>建筑各项能耗拆分!$B$18*建筑各项能耗拆分!D115</f>
        <v>0</v>
      </c>
      <c r="E4" s="1">
        <f>建筑各项能耗拆分!$B$18*建筑各项能耗拆分!E115</f>
        <v>0</v>
      </c>
      <c r="F4" s="1">
        <f>建筑各项能耗拆分!$B$18*建筑各项能耗拆分!F115</f>
        <v>0</v>
      </c>
      <c r="G4" s="1">
        <f>建筑各项能耗拆分!$B$18*建筑各项能耗拆分!G115</f>
        <v>0</v>
      </c>
      <c r="H4" s="1">
        <f>建筑各项能耗拆分!$B$18*建筑各项能耗拆分!H115</f>
        <v>0</v>
      </c>
      <c r="I4" s="1">
        <f>建筑各项能耗拆分!$B$18*建筑各项能耗拆分!I115</f>
        <v>0</v>
      </c>
      <c r="J4" s="1">
        <f>建筑各项能耗拆分!$B$18*建筑各项能耗拆分!J115</f>
        <v>0</v>
      </c>
      <c r="K4" s="1">
        <f>建筑各项能耗拆分!$B$18*建筑各项能耗拆分!K115</f>
        <v>0</v>
      </c>
      <c r="L4" s="1">
        <f>建筑各项能耗拆分!$B$18*建筑各项能耗拆分!L115</f>
        <v>0</v>
      </c>
      <c r="M4" s="1">
        <f>建筑各项能耗拆分!$B$18*建筑各项能耗拆分!M115</f>
        <v>0</v>
      </c>
      <c r="N4" s="1">
        <f>建筑各项能耗拆分!$B$18*建筑各项能耗拆分!N115</f>
        <v>0</v>
      </c>
      <c r="O4" s="1">
        <f>建筑各项能耗拆分!$B$18*建筑各项能耗拆分!O115</f>
        <v>0</v>
      </c>
      <c r="P4" s="1">
        <f>建筑各项能耗拆分!$B$18*建筑各项能耗拆分!P115</f>
        <v>0</v>
      </c>
      <c r="Q4" s="1">
        <f>建筑各项能耗拆分!$B$18*建筑各项能耗拆分!Q115</f>
        <v>0</v>
      </c>
      <c r="R4" s="1">
        <f>建筑各项能耗拆分!$B$18*建筑各项能耗拆分!R115</f>
        <v>0</v>
      </c>
      <c r="S4" s="1">
        <f>建筑各项能耗拆分!$B$18*建筑各项能耗拆分!S115</f>
        <v>0</v>
      </c>
      <c r="T4" s="1">
        <f>建筑各项能耗拆分!$B$18*建筑各项能耗拆分!T115</f>
        <v>0</v>
      </c>
      <c r="U4" s="1">
        <f>建筑各项能耗拆分!$B$18*建筑各项能耗拆分!U115</f>
        <v>0</v>
      </c>
      <c r="V4" s="1">
        <f>建筑各项能耗拆分!$B$18*建筑各项能耗拆分!V115</f>
        <v>0</v>
      </c>
      <c r="W4" s="1">
        <f>建筑各项能耗拆分!$B$18*建筑各项能耗拆分!W115</f>
        <v>0</v>
      </c>
      <c r="X4" s="1">
        <f>建筑各项能耗拆分!$B$18*建筑各项能耗拆分!X115</f>
        <v>0</v>
      </c>
      <c r="Y4" s="1">
        <f>建筑各项能耗拆分!$B$18*建筑各项能耗拆分!Y115</f>
        <v>0</v>
      </c>
      <c r="Z4" s="1">
        <f>建筑各项能耗拆分!$B$18*建筑各项能耗拆分!Z115</f>
        <v>0</v>
      </c>
      <c r="AA4" s="1">
        <f>建筑各项能耗拆分!$B$18*建筑各项能耗拆分!AA115</f>
        <v>0</v>
      </c>
      <c r="AB4" s="1">
        <f>建筑各项能耗拆分!$B$18*建筑各项能耗拆分!AB115</f>
        <v>0</v>
      </c>
      <c r="AC4" s="1">
        <f>建筑各项能耗拆分!$B$18*建筑各项能耗拆分!AC115</f>
        <v>0</v>
      </c>
      <c r="AD4" s="1">
        <f>建筑各项能耗拆分!$B$18*建筑各项能耗拆分!AD115</f>
        <v>0</v>
      </c>
      <c r="AE4" s="1">
        <f>建筑各项能耗拆分!$B$18*建筑各项能耗拆分!AE115</f>
        <v>0</v>
      </c>
      <c r="AF4" s="1">
        <f>建筑各项能耗拆分!$B$18*建筑各项能耗拆分!AF115</f>
        <v>0</v>
      </c>
      <c r="AG4" s="1">
        <f>建筑各项能耗拆分!$B$18*建筑各项能耗拆分!AG115</f>
        <v>0</v>
      </c>
      <c r="AH4" s="1">
        <f>建筑各项能耗拆分!$B$18*建筑各项能耗拆分!AH115</f>
        <v>0</v>
      </c>
      <c r="AI4" s="1">
        <f>建筑各项能耗拆分!$B$18*建筑各项能耗拆分!AI115</f>
        <v>0</v>
      </c>
      <c r="AJ4" s="1">
        <f>建筑各项能耗拆分!$B$18*建筑各项能耗拆分!AJ115</f>
        <v>0</v>
      </c>
      <c r="AK4" s="1">
        <f>建筑各项能耗拆分!$B$18*建筑各项能耗拆分!AK115</f>
        <v>0</v>
      </c>
      <c r="AL4" s="1">
        <f>建筑各项能耗拆分!$B$18*建筑各项能耗拆分!AL115</f>
        <v>0</v>
      </c>
      <c r="AM4" s="1">
        <f>建筑各项能耗拆分!$B$18*建筑各项能耗拆分!AM115</f>
        <v>0</v>
      </c>
      <c r="AN4" s="1">
        <f>建筑各项能耗拆分!$B$18*建筑各项能耗拆分!AN115</f>
        <v>0</v>
      </c>
      <c r="AO4" s="1">
        <f>建筑各项能耗拆分!$B$18*建筑各项能耗拆分!AO115</f>
        <v>0</v>
      </c>
      <c r="AP4" s="1">
        <f>建筑各项能耗拆分!$B$18*建筑各项能耗拆分!AP115</f>
        <v>0</v>
      </c>
      <c r="AQ4" s="1">
        <f>建筑各项能耗拆分!$B$18*建筑各项能耗拆分!AQ115</f>
        <v>0</v>
      </c>
      <c r="AR4" s="1">
        <f>建筑各项能耗拆分!$B$18*建筑各项能耗拆分!AR115</f>
        <v>0</v>
      </c>
    </row>
    <row r="5" spans="1:44">
      <c r="A5" t="s">
        <v>1112</v>
      </c>
      <c r="B5" s="1">
        <f>建筑各项能耗拆分!$B$18*建筑各项能耗拆分!B116</f>
        <v>0</v>
      </c>
      <c r="C5" s="1">
        <f>建筑各项能耗拆分!$B$18*建筑各项能耗拆分!C116</f>
        <v>0</v>
      </c>
      <c r="D5" s="1">
        <f>建筑各项能耗拆分!$B$18*建筑各项能耗拆分!D116</f>
        <v>0</v>
      </c>
      <c r="E5" s="1">
        <f>建筑各项能耗拆分!$B$18*建筑各项能耗拆分!E116</f>
        <v>0</v>
      </c>
      <c r="F5" s="1">
        <f>建筑各项能耗拆分!$B$18*建筑各项能耗拆分!F116</f>
        <v>0</v>
      </c>
      <c r="G5" s="1">
        <f>建筑各项能耗拆分!$B$18*建筑各项能耗拆分!G116</f>
        <v>0</v>
      </c>
      <c r="H5" s="1">
        <f>建筑各项能耗拆分!$B$18*建筑各项能耗拆分!H116</f>
        <v>0</v>
      </c>
      <c r="I5" s="1">
        <f>建筑各项能耗拆分!$B$18*建筑各项能耗拆分!I116</f>
        <v>0</v>
      </c>
      <c r="J5" s="1">
        <f>建筑各项能耗拆分!$B$18*建筑各项能耗拆分!J116</f>
        <v>0</v>
      </c>
      <c r="K5" s="1">
        <f>建筑各项能耗拆分!$B$18*建筑各项能耗拆分!K116</f>
        <v>0</v>
      </c>
      <c r="L5" s="1">
        <f>建筑各项能耗拆分!$B$18*建筑各项能耗拆分!L116</f>
        <v>0</v>
      </c>
      <c r="M5" s="1">
        <f>建筑各项能耗拆分!$B$18*建筑各项能耗拆分!M116</f>
        <v>0</v>
      </c>
      <c r="N5" s="1">
        <f>建筑各项能耗拆分!$B$18*建筑各项能耗拆分!N116</f>
        <v>0</v>
      </c>
      <c r="O5" s="1">
        <f>建筑各项能耗拆分!$B$18*建筑各项能耗拆分!O116</f>
        <v>0</v>
      </c>
      <c r="P5" s="1">
        <f>建筑各项能耗拆分!$B$18*建筑各项能耗拆分!P116</f>
        <v>0</v>
      </c>
      <c r="Q5" s="1">
        <f>建筑各项能耗拆分!$B$18*建筑各项能耗拆分!Q116</f>
        <v>0</v>
      </c>
      <c r="R5" s="1">
        <f>建筑各项能耗拆分!$B$18*建筑各项能耗拆分!R116</f>
        <v>0</v>
      </c>
      <c r="S5" s="1">
        <f>建筑各项能耗拆分!$B$18*建筑各项能耗拆分!S116</f>
        <v>0</v>
      </c>
      <c r="T5" s="1">
        <f>建筑各项能耗拆分!$B$18*建筑各项能耗拆分!T116</f>
        <v>0</v>
      </c>
      <c r="U5" s="1">
        <f>建筑各项能耗拆分!$B$18*建筑各项能耗拆分!U116</f>
        <v>0</v>
      </c>
      <c r="V5" s="1">
        <f>建筑各项能耗拆分!$B$18*建筑各项能耗拆分!V116</f>
        <v>0</v>
      </c>
      <c r="W5" s="1">
        <f>建筑各项能耗拆分!$B$18*建筑各项能耗拆分!W116</f>
        <v>0</v>
      </c>
      <c r="X5" s="1">
        <f>建筑各项能耗拆分!$B$18*建筑各项能耗拆分!X116</f>
        <v>0</v>
      </c>
      <c r="Y5" s="1">
        <f>建筑各项能耗拆分!$B$18*建筑各项能耗拆分!Y116</f>
        <v>0</v>
      </c>
      <c r="Z5" s="1">
        <f>建筑各项能耗拆分!$B$18*建筑各项能耗拆分!Z116</f>
        <v>0</v>
      </c>
      <c r="AA5" s="1">
        <f>建筑各项能耗拆分!$B$18*建筑各项能耗拆分!AA116</f>
        <v>0</v>
      </c>
      <c r="AB5" s="1">
        <f>建筑各项能耗拆分!$B$18*建筑各项能耗拆分!AB116</f>
        <v>0</v>
      </c>
      <c r="AC5" s="1">
        <f>建筑各项能耗拆分!$B$18*建筑各项能耗拆分!AC116</f>
        <v>0</v>
      </c>
      <c r="AD5" s="1">
        <f>建筑各项能耗拆分!$B$18*建筑各项能耗拆分!AD116</f>
        <v>0</v>
      </c>
      <c r="AE5" s="1">
        <f>建筑各项能耗拆分!$B$18*建筑各项能耗拆分!AE116</f>
        <v>0</v>
      </c>
      <c r="AF5" s="1">
        <f>建筑各项能耗拆分!$B$18*建筑各项能耗拆分!AF116</f>
        <v>0</v>
      </c>
      <c r="AG5" s="1">
        <f>建筑各项能耗拆分!$B$18*建筑各项能耗拆分!AG116</f>
        <v>0</v>
      </c>
      <c r="AH5" s="1">
        <f>建筑各项能耗拆分!$B$18*建筑各项能耗拆分!AH116</f>
        <v>0</v>
      </c>
      <c r="AI5" s="1">
        <f>建筑各项能耗拆分!$B$18*建筑各项能耗拆分!AI116</f>
        <v>0</v>
      </c>
      <c r="AJ5" s="1">
        <f>建筑各项能耗拆分!$B$18*建筑各项能耗拆分!AJ116</f>
        <v>0</v>
      </c>
      <c r="AK5" s="1">
        <f>建筑各项能耗拆分!$B$18*建筑各项能耗拆分!AK116</f>
        <v>0</v>
      </c>
      <c r="AL5" s="1">
        <f>建筑各项能耗拆分!$B$18*建筑各项能耗拆分!AL116</f>
        <v>0</v>
      </c>
      <c r="AM5" s="1">
        <f>建筑各项能耗拆分!$B$18*建筑各项能耗拆分!AM116</f>
        <v>0</v>
      </c>
      <c r="AN5" s="1">
        <f>建筑各项能耗拆分!$B$18*建筑各项能耗拆分!AN116</f>
        <v>0</v>
      </c>
      <c r="AO5" s="1">
        <f>建筑各项能耗拆分!$B$18*建筑各项能耗拆分!AO116</f>
        <v>0</v>
      </c>
      <c r="AP5" s="1">
        <f>建筑各项能耗拆分!$B$18*建筑各项能耗拆分!AP116</f>
        <v>0</v>
      </c>
      <c r="AQ5" s="1">
        <f>建筑各项能耗拆分!$B$18*建筑各项能耗拆分!AQ116</f>
        <v>0</v>
      </c>
      <c r="AR5" s="1">
        <f>建筑各项能耗拆分!$B$18*建筑各项能耗拆分!AR116</f>
        <v>0</v>
      </c>
    </row>
    <row r="6" spans="1:44">
      <c r="A6" t="s">
        <v>1113</v>
      </c>
      <c r="B6" s="1">
        <f>建筑各项能耗拆分!$B$18*建筑各项能耗拆分!B117</f>
        <v>0</v>
      </c>
      <c r="C6" s="1">
        <f>建筑各项能耗拆分!$B$18*建筑各项能耗拆分!C117</f>
        <v>0</v>
      </c>
      <c r="D6" s="1">
        <f>建筑各项能耗拆分!$B$18*建筑各项能耗拆分!D117</f>
        <v>0</v>
      </c>
      <c r="E6" s="1">
        <f>建筑各项能耗拆分!$B$18*建筑各项能耗拆分!E117</f>
        <v>0</v>
      </c>
      <c r="F6" s="1">
        <f>建筑各项能耗拆分!$B$18*建筑各项能耗拆分!F117</f>
        <v>0</v>
      </c>
      <c r="G6" s="1">
        <f>建筑各项能耗拆分!$B$18*建筑各项能耗拆分!G117</f>
        <v>0</v>
      </c>
      <c r="H6" s="1">
        <f>建筑各项能耗拆分!$B$18*建筑各项能耗拆分!H117</f>
        <v>0</v>
      </c>
      <c r="I6" s="1">
        <f>建筑各项能耗拆分!$B$18*建筑各项能耗拆分!I117</f>
        <v>0</v>
      </c>
      <c r="J6" s="1">
        <f>建筑各项能耗拆分!$B$18*建筑各项能耗拆分!J117</f>
        <v>0</v>
      </c>
      <c r="K6" s="1">
        <f>建筑各项能耗拆分!$B$18*建筑各项能耗拆分!K117</f>
        <v>0</v>
      </c>
      <c r="L6" s="1">
        <f>建筑各项能耗拆分!$B$18*建筑各项能耗拆分!L117</f>
        <v>0</v>
      </c>
      <c r="M6" s="1">
        <f>建筑各项能耗拆分!$B$18*建筑各项能耗拆分!M117</f>
        <v>0</v>
      </c>
      <c r="N6" s="1">
        <f>建筑各项能耗拆分!$B$18*建筑各项能耗拆分!N117</f>
        <v>0</v>
      </c>
      <c r="O6" s="1">
        <f>建筑各项能耗拆分!$B$18*建筑各项能耗拆分!O117</f>
        <v>0</v>
      </c>
      <c r="P6" s="1">
        <f>建筑各项能耗拆分!$B$18*建筑各项能耗拆分!P117</f>
        <v>0</v>
      </c>
      <c r="Q6" s="1">
        <f>建筑各项能耗拆分!$B$18*建筑各项能耗拆分!Q117</f>
        <v>0</v>
      </c>
      <c r="R6" s="1">
        <f>建筑各项能耗拆分!$B$18*建筑各项能耗拆分!R117</f>
        <v>0</v>
      </c>
      <c r="S6" s="1">
        <f>建筑各项能耗拆分!$B$18*建筑各项能耗拆分!S117</f>
        <v>0</v>
      </c>
      <c r="T6" s="1">
        <f>建筑各项能耗拆分!$B$18*建筑各项能耗拆分!T117</f>
        <v>0</v>
      </c>
      <c r="U6" s="1">
        <f>建筑各项能耗拆分!$B$18*建筑各项能耗拆分!U117</f>
        <v>0</v>
      </c>
      <c r="V6" s="1">
        <f>建筑各项能耗拆分!$B$18*建筑各项能耗拆分!V117</f>
        <v>0</v>
      </c>
      <c r="W6" s="1">
        <f>建筑各项能耗拆分!$B$18*建筑各项能耗拆分!W117</f>
        <v>0</v>
      </c>
      <c r="X6" s="1">
        <f>建筑各项能耗拆分!$B$18*建筑各项能耗拆分!X117</f>
        <v>0</v>
      </c>
      <c r="Y6" s="1">
        <f>建筑各项能耗拆分!$B$18*建筑各项能耗拆分!Y117</f>
        <v>0</v>
      </c>
      <c r="Z6" s="1">
        <f>建筑各项能耗拆分!$B$18*建筑各项能耗拆分!Z117</f>
        <v>0</v>
      </c>
      <c r="AA6" s="1">
        <f>建筑各项能耗拆分!$B$18*建筑各项能耗拆分!AA117</f>
        <v>0</v>
      </c>
      <c r="AB6" s="1">
        <f>建筑各项能耗拆分!$B$18*建筑各项能耗拆分!AB117</f>
        <v>0</v>
      </c>
      <c r="AC6" s="1">
        <f>建筑各项能耗拆分!$B$18*建筑各项能耗拆分!AC117</f>
        <v>0</v>
      </c>
      <c r="AD6" s="1">
        <f>建筑各项能耗拆分!$B$18*建筑各项能耗拆分!AD117</f>
        <v>0</v>
      </c>
      <c r="AE6" s="1">
        <f>建筑各项能耗拆分!$B$18*建筑各项能耗拆分!AE117</f>
        <v>0</v>
      </c>
      <c r="AF6" s="1">
        <f>建筑各项能耗拆分!$B$18*建筑各项能耗拆分!AF117</f>
        <v>0</v>
      </c>
      <c r="AG6" s="1">
        <f>建筑各项能耗拆分!$B$18*建筑各项能耗拆分!AG117</f>
        <v>0</v>
      </c>
      <c r="AH6" s="1">
        <f>建筑各项能耗拆分!$B$18*建筑各项能耗拆分!AH117</f>
        <v>0</v>
      </c>
      <c r="AI6" s="1">
        <f>建筑各项能耗拆分!$B$18*建筑各项能耗拆分!AI117</f>
        <v>0</v>
      </c>
      <c r="AJ6" s="1">
        <f>建筑各项能耗拆分!$B$18*建筑各项能耗拆分!AJ117</f>
        <v>0</v>
      </c>
      <c r="AK6" s="1">
        <f>建筑各项能耗拆分!$B$18*建筑各项能耗拆分!AK117</f>
        <v>0</v>
      </c>
      <c r="AL6" s="1">
        <f>建筑各项能耗拆分!$B$18*建筑各项能耗拆分!AL117</f>
        <v>0</v>
      </c>
      <c r="AM6" s="1">
        <f>建筑各项能耗拆分!$B$18*建筑各项能耗拆分!AM117</f>
        <v>0</v>
      </c>
      <c r="AN6" s="1">
        <f>建筑各项能耗拆分!$B$18*建筑各项能耗拆分!AN117</f>
        <v>0</v>
      </c>
      <c r="AO6" s="1">
        <f>建筑各项能耗拆分!$B$18*建筑各项能耗拆分!AO117</f>
        <v>0</v>
      </c>
      <c r="AP6" s="1">
        <f>建筑各项能耗拆分!$B$18*建筑各项能耗拆分!AP117</f>
        <v>0</v>
      </c>
      <c r="AQ6" s="1">
        <f>建筑各项能耗拆分!$B$18*建筑各项能耗拆分!AQ117</f>
        <v>0</v>
      </c>
      <c r="AR6" s="1">
        <f>建筑各项能耗拆分!$B$18*建筑各项能耗拆分!AR117</f>
        <v>0</v>
      </c>
    </row>
    <row r="7" spans="1:44">
      <c r="A7" t="s">
        <v>1114</v>
      </c>
      <c r="B7" s="1">
        <f>建筑各项能耗拆分!$B$18*建筑各项能耗拆分!B118</f>
        <v>0</v>
      </c>
      <c r="C7" s="1">
        <f>建筑各项能耗拆分!$B$18*建筑各项能耗拆分!C118</f>
        <v>0</v>
      </c>
      <c r="D7" s="1">
        <f>建筑各项能耗拆分!$B$18*建筑各项能耗拆分!D118</f>
        <v>0</v>
      </c>
      <c r="E7" s="1">
        <f>建筑各项能耗拆分!$B$18*建筑各项能耗拆分!E118</f>
        <v>0</v>
      </c>
      <c r="F7" s="1">
        <f>建筑各项能耗拆分!$B$18*建筑各项能耗拆分!F118</f>
        <v>0</v>
      </c>
      <c r="G7" s="1">
        <f>建筑各项能耗拆分!$B$18*建筑各项能耗拆分!G118</f>
        <v>0</v>
      </c>
      <c r="H7" s="1">
        <f>建筑各项能耗拆分!$B$18*建筑各项能耗拆分!H118</f>
        <v>0</v>
      </c>
      <c r="I7" s="1">
        <f>建筑各项能耗拆分!$B$18*建筑各项能耗拆分!I118</f>
        <v>0</v>
      </c>
      <c r="J7" s="1">
        <f>建筑各项能耗拆分!$B$18*建筑各项能耗拆分!J118</f>
        <v>0</v>
      </c>
      <c r="K7" s="1">
        <f>建筑各项能耗拆分!$B$18*建筑各项能耗拆分!K118</f>
        <v>0</v>
      </c>
      <c r="L7" s="1">
        <f>建筑各项能耗拆分!$B$18*建筑各项能耗拆分!L118</f>
        <v>0</v>
      </c>
      <c r="M7" s="1">
        <f>建筑各项能耗拆分!$B$18*建筑各项能耗拆分!M118</f>
        <v>0</v>
      </c>
      <c r="N7" s="1">
        <f>建筑各项能耗拆分!$B$18*建筑各项能耗拆分!N118</f>
        <v>0</v>
      </c>
      <c r="O7" s="1">
        <f>建筑各项能耗拆分!$B$18*建筑各项能耗拆分!O118</f>
        <v>0</v>
      </c>
      <c r="P7" s="1">
        <f>建筑各项能耗拆分!$B$18*建筑各项能耗拆分!P118</f>
        <v>0</v>
      </c>
      <c r="Q7" s="1">
        <f>建筑各项能耗拆分!$B$18*建筑各项能耗拆分!Q118</f>
        <v>0</v>
      </c>
      <c r="R7" s="1">
        <f>建筑各项能耗拆分!$B$18*建筑各项能耗拆分!R118</f>
        <v>0</v>
      </c>
      <c r="S7" s="1">
        <f>建筑各项能耗拆分!$B$18*建筑各项能耗拆分!S118</f>
        <v>0</v>
      </c>
      <c r="T7" s="1">
        <f>建筑各项能耗拆分!$B$18*建筑各项能耗拆分!T118</f>
        <v>0</v>
      </c>
      <c r="U7" s="1">
        <f>建筑各项能耗拆分!$B$18*建筑各项能耗拆分!U118</f>
        <v>0</v>
      </c>
      <c r="V7" s="1">
        <f>建筑各项能耗拆分!$B$18*建筑各项能耗拆分!V118</f>
        <v>0</v>
      </c>
      <c r="W7" s="1">
        <f>建筑各项能耗拆分!$B$18*建筑各项能耗拆分!W118</f>
        <v>0</v>
      </c>
      <c r="X7" s="1">
        <f>建筑各项能耗拆分!$B$18*建筑各项能耗拆分!X118</f>
        <v>0</v>
      </c>
      <c r="Y7" s="1">
        <f>建筑各项能耗拆分!$B$18*建筑各项能耗拆分!Y118</f>
        <v>0</v>
      </c>
      <c r="Z7" s="1">
        <f>建筑各项能耗拆分!$B$18*建筑各项能耗拆分!Z118</f>
        <v>0</v>
      </c>
      <c r="AA7" s="1">
        <f>建筑各项能耗拆分!$B$18*建筑各项能耗拆分!AA118</f>
        <v>0</v>
      </c>
      <c r="AB7" s="1">
        <f>建筑各项能耗拆分!$B$18*建筑各项能耗拆分!AB118</f>
        <v>0</v>
      </c>
      <c r="AC7" s="1">
        <f>建筑各项能耗拆分!$B$18*建筑各项能耗拆分!AC118</f>
        <v>0</v>
      </c>
      <c r="AD7" s="1">
        <f>建筑各项能耗拆分!$B$18*建筑各项能耗拆分!AD118</f>
        <v>0</v>
      </c>
      <c r="AE7" s="1">
        <f>建筑各项能耗拆分!$B$18*建筑各项能耗拆分!AE118</f>
        <v>0</v>
      </c>
      <c r="AF7" s="1">
        <f>建筑各项能耗拆分!$B$18*建筑各项能耗拆分!AF118</f>
        <v>0</v>
      </c>
      <c r="AG7" s="1">
        <f>建筑各项能耗拆分!$B$18*建筑各项能耗拆分!AG118</f>
        <v>0</v>
      </c>
      <c r="AH7" s="1">
        <f>建筑各项能耗拆分!$B$18*建筑各项能耗拆分!AH118</f>
        <v>0</v>
      </c>
      <c r="AI7" s="1">
        <f>建筑各项能耗拆分!$B$18*建筑各项能耗拆分!AI118</f>
        <v>0</v>
      </c>
      <c r="AJ7" s="1">
        <f>建筑各项能耗拆分!$B$18*建筑各项能耗拆分!AJ118</f>
        <v>0</v>
      </c>
      <c r="AK7" s="1">
        <f>建筑各项能耗拆分!$B$18*建筑各项能耗拆分!AK118</f>
        <v>0</v>
      </c>
      <c r="AL7" s="1">
        <f>建筑各项能耗拆分!$B$18*建筑各项能耗拆分!AL118</f>
        <v>0</v>
      </c>
      <c r="AM7" s="1">
        <f>建筑各项能耗拆分!$B$18*建筑各项能耗拆分!AM118</f>
        <v>0</v>
      </c>
      <c r="AN7" s="1">
        <f>建筑各项能耗拆分!$B$18*建筑各项能耗拆分!AN118</f>
        <v>0</v>
      </c>
      <c r="AO7" s="1">
        <f>建筑各项能耗拆分!$B$18*建筑各项能耗拆分!AO118</f>
        <v>0</v>
      </c>
      <c r="AP7" s="1">
        <f>建筑各项能耗拆分!$B$18*建筑各项能耗拆分!AP118</f>
        <v>0</v>
      </c>
      <c r="AQ7" s="1">
        <f>建筑各项能耗拆分!$B$18*建筑各项能耗拆分!AQ118</f>
        <v>0</v>
      </c>
      <c r="AR7" s="1">
        <f>建筑各项能耗拆分!$B$18*建筑各项能耗拆分!AR118</f>
        <v>0</v>
      </c>
    </row>
    <row r="8" spans="1:44">
      <c r="A8" t="s">
        <v>1115</v>
      </c>
      <c r="B8" s="1">
        <f>建筑各项能耗拆分!$B$18*建筑各项能耗拆分!B119</f>
        <v>0</v>
      </c>
      <c r="C8" s="1">
        <f>建筑各项能耗拆分!$B$18*建筑各项能耗拆分!C119</f>
        <v>0</v>
      </c>
      <c r="D8" s="1">
        <f>建筑各项能耗拆分!$B$18*建筑各项能耗拆分!D119</f>
        <v>0</v>
      </c>
      <c r="E8" s="1">
        <f>建筑各项能耗拆分!$B$18*建筑各项能耗拆分!E119</f>
        <v>0</v>
      </c>
      <c r="F8" s="1">
        <f>建筑各项能耗拆分!$B$18*建筑各项能耗拆分!F119</f>
        <v>0</v>
      </c>
      <c r="G8" s="1">
        <f>建筑各项能耗拆分!$B$18*建筑各项能耗拆分!G119</f>
        <v>0</v>
      </c>
      <c r="H8" s="1">
        <f>建筑各项能耗拆分!$B$18*建筑各项能耗拆分!H119</f>
        <v>0</v>
      </c>
      <c r="I8" s="1">
        <f>建筑各项能耗拆分!$B$18*建筑各项能耗拆分!I119</f>
        <v>0</v>
      </c>
      <c r="J8" s="1">
        <f>建筑各项能耗拆分!$B$18*建筑各项能耗拆分!J119</f>
        <v>0</v>
      </c>
      <c r="K8" s="1">
        <f>建筑各项能耗拆分!$B$18*建筑各项能耗拆分!K119</f>
        <v>0</v>
      </c>
      <c r="L8" s="1">
        <f>建筑各项能耗拆分!$B$18*建筑各项能耗拆分!L119</f>
        <v>0</v>
      </c>
      <c r="M8" s="1">
        <f>建筑各项能耗拆分!$B$18*建筑各项能耗拆分!M119</f>
        <v>0</v>
      </c>
      <c r="N8" s="1">
        <f>建筑各项能耗拆分!$B$18*建筑各项能耗拆分!N119</f>
        <v>0</v>
      </c>
      <c r="O8" s="1">
        <f>建筑各项能耗拆分!$B$18*建筑各项能耗拆分!O119</f>
        <v>0</v>
      </c>
      <c r="P8" s="1">
        <f>建筑各项能耗拆分!$B$18*建筑各项能耗拆分!P119</f>
        <v>0</v>
      </c>
      <c r="Q8" s="1">
        <f>建筑各项能耗拆分!$B$18*建筑各项能耗拆分!Q119</f>
        <v>0</v>
      </c>
      <c r="R8" s="1">
        <f>建筑各项能耗拆分!$B$18*建筑各项能耗拆分!R119</f>
        <v>0</v>
      </c>
      <c r="S8" s="1">
        <f>建筑各项能耗拆分!$B$18*建筑各项能耗拆分!S119</f>
        <v>0</v>
      </c>
      <c r="T8" s="1">
        <f>建筑各项能耗拆分!$B$18*建筑各项能耗拆分!T119</f>
        <v>0</v>
      </c>
      <c r="U8" s="1">
        <f>建筑各项能耗拆分!$B$18*建筑各项能耗拆分!U119</f>
        <v>0</v>
      </c>
      <c r="V8" s="1">
        <f>建筑各项能耗拆分!$B$18*建筑各项能耗拆分!V119</f>
        <v>0</v>
      </c>
      <c r="W8" s="1">
        <f>建筑各项能耗拆分!$B$18*建筑各项能耗拆分!W119</f>
        <v>0</v>
      </c>
      <c r="X8" s="1">
        <f>建筑各项能耗拆分!$B$18*建筑各项能耗拆分!X119</f>
        <v>0</v>
      </c>
      <c r="Y8" s="1">
        <f>建筑各项能耗拆分!$B$18*建筑各项能耗拆分!Y119</f>
        <v>0</v>
      </c>
      <c r="Z8" s="1">
        <f>建筑各项能耗拆分!$B$18*建筑各项能耗拆分!Z119</f>
        <v>0</v>
      </c>
      <c r="AA8" s="1">
        <f>建筑各项能耗拆分!$B$18*建筑各项能耗拆分!AA119</f>
        <v>0</v>
      </c>
      <c r="AB8" s="1">
        <f>建筑各项能耗拆分!$B$18*建筑各项能耗拆分!AB119</f>
        <v>0</v>
      </c>
      <c r="AC8" s="1">
        <f>建筑各项能耗拆分!$B$18*建筑各项能耗拆分!AC119</f>
        <v>0</v>
      </c>
      <c r="AD8" s="1">
        <f>建筑各项能耗拆分!$B$18*建筑各项能耗拆分!AD119</f>
        <v>0</v>
      </c>
      <c r="AE8" s="1">
        <f>建筑各项能耗拆分!$B$18*建筑各项能耗拆分!AE119</f>
        <v>0</v>
      </c>
      <c r="AF8" s="1">
        <f>建筑各项能耗拆分!$B$18*建筑各项能耗拆分!AF119</f>
        <v>0</v>
      </c>
      <c r="AG8" s="1">
        <f>建筑各项能耗拆分!$B$18*建筑各项能耗拆分!AG119</f>
        <v>0</v>
      </c>
      <c r="AH8" s="1">
        <f>建筑各项能耗拆分!$B$18*建筑各项能耗拆分!AH119</f>
        <v>0</v>
      </c>
      <c r="AI8" s="1">
        <f>建筑各项能耗拆分!$B$18*建筑各项能耗拆分!AI119</f>
        <v>0</v>
      </c>
      <c r="AJ8" s="1">
        <f>建筑各项能耗拆分!$B$18*建筑各项能耗拆分!AJ119</f>
        <v>0</v>
      </c>
      <c r="AK8" s="1">
        <f>建筑各项能耗拆分!$B$18*建筑各项能耗拆分!AK119</f>
        <v>0</v>
      </c>
      <c r="AL8" s="1">
        <f>建筑各项能耗拆分!$B$18*建筑各项能耗拆分!AL119</f>
        <v>0</v>
      </c>
      <c r="AM8" s="1">
        <f>建筑各项能耗拆分!$B$18*建筑各项能耗拆分!AM119</f>
        <v>0</v>
      </c>
      <c r="AN8" s="1">
        <f>建筑各项能耗拆分!$B$18*建筑各项能耗拆分!AN119</f>
        <v>0</v>
      </c>
      <c r="AO8" s="1">
        <f>建筑各项能耗拆分!$B$18*建筑各项能耗拆分!AO119</f>
        <v>0</v>
      </c>
      <c r="AP8" s="1">
        <f>建筑各项能耗拆分!$B$18*建筑各项能耗拆分!AP119</f>
        <v>0</v>
      </c>
      <c r="AQ8" s="1">
        <f>建筑各项能耗拆分!$B$18*建筑各项能耗拆分!AQ119</f>
        <v>0</v>
      </c>
      <c r="AR8" s="1">
        <f>建筑各项能耗拆分!$B$18*建筑各项能耗拆分!AR119</f>
        <v>0</v>
      </c>
    </row>
    <row r="9" spans="1:44">
      <c r="A9" t="s">
        <v>1116</v>
      </c>
      <c r="B9" s="1">
        <f>建筑各项能耗拆分!$B$18*建筑各项能耗拆分!B120</f>
        <v>0</v>
      </c>
      <c r="C9" s="1">
        <f>建筑各项能耗拆分!$B$18*建筑各项能耗拆分!C120</f>
        <v>0</v>
      </c>
      <c r="D9" s="1">
        <f>建筑各项能耗拆分!$B$18*建筑各项能耗拆分!D120</f>
        <v>0</v>
      </c>
      <c r="E9" s="1">
        <f>建筑各项能耗拆分!$B$18*建筑各项能耗拆分!E120</f>
        <v>0</v>
      </c>
      <c r="F9" s="1">
        <f>建筑各项能耗拆分!$B$18*建筑各项能耗拆分!F120</f>
        <v>0</v>
      </c>
      <c r="G9" s="1">
        <f>建筑各项能耗拆分!$B$18*建筑各项能耗拆分!G120</f>
        <v>0</v>
      </c>
      <c r="H9" s="1">
        <f>建筑各项能耗拆分!$B$18*建筑各项能耗拆分!H120</f>
        <v>0</v>
      </c>
      <c r="I9" s="1">
        <f>建筑各项能耗拆分!$B$18*建筑各项能耗拆分!I120</f>
        <v>0</v>
      </c>
      <c r="J9" s="1">
        <f>建筑各项能耗拆分!$B$18*建筑各项能耗拆分!J120</f>
        <v>0</v>
      </c>
      <c r="K9" s="1">
        <f>建筑各项能耗拆分!$B$18*建筑各项能耗拆分!K120</f>
        <v>0</v>
      </c>
      <c r="L9" s="1">
        <f>建筑各项能耗拆分!$B$18*建筑各项能耗拆分!L120</f>
        <v>0</v>
      </c>
      <c r="M9" s="1">
        <f>建筑各项能耗拆分!$B$18*建筑各项能耗拆分!M120</f>
        <v>0</v>
      </c>
      <c r="N9" s="1">
        <f>建筑各项能耗拆分!$B$18*建筑各项能耗拆分!N120</f>
        <v>0</v>
      </c>
      <c r="O9" s="1">
        <f>建筑各项能耗拆分!$B$18*建筑各项能耗拆分!O120</f>
        <v>0</v>
      </c>
      <c r="P9" s="1">
        <f>建筑各项能耗拆分!$B$18*建筑各项能耗拆分!P120</f>
        <v>0</v>
      </c>
      <c r="Q9" s="1">
        <f>建筑各项能耗拆分!$B$18*建筑各项能耗拆分!Q120</f>
        <v>0</v>
      </c>
      <c r="R9" s="1">
        <f>建筑各项能耗拆分!$B$18*建筑各项能耗拆分!R120</f>
        <v>0</v>
      </c>
      <c r="S9" s="1">
        <f>建筑各项能耗拆分!$B$18*建筑各项能耗拆分!S120</f>
        <v>0</v>
      </c>
      <c r="T9" s="1">
        <f>建筑各项能耗拆分!$B$18*建筑各项能耗拆分!T120</f>
        <v>0</v>
      </c>
      <c r="U9" s="1">
        <f>建筑各项能耗拆分!$B$18*建筑各项能耗拆分!U120</f>
        <v>0</v>
      </c>
      <c r="V9" s="1">
        <f>建筑各项能耗拆分!$B$18*建筑各项能耗拆分!V120</f>
        <v>0</v>
      </c>
      <c r="W9" s="1">
        <f>建筑各项能耗拆分!$B$18*建筑各项能耗拆分!W120</f>
        <v>0</v>
      </c>
      <c r="X9" s="1">
        <f>建筑各项能耗拆分!$B$18*建筑各项能耗拆分!X120</f>
        <v>0</v>
      </c>
      <c r="Y9" s="1">
        <f>建筑各项能耗拆分!$B$18*建筑各项能耗拆分!Y120</f>
        <v>0</v>
      </c>
      <c r="Z9" s="1">
        <f>建筑各项能耗拆分!$B$18*建筑各项能耗拆分!Z120</f>
        <v>0</v>
      </c>
      <c r="AA9" s="1">
        <f>建筑各项能耗拆分!$B$18*建筑各项能耗拆分!AA120</f>
        <v>0</v>
      </c>
      <c r="AB9" s="1">
        <f>建筑各项能耗拆分!$B$18*建筑各项能耗拆分!AB120</f>
        <v>0</v>
      </c>
      <c r="AC9" s="1">
        <f>建筑各项能耗拆分!$B$18*建筑各项能耗拆分!AC120</f>
        <v>0</v>
      </c>
      <c r="AD9" s="1">
        <f>建筑各项能耗拆分!$B$18*建筑各项能耗拆分!AD120</f>
        <v>0</v>
      </c>
      <c r="AE9" s="1">
        <f>建筑各项能耗拆分!$B$18*建筑各项能耗拆分!AE120</f>
        <v>0</v>
      </c>
      <c r="AF9" s="1">
        <f>建筑各项能耗拆分!$B$18*建筑各项能耗拆分!AF120</f>
        <v>0</v>
      </c>
      <c r="AG9" s="1">
        <f>建筑各项能耗拆分!$B$18*建筑各项能耗拆分!AG120</f>
        <v>0</v>
      </c>
      <c r="AH9" s="1">
        <f>建筑各项能耗拆分!$B$18*建筑各项能耗拆分!AH120</f>
        <v>0</v>
      </c>
      <c r="AI9" s="1">
        <f>建筑各项能耗拆分!$B$18*建筑各项能耗拆分!AI120</f>
        <v>0</v>
      </c>
      <c r="AJ9" s="1">
        <f>建筑各项能耗拆分!$B$18*建筑各项能耗拆分!AJ120</f>
        <v>0</v>
      </c>
      <c r="AK9" s="1">
        <f>建筑各项能耗拆分!$B$18*建筑各项能耗拆分!AK120</f>
        <v>0</v>
      </c>
      <c r="AL9" s="1">
        <f>建筑各项能耗拆分!$B$18*建筑各项能耗拆分!AL120</f>
        <v>0</v>
      </c>
      <c r="AM9" s="1">
        <f>建筑各项能耗拆分!$B$18*建筑各项能耗拆分!AM120</f>
        <v>0</v>
      </c>
      <c r="AN9" s="1">
        <f>建筑各项能耗拆分!$B$18*建筑各项能耗拆分!AN120</f>
        <v>0</v>
      </c>
      <c r="AO9" s="1">
        <f>建筑各项能耗拆分!$B$18*建筑各项能耗拆分!AO120</f>
        <v>0</v>
      </c>
      <c r="AP9" s="1">
        <f>建筑各项能耗拆分!$B$18*建筑各项能耗拆分!AP120</f>
        <v>0</v>
      </c>
      <c r="AQ9" s="1">
        <f>建筑各项能耗拆分!$B$18*建筑各项能耗拆分!AQ120</f>
        <v>0</v>
      </c>
      <c r="AR9" s="1">
        <f>建筑各项能耗拆分!$B$18*建筑各项能耗拆分!AR120</f>
        <v>0</v>
      </c>
    </row>
    <row r="10" spans="1:44">
      <c r="A10" t="s">
        <v>1117</v>
      </c>
      <c r="B10" s="1">
        <f>建筑各项能耗拆分!$B$18*建筑各项能耗拆分!B121</f>
        <v>0</v>
      </c>
      <c r="C10" s="1">
        <f>建筑各项能耗拆分!$B$18*建筑各项能耗拆分!C121</f>
        <v>0</v>
      </c>
      <c r="D10" s="1">
        <f>建筑各项能耗拆分!$B$18*建筑各项能耗拆分!D121</f>
        <v>0</v>
      </c>
      <c r="E10" s="1">
        <f>建筑各项能耗拆分!$B$18*建筑各项能耗拆分!E121</f>
        <v>0</v>
      </c>
      <c r="F10" s="1">
        <f>建筑各项能耗拆分!$B$18*建筑各项能耗拆分!F121</f>
        <v>0</v>
      </c>
      <c r="G10" s="1">
        <f>建筑各项能耗拆分!$B$18*建筑各项能耗拆分!G121</f>
        <v>0</v>
      </c>
      <c r="H10" s="1">
        <f>建筑各项能耗拆分!$B$18*建筑各项能耗拆分!H121</f>
        <v>0</v>
      </c>
      <c r="I10" s="1">
        <f>建筑各项能耗拆分!$B$18*建筑各项能耗拆分!I121</f>
        <v>0</v>
      </c>
      <c r="J10" s="1">
        <f>建筑各项能耗拆分!$B$18*建筑各项能耗拆分!J121</f>
        <v>0</v>
      </c>
      <c r="K10" s="1">
        <f>建筑各项能耗拆分!$B$18*建筑各项能耗拆分!K121</f>
        <v>0</v>
      </c>
      <c r="L10" s="1">
        <f>建筑各项能耗拆分!$B$18*建筑各项能耗拆分!L121</f>
        <v>0</v>
      </c>
      <c r="M10" s="1">
        <f>建筑各项能耗拆分!$B$18*建筑各项能耗拆分!M121</f>
        <v>0</v>
      </c>
      <c r="N10" s="1">
        <f>建筑各项能耗拆分!$B$18*建筑各项能耗拆分!N121</f>
        <v>0</v>
      </c>
      <c r="O10" s="1">
        <f>建筑各项能耗拆分!$B$18*建筑各项能耗拆分!O121</f>
        <v>0</v>
      </c>
      <c r="P10" s="1">
        <f>建筑各项能耗拆分!$B$18*建筑各项能耗拆分!P121</f>
        <v>0</v>
      </c>
      <c r="Q10" s="1">
        <f>建筑各项能耗拆分!$B$18*建筑各项能耗拆分!Q121</f>
        <v>0</v>
      </c>
      <c r="R10" s="1">
        <f>建筑各项能耗拆分!$B$18*建筑各项能耗拆分!R121</f>
        <v>0</v>
      </c>
      <c r="S10" s="1">
        <f>建筑各项能耗拆分!$B$18*建筑各项能耗拆分!S121</f>
        <v>0</v>
      </c>
      <c r="T10" s="1">
        <f>建筑各项能耗拆分!$B$18*建筑各项能耗拆分!T121</f>
        <v>0</v>
      </c>
      <c r="U10" s="1">
        <f>建筑各项能耗拆分!$B$18*建筑各项能耗拆分!U121</f>
        <v>0</v>
      </c>
      <c r="V10" s="1">
        <f>建筑各项能耗拆分!$B$18*建筑各项能耗拆分!V121</f>
        <v>0</v>
      </c>
      <c r="W10" s="1">
        <f>建筑各项能耗拆分!$B$18*建筑各项能耗拆分!W121</f>
        <v>0</v>
      </c>
      <c r="X10" s="1">
        <f>建筑各项能耗拆分!$B$18*建筑各项能耗拆分!X121</f>
        <v>0</v>
      </c>
      <c r="Y10" s="1">
        <f>建筑各项能耗拆分!$B$18*建筑各项能耗拆分!Y121</f>
        <v>0</v>
      </c>
      <c r="Z10" s="1">
        <f>建筑各项能耗拆分!$B$18*建筑各项能耗拆分!Z121</f>
        <v>0</v>
      </c>
      <c r="AA10" s="1">
        <f>建筑各项能耗拆分!$B$18*建筑各项能耗拆分!AA121</f>
        <v>0</v>
      </c>
      <c r="AB10" s="1">
        <f>建筑各项能耗拆分!$B$18*建筑各项能耗拆分!AB121</f>
        <v>0</v>
      </c>
      <c r="AC10" s="1">
        <f>建筑各项能耗拆分!$B$18*建筑各项能耗拆分!AC121</f>
        <v>0</v>
      </c>
      <c r="AD10" s="1">
        <f>建筑各项能耗拆分!$B$18*建筑各项能耗拆分!AD121</f>
        <v>0</v>
      </c>
      <c r="AE10" s="1">
        <f>建筑各项能耗拆分!$B$18*建筑各项能耗拆分!AE121</f>
        <v>0</v>
      </c>
      <c r="AF10" s="1">
        <f>建筑各项能耗拆分!$B$18*建筑各项能耗拆分!AF121</f>
        <v>0</v>
      </c>
      <c r="AG10" s="1">
        <f>建筑各项能耗拆分!$B$18*建筑各项能耗拆分!AG121</f>
        <v>0</v>
      </c>
      <c r="AH10" s="1">
        <f>建筑各项能耗拆分!$B$18*建筑各项能耗拆分!AH121</f>
        <v>0</v>
      </c>
      <c r="AI10" s="1">
        <f>建筑各项能耗拆分!$B$18*建筑各项能耗拆分!AI121</f>
        <v>0</v>
      </c>
      <c r="AJ10" s="1">
        <f>建筑各项能耗拆分!$B$18*建筑各项能耗拆分!AJ121</f>
        <v>0</v>
      </c>
      <c r="AK10" s="1">
        <f>建筑各项能耗拆分!$B$18*建筑各项能耗拆分!AK121</f>
        <v>0</v>
      </c>
      <c r="AL10" s="1">
        <f>建筑各项能耗拆分!$B$18*建筑各项能耗拆分!AL121</f>
        <v>0</v>
      </c>
      <c r="AM10" s="1">
        <f>建筑各项能耗拆分!$B$18*建筑各项能耗拆分!AM121</f>
        <v>0</v>
      </c>
      <c r="AN10" s="1">
        <f>建筑各项能耗拆分!$B$18*建筑各项能耗拆分!AN121</f>
        <v>0</v>
      </c>
      <c r="AO10" s="1">
        <f>建筑各项能耗拆分!$B$18*建筑各项能耗拆分!AO121</f>
        <v>0</v>
      </c>
      <c r="AP10" s="1">
        <f>建筑各项能耗拆分!$B$18*建筑各项能耗拆分!AP121</f>
        <v>0</v>
      </c>
      <c r="AQ10" s="1">
        <f>建筑各项能耗拆分!$B$18*建筑各项能耗拆分!AQ121</f>
        <v>0</v>
      </c>
      <c r="AR10" s="1">
        <f>建筑各项能耗拆分!$B$18*建筑各项能耗拆分!AR121</f>
        <v>0</v>
      </c>
    </row>
    <row r="11" spans="1:44">
      <c r="A11" t="s">
        <v>1118</v>
      </c>
      <c r="B11" s="1">
        <f>建筑各项能耗拆分!$B$18*建筑各项能耗拆分!B122</f>
        <v>0</v>
      </c>
      <c r="C11" s="1">
        <f>建筑各项能耗拆分!$B$18*建筑各项能耗拆分!C122</f>
        <v>0</v>
      </c>
      <c r="D11" s="1">
        <f>建筑各项能耗拆分!$B$18*建筑各项能耗拆分!D122</f>
        <v>0</v>
      </c>
      <c r="E11" s="1">
        <f>建筑各项能耗拆分!$B$18*建筑各项能耗拆分!E122</f>
        <v>0</v>
      </c>
      <c r="F11" s="1">
        <f>建筑各项能耗拆分!$B$18*建筑各项能耗拆分!F122</f>
        <v>0</v>
      </c>
      <c r="G11" s="1">
        <f>建筑各项能耗拆分!$B$18*建筑各项能耗拆分!G122</f>
        <v>0</v>
      </c>
      <c r="H11" s="1">
        <f>建筑各项能耗拆分!$B$18*建筑各项能耗拆分!H122</f>
        <v>0</v>
      </c>
      <c r="I11" s="1">
        <f>建筑各项能耗拆分!$B$18*建筑各项能耗拆分!I122</f>
        <v>0</v>
      </c>
      <c r="J11" s="1">
        <f>建筑各项能耗拆分!$B$18*建筑各项能耗拆分!J122</f>
        <v>0</v>
      </c>
      <c r="K11" s="1">
        <f>建筑各项能耗拆分!$B$18*建筑各项能耗拆分!K122</f>
        <v>0</v>
      </c>
      <c r="L11" s="1">
        <f>建筑各项能耗拆分!$B$18*建筑各项能耗拆分!L122</f>
        <v>0</v>
      </c>
      <c r="M11" s="1">
        <f>建筑各项能耗拆分!$B$18*建筑各项能耗拆分!M122</f>
        <v>0</v>
      </c>
      <c r="N11" s="1">
        <f>建筑各项能耗拆分!$B$18*建筑各项能耗拆分!N122</f>
        <v>0</v>
      </c>
      <c r="O11" s="1">
        <f>建筑各项能耗拆分!$B$18*建筑各项能耗拆分!O122</f>
        <v>0</v>
      </c>
      <c r="P11" s="1">
        <f>建筑各项能耗拆分!$B$18*建筑各项能耗拆分!P122</f>
        <v>0</v>
      </c>
      <c r="Q11" s="1">
        <f>建筑各项能耗拆分!$B$18*建筑各项能耗拆分!Q122</f>
        <v>0</v>
      </c>
      <c r="R11" s="1">
        <f>建筑各项能耗拆分!$B$18*建筑各项能耗拆分!R122</f>
        <v>0</v>
      </c>
      <c r="S11" s="1">
        <f>建筑各项能耗拆分!$B$18*建筑各项能耗拆分!S122</f>
        <v>0</v>
      </c>
      <c r="T11" s="1">
        <f>建筑各项能耗拆分!$B$18*建筑各项能耗拆分!T122</f>
        <v>0</v>
      </c>
      <c r="U11" s="1">
        <f>建筑各项能耗拆分!$B$18*建筑各项能耗拆分!U122</f>
        <v>0</v>
      </c>
      <c r="V11" s="1">
        <f>建筑各项能耗拆分!$B$18*建筑各项能耗拆分!V122</f>
        <v>0</v>
      </c>
      <c r="W11" s="1">
        <f>建筑各项能耗拆分!$B$18*建筑各项能耗拆分!W122</f>
        <v>0</v>
      </c>
      <c r="X11" s="1">
        <f>建筑各项能耗拆分!$B$18*建筑各项能耗拆分!X122</f>
        <v>0</v>
      </c>
      <c r="Y11" s="1">
        <f>建筑各项能耗拆分!$B$18*建筑各项能耗拆分!Y122</f>
        <v>0</v>
      </c>
      <c r="Z11" s="1">
        <f>建筑各项能耗拆分!$B$18*建筑各项能耗拆分!Z122</f>
        <v>0</v>
      </c>
      <c r="AA11" s="1">
        <f>建筑各项能耗拆分!$B$18*建筑各项能耗拆分!AA122</f>
        <v>0</v>
      </c>
      <c r="AB11" s="1">
        <f>建筑各项能耗拆分!$B$18*建筑各项能耗拆分!AB122</f>
        <v>0</v>
      </c>
      <c r="AC11" s="1">
        <f>建筑各项能耗拆分!$B$18*建筑各项能耗拆分!AC122</f>
        <v>0</v>
      </c>
      <c r="AD11" s="1">
        <f>建筑各项能耗拆分!$B$18*建筑各项能耗拆分!AD122</f>
        <v>0</v>
      </c>
      <c r="AE11" s="1">
        <f>建筑各项能耗拆分!$B$18*建筑各项能耗拆分!AE122</f>
        <v>0</v>
      </c>
      <c r="AF11" s="1">
        <f>建筑各项能耗拆分!$B$18*建筑各项能耗拆分!AF122</f>
        <v>0</v>
      </c>
      <c r="AG11" s="1">
        <f>建筑各项能耗拆分!$B$18*建筑各项能耗拆分!AG122</f>
        <v>0</v>
      </c>
      <c r="AH11" s="1">
        <f>建筑各项能耗拆分!$B$18*建筑各项能耗拆分!AH122</f>
        <v>0</v>
      </c>
      <c r="AI11" s="1">
        <f>建筑各项能耗拆分!$B$18*建筑各项能耗拆分!AI122</f>
        <v>0</v>
      </c>
      <c r="AJ11" s="1">
        <f>建筑各项能耗拆分!$B$18*建筑各项能耗拆分!AJ122</f>
        <v>0</v>
      </c>
      <c r="AK11" s="1">
        <f>建筑各项能耗拆分!$B$18*建筑各项能耗拆分!AK122</f>
        <v>0</v>
      </c>
      <c r="AL11" s="1">
        <f>建筑各项能耗拆分!$B$18*建筑各项能耗拆分!AL122</f>
        <v>0</v>
      </c>
      <c r="AM11" s="1">
        <f>建筑各项能耗拆分!$B$18*建筑各项能耗拆分!AM122</f>
        <v>0</v>
      </c>
      <c r="AN11" s="1">
        <f>建筑各项能耗拆分!$B$18*建筑各项能耗拆分!AN122</f>
        <v>0</v>
      </c>
      <c r="AO11" s="1">
        <f>建筑各项能耗拆分!$B$18*建筑各项能耗拆分!AO122</f>
        <v>0</v>
      </c>
      <c r="AP11" s="1">
        <f>建筑各项能耗拆分!$B$18*建筑各项能耗拆分!AP122</f>
        <v>0</v>
      </c>
      <c r="AQ11" s="1">
        <f>建筑各项能耗拆分!$B$18*建筑各项能耗拆分!AQ122</f>
        <v>0</v>
      </c>
      <c r="AR11" s="1">
        <f>建筑各项能耗拆分!$B$18*建筑各项能耗拆分!AR122</f>
        <v>0</v>
      </c>
    </row>
  </sheetData>
  <pageMargins left="0.7" right="0.7" top="0.75" bottom="0.75" header="0.3" footer="0.3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030A0"/>
  </sheetPr>
  <dimension ref="A1:AR11"/>
  <sheetViews>
    <sheetView workbookViewId="0">
      <selection activeCell="A1" sqref="$A1:$XFD1048576"/>
    </sheetView>
  </sheetViews>
  <sheetFormatPr defaultColWidth="9" defaultRowHeight="13.5"/>
  <cols>
    <col min="1" max="1" width="37.25" customWidth="1"/>
    <col min="2" max="44" width="15.6333333333333" customWidth="1"/>
  </cols>
  <sheetData>
    <row r="1" spans="1:44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>
      <c r="A2" t="s">
        <v>1109</v>
      </c>
      <c r="B2" s="1">
        <f>建筑各项能耗拆分!$B$18*建筑各项能耗拆分!B139</f>
        <v>144484189697837</v>
      </c>
      <c r="C2" s="1">
        <f>建筑各项能耗拆分!$B$18*建筑各项能耗拆分!C139</f>
        <v>276319616071910</v>
      </c>
      <c r="D2" s="1">
        <f>建筑各项能耗拆分!$B$18*建筑各项能耗拆分!D139</f>
        <v>297912634189559</v>
      </c>
      <c r="E2" s="1">
        <f>建筑各项能耗拆分!$B$18*建筑各项能耗拆分!E139</f>
        <v>311430769000989</v>
      </c>
      <c r="F2" s="1">
        <f>建筑各项能耗拆分!$B$18*建筑各项能耗拆分!F139</f>
        <v>354776038205673</v>
      </c>
      <c r="G2" s="1">
        <f>建筑各项能耗拆分!$B$18*建筑各项能耗拆分!G139</f>
        <v>342016562064784</v>
      </c>
      <c r="H2" s="1">
        <f>建筑各项能耗拆分!$B$18*建筑各项能耗拆分!H139</f>
        <v>293275884909798</v>
      </c>
      <c r="I2" s="1">
        <f>建筑各项能耗拆分!$B$18*建筑各项能耗拆分!I139</f>
        <v>263961627517812</v>
      </c>
      <c r="J2" s="1">
        <f>建筑各项能耗拆分!$B$18*建筑各项能耗拆分!J139</f>
        <v>261000857890953</v>
      </c>
      <c r="K2" s="1">
        <f>建筑各项能耗拆分!$B$18*建筑各项能耗拆分!K139</f>
        <v>255702188857664</v>
      </c>
      <c r="L2" s="1">
        <f>建筑各项能耗拆分!$B$18*建筑各项能耗拆分!L139</f>
        <v>249995519547395</v>
      </c>
      <c r="M2" s="1">
        <f>建筑各项能耗拆分!$B$18*建筑各项能耗拆分!M139</f>
        <v>242090005293570</v>
      </c>
      <c r="N2" s="1">
        <f>建筑各项能耗拆分!$B$18*建筑各项能耗拆分!N139</f>
        <v>232551118201809</v>
      </c>
      <c r="O2" s="1">
        <f>建筑各项能耗拆分!$B$18*建筑各项能耗拆分!O139</f>
        <v>220806689622769</v>
      </c>
      <c r="P2" s="1">
        <f>建筑各项能耗拆分!$B$18*建筑各项能耗拆分!P139</f>
        <v>207314990290471</v>
      </c>
      <c r="Q2" s="1">
        <f>建筑各项能耗拆分!$B$18*建筑各项能耗拆分!Q139</f>
        <v>191939239726844</v>
      </c>
      <c r="R2" s="1">
        <f>建筑各项能耗拆分!$B$18*建筑各项能耗拆分!R139</f>
        <v>174951012276277</v>
      </c>
      <c r="S2" s="1">
        <f>建筑各项能耗拆分!$B$18*建筑各项能耗拆分!S139</f>
        <v>185617652815713</v>
      </c>
      <c r="T2" s="1">
        <f>建筑各项能耗拆分!$B$18*建筑各项能耗拆分!T139</f>
        <v>177110722716067</v>
      </c>
      <c r="U2" s="1">
        <f>建筑各项能耗拆分!$B$18*建筑各项能耗拆分!U139</f>
        <v>167600184184674</v>
      </c>
      <c r="V2" s="1">
        <f>建筑各项能耗拆分!$B$18*建筑各项能耗拆分!V139</f>
        <v>164158007169955</v>
      </c>
      <c r="W2" s="1">
        <f>建筑各项能耗拆分!$B$18*建筑各项能耗拆分!W139</f>
        <v>161393062925299</v>
      </c>
      <c r="X2" s="1">
        <f>建筑各项能耗拆分!$B$18*建筑各项能耗拆分!X139</f>
        <v>158041097306629</v>
      </c>
      <c r="Y2" s="1">
        <f>建筑各项能耗拆分!$B$18*建筑各项能耗拆分!Y139</f>
        <v>155428609723159</v>
      </c>
      <c r="Z2" s="1">
        <f>建筑各项能耗拆分!$B$18*建筑各项能耗拆分!Z139</f>
        <v>152374558363631</v>
      </c>
      <c r="AA2" s="1">
        <f>建筑各项能耗拆分!$B$18*建筑各项能耗拆分!AA139</f>
        <v>148892236149712</v>
      </c>
      <c r="AB2" s="1">
        <f>建筑各项能耗拆分!$B$18*建筑各项能耗拆分!AB139</f>
        <v>145005526908400</v>
      </c>
      <c r="AC2" s="1">
        <f>建筑各项能耗拆分!$B$18*建筑各项能耗拆分!AC139</f>
        <v>140747741679115</v>
      </c>
      <c r="AD2" s="1">
        <f>建筑各项能耗拆分!$B$18*建筑各项能耗拆分!AD139</f>
        <v>135588945349973</v>
      </c>
      <c r="AE2" s="1">
        <f>建筑各项能耗拆分!$B$18*建筑各项能耗拆分!AE139</f>
        <v>130041527638838</v>
      </c>
      <c r="AF2" s="1">
        <f>建筑各项能耗拆分!$B$18*建筑各项能耗拆分!AF139</f>
        <v>124133081691069</v>
      </c>
      <c r="AG2" s="1">
        <f>建筑各项能耗拆分!$B$18*建筑各项能耗拆分!AG139</f>
        <v>117906933051585</v>
      </c>
      <c r="AH2" s="1">
        <f>建筑各项能耗拆分!$B$18*建筑各项能耗拆分!AH139</f>
        <v>111327947047105</v>
      </c>
      <c r="AI2" s="1">
        <f>建筑各项能耗拆分!$B$18*建筑各项能耗拆分!AI139</f>
        <v>100968513143458</v>
      </c>
      <c r="AJ2" s="1">
        <f>建筑各项能耗拆分!$B$18*建筑各项能耗拆分!AJ139</f>
        <v>90291278074768.3</v>
      </c>
      <c r="AK2" s="1">
        <f>建筑各项能耗拆分!$B$18*建筑各项能耗拆分!AK139</f>
        <v>79283148716114.1</v>
      </c>
      <c r="AL2" s="1">
        <f>建筑各项能耗拆分!$B$18*建筑各项能耗拆分!AL139</f>
        <v>67975879669511.1</v>
      </c>
      <c r="AM2" s="1">
        <f>建筑各项能耗拆分!$B$18*建筑各项能耗拆分!AM139</f>
        <v>56389845244038.7</v>
      </c>
      <c r="AN2" s="1">
        <f>建筑各项能耗拆分!$B$18*建筑各项能耗拆分!AN139</f>
        <v>44086389781322.8</v>
      </c>
      <c r="AO2" s="1">
        <f>建筑各项能耗拆分!$B$18*建筑各项能耗拆分!AO139</f>
        <v>31506621685623</v>
      </c>
      <c r="AP2" s="1">
        <f>建筑各项能耗拆分!$B$18*建筑各项能耗拆分!AP139</f>
        <v>18671345963254.2</v>
      </c>
      <c r="AQ2" s="1">
        <f>建筑各项能耗拆分!$B$18*建筑各项能耗拆分!AQ139</f>
        <v>5593541976976.39</v>
      </c>
      <c r="AR2" s="1">
        <f>建筑各项能耗拆分!$B$18*建筑各项能耗拆分!AR139</f>
        <v>0</v>
      </c>
    </row>
    <row r="3" spans="1:44">
      <c r="A3" t="s">
        <v>1110</v>
      </c>
      <c r="B3" s="1">
        <f>建筑各项能耗拆分!$B$18*建筑各项能耗拆分!B140</f>
        <v>0</v>
      </c>
      <c r="C3" s="1">
        <f>建筑各项能耗拆分!$B$18*建筑各项能耗拆分!C140</f>
        <v>0</v>
      </c>
      <c r="D3" s="1">
        <f>建筑各项能耗拆分!$B$18*建筑各项能耗拆分!D140</f>
        <v>0</v>
      </c>
      <c r="E3" s="1">
        <f>建筑各项能耗拆分!$B$18*建筑各项能耗拆分!E140</f>
        <v>0</v>
      </c>
      <c r="F3" s="1">
        <f>建筑各项能耗拆分!$B$18*建筑各项能耗拆分!F140</f>
        <v>0</v>
      </c>
      <c r="G3" s="1">
        <f>建筑各项能耗拆分!$B$18*建筑各项能耗拆分!G140</f>
        <v>0</v>
      </c>
      <c r="H3" s="1">
        <f>建筑各项能耗拆分!$B$18*建筑各项能耗拆分!H140</f>
        <v>0</v>
      </c>
      <c r="I3" s="1">
        <f>建筑各项能耗拆分!$B$18*建筑各项能耗拆分!I140</f>
        <v>0</v>
      </c>
      <c r="J3" s="1">
        <f>建筑各项能耗拆分!$B$18*建筑各项能耗拆分!J140</f>
        <v>0</v>
      </c>
      <c r="K3" s="1">
        <f>建筑各项能耗拆分!$B$18*建筑各项能耗拆分!K140</f>
        <v>0</v>
      </c>
      <c r="L3" s="1">
        <f>建筑各项能耗拆分!$B$18*建筑各项能耗拆分!L140</f>
        <v>0</v>
      </c>
      <c r="M3" s="1">
        <f>建筑各项能耗拆分!$B$18*建筑各项能耗拆分!M140</f>
        <v>0</v>
      </c>
      <c r="N3" s="1">
        <f>建筑各项能耗拆分!$B$18*建筑各项能耗拆分!N140</f>
        <v>0</v>
      </c>
      <c r="O3" s="1">
        <f>建筑各项能耗拆分!$B$18*建筑各项能耗拆分!O140</f>
        <v>0</v>
      </c>
      <c r="P3" s="1">
        <f>建筑各项能耗拆分!$B$18*建筑各项能耗拆分!P140</f>
        <v>0</v>
      </c>
      <c r="Q3" s="1">
        <f>建筑各项能耗拆分!$B$18*建筑各项能耗拆分!Q140</f>
        <v>0</v>
      </c>
      <c r="R3" s="1">
        <f>建筑各项能耗拆分!$B$18*建筑各项能耗拆分!R140</f>
        <v>0</v>
      </c>
      <c r="S3" s="1">
        <f>建筑各项能耗拆分!$B$18*建筑各项能耗拆分!S140</f>
        <v>0</v>
      </c>
      <c r="T3" s="1">
        <f>建筑各项能耗拆分!$B$18*建筑各项能耗拆分!T140</f>
        <v>0</v>
      </c>
      <c r="U3" s="1">
        <f>建筑各项能耗拆分!$B$18*建筑各项能耗拆分!U140</f>
        <v>0</v>
      </c>
      <c r="V3" s="1">
        <f>建筑各项能耗拆分!$B$18*建筑各项能耗拆分!V140</f>
        <v>0</v>
      </c>
      <c r="W3" s="1">
        <f>建筑各项能耗拆分!$B$18*建筑各项能耗拆分!W140</f>
        <v>0</v>
      </c>
      <c r="X3" s="1">
        <f>建筑各项能耗拆分!$B$18*建筑各项能耗拆分!X140</f>
        <v>0</v>
      </c>
      <c r="Y3" s="1">
        <f>建筑各项能耗拆分!$B$18*建筑各项能耗拆分!Y140</f>
        <v>0</v>
      </c>
      <c r="Z3" s="1">
        <f>建筑各项能耗拆分!$B$18*建筑各项能耗拆分!Z140</f>
        <v>0</v>
      </c>
      <c r="AA3" s="1">
        <f>建筑各项能耗拆分!$B$18*建筑各项能耗拆分!AA140</f>
        <v>0</v>
      </c>
      <c r="AB3" s="1">
        <f>建筑各项能耗拆分!$B$18*建筑各项能耗拆分!AB140</f>
        <v>0</v>
      </c>
      <c r="AC3" s="1">
        <f>建筑各项能耗拆分!$B$18*建筑各项能耗拆分!AC140</f>
        <v>0</v>
      </c>
      <c r="AD3" s="1">
        <f>建筑各项能耗拆分!$B$18*建筑各项能耗拆分!AD140</f>
        <v>0</v>
      </c>
      <c r="AE3" s="1">
        <f>建筑各项能耗拆分!$B$18*建筑各项能耗拆分!AE140</f>
        <v>0</v>
      </c>
      <c r="AF3" s="1">
        <f>建筑各项能耗拆分!$B$18*建筑各项能耗拆分!AF140</f>
        <v>0</v>
      </c>
      <c r="AG3" s="1">
        <f>建筑各项能耗拆分!$B$18*建筑各项能耗拆分!AG140</f>
        <v>0</v>
      </c>
      <c r="AH3" s="1">
        <f>建筑各项能耗拆分!$B$18*建筑各项能耗拆分!AH140</f>
        <v>0</v>
      </c>
      <c r="AI3" s="1">
        <f>建筑各项能耗拆分!$B$18*建筑各项能耗拆分!AI140</f>
        <v>0</v>
      </c>
      <c r="AJ3" s="1">
        <f>建筑各项能耗拆分!$B$18*建筑各项能耗拆分!AJ140</f>
        <v>0</v>
      </c>
      <c r="AK3" s="1">
        <f>建筑各项能耗拆分!$B$18*建筑各项能耗拆分!AK140</f>
        <v>0</v>
      </c>
      <c r="AL3" s="1">
        <f>建筑各项能耗拆分!$B$18*建筑各项能耗拆分!AL140</f>
        <v>0</v>
      </c>
      <c r="AM3" s="1">
        <f>建筑各项能耗拆分!$B$18*建筑各项能耗拆分!AM140</f>
        <v>0</v>
      </c>
      <c r="AN3" s="1">
        <f>建筑各项能耗拆分!$B$18*建筑各项能耗拆分!AN140</f>
        <v>0</v>
      </c>
      <c r="AO3" s="1">
        <f>建筑各项能耗拆分!$B$18*建筑各项能耗拆分!AO140</f>
        <v>0</v>
      </c>
      <c r="AP3" s="1">
        <f>建筑各项能耗拆分!$B$18*建筑各项能耗拆分!AP140</f>
        <v>0</v>
      </c>
      <c r="AQ3" s="1">
        <f>建筑各项能耗拆分!$B$18*建筑各项能耗拆分!AQ140</f>
        <v>0</v>
      </c>
      <c r="AR3" s="1">
        <f>建筑各项能耗拆分!$B$18*建筑各项能耗拆分!AR140</f>
        <v>0</v>
      </c>
    </row>
    <row r="4" spans="1:44">
      <c r="A4" t="s">
        <v>1111</v>
      </c>
      <c r="B4" s="1">
        <f>建筑各项能耗拆分!$B$18*建筑各项能耗拆分!B141</f>
        <v>0</v>
      </c>
      <c r="C4" s="1">
        <f>建筑各项能耗拆分!$B$18*建筑各项能耗拆分!C141</f>
        <v>0</v>
      </c>
      <c r="D4" s="1">
        <f>建筑各项能耗拆分!$B$18*建筑各项能耗拆分!D141</f>
        <v>0</v>
      </c>
      <c r="E4" s="1">
        <f>建筑各项能耗拆分!$B$18*建筑各项能耗拆分!E141</f>
        <v>0</v>
      </c>
      <c r="F4" s="1">
        <f>建筑各项能耗拆分!$B$18*建筑各项能耗拆分!F141</f>
        <v>0</v>
      </c>
      <c r="G4" s="1">
        <f>建筑各项能耗拆分!$B$18*建筑各项能耗拆分!G141</f>
        <v>0</v>
      </c>
      <c r="H4" s="1">
        <f>建筑各项能耗拆分!$B$18*建筑各项能耗拆分!H141</f>
        <v>0</v>
      </c>
      <c r="I4" s="1">
        <f>建筑各项能耗拆分!$B$18*建筑各项能耗拆分!I141</f>
        <v>0</v>
      </c>
      <c r="J4" s="1">
        <f>建筑各项能耗拆分!$B$18*建筑各项能耗拆分!J141</f>
        <v>0</v>
      </c>
      <c r="K4" s="1">
        <f>建筑各项能耗拆分!$B$18*建筑各项能耗拆分!K141</f>
        <v>0</v>
      </c>
      <c r="L4" s="1">
        <f>建筑各项能耗拆分!$B$18*建筑各项能耗拆分!L141</f>
        <v>0</v>
      </c>
      <c r="M4" s="1">
        <f>建筑各项能耗拆分!$B$18*建筑各项能耗拆分!M141</f>
        <v>0</v>
      </c>
      <c r="N4" s="1">
        <f>建筑各项能耗拆分!$B$18*建筑各项能耗拆分!N141</f>
        <v>0</v>
      </c>
      <c r="O4" s="1">
        <f>建筑各项能耗拆分!$B$18*建筑各项能耗拆分!O141</f>
        <v>0</v>
      </c>
      <c r="P4" s="1">
        <f>建筑各项能耗拆分!$B$18*建筑各项能耗拆分!P141</f>
        <v>0</v>
      </c>
      <c r="Q4" s="1">
        <f>建筑各项能耗拆分!$B$18*建筑各项能耗拆分!Q141</f>
        <v>0</v>
      </c>
      <c r="R4" s="1">
        <f>建筑各项能耗拆分!$B$18*建筑各项能耗拆分!R141</f>
        <v>0</v>
      </c>
      <c r="S4" s="1">
        <f>建筑各项能耗拆分!$B$18*建筑各项能耗拆分!S141</f>
        <v>0</v>
      </c>
      <c r="T4" s="1">
        <f>建筑各项能耗拆分!$B$18*建筑各项能耗拆分!T141</f>
        <v>0</v>
      </c>
      <c r="U4" s="1">
        <f>建筑各项能耗拆分!$B$18*建筑各项能耗拆分!U141</f>
        <v>0</v>
      </c>
      <c r="V4" s="1">
        <f>建筑各项能耗拆分!$B$18*建筑各项能耗拆分!V141</f>
        <v>0</v>
      </c>
      <c r="W4" s="1">
        <f>建筑各项能耗拆分!$B$18*建筑各项能耗拆分!W141</f>
        <v>0</v>
      </c>
      <c r="X4" s="1">
        <f>建筑各项能耗拆分!$B$18*建筑各项能耗拆分!X141</f>
        <v>0</v>
      </c>
      <c r="Y4" s="1">
        <f>建筑各项能耗拆分!$B$18*建筑各项能耗拆分!Y141</f>
        <v>0</v>
      </c>
      <c r="Z4" s="1">
        <f>建筑各项能耗拆分!$B$18*建筑各项能耗拆分!Z141</f>
        <v>0</v>
      </c>
      <c r="AA4" s="1">
        <f>建筑各项能耗拆分!$B$18*建筑各项能耗拆分!AA141</f>
        <v>0</v>
      </c>
      <c r="AB4" s="1">
        <f>建筑各项能耗拆分!$B$18*建筑各项能耗拆分!AB141</f>
        <v>0</v>
      </c>
      <c r="AC4" s="1">
        <f>建筑各项能耗拆分!$B$18*建筑各项能耗拆分!AC141</f>
        <v>0</v>
      </c>
      <c r="AD4" s="1">
        <f>建筑各项能耗拆分!$B$18*建筑各项能耗拆分!AD141</f>
        <v>0</v>
      </c>
      <c r="AE4" s="1">
        <f>建筑各项能耗拆分!$B$18*建筑各项能耗拆分!AE141</f>
        <v>0</v>
      </c>
      <c r="AF4" s="1">
        <f>建筑各项能耗拆分!$B$18*建筑各项能耗拆分!AF141</f>
        <v>0</v>
      </c>
      <c r="AG4" s="1">
        <f>建筑各项能耗拆分!$B$18*建筑各项能耗拆分!AG141</f>
        <v>0</v>
      </c>
      <c r="AH4" s="1">
        <f>建筑各项能耗拆分!$B$18*建筑各项能耗拆分!AH141</f>
        <v>0</v>
      </c>
      <c r="AI4" s="1">
        <f>建筑各项能耗拆分!$B$18*建筑各项能耗拆分!AI141</f>
        <v>0</v>
      </c>
      <c r="AJ4" s="1">
        <f>建筑各项能耗拆分!$B$18*建筑各项能耗拆分!AJ141</f>
        <v>0</v>
      </c>
      <c r="AK4" s="1">
        <f>建筑各项能耗拆分!$B$18*建筑各项能耗拆分!AK141</f>
        <v>0</v>
      </c>
      <c r="AL4" s="1">
        <f>建筑各项能耗拆分!$B$18*建筑各项能耗拆分!AL141</f>
        <v>0</v>
      </c>
      <c r="AM4" s="1">
        <f>建筑各项能耗拆分!$B$18*建筑各项能耗拆分!AM141</f>
        <v>0</v>
      </c>
      <c r="AN4" s="1">
        <f>建筑各项能耗拆分!$B$18*建筑各项能耗拆分!AN141</f>
        <v>0</v>
      </c>
      <c r="AO4" s="1">
        <f>建筑各项能耗拆分!$B$18*建筑各项能耗拆分!AO141</f>
        <v>0</v>
      </c>
      <c r="AP4" s="1">
        <f>建筑各项能耗拆分!$B$18*建筑各项能耗拆分!AP141</f>
        <v>0</v>
      </c>
      <c r="AQ4" s="1">
        <f>建筑各项能耗拆分!$B$18*建筑各项能耗拆分!AQ141</f>
        <v>0</v>
      </c>
      <c r="AR4" s="1">
        <f>建筑各项能耗拆分!$B$18*建筑各项能耗拆分!AR141</f>
        <v>0</v>
      </c>
    </row>
    <row r="5" spans="1:44">
      <c r="A5" t="s">
        <v>1112</v>
      </c>
      <c r="B5" s="1">
        <f>建筑各项能耗拆分!$B$18*建筑各项能耗拆分!B142</f>
        <v>0</v>
      </c>
      <c r="C5" s="1">
        <f>建筑各项能耗拆分!$B$18*建筑各项能耗拆分!C142</f>
        <v>0</v>
      </c>
      <c r="D5" s="1">
        <f>建筑各项能耗拆分!$B$18*建筑各项能耗拆分!D142</f>
        <v>0</v>
      </c>
      <c r="E5" s="1">
        <f>建筑各项能耗拆分!$B$18*建筑各项能耗拆分!E142</f>
        <v>0</v>
      </c>
      <c r="F5" s="1">
        <f>建筑各项能耗拆分!$B$18*建筑各项能耗拆分!F142</f>
        <v>0</v>
      </c>
      <c r="G5" s="1">
        <f>建筑各项能耗拆分!$B$18*建筑各项能耗拆分!G142</f>
        <v>0</v>
      </c>
      <c r="H5" s="1">
        <f>建筑各项能耗拆分!$B$18*建筑各项能耗拆分!H142</f>
        <v>0</v>
      </c>
      <c r="I5" s="1">
        <f>建筑各项能耗拆分!$B$18*建筑各项能耗拆分!I142</f>
        <v>0</v>
      </c>
      <c r="J5" s="1">
        <f>建筑各项能耗拆分!$B$18*建筑各项能耗拆分!J142</f>
        <v>0</v>
      </c>
      <c r="K5" s="1">
        <f>建筑各项能耗拆分!$B$18*建筑各项能耗拆分!K142</f>
        <v>0</v>
      </c>
      <c r="L5" s="1">
        <f>建筑各项能耗拆分!$B$18*建筑各项能耗拆分!L142</f>
        <v>0</v>
      </c>
      <c r="M5" s="1">
        <f>建筑各项能耗拆分!$B$18*建筑各项能耗拆分!M142</f>
        <v>0</v>
      </c>
      <c r="N5" s="1">
        <f>建筑各项能耗拆分!$B$18*建筑各项能耗拆分!N142</f>
        <v>0</v>
      </c>
      <c r="O5" s="1">
        <f>建筑各项能耗拆分!$B$18*建筑各项能耗拆分!O142</f>
        <v>0</v>
      </c>
      <c r="P5" s="1">
        <f>建筑各项能耗拆分!$B$18*建筑各项能耗拆分!P142</f>
        <v>0</v>
      </c>
      <c r="Q5" s="1">
        <f>建筑各项能耗拆分!$B$18*建筑各项能耗拆分!Q142</f>
        <v>0</v>
      </c>
      <c r="R5" s="1">
        <f>建筑各项能耗拆分!$B$18*建筑各项能耗拆分!R142</f>
        <v>0</v>
      </c>
      <c r="S5" s="1">
        <f>建筑各项能耗拆分!$B$18*建筑各项能耗拆分!S142</f>
        <v>0</v>
      </c>
      <c r="T5" s="1">
        <f>建筑各项能耗拆分!$B$18*建筑各项能耗拆分!T142</f>
        <v>0</v>
      </c>
      <c r="U5" s="1">
        <f>建筑各项能耗拆分!$B$18*建筑各项能耗拆分!U142</f>
        <v>0</v>
      </c>
      <c r="V5" s="1">
        <f>建筑各项能耗拆分!$B$18*建筑各项能耗拆分!V142</f>
        <v>0</v>
      </c>
      <c r="W5" s="1">
        <f>建筑各项能耗拆分!$B$18*建筑各项能耗拆分!W142</f>
        <v>0</v>
      </c>
      <c r="X5" s="1">
        <f>建筑各项能耗拆分!$B$18*建筑各项能耗拆分!X142</f>
        <v>0</v>
      </c>
      <c r="Y5" s="1">
        <f>建筑各项能耗拆分!$B$18*建筑各项能耗拆分!Y142</f>
        <v>0</v>
      </c>
      <c r="Z5" s="1">
        <f>建筑各项能耗拆分!$B$18*建筑各项能耗拆分!Z142</f>
        <v>0</v>
      </c>
      <c r="AA5" s="1">
        <f>建筑各项能耗拆分!$B$18*建筑各项能耗拆分!AA142</f>
        <v>0</v>
      </c>
      <c r="AB5" s="1">
        <f>建筑各项能耗拆分!$B$18*建筑各项能耗拆分!AB142</f>
        <v>0</v>
      </c>
      <c r="AC5" s="1">
        <f>建筑各项能耗拆分!$B$18*建筑各项能耗拆分!AC142</f>
        <v>0</v>
      </c>
      <c r="AD5" s="1">
        <f>建筑各项能耗拆分!$B$18*建筑各项能耗拆分!AD142</f>
        <v>0</v>
      </c>
      <c r="AE5" s="1">
        <f>建筑各项能耗拆分!$B$18*建筑各项能耗拆分!AE142</f>
        <v>0</v>
      </c>
      <c r="AF5" s="1">
        <f>建筑各项能耗拆分!$B$18*建筑各项能耗拆分!AF142</f>
        <v>0</v>
      </c>
      <c r="AG5" s="1">
        <f>建筑各项能耗拆分!$B$18*建筑各项能耗拆分!AG142</f>
        <v>0</v>
      </c>
      <c r="AH5" s="1">
        <f>建筑各项能耗拆分!$B$18*建筑各项能耗拆分!AH142</f>
        <v>0</v>
      </c>
      <c r="AI5" s="1">
        <f>建筑各项能耗拆分!$B$18*建筑各项能耗拆分!AI142</f>
        <v>0</v>
      </c>
      <c r="AJ5" s="1">
        <f>建筑各项能耗拆分!$B$18*建筑各项能耗拆分!AJ142</f>
        <v>0</v>
      </c>
      <c r="AK5" s="1">
        <f>建筑各项能耗拆分!$B$18*建筑各项能耗拆分!AK142</f>
        <v>0</v>
      </c>
      <c r="AL5" s="1">
        <f>建筑各项能耗拆分!$B$18*建筑各项能耗拆分!AL142</f>
        <v>0</v>
      </c>
      <c r="AM5" s="1">
        <f>建筑各项能耗拆分!$B$18*建筑各项能耗拆分!AM142</f>
        <v>0</v>
      </c>
      <c r="AN5" s="1">
        <f>建筑各项能耗拆分!$B$18*建筑各项能耗拆分!AN142</f>
        <v>0</v>
      </c>
      <c r="AO5" s="1">
        <f>建筑各项能耗拆分!$B$18*建筑各项能耗拆分!AO142</f>
        <v>0</v>
      </c>
      <c r="AP5" s="1">
        <f>建筑各项能耗拆分!$B$18*建筑各项能耗拆分!AP142</f>
        <v>0</v>
      </c>
      <c r="AQ5" s="1">
        <f>建筑各项能耗拆分!$B$18*建筑各项能耗拆分!AQ142</f>
        <v>0</v>
      </c>
      <c r="AR5" s="1">
        <f>建筑各项能耗拆分!$B$18*建筑各项能耗拆分!AR142</f>
        <v>0</v>
      </c>
    </row>
    <row r="6" spans="1:44">
      <c r="A6" t="s">
        <v>1113</v>
      </c>
      <c r="B6" s="1">
        <f>建筑各项能耗拆分!$B$18*建筑各项能耗拆分!B143</f>
        <v>0</v>
      </c>
      <c r="C6" s="1">
        <f>建筑各项能耗拆分!$B$18*建筑各项能耗拆分!C143</f>
        <v>0</v>
      </c>
      <c r="D6" s="1">
        <f>建筑各项能耗拆分!$B$18*建筑各项能耗拆分!D143</f>
        <v>0</v>
      </c>
      <c r="E6" s="1">
        <f>建筑各项能耗拆分!$B$18*建筑各项能耗拆分!E143</f>
        <v>0</v>
      </c>
      <c r="F6" s="1">
        <f>建筑各项能耗拆分!$B$18*建筑各项能耗拆分!F143</f>
        <v>0</v>
      </c>
      <c r="G6" s="1">
        <f>建筑各项能耗拆分!$B$18*建筑各项能耗拆分!G143</f>
        <v>0</v>
      </c>
      <c r="H6" s="1">
        <f>建筑各项能耗拆分!$B$18*建筑各项能耗拆分!H143</f>
        <v>0</v>
      </c>
      <c r="I6" s="1">
        <f>建筑各项能耗拆分!$B$18*建筑各项能耗拆分!I143</f>
        <v>0</v>
      </c>
      <c r="J6" s="1">
        <f>建筑各项能耗拆分!$B$18*建筑各项能耗拆分!J143</f>
        <v>0</v>
      </c>
      <c r="K6" s="1">
        <f>建筑各项能耗拆分!$B$18*建筑各项能耗拆分!K143</f>
        <v>0</v>
      </c>
      <c r="L6" s="1">
        <f>建筑各项能耗拆分!$B$18*建筑各项能耗拆分!L143</f>
        <v>0</v>
      </c>
      <c r="M6" s="1">
        <f>建筑各项能耗拆分!$B$18*建筑各项能耗拆分!M143</f>
        <v>0</v>
      </c>
      <c r="N6" s="1">
        <f>建筑各项能耗拆分!$B$18*建筑各项能耗拆分!N143</f>
        <v>0</v>
      </c>
      <c r="O6" s="1">
        <f>建筑各项能耗拆分!$B$18*建筑各项能耗拆分!O143</f>
        <v>0</v>
      </c>
      <c r="P6" s="1">
        <f>建筑各项能耗拆分!$B$18*建筑各项能耗拆分!P143</f>
        <v>0</v>
      </c>
      <c r="Q6" s="1">
        <f>建筑各项能耗拆分!$B$18*建筑各项能耗拆分!Q143</f>
        <v>0</v>
      </c>
      <c r="R6" s="1">
        <f>建筑各项能耗拆分!$B$18*建筑各项能耗拆分!R143</f>
        <v>0</v>
      </c>
      <c r="S6" s="1">
        <f>建筑各项能耗拆分!$B$18*建筑各项能耗拆分!S143</f>
        <v>0</v>
      </c>
      <c r="T6" s="1">
        <f>建筑各项能耗拆分!$B$18*建筑各项能耗拆分!T143</f>
        <v>0</v>
      </c>
      <c r="U6" s="1">
        <f>建筑各项能耗拆分!$B$18*建筑各项能耗拆分!U143</f>
        <v>0</v>
      </c>
      <c r="V6" s="1">
        <f>建筑各项能耗拆分!$B$18*建筑各项能耗拆分!V143</f>
        <v>0</v>
      </c>
      <c r="W6" s="1">
        <f>建筑各项能耗拆分!$B$18*建筑各项能耗拆分!W143</f>
        <v>0</v>
      </c>
      <c r="X6" s="1">
        <f>建筑各项能耗拆分!$B$18*建筑各项能耗拆分!X143</f>
        <v>0</v>
      </c>
      <c r="Y6" s="1">
        <f>建筑各项能耗拆分!$B$18*建筑各项能耗拆分!Y143</f>
        <v>0</v>
      </c>
      <c r="Z6" s="1">
        <f>建筑各项能耗拆分!$B$18*建筑各项能耗拆分!Z143</f>
        <v>0</v>
      </c>
      <c r="AA6" s="1">
        <f>建筑各项能耗拆分!$B$18*建筑各项能耗拆分!AA143</f>
        <v>0</v>
      </c>
      <c r="AB6" s="1">
        <f>建筑各项能耗拆分!$B$18*建筑各项能耗拆分!AB143</f>
        <v>0</v>
      </c>
      <c r="AC6" s="1">
        <f>建筑各项能耗拆分!$B$18*建筑各项能耗拆分!AC143</f>
        <v>0</v>
      </c>
      <c r="AD6" s="1">
        <f>建筑各项能耗拆分!$B$18*建筑各项能耗拆分!AD143</f>
        <v>0</v>
      </c>
      <c r="AE6" s="1">
        <f>建筑各项能耗拆分!$B$18*建筑各项能耗拆分!AE143</f>
        <v>0</v>
      </c>
      <c r="AF6" s="1">
        <f>建筑各项能耗拆分!$B$18*建筑各项能耗拆分!AF143</f>
        <v>0</v>
      </c>
      <c r="AG6" s="1">
        <f>建筑各项能耗拆分!$B$18*建筑各项能耗拆分!AG143</f>
        <v>0</v>
      </c>
      <c r="AH6" s="1">
        <f>建筑各项能耗拆分!$B$18*建筑各项能耗拆分!AH143</f>
        <v>0</v>
      </c>
      <c r="AI6" s="1">
        <f>建筑各项能耗拆分!$B$18*建筑各项能耗拆分!AI143</f>
        <v>0</v>
      </c>
      <c r="AJ6" s="1">
        <f>建筑各项能耗拆分!$B$18*建筑各项能耗拆分!AJ143</f>
        <v>0</v>
      </c>
      <c r="AK6" s="1">
        <f>建筑各项能耗拆分!$B$18*建筑各项能耗拆分!AK143</f>
        <v>0</v>
      </c>
      <c r="AL6" s="1">
        <f>建筑各项能耗拆分!$B$18*建筑各项能耗拆分!AL143</f>
        <v>0</v>
      </c>
      <c r="AM6" s="1">
        <f>建筑各项能耗拆分!$B$18*建筑各项能耗拆分!AM143</f>
        <v>0</v>
      </c>
      <c r="AN6" s="1">
        <f>建筑各项能耗拆分!$B$18*建筑各项能耗拆分!AN143</f>
        <v>0</v>
      </c>
      <c r="AO6" s="1">
        <f>建筑各项能耗拆分!$B$18*建筑各项能耗拆分!AO143</f>
        <v>0</v>
      </c>
      <c r="AP6" s="1">
        <f>建筑各项能耗拆分!$B$18*建筑各项能耗拆分!AP143</f>
        <v>0</v>
      </c>
      <c r="AQ6" s="1">
        <f>建筑各项能耗拆分!$B$18*建筑各项能耗拆分!AQ143</f>
        <v>0</v>
      </c>
      <c r="AR6" s="1">
        <f>建筑各项能耗拆分!$B$18*建筑各项能耗拆分!AR143</f>
        <v>0</v>
      </c>
    </row>
    <row r="7" spans="1:44">
      <c r="A7" t="s">
        <v>1114</v>
      </c>
      <c r="B7" s="1">
        <f>建筑各项能耗拆分!$B$18*建筑各项能耗拆分!B144</f>
        <v>0</v>
      </c>
      <c r="C7" s="1">
        <f>建筑各项能耗拆分!$B$18*建筑各项能耗拆分!C144</f>
        <v>0</v>
      </c>
      <c r="D7" s="1">
        <f>建筑各项能耗拆分!$B$18*建筑各项能耗拆分!D144</f>
        <v>0</v>
      </c>
      <c r="E7" s="1">
        <f>建筑各项能耗拆分!$B$18*建筑各项能耗拆分!E144</f>
        <v>0</v>
      </c>
      <c r="F7" s="1">
        <f>建筑各项能耗拆分!$B$18*建筑各项能耗拆分!F144</f>
        <v>0</v>
      </c>
      <c r="G7" s="1">
        <f>建筑各项能耗拆分!$B$18*建筑各项能耗拆分!G144</f>
        <v>0</v>
      </c>
      <c r="H7" s="1">
        <f>建筑各项能耗拆分!$B$18*建筑各项能耗拆分!H144</f>
        <v>0</v>
      </c>
      <c r="I7" s="1">
        <f>建筑各项能耗拆分!$B$18*建筑各项能耗拆分!I144</f>
        <v>0</v>
      </c>
      <c r="J7" s="1">
        <f>建筑各项能耗拆分!$B$18*建筑各项能耗拆分!J144</f>
        <v>0</v>
      </c>
      <c r="K7" s="1">
        <f>建筑各项能耗拆分!$B$18*建筑各项能耗拆分!K144</f>
        <v>0</v>
      </c>
      <c r="L7" s="1">
        <f>建筑各项能耗拆分!$B$18*建筑各项能耗拆分!L144</f>
        <v>0</v>
      </c>
      <c r="M7" s="1">
        <f>建筑各项能耗拆分!$B$18*建筑各项能耗拆分!M144</f>
        <v>0</v>
      </c>
      <c r="N7" s="1">
        <f>建筑各项能耗拆分!$B$18*建筑各项能耗拆分!N144</f>
        <v>0</v>
      </c>
      <c r="O7" s="1">
        <f>建筑各项能耗拆分!$B$18*建筑各项能耗拆分!O144</f>
        <v>0</v>
      </c>
      <c r="P7" s="1">
        <f>建筑各项能耗拆分!$B$18*建筑各项能耗拆分!P144</f>
        <v>0</v>
      </c>
      <c r="Q7" s="1">
        <f>建筑各项能耗拆分!$B$18*建筑各项能耗拆分!Q144</f>
        <v>0</v>
      </c>
      <c r="R7" s="1">
        <f>建筑各项能耗拆分!$B$18*建筑各项能耗拆分!R144</f>
        <v>0</v>
      </c>
      <c r="S7" s="1">
        <f>建筑各项能耗拆分!$B$18*建筑各项能耗拆分!S144</f>
        <v>0</v>
      </c>
      <c r="T7" s="1">
        <f>建筑各项能耗拆分!$B$18*建筑各项能耗拆分!T144</f>
        <v>0</v>
      </c>
      <c r="U7" s="1">
        <f>建筑各项能耗拆分!$B$18*建筑各项能耗拆分!U144</f>
        <v>0</v>
      </c>
      <c r="V7" s="1">
        <f>建筑各项能耗拆分!$B$18*建筑各项能耗拆分!V144</f>
        <v>0</v>
      </c>
      <c r="W7" s="1">
        <f>建筑各项能耗拆分!$B$18*建筑各项能耗拆分!W144</f>
        <v>0</v>
      </c>
      <c r="X7" s="1">
        <f>建筑各项能耗拆分!$B$18*建筑各项能耗拆分!X144</f>
        <v>0</v>
      </c>
      <c r="Y7" s="1">
        <f>建筑各项能耗拆分!$B$18*建筑各项能耗拆分!Y144</f>
        <v>0</v>
      </c>
      <c r="Z7" s="1">
        <f>建筑各项能耗拆分!$B$18*建筑各项能耗拆分!Z144</f>
        <v>0</v>
      </c>
      <c r="AA7" s="1">
        <f>建筑各项能耗拆分!$B$18*建筑各项能耗拆分!AA144</f>
        <v>0</v>
      </c>
      <c r="AB7" s="1">
        <f>建筑各项能耗拆分!$B$18*建筑各项能耗拆分!AB144</f>
        <v>0</v>
      </c>
      <c r="AC7" s="1">
        <f>建筑各项能耗拆分!$B$18*建筑各项能耗拆分!AC144</f>
        <v>0</v>
      </c>
      <c r="AD7" s="1">
        <f>建筑各项能耗拆分!$B$18*建筑各项能耗拆分!AD144</f>
        <v>0</v>
      </c>
      <c r="AE7" s="1">
        <f>建筑各项能耗拆分!$B$18*建筑各项能耗拆分!AE144</f>
        <v>0</v>
      </c>
      <c r="AF7" s="1">
        <f>建筑各项能耗拆分!$B$18*建筑各项能耗拆分!AF144</f>
        <v>0</v>
      </c>
      <c r="AG7" s="1">
        <f>建筑各项能耗拆分!$B$18*建筑各项能耗拆分!AG144</f>
        <v>0</v>
      </c>
      <c r="AH7" s="1">
        <f>建筑各项能耗拆分!$B$18*建筑各项能耗拆分!AH144</f>
        <v>0</v>
      </c>
      <c r="AI7" s="1">
        <f>建筑各项能耗拆分!$B$18*建筑各项能耗拆分!AI144</f>
        <v>0</v>
      </c>
      <c r="AJ7" s="1">
        <f>建筑各项能耗拆分!$B$18*建筑各项能耗拆分!AJ144</f>
        <v>0</v>
      </c>
      <c r="AK7" s="1">
        <f>建筑各项能耗拆分!$B$18*建筑各项能耗拆分!AK144</f>
        <v>0</v>
      </c>
      <c r="AL7" s="1">
        <f>建筑各项能耗拆分!$B$18*建筑各项能耗拆分!AL144</f>
        <v>0</v>
      </c>
      <c r="AM7" s="1">
        <f>建筑各项能耗拆分!$B$18*建筑各项能耗拆分!AM144</f>
        <v>0</v>
      </c>
      <c r="AN7" s="1">
        <f>建筑各项能耗拆分!$B$18*建筑各项能耗拆分!AN144</f>
        <v>0</v>
      </c>
      <c r="AO7" s="1">
        <f>建筑各项能耗拆分!$B$18*建筑各项能耗拆分!AO144</f>
        <v>0</v>
      </c>
      <c r="AP7" s="1">
        <f>建筑各项能耗拆分!$B$18*建筑各项能耗拆分!AP144</f>
        <v>0</v>
      </c>
      <c r="AQ7" s="1">
        <f>建筑各项能耗拆分!$B$18*建筑各项能耗拆分!AQ144</f>
        <v>0</v>
      </c>
      <c r="AR7" s="1">
        <f>建筑各项能耗拆分!$B$18*建筑各项能耗拆分!AR144</f>
        <v>0</v>
      </c>
    </row>
    <row r="8" spans="1:44">
      <c r="A8" t="s">
        <v>1115</v>
      </c>
      <c r="B8" s="1">
        <f>建筑各项能耗拆分!$B$18*建筑各项能耗拆分!B145</f>
        <v>0</v>
      </c>
      <c r="C8" s="1">
        <f>建筑各项能耗拆分!$B$18*建筑各项能耗拆分!C145</f>
        <v>0</v>
      </c>
      <c r="D8" s="1">
        <f>建筑各项能耗拆分!$B$18*建筑各项能耗拆分!D145</f>
        <v>0</v>
      </c>
      <c r="E8" s="1">
        <f>建筑各项能耗拆分!$B$18*建筑各项能耗拆分!E145</f>
        <v>0</v>
      </c>
      <c r="F8" s="1">
        <f>建筑各项能耗拆分!$B$18*建筑各项能耗拆分!F145</f>
        <v>0</v>
      </c>
      <c r="G8" s="1">
        <f>建筑各项能耗拆分!$B$18*建筑各项能耗拆分!G145</f>
        <v>0</v>
      </c>
      <c r="H8" s="1">
        <f>建筑各项能耗拆分!$B$18*建筑各项能耗拆分!H145</f>
        <v>0</v>
      </c>
      <c r="I8" s="1">
        <f>建筑各项能耗拆分!$B$18*建筑各项能耗拆分!I145</f>
        <v>0</v>
      </c>
      <c r="J8" s="1">
        <f>建筑各项能耗拆分!$B$18*建筑各项能耗拆分!J145</f>
        <v>0</v>
      </c>
      <c r="K8" s="1">
        <f>建筑各项能耗拆分!$B$18*建筑各项能耗拆分!K145</f>
        <v>0</v>
      </c>
      <c r="L8" s="1">
        <f>建筑各项能耗拆分!$B$18*建筑各项能耗拆分!L145</f>
        <v>0</v>
      </c>
      <c r="M8" s="1">
        <f>建筑各项能耗拆分!$B$18*建筑各项能耗拆分!M145</f>
        <v>0</v>
      </c>
      <c r="N8" s="1">
        <f>建筑各项能耗拆分!$B$18*建筑各项能耗拆分!N145</f>
        <v>0</v>
      </c>
      <c r="O8" s="1">
        <f>建筑各项能耗拆分!$B$18*建筑各项能耗拆分!O145</f>
        <v>0</v>
      </c>
      <c r="P8" s="1">
        <f>建筑各项能耗拆分!$B$18*建筑各项能耗拆分!P145</f>
        <v>0</v>
      </c>
      <c r="Q8" s="1">
        <f>建筑各项能耗拆分!$B$18*建筑各项能耗拆分!Q145</f>
        <v>0</v>
      </c>
      <c r="R8" s="1">
        <f>建筑各项能耗拆分!$B$18*建筑各项能耗拆分!R145</f>
        <v>0</v>
      </c>
      <c r="S8" s="1">
        <f>建筑各项能耗拆分!$B$18*建筑各项能耗拆分!S145</f>
        <v>0</v>
      </c>
      <c r="T8" s="1">
        <f>建筑各项能耗拆分!$B$18*建筑各项能耗拆分!T145</f>
        <v>0</v>
      </c>
      <c r="U8" s="1">
        <f>建筑各项能耗拆分!$B$18*建筑各项能耗拆分!U145</f>
        <v>0</v>
      </c>
      <c r="V8" s="1">
        <f>建筑各项能耗拆分!$B$18*建筑各项能耗拆分!V145</f>
        <v>0</v>
      </c>
      <c r="W8" s="1">
        <f>建筑各项能耗拆分!$B$18*建筑各项能耗拆分!W145</f>
        <v>0</v>
      </c>
      <c r="X8" s="1">
        <f>建筑各项能耗拆分!$B$18*建筑各项能耗拆分!X145</f>
        <v>0</v>
      </c>
      <c r="Y8" s="1">
        <f>建筑各项能耗拆分!$B$18*建筑各项能耗拆分!Y145</f>
        <v>0</v>
      </c>
      <c r="Z8" s="1">
        <f>建筑各项能耗拆分!$B$18*建筑各项能耗拆分!Z145</f>
        <v>0</v>
      </c>
      <c r="AA8" s="1">
        <f>建筑各项能耗拆分!$B$18*建筑各项能耗拆分!AA145</f>
        <v>0</v>
      </c>
      <c r="AB8" s="1">
        <f>建筑各项能耗拆分!$B$18*建筑各项能耗拆分!AB145</f>
        <v>0</v>
      </c>
      <c r="AC8" s="1">
        <f>建筑各项能耗拆分!$B$18*建筑各项能耗拆分!AC145</f>
        <v>0</v>
      </c>
      <c r="AD8" s="1">
        <f>建筑各项能耗拆分!$B$18*建筑各项能耗拆分!AD145</f>
        <v>0</v>
      </c>
      <c r="AE8" s="1">
        <f>建筑各项能耗拆分!$B$18*建筑各项能耗拆分!AE145</f>
        <v>0</v>
      </c>
      <c r="AF8" s="1">
        <f>建筑各项能耗拆分!$B$18*建筑各项能耗拆分!AF145</f>
        <v>0</v>
      </c>
      <c r="AG8" s="1">
        <f>建筑各项能耗拆分!$B$18*建筑各项能耗拆分!AG145</f>
        <v>0</v>
      </c>
      <c r="AH8" s="1">
        <f>建筑各项能耗拆分!$B$18*建筑各项能耗拆分!AH145</f>
        <v>0</v>
      </c>
      <c r="AI8" s="1">
        <f>建筑各项能耗拆分!$B$18*建筑各项能耗拆分!AI145</f>
        <v>0</v>
      </c>
      <c r="AJ8" s="1">
        <f>建筑各项能耗拆分!$B$18*建筑各项能耗拆分!AJ145</f>
        <v>0</v>
      </c>
      <c r="AK8" s="1">
        <f>建筑各项能耗拆分!$B$18*建筑各项能耗拆分!AK145</f>
        <v>0</v>
      </c>
      <c r="AL8" s="1">
        <f>建筑各项能耗拆分!$B$18*建筑各项能耗拆分!AL145</f>
        <v>0</v>
      </c>
      <c r="AM8" s="1">
        <f>建筑各项能耗拆分!$B$18*建筑各项能耗拆分!AM145</f>
        <v>0</v>
      </c>
      <c r="AN8" s="1">
        <f>建筑各项能耗拆分!$B$18*建筑各项能耗拆分!AN145</f>
        <v>0</v>
      </c>
      <c r="AO8" s="1">
        <f>建筑各项能耗拆分!$B$18*建筑各项能耗拆分!AO145</f>
        <v>0</v>
      </c>
      <c r="AP8" s="1">
        <f>建筑各项能耗拆分!$B$18*建筑各项能耗拆分!AP145</f>
        <v>0</v>
      </c>
      <c r="AQ8" s="1">
        <f>建筑各项能耗拆分!$B$18*建筑各项能耗拆分!AQ145</f>
        <v>0</v>
      </c>
      <c r="AR8" s="1">
        <f>建筑各项能耗拆分!$B$18*建筑各项能耗拆分!AR145</f>
        <v>0</v>
      </c>
    </row>
    <row r="9" spans="1:44">
      <c r="A9" t="s">
        <v>1116</v>
      </c>
      <c r="B9" s="1">
        <f>建筑各项能耗拆分!$B$18*建筑各项能耗拆分!B146</f>
        <v>0</v>
      </c>
      <c r="C9" s="1">
        <f>建筑各项能耗拆分!$B$18*建筑各项能耗拆分!C146</f>
        <v>0</v>
      </c>
      <c r="D9" s="1">
        <f>建筑各项能耗拆分!$B$18*建筑各项能耗拆分!D146</f>
        <v>0</v>
      </c>
      <c r="E9" s="1">
        <f>建筑各项能耗拆分!$B$18*建筑各项能耗拆分!E146</f>
        <v>0</v>
      </c>
      <c r="F9" s="1">
        <f>建筑各项能耗拆分!$B$18*建筑各项能耗拆分!F146</f>
        <v>0</v>
      </c>
      <c r="G9" s="1">
        <f>建筑各项能耗拆分!$B$18*建筑各项能耗拆分!G146</f>
        <v>0</v>
      </c>
      <c r="H9" s="1">
        <f>建筑各项能耗拆分!$B$18*建筑各项能耗拆分!H146</f>
        <v>0</v>
      </c>
      <c r="I9" s="1">
        <f>建筑各项能耗拆分!$B$18*建筑各项能耗拆分!I146</f>
        <v>0</v>
      </c>
      <c r="J9" s="1">
        <f>建筑各项能耗拆分!$B$18*建筑各项能耗拆分!J146</f>
        <v>0</v>
      </c>
      <c r="K9" s="1">
        <f>建筑各项能耗拆分!$B$18*建筑各项能耗拆分!K146</f>
        <v>0</v>
      </c>
      <c r="L9" s="1">
        <f>建筑各项能耗拆分!$B$18*建筑各项能耗拆分!L146</f>
        <v>0</v>
      </c>
      <c r="M9" s="1">
        <f>建筑各项能耗拆分!$B$18*建筑各项能耗拆分!M146</f>
        <v>0</v>
      </c>
      <c r="N9" s="1">
        <f>建筑各项能耗拆分!$B$18*建筑各项能耗拆分!N146</f>
        <v>0</v>
      </c>
      <c r="O9" s="1">
        <f>建筑各项能耗拆分!$B$18*建筑各项能耗拆分!O146</f>
        <v>0</v>
      </c>
      <c r="P9" s="1">
        <f>建筑各项能耗拆分!$B$18*建筑各项能耗拆分!P146</f>
        <v>0</v>
      </c>
      <c r="Q9" s="1">
        <f>建筑各项能耗拆分!$B$18*建筑各项能耗拆分!Q146</f>
        <v>0</v>
      </c>
      <c r="R9" s="1">
        <f>建筑各项能耗拆分!$B$18*建筑各项能耗拆分!R146</f>
        <v>0</v>
      </c>
      <c r="S9" s="1">
        <f>建筑各项能耗拆分!$B$18*建筑各项能耗拆分!S146</f>
        <v>0</v>
      </c>
      <c r="T9" s="1">
        <f>建筑各项能耗拆分!$B$18*建筑各项能耗拆分!T146</f>
        <v>0</v>
      </c>
      <c r="U9" s="1">
        <f>建筑各项能耗拆分!$B$18*建筑各项能耗拆分!U146</f>
        <v>0</v>
      </c>
      <c r="V9" s="1">
        <f>建筑各项能耗拆分!$B$18*建筑各项能耗拆分!V146</f>
        <v>0</v>
      </c>
      <c r="W9" s="1">
        <f>建筑各项能耗拆分!$B$18*建筑各项能耗拆分!W146</f>
        <v>0</v>
      </c>
      <c r="X9" s="1">
        <f>建筑各项能耗拆分!$B$18*建筑各项能耗拆分!X146</f>
        <v>0</v>
      </c>
      <c r="Y9" s="1">
        <f>建筑各项能耗拆分!$B$18*建筑各项能耗拆分!Y146</f>
        <v>0</v>
      </c>
      <c r="Z9" s="1">
        <f>建筑各项能耗拆分!$B$18*建筑各项能耗拆分!Z146</f>
        <v>0</v>
      </c>
      <c r="AA9" s="1">
        <f>建筑各项能耗拆分!$B$18*建筑各项能耗拆分!AA146</f>
        <v>0</v>
      </c>
      <c r="AB9" s="1">
        <f>建筑各项能耗拆分!$B$18*建筑各项能耗拆分!AB146</f>
        <v>0</v>
      </c>
      <c r="AC9" s="1">
        <f>建筑各项能耗拆分!$B$18*建筑各项能耗拆分!AC146</f>
        <v>0</v>
      </c>
      <c r="AD9" s="1">
        <f>建筑各项能耗拆分!$B$18*建筑各项能耗拆分!AD146</f>
        <v>0</v>
      </c>
      <c r="AE9" s="1">
        <f>建筑各项能耗拆分!$B$18*建筑各项能耗拆分!AE146</f>
        <v>0</v>
      </c>
      <c r="AF9" s="1">
        <f>建筑各项能耗拆分!$B$18*建筑各项能耗拆分!AF146</f>
        <v>0</v>
      </c>
      <c r="AG9" s="1">
        <f>建筑各项能耗拆分!$B$18*建筑各项能耗拆分!AG146</f>
        <v>0</v>
      </c>
      <c r="AH9" s="1">
        <f>建筑各项能耗拆分!$B$18*建筑各项能耗拆分!AH146</f>
        <v>0</v>
      </c>
      <c r="AI9" s="1">
        <f>建筑各项能耗拆分!$B$18*建筑各项能耗拆分!AI146</f>
        <v>0</v>
      </c>
      <c r="AJ9" s="1">
        <f>建筑各项能耗拆分!$B$18*建筑各项能耗拆分!AJ146</f>
        <v>0</v>
      </c>
      <c r="AK9" s="1">
        <f>建筑各项能耗拆分!$B$18*建筑各项能耗拆分!AK146</f>
        <v>0</v>
      </c>
      <c r="AL9" s="1">
        <f>建筑各项能耗拆分!$B$18*建筑各项能耗拆分!AL146</f>
        <v>0</v>
      </c>
      <c r="AM9" s="1">
        <f>建筑各项能耗拆分!$B$18*建筑各项能耗拆分!AM146</f>
        <v>0</v>
      </c>
      <c r="AN9" s="1">
        <f>建筑各项能耗拆分!$B$18*建筑各项能耗拆分!AN146</f>
        <v>0</v>
      </c>
      <c r="AO9" s="1">
        <f>建筑各项能耗拆分!$B$18*建筑各项能耗拆分!AO146</f>
        <v>0</v>
      </c>
      <c r="AP9" s="1">
        <f>建筑各项能耗拆分!$B$18*建筑各项能耗拆分!AP146</f>
        <v>0</v>
      </c>
      <c r="AQ9" s="1">
        <f>建筑各项能耗拆分!$B$18*建筑各项能耗拆分!AQ146</f>
        <v>0</v>
      </c>
      <c r="AR9" s="1">
        <f>建筑各项能耗拆分!$B$18*建筑各项能耗拆分!AR146</f>
        <v>0</v>
      </c>
    </row>
    <row r="10" spans="1:44">
      <c r="A10" t="s">
        <v>1117</v>
      </c>
      <c r="B10" s="1">
        <f>建筑各项能耗拆分!$B$18*建筑各项能耗拆分!B147</f>
        <v>0</v>
      </c>
      <c r="C10" s="1">
        <f>建筑各项能耗拆分!$B$18*建筑各项能耗拆分!C147</f>
        <v>0</v>
      </c>
      <c r="D10" s="1">
        <f>建筑各项能耗拆分!$B$18*建筑各项能耗拆分!D147</f>
        <v>0</v>
      </c>
      <c r="E10" s="1">
        <f>建筑各项能耗拆分!$B$18*建筑各项能耗拆分!E147</f>
        <v>0</v>
      </c>
      <c r="F10" s="1">
        <f>建筑各项能耗拆分!$B$18*建筑各项能耗拆分!F147</f>
        <v>0</v>
      </c>
      <c r="G10" s="1">
        <f>建筑各项能耗拆分!$B$18*建筑各项能耗拆分!G147</f>
        <v>0</v>
      </c>
      <c r="H10" s="1">
        <f>建筑各项能耗拆分!$B$18*建筑各项能耗拆分!H147</f>
        <v>0</v>
      </c>
      <c r="I10" s="1">
        <f>建筑各项能耗拆分!$B$18*建筑各项能耗拆分!I147</f>
        <v>0</v>
      </c>
      <c r="J10" s="1">
        <f>建筑各项能耗拆分!$B$18*建筑各项能耗拆分!J147</f>
        <v>0</v>
      </c>
      <c r="K10" s="1">
        <f>建筑各项能耗拆分!$B$18*建筑各项能耗拆分!K147</f>
        <v>0</v>
      </c>
      <c r="L10" s="1">
        <f>建筑各项能耗拆分!$B$18*建筑各项能耗拆分!L147</f>
        <v>0</v>
      </c>
      <c r="M10" s="1">
        <f>建筑各项能耗拆分!$B$18*建筑各项能耗拆分!M147</f>
        <v>0</v>
      </c>
      <c r="N10" s="1">
        <f>建筑各项能耗拆分!$B$18*建筑各项能耗拆分!N147</f>
        <v>0</v>
      </c>
      <c r="O10" s="1">
        <f>建筑各项能耗拆分!$B$18*建筑各项能耗拆分!O147</f>
        <v>0</v>
      </c>
      <c r="P10" s="1">
        <f>建筑各项能耗拆分!$B$18*建筑各项能耗拆分!P147</f>
        <v>0</v>
      </c>
      <c r="Q10" s="1">
        <f>建筑各项能耗拆分!$B$18*建筑各项能耗拆分!Q147</f>
        <v>0</v>
      </c>
      <c r="R10" s="1">
        <f>建筑各项能耗拆分!$B$18*建筑各项能耗拆分!R147</f>
        <v>0</v>
      </c>
      <c r="S10" s="1">
        <f>建筑各项能耗拆分!$B$18*建筑各项能耗拆分!S147</f>
        <v>0</v>
      </c>
      <c r="T10" s="1">
        <f>建筑各项能耗拆分!$B$18*建筑各项能耗拆分!T147</f>
        <v>0</v>
      </c>
      <c r="U10" s="1">
        <f>建筑各项能耗拆分!$B$18*建筑各项能耗拆分!U147</f>
        <v>0</v>
      </c>
      <c r="V10" s="1">
        <f>建筑各项能耗拆分!$B$18*建筑各项能耗拆分!V147</f>
        <v>0</v>
      </c>
      <c r="W10" s="1">
        <f>建筑各项能耗拆分!$B$18*建筑各项能耗拆分!W147</f>
        <v>0</v>
      </c>
      <c r="X10" s="1">
        <f>建筑各项能耗拆分!$B$18*建筑各项能耗拆分!X147</f>
        <v>0</v>
      </c>
      <c r="Y10" s="1">
        <f>建筑各项能耗拆分!$B$18*建筑各项能耗拆分!Y147</f>
        <v>0</v>
      </c>
      <c r="Z10" s="1">
        <f>建筑各项能耗拆分!$B$18*建筑各项能耗拆分!Z147</f>
        <v>0</v>
      </c>
      <c r="AA10" s="1">
        <f>建筑各项能耗拆分!$B$18*建筑各项能耗拆分!AA147</f>
        <v>0</v>
      </c>
      <c r="AB10" s="1">
        <f>建筑各项能耗拆分!$B$18*建筑各项能耗拆分!AB147</f>
        <v>0</v>
      </c>
      <c r="AC10" s="1">
        <f>建筑各项能耗拆分!$B$18*建筑各项能耗拆分!AC147</f>
        <v>0</v>
      </c>
      <c r="AD10" s="1">
        <f>建筑各项能耗拆分!$B$18*建筑各项能耗拆分!AD147</f>
        <v>0</v>
      </c>
      <c r="AE10" s="1">
        <f>建筑各项能耗拆分!$B$18*建筑各项能耗拆分!AE147</f>
        <v>0</v>
      </c>
      <c r="AF10" s="1">
        <f>建筑各项能耗拆分!$B$18*建筑各项能耗拆分!AF147</f>
        <v>0</v>
      </c>
      <c r="AG10" s="1">
        <f>建筑各项能耗拆分!$B$18*建筑各项能耗拆分!AG147</f>
        <v>0</v>
      </c>
      <c r="AH10" s="1">
        <f>建筑各项能耗拆分!$B$18*建筑各项能耗拆分!AH147</f>
        <v>0</v>
      </c>
      <c r="AI10" s="1">
        <f>建筑各项能耗拆分!$B$18*建筑各项能耗拆分!AI147</f>
        <v>0</v>
      </c>
      <c r="AJ10" s="1">
        <f>建筑各项能耗拆分!$B$18*建筑各项能耗拆分!AJ147</f>
        <v>0</v>
      </c>
      <c r="AK10" s="1">
        <f>建筑各项能耗拆分!$B$18*建筑各项能耗拆分!AK147</f>
        <v>0</v>
      </c>
      <c r="AL10" s="1">
        <f>建筑各项能耗拆分!$B$18*建筑各项能耗拆分!AL147</f>
        <v>0</v>
      </c>
      <c r="AM10" s="1">
        <f>建筑各项能耗拆分!$B$18*建筑各项能耗拆分!AM147</f>
        <v>0</v>
      </c>
      <c r="AN10" s="1">
        <f>建筑各项能耗拆分!$B$18*建筑各项能耗拆分!AN147</f>
        <v>0</v>
      </c>
      <c r="AO10" s="1">
        <f>建筑各项能耗拆分!$B$18*建筑各项能耗拆分!AO147</f>
        <v>0</v>
      </c>
      <c r="AP10" s="1">
        <f>建筑各项能耗拆分!$B$18*建筑各项能耗拆分!AP147</f>
        <v>0</v>
      </c>
      <c r="AQ10" s="1">
        <f>建筑各项能耗拆分!$B$18*建筑各项能耗拆分!AQ147</f>
        <v>0</v>
      </c>
      <c r="AR10" s="1">
        <f>建筑各项能耗拆分!$B$18*建筑各项能耗拆分!AR147</f>
        <v>0</v>
      </c>
    </row>
    <row r="11" spans="1:44">
      <c r="A11" t="s">
        <v>1118</v>
      </c>
      <c r="B11" s="1">
        <f>建筑各项能耗拆分!$B$18*建筑各项能耗拆分!B148</f>
        <v>0</v>
      </c>
      <c r="C11" s="1">
        <f>建筑各项能耗拆分!$B$18*建筑各项能耗拆分!C148</f>
        <v>0</v>
      </c>
      <c r="D11" s="1">
        <f>建筑各项能耗拆分!$B$18*建筑各项能耗拆分!D148</f>
        <v>0</v>
      </c>
      <c r="E11" s="1">
        <f>建筑各项能耗拆分!$B$18*建筑各项能耗拆分!E148</f>
        <v>0</v>
      </c>
      <c r="F11" s="1">
        <f>建筑各项能耗拆分!$B$18*建筑各项能耗拆分!F148</f>
        <v>0</v>
      </c>
      <c r="G11" s="1">
        <f>建筑各项能耗拆分!$B$18*建筑各项能耗拆分!G148</f>
        <v>0</v>
      </c>
      <c r="H11" s="1">
        <f>建筑各项能耗拆分!$B$18*建筑各项能耗拆分!H148</f>
        <v>0</v>
      </c>
      <c r="I11" s="1">
        <f>建筑各项能耗拆分!$B$18*建筑各项能耗拆分!I148</f>
        <v>0</v>
      </c>
      <c r="J11" s="1">
        <f>建筑各项能耗拆分!$B$18*建筑各项能耗拆分!J148</f>
        <v>0</v>
      </c>
      <c r="K11" s="1">
        <f>建筑各项能耗拆分!$B$18*建筑各项能耗拆分!K148</f>
        <v>0</v>
      </c>
      <c r="L11" s="1">
        <f>建筑各项能耗拆分!$B$18*建筑各项能耗拆分!L148</f>
        <v>0</v>
      </c>
      <c r="M11" s="1">
        <f>建筑各项能耗拆分!$B$18*建筑各项能耗拆分!M148</f>
        <v>0</v>
      </c>
      <c r="N11" s="1">
        <f>建筑各项能耗拆分!$B$18*建筑各项能耗拆分!N148</f>
        <v>0</v>
      </c>
      <c r="O11" s="1">
        <f>建筑各项能耗拆分!$B$18*建筑各项能耗拆分!O148</f>
        <v>0</v>
      </c>
      <c r="P11" s="1">
        <f>建筑各项能耗拆分!$B$18*建筑各项能耗拆分!P148</f>
        <v>0</v>
      </c>
      <c r="Q11" s="1">
        <f>建筑各项能耗拆分!$B$18*建筑各项能耗拆分!Q148</f>
        <v>0</v>
      </c>
      <c r="R11" s="1">
        <f>建筑各项能耗拆分!$B$18*建筑各项能耗拆分!R148</f>
        <v>0</v>
      </c>
      <c r="S11" s="1">
        <f>建筑各项能耗拆分!$B$18*建筑各项能耗拆分!S148</f>
        <v>0</v>
      </c>
      <c r="T11" s="1">
        <f>建筑各项能耗拆分!$B$18*建筑各项能耗拆分!T148</f>
        <v>0</v>
      </c>
      <c r="U11" s="1">
        <f>建筑各项能耗拆分!$B$18*建筑各项能耗拆分!U148</f>
        <v>0</v>
      </c>
      <c r="V11" s="1">
        <f>建筑各项能耗拆分!$B$18*建筑各项能耗拆分!V148</f>
        <v>0</v>
      </c>
      <c r="W11" s="1">
        <f>建筑各项能耗拆分!$B$18*建筑各项能耗拆分!W148</f>
        <v>0</v>
      </c>
      <c r="X11" s="1">
        <f>建筑各项能耗拆分!$B$18*建筑各项能耗拆分!X148</f>
        <v>0</v>
      </c>
      <c r="Y11" s="1">
        <f>建筑各项能耗拆分!$B$18*建筑各项能耗拆分!Y148</f>
        <v>0</v>
      </c>
      <c r="Z11" s="1">
        <f>建筑各项能耗拆分!$B$18*建筑各项能耗拆分!Z148</f>
        <v>0</v>
      </c>
      <c r="AA11" s="1">
        <f>建筑各项能耗拆分!$B$18*建筑各项能耗拆分!AA148</f>
        <v>0</v>
      </c>
      <c r="AB11" s="1">
        <f>建筑各项能耗拆分!$B$18*建筑各项能耗拆分!AB148</f>
        <v>0</v>
      </c>
      <c r="AC11" s="1">
        <f>建筑各项能耗拆分!$B$18*建筑各项能耗拆分!AC148</f>
        <v>0</v>
      </c>
      <c r="AD11" s="1">
        <f>建筑各项能耗拆分!$B$18*建筑各项能耗拆分!AD148</f>
        <v>0</v>
      </c>
      <c r="AE11" s="1">
        <f>建筑各项能耗拆分!$B$18*建筑各项能耗拆分!AE148</f>
        <v>0</v>
      </c>
      <c r="AF11" s="1">
        <f>建筑各项能耗拆分!$B$18*建筑各项能耗拆分!AF148</f>
        <v>0</v>
      </c>
      <c r="AG11" s="1">
        <f>建筑各项能耗拆分!$B$18*建筑各项能耗拆分!AG148</f>
        <v>0</v>
      </c>
      <c r="AH11" s="1">
        <f>建筑各项能耗拆分!$B$18*建筑各项能耗拆分!AH148</f>
        <v>0</v>
      </c>
      <c r="AI11" s="1">
        <f>建筑各项能耗拆分!$B$18*建筑各项能耗拆分!AI148</f>
        <v>0</v>
      </c>
      <c r="AJ11" s="1">
        <f>建筑各项能耗拆分!$B$18*建筑各项能耗拆分!AJ148</f>
        <v>0</v>
      </c>
      <c r="AK11" s="1">
        <f>建筑各项能耗拆分!$B$18*建筑各项能耗拆分!AK148</f>
        <v>0</v>
      </c>
      <c r="AL11" s="1">
        <f>建筑各项能耗拆分!$B$18*建筑各项能耗拆分!AL148</f>
        <v>0</v>
      </c>
      <c r="AM11" s="1">
        <f>建筑各项能耗拆分!$B$18*建筑各项能耗拆分!AM148</f>
        <v>0</v>
      </c>
      <c r="AN11" s="1">
        <f>建筑各项能耗拆分!$B$18*建筑各项能耗拆分!AN148</f>
        <v>0</v>
      </c>
      <c r="AO11" s="1">
        <f>建筑各项能耗拆分!$B$18*建筑各项能耗拆分!AO148</f>
        <v>0</v>
      </c>
      <c r="AP11" s="1">
        <f>建筑各项能耗拆分!$B$18*建筑各项能耗拆分!AP148</f>
        <v>0</v>
      </c>
      <c r="AQ11" s="1">
        <f>建筑各项能耗拆分!$B$18*建筑各项能耗拆分!AQ148</f>
        <v>0</v>
      </c>
      <c r="AR11" s="1">
        <f>建筑各项能耗拆分!$B$18*建筑各项能耗拆分!AR148</f>
        <v>0</v>
      </c>
    </row>
  </sheetData>
  <pageMargins left="0.7" right="0.7" top="0.75" bottom="0.75" header="0.3" footer="0.3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030A0"/>
  </sheetPr>
  <dimension ref="A1:AR11"/>
  <sheetViews>
    <sheetView workbookViewId="0">
      <selection activeCell="A1" sqref="$A1:$XFD1048576"/>
    </sheetView>
  </sheetViews>
  <sheetFormatPr defaultColWidth="9" defaultRowHeight="13.5"/>
  <cols>
    <col min="1" max="1" width="37.25" customWidth="1"/>
    <col min="2" max="44" width="13.6333333333333" customWidth="1"/>
  </cols>
  <sheetData>
    <row r="1" spans="1:44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>
      <c r="A2" t="s">
        <v>1109</v>
      </c>
      <c r="B2" s="1">
        <f>建筑各项能耗拆分!$B$18*建筑各项能耗拆分!B152</f>
        <v>577936758791350</v>
      </c>
      <c r="C2" s="1">
        <f>建筑各项能耗拆分!$B$18*建筑各项能耗拆分!C152</f>
        <v>59153649344138.8</v>
      </c>
      <c r="D2" s="1">
        <f>建筑各项能耗拆分!$B$18*建筑各项能耗拆分!D152</f>
        <v>63776215921824.8</v>
      </c>
      <c r="E2" s="1">
        <f>建筑各项能耗拆分!$B$18*建筑各项能耗拆分!E152</f>
        <v>66670136439628.4</v>
      </c>
      <c r="F2" s="1">
        <f>建筑各项能耗拆分!$B$18*建筑各项能耗拆分!F152</f>
        <v>75949357696920</v>
      </c>
      <c r="G2" s="1">
        <f>建筑各项能耗拆分!$B$18*建筑各项能耗拆分!G152</f>
        <v>73217848482400.1</v>
      </c>
      <c r="H2" s="1">
        <f>建筑各项能耗拆分!$B$18*建筑各项能耗拆分!H152</f>
        <v>62783594967544.3</v>
      </c>
      <c r="I2" s="1">
        <f>建筑各项能耗拆分!$B$18*建筑各项能耗拆分!I152</f>
        <v>56508089351258.1</v>
      </c>
      <c r="J2" s="1">
        <f>建筑各项能耗拆分!$B$18*建筑各项能耗拆分!J152</f>
        <v>55874256940856.8</v>
      </c>
      <c r="K2" s="1">
        <f>建筑各项能耗拆分!$B$18*建筑各项能耗拆分!K152</f>
        <v>54739934251640.8</v>
      </c>
      <c r="L2" s="1">
        <f>建筑各项能耗拆分!$B$18*建筑各项能耗拆分!L152</f>
        <v>53518268124199.6</v>
      </c>
      <c r="M2" s="1">
        <f>建筑各项能耗拆分!$B$18*建筑各项能耗拆分!M152</f>
        <v>51825880067558.1</v>
      </c>
      <c r="N2" s="1">
        <f>建筑各项能耗拆分!$B$18*建筑各项能耗拆分!N152</f>
        <v>49783824602293.9</v>
      </c>
      <c r="O2" s="1">
        <f>建筑各项能耗拆分!$B$18*建筑各项能耗拆分!O152</f>
        <v>47269613632447.3</v>
      </c>
      <c r="P2" s="1">
        <f>建筑各项能耗拆分!$B$18*建筑各项能耗拆分!P152</f>
        <v>44381352340307.9</v>
      </c>
      <c r="Q2" s="1">
        <f>建筑各项能耗拆分!$B$18*建筑各项能耗拆分!Q152</f>
        <v>41089759183899.3</v>
      </c>
      <c r="R2" s="1">
        <f>建筑各项能耗拆分!$B$18*建筑各项能耗拆分!R152</f>
        <v>37452971959470.9</v>
      </c>
      <c r="S2" s="1">
        <f>建筑各项能耗拆分!$B$18*建筑各项能耗拆分!S152</f>
        <v>39736453397088.2</v>
      </c>
      <c r="T2" s="1">
        <f>建筑各项能耗拆分!$B$18*建筑各项能耗拆分!T152</f>
        <v>37915316095064</v>
      </c>
      <c r="U2" s="1">
        <f>建筑各项能耗拆分!$B$18*建筑各项能耗拆分!U152</f>
        <v>35879329401982</v>
      </c>
      <c r="V2" s="1">
        <f>建筑各项能耗拆分!$B$18*建筑各项能耗拆分!V152</f>
        <v>35142438785949.4</v>
      </c>
      <c r="W2" s="1">
        <f>建筑各项能耗拆分!$B$18*建筑各项能耗拆分!W152</f>
        <v>34550528068101.9</v>
      </c>
      <c r="X2" s="1">
        <f>建筑各项能耗拆分!$B$18*建筑各项能耗拆分!X152</f>
        <v>33832949628904.7</v>
      </c>
      <c r="Y2" s="1">
        <f>建筑各项能耗拆分!$B$18*建筑各项能耗拆分!Y152</f>
        <v>33273676361862</v>
      </c>
      <c r="Z2" s="1">
        <f>建筑各项能耗拆分!$B$18*建筑各项能耗拆分!Z152</f>
        <v>32619874486451.6</v>
      </c>
      <c r="AA2" s="1">
        <f>建筑各项能耗拆分!$B$18*建筑各项能耗拆分!AA152</f>
        <v>31874389710257.5</v>
      </c>
      <c r="AB2" s="1">
        <f>建筑各项能耗拆分!$B$18*建筑各项能耗拆分!AB152</f>
        <v>31042335009141.5</v>
      </c>
      <c r="AC2" s="1">
        <f>建筑各项能耗拆分!$B$18*建筑各项能耗拆分!AC152</f>
        <v>30130841507463.1</v>
      </c>
      <c r="AD2" s="1">
        <f>建筑各项能耗拆分!$B$18*建筑各项能耗拆分!AD152</f>
        <v>29026462334424.3</v>
      </c>
      <c r="AE2" s="1">
        <f>建筑各项能耗拆分!$B$18*建筑各项能耗拆分!AE152</f>
        <v>27838888297101.8</v>
      </c>
      <c r="AF2" s="1">
        <f>建筑各项能耗拆分!$B$18*建筑各项能耗拆分!AF152</f>
        <v>26574026450767.5</v>
      </c>
      <c r="AG2" s="1">
        <f>建筑各项能耗拆分!$B$18*建筑各项能耗拆分!AG152</f>
        <v>25241151794164.3</v>
      </c>
      <c r="AH2" s="1">
        <f>建筑各项能耗拆分!$B$18*建筑各项能耗拆分!AH152</f>
        <v>23832742805033</v>
      </c>
      <c r="AI2" s="1">
        <f>建筑各项能耗拆分!$B$18*建筑各项能耗拆分!AI152</f>
        <v>21615027214473.3</v>
      </c>
      <c r="AJ2" s="1">
        <f>建筑各项能耗拆分!$B$18*建筑各项能耗拆分!AJ152</f>
        <v>19329277732779.5</v>
      </c>
      <c r="AK2" s="1">
        <f>建筑各项能耗拆分!$B$18*建筑各项能耗拆分!AK152</f>
        <v>16972691424237.2</v>
      </c>
      <c r="AL2" s="1">
        <f>建筑各项能耗拆分!$B$18*建筑各项能耗拆分!AL152</f>
        <v>14552066215896.8</v>
      </c>
      <c r="AM2" s="1">
        <f>建筑各项能耗拆分!$B$18*建筑各项能耗拆分!AM152</f>
        <v>12071763776872.2</v>
      </c>
      <c r="AN2" s="1">
        <f>建筑各项能耗拆分!$B$18*建筑各项能耗拆分!AN152</f>
        <v>9437878059640.58</v>
      </c>
      <c r="AO2" s="1">
        <f>建筑各项能耗拆分!$B$18*建筑各项能耗拆分!AO152</f>
        <v>6744840187982.73</v>
      </c>
      <c r="AP2" s="1">
        <f>建筑各项能耗拆分!$B$18*建筑各项能耗拆分!AP152</f>
        <v>3997104033345.24</v>
      </c>
      <c r="AQ2" s="1">
        <f>建筑各项能耗拆分!$B$18*建筑各项能耗拆分!AQ152</f>
        <v>1197448177590.38</v>
      </c>
      <c r="AR2" s="1">
        <f>建筑各项能耗拆分!$B$18*建筑各项能耗拆分!AR152</f>
        <v>0</v>
      </c>
    </row>
    <row r="3" spans="1:44">
      <c r="A3" t="s">
        <v>1110</v>
      </c>
      <c r="B3" s="1">
        <f>建筑各项能耗拆分!$B$18*建筑各项能耗拆分!B153</f>
        <v>0</v>
      </c>
      <c r="C3" s="1">
        <f>建筑各项能耗拆分!$B$18*建筑各项能耗拆分!C153</f>
        <v>233284271010729</v>
      </c>
      <c r="D3" s="1">
        <f>建筑各项能耗拆分!$B$18*建筑各项能耗拆分!D153</f>
        <v>231118863398127</v>
      </c>
      <c r="E3" s="1">
        <f>建筑各项能耗拆分!$B$18*建筑各项能耗拆分!E153</f>
        <v>220252333993185</v>
      </c>
      <c r="F3" s="1">
        <f>建筑各项能耗拆分!$B$18*建筑各项能耗拆分!F153</f>
        <v>205832866359069</v>
      </c>
      <c r="G3" s="1">
        <f>建筑各项能耗拆分!$B$18*建筑各项能耗拆分!G153</f>
        <v>155021663900941</v>
      </c>
      <c r="H3" s="1">
        <f>建筑各项能耗拆分!$B$18*建筑各项能耗拆分!H153</f>
        <v>153444624071428</v>
      </c>
      <c r="I3" s="1">
        <f>建筑各项能耗拆分!$B$18*建筑各项能耗拆分!I153</f>
        <v>151792001298532</v>
      </c>
      <c r="J3" s="1">
        <f>建筑各项能耗拆分!$B$18*建筑各项能耗拆分!J153</f>
        <v>150611024265990</v>
      </c>
      <c r="K3" s="1">
        <f>建筑各项能耗拆分!$B$18*建筑各项能耗拆分!K153</f>
        <v>149387055796648</v>
      </c>
      <c r="L3" s="1">
        <f>建筑各项能耗拆分!$B$18*建筑各项能耗拆分!L153</f>
        <v>148117974863889</v>
      </c>
      <c r="M3" s="1">
        <f>建筑各项能耗拆分!$B$18*建筑各项能耗拆分!M153</f>
        <v>146802709865480</v>
      </c>
      <c r="N3" s="1">
        <f>建筑各项能耗拆分!$B$18*建筑各项能耗拆分!N153</f>
        <v>145441984751884</v>
      </c>
      <c r="O3" s="1">
        <f>建筑各项能耗拆分!$B$18*建筑各项能耗拆分!O153</f>
        <v>143725446416001</v>
      </c>
      <c r="P3" s="1">
        <f>建筑各项能耗拆分!$B$18*建筑各项能耗拆分!P153</f>
        <v>141960794806633</v>
      </c>
      <c r="Q3" s="1">
        <f>建筑各项能耗拆分!$B$18*建筑各项能耗拆分!Q153</f>
        <v>140145622029205</v>
      </c>
      <c r="R3" s="1">
        <f>建筑各项能耗拆分!$B$18*建筑各项能耗拆分!R153</f>
        <v>138279308144103</v>
      </c>
      <c r="S3" s="1">
        <f>建筑各项能耗拆分!$B$18*建筑各项能耗拆分!S153</f>
        <v>136362456892007</v>
      </c>
      <c r="T3" s="1">
        <f>建筑各项能耗拆分!$B$18*建筑各项能耗拆分!T153</f>
        <v>133361700643470</v>
      </c>
      <c r="U3" s="1">
        <f>建筑各项能耗拆分!$B$18*建筑各项能耗拆分!U153</f>
        <v>130357016070772</v>
      </c>
      <c r="V3" s="1">
        <f>建筑各项能耗拆分!$B$18*建筑各项能耗拆分!V153</f>
        <v>127350960668281</v>
      </c>
      <c r="W3" s="1">
        <f>建筑各项能耗拆分!$B$18*建筑各项能耗拆分!W153</f>
        <v>124341730013667</v>
      </c>
      <c r="X3" s="1">
        <f>建筑各项能耗拆分!$B$18*建筑各项能耗拆分!X153</f>
        <v>121329952028017</v>
      </c>
      <c r="Y3" s="1">
        <f>建筑各项能耗拆分!$B$18*建筑各项能耗拆分!Y153</f>
        <v>118552414009030</v>
      </c>
      <c r="Z3" s="1">
        <f>建筑各项能耗拆分!$B$18*建筑各项能耗拆分!Z153</f>
        <v>115791311018171</v>
      </c>
      <c r="AA3" s="1">
        <f>建筑各项能耗拆分!$B$18*建筑各项能耗拆分!AA153</f>
        <v>113046946482814</v>
      </c>
      <c r="AB3" s="1">
        <f>建筑各项能耗拆分!$B$18*建筑各项能耗拆分!AB153</f>
        <v>110319046423697</v>
      </c>
      <c r="AC3" s="1">
        <f>建筑各项能耗拆分!$B$18*建筑各项能耗拆分!AC153</f>
        <v>107607263427659</v>
      </c>
      <c r="AD3" s="1">
        <f>建筑各项能耗拆分!$B$18*建筑各项能耗拆分!AD153</f>
        <v>104742882928788</v>
      </c>
      <c r="AE3" s="1">
        <f>建筑各项能耗拆分!$B$18*建筑各项能耗拆分!AE153</f>
        <v>101903849052906</v>
      </c>
      <c r="AF3" s="1">
        <f>建筑各项能耗拆分!$B$18*建筑各项能耗拆分!AF153</f>
        <v>99086102806563.3</v>
      </c>
      <c r="AG3" s="1">
        <f>建筑各项能耗拆分!$B$18*建筑各项能耗拆分!AG153</f>
        <v>96292963252822.3</v>
      </c>
      <c r="AH3" s="1">
        <f>建筑各项能耗拆分!$B$18*建筑各项能耗拆分!AH153</f>
        <v>93525476358771.7</v>
      </c>
      <c r="AI3" s="1">
        <f>建筑各项能耗拆分!$B$18*建筑各项能耗拆分!AI153</f>
        <v>92832822489698.4</v>
      </c>
      <c r="AJ3" s="1">
        <f>建筑各项能耗拆分!$B$18*建筑各项能耗拆分!AJ153</f>
        <v>92139752992220.1</v>
      </c>
      <c r="AK3" s="1">
        <f>建筑各项能耗拆分!$B$18*建筑各项能耗拆分!AK153</f>
        <v>91449875073577.1</v>
      </c>
      <c r="AL3" s="1">
        <f>建筑各项能耗拆分!$B$18*建筑各项能耗拆分!AL153</f>
        <v>90759691490995.1</v>
      </c>
      <c r="AM3" s="1">
        <f>建筑各项能耗拆分!$B$18*建筑各项能耗拆分!AM153</f>
        <v>90071074995241.4</v>
      </c>
      <c r="AN3" s="1">
        <f>建筑各项能耗拆分!$B$18*建筑各项能耗拆分!AN153</f>
        <v>89257584715910</v>
      </c>
      <c r="AO3" s="1">
        <f>建筑各项能耗拆分!$B$18*建筑各项能耗拆分!AO153</f>
        <v>88444566724640.3</v>
      </c>
      <c r="AP3" s="1">
        <f>建筑各项能耗拆分!$B$18*建筑各项能耗拆分!AP153</f>
        <v>87633264179037.1</v>
      </c>
      <c r="AQ3" s="1">
        <f>建筑各项能耗拆分!$B$18*建筑各项能耗拆分!AQ153</f>
        <v>86823470569561.8</v>
      </c>
      <c r="AR3" s="1">
        <f>建筑各项能耗拆分!$B$18*建筑各项能耗拆分!AR153</f>
        <v>86015096806358.5</v>
      </c>
    </row>
    <row r="4" spans="1:44">
      <c r="A4" t="s">
        <v>1111</v>
      </c>
      <c r="B4" s="1">
        <f>建筑各项能耗拆分!$B$18*建筑各项能耗拆分!B154</f>
        <v>0</v>
      </c>
      <c r="C4" s="1">
        <f>建筑各项能耗拆分!$B$18*建筑各项能耗拆分!C154</f>
        <v>7096703176517.83</v>
      </c>
      <c r="D4" s="1">
        <f>建筑各项能耗拆分!$B$18*建筑各项能耗拆分!D154</f>
        <v>9087241872370.4</v>
      </c>
      <c r="E4" s="1">
        <f>建筑各项能耗拆分!$B$18*建筑各项能耗拆分!E154</f>
        <v>12303837011320.6</v>
      </c>
      <c r="F4" s="1">
        <f>建筑各项能耗拆分!$B$18*建筑各项能耗拆分!F154</f>
        <v>14164557966139.3</v>
      </c>
      <c r="G4" s="1">
        <f>建筑各项能耗拆分!$B$18*建筑各项能耗拆分!G154</f>
        <v>15018173740093.1</v>
      </c>
      <c r="H4" s="1">
        <f>建筑各项能耗拆分!$B$18*建筑各项能耗拆分!H154</f>
        <v>14865393428240.6</v>
      </c>
      <c r="I4" s="1">
        <f>建筑各项能耗拆分!$B$18*建筑各项能耗拆分!I154</f>
        <v>14705290799320</v>
      </c>
      <c r="J4" s="1">
        <f>建筑各项能耗拆分!$B$18*建筑各项能耗拆分!J154</f>
        <v>14590880220750.1</v>
      </c>
      <c r="K4" s="1">
        <f>建筑各项能耗拆分!$B$18*建筑各项能耗拆分!K154</f>
        <v>14472304721930</v>
      </c>
      <c r="L4" s="1">
        <f>建筑各项能耗拆分!$B$18*建筑各项能耗拆分!L154</f>
        <v>14349358822248.6</v>
      </c>
      <c r="M4" s="1">
        <f>建筑各项能耗拆分!$B$18*建筑各项能耗拆分!M154</f>
        <v>14221938707128.4</v>
      </c>
      <c r="N4" s="1">
        <f>建筑各项能耗拆分!$B$18*建筑各项能耗拆分!N154</f>
        <v>14090114511372.5</v>
      </c>
      <c r="O4" s="1">
        <f>建筑各项能耗拆分!$B$18*建筑各项能耗拆分!O154</f>
        <v>13923819876731.6</v>
      </c>
      <c r="P4" s="1">
        <f>建筑各项能耗拆分!$B$18*建筑各项能耗拆分!P154</f>
        <v>13752864129042.4</v>
      </c>
      <c r="Q4" s="1">
        <f>建筑各项能耗拆分!$B$18*建筑各项能耗拆分!Q154</f>
        <v>13577013996527.2</v>
      </c>
      <c r="R4" s="1">
        <f>建筑各项能耗拆分!$B$18*建筑各项能耗拆分!R154</f>
        <v>13396209420736.3</v>
      </c>
      <c r="S4" s="1">
        <f>建筑各项能耗拆分!$B$18*建筑各项能耗拆分!S154</f>
        <v>13210508890800.8</v>
      </c>
      <c r="T4" s="1">
        <f>建筑各项能耗拆分!$B$18*建筑各项能耗拆分!T154</f>
        <v>12919801917606.4</v>
      </c>
      <c r="U4" s="1">
        <f>建筑各项能耗拆分!$B$18*建筑各项能耗拆分!U154</f>
        <v>12628714376604.4</v>
      </c>
      <c r="V4" s="1">
        <f>建筑各项能耗拆分!$B$18*建筑各项能耗拆分!V154</f>
        <v>12337494032486.6</v>
      </c>
      <c r="W4" s="1">
        <f>建筑各项能耗拆分!$B$18*建筑各项能耗拆分!W154</f>
        <v>12045966076601.1</v>
      </c>
      <c r="X4" s="1">
        <f>建筑各项能耗拆分!$B$18*建筑各项能耗拆分!X154</f>
        <v>11754191340626.3</v>
      </c>
      <c r="Y4" s="1">
        <f>建筑各项能耗拆分!$B$18*建筑各项能耗拆分!Y154</f>
        <v>11485109281453.5</v>
      </c>
      <c r="Z4" s="1">
        <f>建筑各项能耗拆分!$B$18*建筑各项能耗拆分!Z154</f>
        <v>11217619413343.8</v>
      </c>
      <c r="AA4" s="1">
        <f>建筑各项能耗拆分!$B$18*建筑各项能耗拆分!AA154</f>
        <v>10951751131704.9</v>
      </c>
      <c r="AB4" s="1">
        <f>建筑各项能耗拆分!$B$18*建筑各项能耗拆分!AB154</f>
        <v>10687477894000.4</v>
      </c>
      <c r="AC4" s="1">
        <f>建筑各项能耗拆分!$B$18*建筑各项能耗拆分!AC154</f>
        <v>10424766043571.9</v>
      </c>
      <c r="AD4" s="1">
        <f>建筑各项能耗拆分!$B$18*建筑各项能耗拆分!AD154</f>
        <v>10147270867044.4</v>
      </c>
      <c r="AE4" s="1">
        <f>建筑各项能耗拆分!$B$18*建筑各项能耗拆分!AE154</f>
        <v>9872231218203.77</v>
      </c>
      <c r="AF4" s="1">
        <f>建筑各项能耗拆分!$B$18*建筑各项能耗拆分!AF154</f>
        <v>9599253870275.72</v>
      </c>
      <c r="AG4" s="1">
        <f>建筑各项能耗拆分!$B$18*建筑各项能耗拆分!AG154</f>
        <v>9328660367130.19</v>
      </c>
      <c r="AH4" s="1">
        <f>建筑各项能耗拆分!$B$18*建筑各项能耗拆分!AH154</f>
        <v>9060552039865.4</v>
      </c>
      <c r="AI4" s="1">
        <f>建筑各项能耗拆分!$B$18*建筑各项能耗拆分!AI154</f>
        <v>8993449185427.34</v>
      </c>
      <c r="AJ4" s="1">
        <f>建筑各项能耗拆分!$B$18*建筑各项能耗拆分!AJ154</f>
        <v>8926306065780.94</v>
      </c>
      <c r="AK4" s="1">
        <f>建筑各项能耗拆分!$B$18*建筑各项能耗拆分!AK154</f>
        <v>8859472139599.79</v>
      </c>
      <c r="AL4" s="1">
        <f>建筑各项能耗拆分!$B$18*建筑各项能耗拆分!AL154</f>
        <v>8792608601337.16</v>
      </c>
      <c r="AM4" s="1">
        <f>建筑各项能耗拆分!$B$18*建筑各项能耗拆分!AM154</f>
        <v>8725896879160.5</v>
      </c>
      <c r="AN4" s="1">
        <f>建筑各项能耗拆分!$B$18*建筑各项能耗拆分!AN154</f>
        <v>8647087646673.58</v>
      </c>
      <c r="AO4" s="1">
        <f>建筑各项能耗拆分!$B$18*建筑各项能耗拆分!AO154</f>
        <v>8568324168463.76</v>
      </c>
      <c r="AP4" s="1">
        <f>建筑各项能耗拆分!$B$18*建筑各项能耗拆分!AP154</f>
        <v>8489726879033.11</v>
      </c>
      <c r="AQ4" s="1">
        <f>建筑各项能耗拆分!$B$18*建筑各项能耗拆分!AQ154</f>
        <v>8411275772170.46</v>
      </c>
      <c r="AR4" s="1">
        <f>建筑各项能耗拆分!$B$18*建筑各项能耗拆分!AR154</f>
        <v>8332962217037.42</v>
      </c>
    </row>
    <row r="5" spans="1:44">
      <c r="A5" t="s">
        <v>1112</v>
      </c>
      <c r="B5" s="1">
        <f>建筑各项能耗拆分!$B$18*建筑各项能耗拆分!B155</f>
        <v>0</v>
      </c>
      <c r="C5" s="1">
        <f>建筑各项能耗拆分!$B$18*建筑各项能耗拆分!C155</f>
        <v>0</v>
      </c>
      <c r="D5" s="1">
        <f>建筑各项能耗拆分!$B$18*建筑各项能耗拆分!D155</f>
        <v>0</v>
      </c>
      <c r="E5" s="1">
        <f>建筑各项能耗拆分!$B$18*建筑各项能耗拆分!E155</f>
        <v>0</v>
      </c>
      <c r="F5" s="1">
        <f>建筑各项能耗拆分!$B$18*建筑各项能耗拆分!F155</f>
        <v>0</v>
      </c>
      <c r="G5" s="1">
        <f>建筑各项能耗拆分!$B$18*建筑各项能耗拆分!G155</f>
        <v>0</v>
      </c>
      <c r="H5" s="1">
        <f>建筑各项能耗拆分!$B$18*建筑各项能耗拆分!H155</f>
        <v>0</v>
      </c>
      <c r="I5" s="1">
        <f>建筑各项能耗拆分!$B$18*建筑各项能耗拆分!I155</f>
        <v>0</v>
      </c>
      <c r="J5" s="1">
        <f>建筑各项能耗拆分!$B$18*建筑各项能耗拆分!J155</f>
        <v>0</v>
      </c>
      <c r="K5" s="1">
        <f>建筑各项能耗拆分!$B$18*建筑各项能耗拆分!K155</f>
        <v>0</v>
      </c>
      <c r="L5" s="1">
        <f>建筑各项能耗拆分!$B$18*建筑各项能耗拆分!L155</f>
        <v>0</v>
      </c>
      <c r="M5" s="1">
        <f>建筑各项能耗拆分!$B$18*建筑各项能耗拆分!M155</f>
        <v>0</v>
      </c>
      <c r="N5" s="1">
        <f>建筑各项能耗拆分!$B$18*建筑各项能耗拆分!N155</f>
        <v>0</v>
      </c>
      <c r="O5" s="1">
        <f>建筑各项能耗拆分!$B$18*建筑各项能耗拆分!O155</f>
        <v>0</v>
      </c>
      <c r="P5" s="1">
        <f>建筑各项能耗拆分!$B$18*建筑各项能耗拆分!P155</f>
        <v>0</v>
      </c>
      <c r="Q5" s="1">
        <f>建筑各项能耗拆分!$B$18*建筑各项能耗拆分!Q155</f>
        <v>0</v>
      </c>
      <c r="R5" s="1">
        <f>建筑各项能耗拆分!$B$18*建筑各项能耗拆分!R155</f>
        <v>0</v>
      </c>
      <c r="S5" s="1">
        <f>建筑各项能耗拆分!$B$18*建筑各项能耗拆分!S155</f>
        <v>0</v>
      </c>
      <c r="T5" s="1">
        <f>建筑各项能耗拆分!$B$18*建筑各项能耗拆分!T155</f>
        <v>0</v>
      </c>
      <c r="U5" s="1">
        <f>建筑各项能耗拆分!$B$18*建筑各项能耗拆分!U155</f>
        <v>0</v>
      </c>
      <c r="V5" s="1">
        <f>建筑各项能耗拆分!$B$18*建筑各项能耗拆分!V155</f>
        <v>0</v>
      </c>
      <c r="W5" s="1">
        <f>建筑各项能耗拆分!$B$18*建筑各项能耗拆分!W155</f>
        <v>0</v>
      </c>
      <c r="X5" s="1">
        <f>建筑各项能耗拆分!$B$18*建筑各项能耗拆分!X155</f>
        <v>0</v>
      </c>
      <c r="Y5" s="1">
        <f>建筑各项能耗拆分!$B$18*建筑各项能耗拆分!Y155</f>
        <v>0</v>
      </c>
      <c r="Z5" s="1">
        <f>建筑各项能耗拆分!$B$18*建筑各项能耗拆分!Z155</f>
        <v>0</v>
      </c>
      <c r="AA5" s="1">
        <f>建筑各项能耗拆分!$B$18*建筑各项能耗拆分!AA155</f>
        <v>0</v>
      </c>
      <c r="AB5" s="1">
        <f>建筑各项能耗拆分!$B$18*建筑各项能耗拆分!AB155</f>
        <v>0</v>
      </c>
      <c r="AC5" s="1">
        <f>建筑各项能耗拆分!$B$18*建筑各项能耗拆分!AC155</f>
        <v>0</v>
      </c>
      <c r="AD5" s="1">
        <f>建筑各项能耗拆分!$B$18*建筑各项能耗拆分!AD155</f>
        <v>0</v>
      </c>
      <c r="AE5" s="1">
        <f>建筑各项能耗拆分!$B$18*建筑各项能耗拆分!AE155</f>
        <v>0</v>
      </c>
      <c r="AF5" s="1">
        <f>建筑各项能耗拆分!$B$18*建筑各项能耗拆分!AF155</f>
        <v>0</v>
      </c>
      <c r="AG5" s="1">
        <f>建筑各项能耗拆分!$B$18*建筑各项能耗拆分!AG155</f>
        <v>0</v>
      </c>
      <c r="AH5" s="1">
        <f>建筑各项能耗拆分!$B$18*建筑各项能耗拆分!AH155</f>
        <v>0</v>
      </c>
      <c r="AI5" s="1">
        <f>建筑各项能耗拆分!$B$18*建筑各项能耗拆分!AI155</f>
        <v>0</v>
      </c>
      <c r="AJ5" s="1">
        <f>建筑各项能耗拆分!$B$18*建筑各项能耗拆分!AJ155</f>
        <v>0</v>
      </c>
      <c r="AK5" s="1">
        <f>建筑各项能耗拆分!$B$18*建筑各项能耗拆分!AK155</f>
        <v>0</v>
      </c>
      <c r="AL5" s="1">
        <f>建筑各项能耗拆分!$B$18*建筑各项能耗拆分!AL155</f>
        <v>0</v>
      </c>
      <c r="AM5" s="1">
        <f>建筑各项能耗拆分!$B$18*建筑各项能耗拆分!AM155</f>
        <v>0</v>
      </c>
      <c r="AN5" s="1">
        <f>建筑各项能耗拆分!$B$18*建筑各项能耗拆分!AN155</f>
        <v>0</v>
      </c>
      <c r="AO5" s="1">
        <f>建筑各项能耗拆分!$B$18*建筑各项能耗拆分!AO155</f>
        <v>0</v>
      </c>
      <c r="AP5" s="1">
        <f>建筑各项能耗拆分!$B$18*建筑各项能耗拆分!AP155</f>
        <v>0</v>
      </c>
      <c r="AQ5" s="1">
        <f>建筑各项能耗拆分!$B$18*建筑各项能耗拆分!AQ155</f>
        <v>0</v>
      </c>
      <c r="AR5" s="1">
        <f>建筑各项能耗拆分!$B$18*建筑各项能耗拆分!AR155</f>
        <v>0</v>
      </c>
    </row>
    <row r="6" spans="1:44">
      <c r="A6" t="s">
        <v>1113</v>
      </c>
      <c r="B6" s="1">
        <f>建筑各项能耗拆分!$B$18*建筑各项能耗拆分!B156</f>
        <v>0</v>
      </c>
      <c r="C6" s="1">
        <f>建筑各项能耗拆分!$B$18*建筑各项能耗拆分!C156</f>
        <v>0</v>
      </c>
      <c r="D6" s="1">
        <f>建筑各项能耗拆分!$B$18*建筑各项能耗拆分!D156</f>
        <v>0</v>
      </c>
      <c r="E6" s="1">
        <f>建筑各项能耗拆分!$B$18*建筑各项能耗拆分!E156</f>
        <v>0</v>
      </c>
      <c r="F6" s="1">
        <f>建筑各项能耗拆分!$B$18*建筑各项能耗拆分!F156</f>
        <v>0</v>
      </c>
      <c r="G6" s="1">
        <f>建筑各项能耗拆分!$B$18*建筑各项能耗拆分!G156</f>
        <v>0</v>
      </c>
      <c r="H6" s="1">
        <f>建筑各项能耗拆分!$B$18*建筑各项能耗拆分!H156</f>
        <v>0</v>
      </c>
      <c r="I6" s="1">
        <f>建筑各项能耗拆分!$B$18*建筑各项能耗拆分!I156</f>
        <v>0</v>
      </c>
      <c r="J6" s="1">
        <f>建筑各项能耗拆分!$B$18*建筑各项能耗拆分!J156</f>
        <v>0</v>
      </c>
      <c r="K6" s="1">
        <f>建筑各项能耗拆分!$B$18*建筑各项能耗拆分!K156</f>
        <v>0</v>
      </c>
      <c r="L6" s="1">
        <f>建筑各项能耗拆分!$B$18*建筑各项能耗拆分!L156</f>
        <v>0</v>
      </c>
      <c r="M6" s="1">
        <f>建筑各项能耗拆分!$B$18*建筑各项能耗拆分!M156</f>
        <v>0</v>
      </c>
      <c r="N6" s="1">
        <f>建筑各项能耗拆分!$B$18*建筑各项能耗拆分!N156</f>
        <v>0</v>
      </c>
      <c r="O6" s="1">
        <f>建筑各项能耗拆分!$B$18*建筑各项能耗拆分!O156</f>
        <v>0</v>
      </c>
      <c r="P6" s="1">
        <f>建筑各项能耗拆分!$B$18*建筑各项能耗拆分!P156</f>
        <v>0</v>
      </c>
      <c r="Q6" s="1">
        <f>建筑各项能耗拆分!$B$18*建筑各项能耗拆分!Q156</f>
        <v>0</v>
      </c>
      <c r="R6" s="1">
        <f>建筑各项能耗拆分!$B$18*建筑各项能耗拆分!R156</f>
        <v>0</v>
      </c>
      <c r="S6" s="1">
        <f>建筑各项能耗拆分!$B$18*建筑各项能耗拆分!S156</f>
        <v>0</v>
      </c>
      <c r="T6" s="1">
        <f>建筑各项能耗拆分!$B$18*建筑各项能耗拆分!T156</f>
        <v>0</v>
      </c>
      <c r="U6" s="1">
        <f>建筑各项能耗拆分!$B$18*建筑各项能耗拆分!U156</f>
        <v>0</v>
      </c>
      <c r="V6" s="1">
        <f>建筑各项能耗拆分!$B$18*建筑各项能耗拆分!V156</f>
        <v>0</v>
      </c>
      <c r="W6" s="1">
        <f>建筑各项能耗拆分!$B$18*建筑各项能耗拆分!W156</f>
        <v>0</v>
      </c>
      <c r="X6" s="1">
        <f>建筑各项能耗拆分!$B$18*建筑各项能耗拆分!X156</f>
        <v>0</v>
      </c>
      <c r="Y6" s="1">
        <f>建筑各项能耗拆分!$B$18*建筑各项能耗拆分!Y156</f>
        <v>0</v>
      </c>
      <c r="Z6" s="1">
        <f>建筑各项能耗拆分!$B$18*建筑各项能耗拆分!Z156</f>
        <v>0</v>
      </c>
      <c r="AA6" s="1">
        <f>建筑各项能耗拆分!$B$18*建筑各项能耗拆分!AA156</f>
        <v>0</v>
      </c>
      <c r="AB6" s="1">
        <f>建筑各项能耗拆分!$B$18*建筑各项能耗拆分!AB156</f>
        <v>0</v>
      </c>
      <c r="AC6" s="1">
        <f>建筑各项能耗拆分!$B$18*建筑各项能耗拆分!AC156</f>
        <v>0</v>
      </c>
      <c r="AD6" s="1">
        <f>建筑各项能耗拆分!$B$18*建筑各项能耗拆分!AD156</f>
        <v>0</v>
      </c>
      <c r="AE6" s="1">
        <f>建筑各项能耗拆分!$B$18*建筑各项能耗拆分!AE156</f>
        <v>0</v>
      </c>
      <c r="AF6" s="1">
        <f>建筑各项能耗拆分!$B$18*建筑各项能耗拆分!AF156</f>
        <v>0</v>
      </c>
      <c r="AG6" s="1">
        <f>建筑各项能耗拆分!$B$18*建筑各项能耗拆分!AG156</f>
        <v>0</v>
      </c>
      <c r="AH6" s="1">
        <f>建筑各项能耗拆分!$B$18*建筑各项能耗拆分!AH156</f>
        <v>0</v>
      </c>
      <c r="AI6" s="1">
        <f>建筑各项能耗拆分!$B$18*建筑各项能耗拆分!AI156</f>
        <v>0</v>
      </c>
      <c r="AJ6" s="1">
        <f>建筑各项能耗拆分!$B$18*建筑各项能耗拆分!AJ156</f>
        <v>0</v>
      </c>
      <c r="AK6" s="1">
        <f>建筑各项能耗拆分!$B$18*建筑各项能耗拆分!AK156</f>
        <v>0</v>
      </c>
      <c r="AL6" s="1">
        <f>建筑各项能耗拆分!$B$18*建筑各项能耗拆分!AL156</f>
        <v>0</v>
      </c>
      <c r="AM6" s="1">
        <f>建筑各项能耗拆分!$B$18*建筑各项能耗拆分!AM156</f>
        <v>0</v>
      </c>
      <c r="AN6" s="1">
        <f>建筑各项能耗拆分!$B$18*建筑各项能耗拆分!AN156</f>
        <v>0</v>
      </c>
      <c r="AO6" s="1">
        <f>建筑各项能耗拆分!$B$18*建筑各项能耗拆分!AO156</f>
        <v>0</v>
      </c>
      <c r="AP6" s="1">
        <f>建筑各项能耗拆分!$B$18*建筑各项能耗拆分!AP156</f>
        <v>0</v>
      </c>
      <c r="AQ6" s="1">
        <f>建筑各项能耗拆分!$B$18*建筑各项能耗拆分!AQ156</f>
        <v>0</v>
      </c>
      <c r="AR6" s="1">
        <f>建筑各项能耗拆分!$B$18*建筑各项能耗拆分!AR156</f>
        <v>0</v>
      </c>
    </row>
    <row r="7" spans="1:44">
      <c r="A7" t="s">
        <v>1114</v>
      </c>
      <c r="B7" s="1">
        <f>建筑各项能耗拆分!$B$18*建筑各项能耗拆分!B157</f>
        <v>0</v>
      </c>
      <c r="C7" s="1">
        <f>建筑各项能耗拆分!$B$18*建筑各项能耗拆分!C157</f>
        <v>378836448569288</v>
      </c>
      <c r="D7" s="1">
        <f>建筑各项能耗拆分!$B$18*建筑各项能耗拆分!D157</f>
        <v>348038764414318</v>
      </c>
      <c r="E7" s="1">
        <f>建筑各项能耗拆分!$B$18*建筑各项能耗拆分!E157</f>
        <v>355669375571000</v>
      </c>
      <c r="F7" s="1">
        <f>建筑各项能耗拆分!$B$18*建筑各项能耗拆分!F157</f>
        <v>187878501982502</v>
      </c>
      <c r="G7" s="1">
        <f>建筑各项能耗拆分!$B$18*建筑各项能耗拆分!G157</f>
        <v>153800644884747</v>
      </c>
      <c r="H7" s="1">
        <f>建筑各项能耗拆分!$B$18*建筑各项能耗拆分!H157</f>
        <v>152236026516678</v>
      </c>
      <c r="I7" s="1">
        <f>建筑各项能耗拆分!$B$18*建筑各项能耗拆分!I157</f>
        <v>150596420529832</v>
      </c>
      <c r="J7" s="1">
        <f>建筑各项能耗拆分!$B$18*建筑各项能耗拆分!J157</f>
        <v>149424745393413</v>
      </c>
      <c r="K7" s="1">
        <f>建筑各项能耗拆分!$B$18*建筑各项能耗拆分!K157</f>
        <v>148210417439717</v>
      </c>
      <c r="L7" s="1">
        <f>建筑各项能耗拆分!$B$18*建筑各项能耗拆分!L157</f>
        <v>146951332348268</v>
      </c>
      <c r="M7" s="1">
        <f>建筑各项能耗拆分!$B$18*建筑各项能耗拆分!M157</f>
        <v>145646426957246</v>
      </c>
      <c r="N7" s="1">
        <f>建筑各项能耗拆分!$B$18*建筑各项能耗拆分!N157</f>
        <v>144296419514959</v>
      </c>
      <c r="O7" s="1">
        <f>建筑各项能耗拆分!$B$18*建筑各项能耗拆分!O157</f>
        <v>142593401392299</v>
      </c>
      <c r="P7" s="1">
        <f>建筑各项能耗拆分!$B$18*建筑各项能耗拆分!P157</f>
        <v>140842648957523</v>
      </c>
      <c r="Q7" s="1">
        <f>建筑各项能耗拆分!$B$18*建筑各项能耗拆分!Q157</f>
        <v>139041773281694</v>
      </c>
      <c r="R7" s="1">
        <f>建筑各项能耗拆分!$B$18*建筑各项能耗拆分!R157</f>
        <v>137190159308117</v>
      </c>
      <c r="S7" s="1">
        <f>建筑各项能耗拆分!$B$18*建筑各项能耗拆分!S157</f>
        <v>135288406022146</v>
      </c>
      <c r="T7" s="1">
        <f>建筑各项能耗拆分!$B$18*建筑各项能耗拆分!T157</f>
        <v>132311285053674</v>
      </c>
      <c r="U7" s="1">
        <f>建筑各项能耗拆分!$B$18*建筑各项能耗拆分!U157</f>
        <v>129330266702254</v>
      </c>
      <c r="V7" s="1">
        <f>建筑各项能耗拆分!$B$18*建筑各项能耗拆分!V157</f>
        <v>126347888318303</v>
      </c>
      <c r="W7" s="1">
        <f>建筑各项能耗拆分!$B$18*建筑各项能耗拆分!W157</f>
        <v>123362359691915</v>
      </c>
      <c r="X7" s="1">
        <f>建筑各项能耗拆分!$B$18*建筑各项能耗拆分!X157</f>
        <v>120374303798394</v>
      </c>
      <c r="Y7" s="1">
        <f>建筑各项能耗拆分!$B$18*建筑各项能耗拆分!Y157</f>
        <v>117618642894218</v>
      </c>
      <c r="Z7" s="1">
        <f>建筑各项能耗拆分!$B$18*建筑各项能耗拆分!Z157</f>
        <v>114879287568638</v>
      </c>
      <c r="AA7" s="1">
        <f>建筑各项能耗拆分!$B$18*建筑各项能耗拆分!AA157</f>
        <v>112156538859100</v>
      </c>
      <c r="AB7" s="1">
        <f>建筑各项能耗拆分!$B$18*建筑各项能耗拆分!AB157</f>
        <v>109450124944323</v>
      </c>
      <c r="AC7" s="1">
        <f>建筑各项能耗拆分!$B$18*建筑各项能耗拆分!AC157</f>
        <v>106759701147527</v>
      </c>
      <c r="AD7" s="1">
        <f>建筑各项能耗拆分!$B$18*建筑各项能耗拆分!AD157</f>
        <v>103917881773150</v>
      </c>
      <c r="AE7" s="1">
        <f>建筑各项能耗拆分!$B$18*建筑各项能耗拆分!AE157</f>
        <v>101101209380579</v>
      </c>
      <c r="AF7" s="1">
        <f>建筑各项能耗拆分!$B$18*建筑各项能耗拆分!AF157</f>
        <v>98305656946785.1</v>
      </c>
      <c r="AG7" s="1">
        <f>建筑各项能耗拆分!$B$18*建筑各项能耗拆分!AG157</f>
        <v>95534517392425.9</v>
      </c>
      <c r="AH7" s="1">
        <f>建筑各项能耗拆分!$B$18*建筑各项能耗拆分!AH157</f>
        <v>92788828446092.2</v>
      </c>
      <c r="AI7" s="1">
        <f>建筑各项能耗拆分!$B$18*建筑各项能耗拆分!AI157</f>
        <v>92101630224471.8</v>
      </c>
      <c r="AJ7" s="1">
        <f>建筑各项能耗拆分!$B$18*建筑各项能耗拆分!AJ157</f>
        <v>91414019648118.9</v>
      </c>
      <c r="AK7" s="1">
        <f>建筑各项能耗拆分!$B$18*建筑各项能耗拆分!AK157</f>
        <v>90729575512318.4</v>
      </c>
      <c r="AL7" s="1">
        <f>建筑各项能耗拆分!$B$18*建筑各项能耗拆分!AL157</f>
        <v>90044828120122.8</v>
      </c>
      <c r="AM7" s="1">
        <f>建筑各项能耗拆分!$B$18*建筑各项能耗拆分!AM157</f>
        <v>89361635471688.5</v>
      </c>
      <c r="AN7" s="1">
        <f>建筑各项能耗拆分!$B$18*建筑各项能耗拆分!AN157</f>
        <v>88554552600686.5</v>
      </c>
      <c r="AO7" s="1">
        <f>建筑各项能耗拆分!$B$18*建筑各项能耗拆分!AO157</f>
        <v>87747938297797.4</v>
      </c>
      <c r="AP7" s="1">
        <f>建筑各项能耗拆分!$B$18*建筑各项能耗拆分!AP157</f>
        <v>86943025928968.1</v>
      </c>
      <c r="AQ7" s="1">
        <f>建筑各项能耗拆分!$B$18*建筑各项能耗拆分!AQ157</f>
        <v>86139610611219.4</v>
      </c>
      <c r="AR7" s="1">
        <f>建筑各项能耗拆分!$B$18*建筑各项能耗拆分!AR157</f>
        <v>85337603956407.6</v>
      </c>
    </row>
    <row r="8" spans="1:44">
      <c r="A8" t="s">
        <v>1115</v>
      </c>
      <c r="B8" s="1">
        <f>建筑各项能耗拆分!$B$18*建筑各项能耗拆分!B158</f>
        <v>0</v>
      </c>
      <c r="C8" s="1">
        <f>建筑各项能耗拆分!$B$18*建筑各项能耗拆分!C158</f>
        <v>0</v>
      </c>
      <c r="D8" s="1">
        <f>建筑各项能耗拆分!$B$18*建筑各项能耗拆分!D158</f>
        <v>0</v>
      </c>
      <c r="E8" s="1">
        <f>建筑各项能耗拆分!$B$18*建筑各项能耗拆分!E158</f>
        <v>0</v>
      </c>
      <c r="F8" s="1">
        <f>建筑各项能耗拆分!$B$18*建筑各项能耗拆分!F158</f>
        <v>0</v>
      </c>
      <c r="G8" s="1">
        <f>建筑各项能耗拆分!$B$18*建筑各项能耗拆分!G158</f>
        <v>0</v>
      </c>
      <c r="H8" s="1">
        <f>建筑各项能耗拆分!$B$18*建筑各项能耗拆分!H158</f>
        <v>0</v>
      </c>
      <c r="I8" s="1">
        <f>建筑各项能耗拆分!$B$18*建筑各项能耗拆分!I158</f>
        <v>0</v>
      </c>
      <c r="J8" s="1">
        <f>建筑各项能耗拆分!$B$18*建筑各项能耗拆分!J158</f>
        <v>0</v>
      </c>
      <c r="K8" s="1">
        <f>建筑各项能耗拆分!$B$18*建筑各项能耗拆分!K158</f>
        <v>0</v>
      </c>
      <c r="L8" s="1">
        <f>建筑各项能耗拆分!$B$18*建筑各项能耗拆分!L158</f>
        <v>0</v>
      </c>
      <c r="M8" s="1">
        <f>建筑各项能耗拆分!$B$18*建筑各项能耗拆分!M158</f>
        <v>0</v>
      </c>
      <c r="N8" s="1">
        <f>建筑各项能耗拆分!$B$18*建筑各项能耗拆分!N158</f>
        <v>0</v>
      </c>
      <c r="O8" s="1">
        <f>建筑各项能耗拆分!$B$18*建筑各项能耗拆分!O158</f>
        <v>0</v>
      </c>
      <c r="P8" s="1">
        <f>建筑各项能耗拆分!$B$18*建筑各项能耗拆分!P158</f>
        <v>0</v>
      </c>
      <c r="Q8" s="1">
        <f>建筑各项能耗拆分!$B$18*建筑各项能耗拆分!Q158</f>
        <v>0</v>
      </c>
      <c r="R8" s="1">
        <f>建筑各项能耗拆分!$B$18*建筑各项能耗拆分!R158</f>
        <v>0</v>
      </c>
      <c r="S8" s="1">
        <f>建筑各项能耗拆分!$B$18*建筑各项能耗拆分!S158</f>
        <v>0</v>
      </c>
      <c r="T8" s="1">
        <f>建筑各项能耗拆分!$B$18*建筑各项能耗拆分!T158</f>
        <v>0</v>
      </c>
      <c r="U8" s="1">
        <f>建筑各项能耗拆分!$B$18*建筑各项能耗拆分!U158</f>
        <v>0</v>
      </c>
      <c r="V8" s="1">
        <f>建筑各项能耗拆分!$B$18*建筑各项能耗拆分!V158</f>
        <v>0</v>
      </c>
      <c r="W8" s="1">
        <f>建筑各项能耗拆分!$B$18*建筑各项能耗拆分!W158</f>
        <v>0</v>
      </c>
      <c r="X8" s="1">
        <f>建筑各项能耗拆分!$B$18*建筑各项能耗拆分!X158</f>
        <v>0</v>
      </c>
      <c r="Y8" s="1">
        <f>建筑各项能耗拆分!$B$18*建筑各项能耗拆分!Y158</f>
        <v>0</v>
      </c>
      <c r="Z8" s="1">
        <f>建筑各项能耗拆分!$B$18*建筑各项能耗拆分!Z158</f>
        <v>0</v>
      </c>
      <c r="AA8" s="1">
        <f>建筑各项能耗拆分!$B$18*建筑各项能耗拆分!AA158</f>
        <v>0</v>
      </c>
      <c r="AB8" s="1">
        <f>建筑各项能耗拆分!$B$18*建筑各项能耗拆分!AB158</f>
        <v>0</v>
      </c>
      <c r="AC8" s="1">
        <f>建筑各项能耗拆分!$B$18*建筑各项能耗拆分!AC158</f>
        <v>0</v>
      </c>
      <c r="AD8" s="1">
        <f>建筑各项能耗拆分!$B$18*建筑各项能耗拆分!AD158</f>
        <v>0</v>
      </c>
      <c r="AE8" s="1">
        <f>建筑各项能耗拆分!$B$18*建筑各项能耗拆分!AE158</f>
        <v>0</v>
      </c>
      <c r="AF8" s="1">
        <f>建筑各项能耗拆分!$B$18*建筑各项能耗拆分!AF158</f>
        <v>0</v>
      </c>
      <c r="AG8" s="1">
        <f>建筑各项能耗拆分!$B$18*建筑各项能耗拆分!AG158</f>
        <v>0</v>
      </c>
      <c r="AH8" s="1">
        <f>建筑各项能耗拆分!$B$18*建筑各项能耗拆分!AH158</f>
        <v>0</v>
      </c>
      <c r="AI8" s="1">
        <f>建筑各项能耗拆分!$B$18*建筑各项能耗拆分!AI158</f>
        <v>0</v>
      </c>
      <c r="AJ8" s="1">
        <f>建筑各项能耗拆分!$B$18*建筑各项能耗拆分!AJ158</f>
        <v>0</v>
      </c>
      <c r="AK8" s="1">
        <f>建筑各项能耗拆分!$B$18*建筑各项能耗拆分!AK158</f>
        <v>0</v>
      </c>
      <c r="AL8" s="1">
        <f>建筑各项能耗拆分!$B$18*建筑各项能耗拆分!AL158</f>
        <v>0</v>
      </c>
      <c r="AM8" s="1">
        <f>建筑各项能耗拆分!$B$18*建筑各项能耗拆分!AM158</f>
        <v>0</v>
      </c>
      <c r="AN8" s="1">
        <f>建筑各项能耗拆分!$B$18*建筑各项能耗拆分!AN158</f>
        <v>0</v>
      </c>
      <c r="AO8" s="1">
        <f>建筑各项能耗拆分!$B$18*建筑各项能耗拆分!AO158</f>
        <v>0</v>
      </c>
      <c r="AP8" s="1">
        <f>建筑各项能耗拆分!$B$18*建筑各项能耗拆分!AP158</f>
        <v>0</v>
      </c>
      <c r="AQ8" s="1">
        <f>建筑各项能耗拆分!$B$18*建筑各项能耗拆分!AQ158</f>
        <v>0</v>
      </c>
      <c r="AR8" s="1">
        <f>建筑各项能耗拆分!$B$18*建筑各项能耗拆分!AR158</f>
        <v>0</v>
      </c>
    </row>
    <row r="9" spans="1:44">
      <c r="A9" t="s">
        <v>1116</v>
      </c>
      <c r="B9" s="1">
        <f>建筑各项能耗拆分!$B$18*建筑各项能耗拆分!B159</f>
        <v>0</v>
      </c>
      <c r="C9" s="1">
        <f>建筑各项能耗拆分!$B$18*建筑各项能耗拆分!C159</f>
        <v>0</v>
      </c>
      <c r="D9" s="1">
        <f>建筑各项能耗拆分!$B$18*建筑各项能耗拆分!D159</f>
        <v>0</v>
      </c>
      <c r="E9" s="1">
        <f>建筑各项能耗拆分!$B$18*建筑各项能耗拆分!E159</f>
        <v>0</v>
      </c>
      <c r="F9" s="1">
        <f>建筑各项能耗拆分!$B$18*建筑各项能耗拆分!F159</f>
        <v>0</v>
      </c>
      <c r="G9" s="1">
        <f>建筑各项能耗拆分!$B$18*建筑各项能耗拆分!G159</f>
        <v>0</v>
      </c>
      <c r="H9" s="1">
        <f>建筑各项能耗拆分!$B$18*建筑各项能耗拆分!H159</f>
        <v>0</v>
      </c>
      <c r="I9" s="1">
        <f>建筑各项能耗拆分!$B$18*建筑各项能耗拆分!I159</f>
        <v>0</v>
      </c>
      <c r="J9" s="1">
        <f>建筑各项能耗拆分!$B$18*建筑各项能耗拆分!J159</f>
        <v>0</v>
      </c>
      <c r="K9" s="1">
        <f>建筑各项能耗拆分!$B$18*建筑各项能耗拆分!K159</f>
        <v>0</v>
      </c>
      <c r="L9" s="1">
        <f>建筑各项能耗拆分!$B$18*建筑各项能耗拆分!L159</f>
        <v>0</v>
      </c>
      <c r="M9" s="1">
        <f>建筑各项能耗拆分!$B$18*建筑各项能耗拆分!M159</f>
        <v>0</v>
      </c>
      <c r="N9" s="1">
        <f>建筑各项能耗拆分!$B$18*建筑各项能耗拆分!N159</f>
        <v>0</v>
      </c>
      <c r="O9" s="1">
        <f>建筑各项能耗拆分!$B$18*建筑各项能耗拆分!O159</f>
        <v>0</v>
      </c>
      <c r="P9" s="1">
        <f>建筑各项能耗拆分!$B$18*建筑各项能耗拆分!P159</f>
        <v>0</v>
      </c>
      <c r="Q9" s="1">
        <f>建筑各项能耗拆分!$B$18*建筑各项能耗拆分!Q159</f>
        <v>0</v>
      </c>
      <c r="R9" s="1">
        <f>建筑各项能耗拆分!$B$18*建筑各项能耗拆分!R159</f>
        <v>0</v>
      </c>
      <c r="S9" s="1">
        <f>建筑各项能耗拆分!$B$18*建筑各项能耗拆分!S159</f>
        <v>0</v>
      </c>
      <c r="T9" s="1">
        <f>建筑各项能耗拆分!$B$18*建筑各项能耗拆分!T159</f>
        <v>0</v>
      </c>
      <c r="U9" s="1">
        <f>建筑各项能耗拆分!$B$18*建筑各项能耗拆分!U159</f>
        <v>0</v>
      </c>
      <c r="V9" s="1">
        <f>建筑各项能耗拆分!$B$18*建筑各项能耗拆分!V159</f>
        <v>0</v>
      </c>
      <c r="W9" s="1">
        <f>建筑各项能耗拆分!$B$18*建筑各项能耗拆分!W159</f>
        <v>0</v>
      </c>
      <c r="X9" s="1">
        <f>建筑各项能耗拆分!$B$18*建筑各项能耗拆分!X159</f>
        <v>0</v>
      </c>
      <c r="Y9" s="1">
        <f>建筑各项能耗拆分!$B$18*建筑各项能耗拆分!Y159</f>
        <v>0</v>
      </c>
      <c r="Z9" s="1">
        <f>建筑各项能耗拆分!$B$18*建筑各项能耗拆分!Z159</f>
        <v>0</v>
      </c>
      <c r="AA9" s="1">
        <f>建筑各项能耗拆分!$B$18*建筑各项能耗拆分!AA159</f>
        <v>0</v>
      </c>
      <c r="AB9" s="1">
        <f>建筑各项能耗拆分!$B$18*建筑各项能耗拆分!AB159</f>
        <v>0</v>
      </c>
      <c r="AC9" s="1">
        <f>建筑各项能耗拆分!$B$18*建筑各项能耗拆分!AC159</f>
        <v>0</v>
      </c>
      <c r="AD9" s="1">
        <f>建筑各项能耗拆分!$B$18*建筑各项能耗拆分!AD159</f>
        <v>0</v>
      </c>
      <c r="AE9" s="1">
        <f>建筑各项能耗拆分!$B$18*建筑各项能耗拆分!AE159</f>
        <v>0</v>
      </c>
      <c r="AF9" s="1">
        <f>建筑各项能耗拆分!$B$18*建筑各项能耗拆分!AF159</f>
        <v>0</v>
      </c>
      <c r="AG9" s="1">
        <f>建筑各项能耗拆分!$B$18*建筑各项能耗拆分!AG159</f>
        <v>0</v>
      </c>
      <c r="AH9" s="1">
        <f>建筑各项能耗拆分!$B$18*建筑各项能耗拆分!AH159</f>
        <v>0</v>
      </c>
      <c r="AI9" s="1">
        <f>建筑各项能耗拆分!$B$18*建筑各项能耗拆分!AI159</f>
        <v>0</v>
      </c>
      <c r="AJ9" s="1">
        <f>建筑各项能耗拆分!$B$18*建筑各项能耗拆分!AJ159</f>
        <v>0</v>
      </c>
      <c r="AK9" s="1">
        <f>建筑各项能耗拆分!$B$18*建筑各项能耗拆分!AK159</f>
        <v>0</v>
      </c>
      <c r="AL9" s="1">
        <f>建筑各项能耗拆分!$B$18*建筑各项能耗拆分!AL159</f>
        <v>0</v>
      </c>
      <c r="AM9" s="1">
        <f>建筑各项能耗拆分!$B$18*建筑各项能耗拆分!AM159</f>
        <v>0</v>
      </c>
      <c r="AN9" s="1">
        <f>建筑各项能耗拆分!$B$18*建筑各项能耗拆分!AN159</f>
        <v>0</v>
      </c>
      <c r="AO9" s="1">
        <f>建筑各项能耗拆分!$B$18*建筑各项能耗拆分!AO159</f>
        <v>0</v>
      </c>
      <c r="AP9" s="1">
        <f>建筑各项能耗拆分!$B$18*建筑各项能耗拆分!AP159</f>
        <v>0</v>
      </c>
      <c r="AQ9" s="1">
        <f>建筑各项能耗拆分!$B$18*建筑各项能耗拆分!AQ159</f>
        <v>0</v>
      </c>
      <c r="AR9" s="1">
        <f>建筑各项能耗拆分!$B$18*建筑各项能耗拆分!AR159</f>
        <v>0</v>
      </c>
    </row>
    <row r="10" spans="1:44">
      <c r="A10" t="s">
        <v>1117</v>
      </c>
      <c r="B10" s="1">
        <f>建筑各项能耗拆分!$B$18*建筑各项能耗拆分!B160</f>
        <v>0</v>
      </c>
      <c r="C10" s="1">
        <f>建筑各项能耗拆分!$B$18*建筑各项能耗拆分!C160</f>
        <v>284070816049338</v>
      </c>
      <c r="D10" s="1">
        <f>建筑各项能耗拆分!$B$18*建筑各项能耗拆分!D160</f>
        <v>289594373559447</v>
      </c>
      <c r="E10" s="1">
        <f>建筑各项能耗拆分!$B$18*建筑各项能耗拆分!E160</f>
        <v>263272080141969</v>
      </c>
      <c r="F10" s="1">
        <f>建筑各项能耗拆分!$B$18*建筑各项能耗拆分!F160</f>
        <v>286879088467070</v>
      </c>
      <c r="G10" s="1">
        <f>建筑各项能耗拆分!$B$18*建筑各项能耗拆分!G160</f>
        <v>263799926864383</v>
      </c>
      <c r="H10" s="1">
        <f>建筑各项能耗拆分!$B$18*建筑各项能耗拆分!H160</f>
        <v>261116282648348</v>
      </c>
      <c r="I10" s="1">
        <f>建筑各项能耗拆分!$B$18*建筑各项能耗拆分!I160</f>
        <v>258304019151402</v>
      </c>
      <c r="J10" s="1">
        <f>建筑各项能耗拆分!$B$18*建筑各项能耗拆分!J160</f>
        <v>256294353876410</v>
      </c>
      <c r="K10" s="1">
        <f>建筑各项能耗拆分!$B$18*建筑各项能耗拆分!K160</f>
        <v>254211530195050</v>
      </c>
      <c r="L10" s="1">
        <f>建筑各项能耗拆分!$B$18*建筑各项能耗拆分!L160</f>
        <v>252051938762328</v>
      </c>
      <c r="M10" s="1">
        <f>建筑各项能耗拆分!$B$18*建筑各项能耗拆分!M160</f>
        <v>249813756035756</v>
      </c>
      <c r="N10" s="1">
        <f>建筑各项能耗拆分!$B$18*建筑各项能耗拆分!N160</f>
        <v>247498213959789</v>
      </c>
      <c r="O10" s="1">
        <f>建筑各项能耗拆分!$B$18*建筑各项能耗拆分!O160</f>
        <v>244577185530141</v>
      </c>
      <c r="P10" s="1">
        <f>建筑各项能耗拆分!$B$18*建筑各项能耗拆分!P160</f>
        <v>241574282879130</v>
      </c>
      <c r="Q10" s="1">
        <f>建筑各项能耗拆分!$B$18*建筑各项能耗拆分!Q160</f>
        <v>238485408499367</v>
      </c>
      <c r="R10" s="1">
        <f>建筑各项能耗拆分!$B$18*建筑各项能耗拆分!R160</f>
        <v>235309507441367</v>
      </c>
      <c r="S10" s="1">
        <f>建筑各项能耗拆分!$B$18*建筑各项能耗拆分!S160</f>
        <v>232047607088938</v>
      </c>
      <c r="T10" s="1">
        <f>建筑各项能耗拆分!$B$18*建筑各项能耗拆分!T160</f>
        <v>226941228670708</v>
      </c>
      <c r="U10" s="1">
        <f>建筑各项能耗拆分!$B$18*建筑各项能耗拆分!U160</f>
        <v>221828165434366</v>
      </c>
      <c r="V10" s="1">
        <f>建筑各项能耗拆分!$B$18*建筑各项能耗拆分!V160</f>
        <v>216712769460845</v>
      </c>
      <c r="W10" s="1">
        <f>建筑各项能耗拆分!$B$18*建筑各项能耗拆分!W160</f>
        <v>211591970169770</v>
      </c>
      <c r="X10" s="1">
        <f>建筑各项能耗拆分!$B$18*建筑各项能耗拆分!X160</f>
        <v>206466836092679</v>
      </c>
      <c r="Y10" s="1">
        <f>建筑各项能耗拆分!$B$18*建筑各项能耗拆分!Y160</f>
        <v>201740307504132</v>
      </c>
      <c r="Z10" s="1">
        <f>建筑各项能耗拆分!$B$18*建筑各项能耗拆分!Z160</f>
        <v>197041746356453</v>
      </c>
      <c r="AA10" s="1">
        <f>建筑各项能耗拆分!$B$18*建筑各项能耗拆分!AA160</f>
        <v>192371668991143</v>
      </c>
      <c r="AB10" s="1">
        <f>建筑各项能耗拆分!$B$18*建筑各项能耗拆分!AB160</f>
        <v>187729609178468</v>
      </c>
      <c r="AC10" s="1">
        <f>建筑各项能耗拆分!$B$18*建筑各项能耗拆分!AC160</f>
        <v>183114975726438</v>
      </c>
      <c r="AD10" s="1">
        <f>建筑各项能耗拆分!$B$18*建筑各项能耗拆分!AD160</f>
        <v>178240667535571</v>
      </c>
      <c r="AE10" s="1">
        <f>建筑各项能耗拆分!$B$18*建筑各项能耗拆分!AE160</f>
        <v>173409491621335</v>
      </c>
      <c r="AF10" s="1">
        <f>建筑各项能耗拆分!$B$18*建筑各项能耗拆分!AF160</f>
        <v>168614540806057</v>
      </c>
      <c r="AG10" s="1">
        <f>建筑各项能耗拆分!$B$18*建筑各项能耗拆分!AG160</f>
        <v>163861463129960</v>
      </c>
      <c r="AH10" s="1">
        <f>建筑各项能耗拆分!$B$18*建筑各项能耗拆分!AH160</f>
        <v>159152038512281</v>
      </c>
      <c r="AI10" s="1">
        <f>建筑各项能耗拆分!$B$18*建筑各项能耗拆分!AI160</f>
        <v>157973351382973</v>
      </c>
      <c r="AJ10" s="1">
        <f>建筑各项能耗拆分!$B$18*建筑各项能耗拆分!AJ160</f>
        <v>156793956979985</v>
      </c>
      <c r="AK10" s="1">
        <f>建筑各项能耗拆分!$B$18*建筑各项能耗拆分!AK160</f>
        <v>155619993677671</v>
      </c>
      <c r="AL10" s="1">
        <f>建筑各项能耗拆分!$B$18*建筑各项能耗拆分!AL160</f>
        <v>154445510227897</v>
      </c>
      <c r="AM10" s="1">
        <f>建筑各项能耗拆分!$B$18*建筑各项能耗拆分!AM160</f>
        <v>153273693485345</v>
      </c>
      <c r="AN10" s="1">
        <f>建筑各项能耗拆分!$B$18*建筑各项能耗拆分!AN160</f>
        <v>151889379378578</v>
      </c>
      <c r="AO10" s="1">
        <f>建筑各项能耗拆分!$B$18*建筑各项能耗拆分!AO160</f>
        <v>150505868963070</v>
      </c>
      <c r="AP10" s="1">
        <f>建筑各项能耗拆分!$B$18*建筑各项能耗拆分!AP160</f>
        <v>149125277716599</v>
      </c>
      <c r="AQ10" s="1">
        <f>建筑各项能耗拆分!$B$18*建筑各项能耗拆分!AQ160</f>
        <v>147747254222467</v>
      </c>
      <c r="AR10" s="1">
        <f>建筑各项能耗拆分!$B$18*建筑各项能耗拆分!AR160</f>
        <v>146371646876720</v>
      </c>
    </row>
    <row r="11" spans="1:44">
      <c r="A11" t="s">
        <v>1118</v>
      </c>
      <c r="B11" s="1">
        <f>建筑各项能耗拆分!$B$18*建筑各项能耗拆分!B161</f>
        <v>0</v>
      </c>
      <c r="C11" s="1">
        <f>建筑各项能耗拆分!$B$18*建筑各项能耗拆分!C161</f>
        <v>0</v>
      </c>
      <c r="D11" s="1">
        <f>建筑各项能耗拆分!$B$18*建筑各项能耗拆分!D161</f>
        <v>0</v>
      </c>
      <c r="E11" s="1">
        <f>建筑各项能耗拆分!$B$18*建筑各项能耗拆分!E161</f>
        <v>0</v>
      </c>
      <c r="F11" s="1">
        <f>建筑各项能耗拆分!$B$18*建筑各项能耗拆分!F161</f>
        <v>0</v>
      </c>
      <c r="G11" s="1">
        <f>建筑各项能耗拆分!$B$18*建筑各项能耗拆分!G161</f>
        <v>0</v>
      </c>
      <c r="H11" s="1">
        <f>建筑各项能耗拆分!$B$18*建筑各项能耗拆分!H161</f>
        <v>0</v>
      </c>
      <c r="I11" s="1">
        <f>建筑各项能耗拆分!$B$18*建筑各项能耗拆分!I161</f>
        <v>0</v>
      </c>
      <c r="J11" s="1">
        <f>建筑各项能耗拆分!$B$18*建筑各项能耗拆分!J161</f>
        <v>0</v>
      </c>
      <c r="K11" s="1">
        <f>建筑各项能耗拆分!$B$18*建筑各项能耗拆分!K161</f>
        <v>0</v>
      </c>
      <c r="L11" s="1">
        <f>建筑各项能耗拆分!$B$18*建筑各项能耗拆分!L161</f>
        <v>0</v>
      </c>
      <c r="M11" s="1">
        <f>建筑各项能耗拆分!$B$18*建筑各项能耗拆分!M161</f>
        <v>0</v>
      </c>
      <c r="N11" s="1">
        <f>建筑各项能耗拆分!$B$18*建筑各项能耗拆分!N161</f>
        <v>0</v>
      </c>
      <c r="O11" s="1">
        <f>建筑各项能耗拆分!$B$18*建筑各项能耗拆分!O161</f>
        <v>0</v>
      </c>
      <c r="P11" s="1">
        <f>建筑各项能耗拆分!$B$18*建筑各项能耗拆分!P161</f>
        <v>0</v>
      </c>
      <c r="Q11" s="1">
        <f>建筑各项能耗拆分!$B$18*建筑各项能耗拆分!Q161</f>
        <v>0</v>
      </c>
      <c r="R11" s="1">
        <f>建筑各项能耗拆分!$B$18*建筑各项能耗拆分!R161</f>
        <v>0</v>
      </c>
      <c r="S11" s="1">
        <f>建筑各项能耗拆分!$B$18*建筑各项能耗拆分!S161</f>
        <v>0</v>
      </c>
      <c r="T11" s="1">
        <f>建筑各项能耗拆分!$B$18*建筑各项能耗拆分!T161</f>
        <v>0</v>
      </c>
      <c r="U11" s="1">
        <f>建筑各项能耗拆分!$B$18*建筑各项能耗拆分!U161</f>
        <v>0</v>
      </c>
      <c r="V11" s="1">
        <f>建筑各项能耗拆分!$B$18*建筑各项能耗拆分!V161</f>
        <v>0</v>
      </c>
      <c r="W11" s="1">
        <f>建筑各项能耗拆分!$B$18*建筑各项能耗拆分!W161</f>
        <v>0</v>
      </c>
      <c r="X11" s="1">
        <f>建筑各项能耗拆分!$B$18*建筑各项能耗拆分!X161</f>
        <v>0</v>
      </c>
      <c r="Y11" s="1">
        <f>建筑各项能耗拆分!$B$18*建筑各项能耗拆分!Y161</f>
        <v>0</v>
      </c>
      <c r="Z11" s="1">
        <f>建筑各项能耗拆分!$B$18*建筑各项能耗拆分!Z161</f>
        <v>0</v>
      </c>
      <c r="AA11" s="1">
        <f>建筑各项能耗拆分!$B$18*建筑各项能耗拆分!AA161</f>
        <v>0</v>
      </c>
      <c r="AB11" s="1">
        <f>建筑各项能耗拆分!$B$18*建筑各项能耗拆分!AB161</f>
        <v>0</v>
      </c>
      <c r="AC11" s="1">
        <f>建筑各项能耗拆分!$B$18*建筑各项能耗拆分!AC161</f>
        <v>0</v>
      </c>
      <c r="AD11" s="1">
        <f>建筑各项能耗拆分!$B$18*建筑各项能耗拆分!AD161</f>
        <v>0</v>
      </c>
      <c r="AE11" s="1">
        <f>建筑各项能耗拆分!$B$18*建筑各项能耗拆分!AE161</f>
        <v>0</v>
      </c>
      <c r="AF11" s="1">
        <f>建筑各项能耗拆分!$B$18*建筑各项能耗拆分!AF161</f>
        <v>0</v>
      </c>
      <c r="AG11" s="1">
        <f>建筑各项能耗拆分!$B$18*建筑各项能耗拆分!AG161</f>
        <v>0</v>
      </c>
      <c r="AH11" s="1">
        <f>建筑各项能耗拆分!$B$18*建筑各项能耗拆分!AH161</f>
        <v>0</v>
      </c>
      <c r="AI11" s="1">
        <f>建筑各项能耗拆分!$B$18*建筑各项能耗拆分!AI161</f>
        <v>0</v>
      </c>
      <c r="AJ11" s="1">
        <f>建筑各项能耗拆分!$B$18*建筑各项能耗拆分!AJ161</f>
        <v>0</v>
      </c>
      <c r="AK11" s="1">
        <f>建筑各项能耗拆分!$B$18*建筑各项能耗拆分!AK161</f>
        <v>0</v>
      </c>
      <c r="AL11" s="1">
        <f>建筑各项能耗拆分!$B$18*建筑各项能耗拆分!AL161</f>
        <v>0</v>
      </c>
      <c r="AM11" s="1">
        <f>建筑各项能耗拆分!$B$18*建筑各项能耗拆分!AM161</f>
        <v>0</v>
      </c>
      <c r="AN11" s="1">
        <f>建筑各项能耗拆分!$B$18*建筑各项能耗拆分!AN161</f>
        <v>0</v>
      </c>
      <c r="AO11" s="1">
        <f>建筑各项能耗拆分!$B$18*建筑各项能耗拆分!AO161</f>
        <v>0</v>
      </c>
      <c r="AP11" s="1">
        <f>建筑各项能耗拆分!$B$18*建筑各项能耗拆分!AP161</f>
        <v>0</v>
      </c>
      <c r="AQ11" s="1">
        <f>建筑各项能耗拆分!$B$18*建筑各项能耗拆分!AQ161</f>
        <v>0</v>
      </c>
      <c r="AR11" s="1">
        <f>建筑各项能耗拆分!$B$18*建筑各项能耗拆分!AR161</f>
        <v>0</v>
      </c>
    </row>
  </sheetData>
  <pageMargins left="0.7" right="0.7" top="0.75" bottom="0.75" header="0.3" footer="0.3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030A0"/>
  </sheetPr>
  <dimension ref="A1:AR12"/>
  <sheetViews>
    <sheetView workbookViewId="0">
      <selection activeCell="A1" sqref="$A1:$XFD1048576"/>
    </sheetView>
  </sheetViews>
  <sheetFormatPr defaultColWidth="9" defaultRowHeight="13.5"/>
  <cols>
    <col min="1" max="1" width="37.25" customWidth="1"/>
    <col min="2" max="44" width="13.6333333333333" customWidth="1"/>
  </cols>
  <sheetData>
    <row r="1" spans="1:44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>
      <c r="A2" t="s">
        <v>1109</v>
      </c>
      <c r="B2" s="1">
        <f>建筑各项能耗拆分!$B$18*建筑各项能耗拆分!B165</f>
        <v>332422271034122</v>
      </c>
      <c r="C2" s="1">
        <f>建筑各项能耗拆分!$B$18*建筑各项能耗拆分!C165</f>
        <v>393055484507069</v>
      </c>
      <c r="D2" s="1">
        <f>建筑各项能耗拆分!$B$18*建筑各项能耗拆分!D165</f>
        <v>423770836239440</v>
      </c>
      <c r="E2" s="1">
        <f>建筑各项能耗拆分!$B$18*建筑各项能耗拆分!E165</f>
        <v>442999934424622</v>
      </c>
      <c r="F2" s="1">
        <f>建筑各项能耗拆分!$B$18*建筑各项能耗拆分!F165</f>
        <v>504657141504348</v>
      </c>
      <c r="G2" s="1">
        <f>建筑各项能耗拆分!$B$18*建筑各项能耗拆分!G165</f>
        <v>486507210102777</v>
      </c>
      <c r="H2" s="1">
        <f>建筑各项能耗拆分!$B$18*建筑各项能耗拆分!H165</f>
        <v>417175214254282</v>
      </c>
      <c r="I2" s="1">
        <f>建筑各项能耗拆分!$B$18*建筑各项能耗拆分!I165</f>
        <v>375476655874796</v>
      </c>
      <c r="J2" s="1">
        <f>建筑各项能耗拆分!$B$18*建筑各项能耗拆分!J165</f>
        <v>371265059330393</v>
      </c>
      <c r="K2" s="1">
        <f>建筑各项能耗拆分!$B$18*建筑各项能耗拆分!K165</f>
        <v>363727878460903</v>
      </c>
      <c r="L2" s="1">
        <f>建筑各项能耗拆分!$B$18*建筑各项能耗拆分!L165</f>
        <v>355610330736439</v>
      </c>
      <c r="M2" s="1">
        <f>建筑各项能耗拆分!$B$18*建筑各项能耗拆分!M165</f>
        <v>344364999045959</v>
      </c>
      <c r="N2" s="1">
        <f>建筑各项能耗拆分!$B$18*建筑各项能耗拆分!N165</f>
        <v>330796248695152</v>
      </c>
      <c r="O2" s="1">
        <f>建筑各项能耗拆分!$B$18*建筑各项能耗拆分!O165</f>
        <v>314090188767103</v>
      </c>
      <c r="P2" s="1">
        <f>建筑各项能耗拆分!$B$18*建筑各项能耗拆分!P165</f>
        <v>294898694173754</v>
      </c>
      <c r="Q2" s="1">
        <f>建筑各项能耗拆分!$B$18*建筑各项能耗拆分!Q165</f>
        <v>273027199223958</v>
      </c>
      <c r="R2" s="1">
        <f>建筑各项能耗拆分!$B$18*建筑各项能耗拆分!R165</f>
        <v>248862009410720</v>
      </c>
      <c r="S2" s="1">
        <f>建筑各项能耗拆分!$B$18*建筑各项能耗拆分!S165</f>
        <v>264034951617616</v>
      </c>
      <c r="T2" s="1">
        <f>建筑各项能耗拆分!$B$18*建筑各项能耗拆分!T165</f>
        <v>251934125843763</v>
      </c>
      <c r="U2" s="1">
        <f>建筑各项能耗拆分!$B$18*建筑各项能耗拆分!U165</f>
        <v>238405700379365</v>
      </c>
      <c r="V2" s="1">
        <f>建筑各项能耗拆分!$B$18*建筑各项能耗拆分!V165</f>
        <v>233509317800695</v>
      </c>
      <c r="W2" s="1">
        <f>建筑各项能耗拆分!$B$18*建筑各项能耗拆分!W165</f>
        <v>229576276364232</v>
      </c>
      <c r="X2" s="1">
        <f>建筑各项能耗拆分!$B$18*建筑各项能耗拆分!X165</f>
        <v>224808216502877</v>
      </c>
      <c r="Y2" s="1">
        <f>建筑各项能耗拆分!$B$18*建筑各项能耗拆分!Y165</f>
        <v>221092039607848</v>
      </c>
      <c r="Z2" s="1">
        <f>建筑各项能耗拆分!$B$18*建筑各项能耗拆分!Z165</f>
        <v>216747752894174</v>
      </c>
      <c r="AA2" s="1">
        <f>建筑各项能耗拆分!$B$18*建筑各项能耗拆分!AA165</f>
        <v>211794265101816</v>
      </c>
      <c r="AB2" s="1">
        <f>建筑各项能耗拆分!$B$18*建筑各项能耗拆分!AB165</f>
        <v>206265550182118</v>
      </c>
      <c r="AC2" s="1">
        <f>建筑各项能耗拆分!$B$18*建筑各项能耗拆分!AC165</f>
        <v>200208991983266</v>
      </c>
      <c r="AD2" s="1">
        <f>建筑各项能耗拆分!$B$18*建筑各项能耗拆分!AD165</f>
        <v>192870775393907</v>
      </c>
      <c r="AE2" s="1">
        <f>建筑各项能耗拆分!$B$18*建筑各项能耗拆分!AE165</f>
        <v>184979757784627</v>
      </c>
      <c r="AF2" s="1">
        <f>建筑各项能耗拆分!$B$18*建筑各项能耗拆分!AF165</f>
        <v>176575189489049</v>
      </c>
      <c r="AG2" s="1">
        <f>建筑各项能耗拆分!$B$18*建筑各项能耗拆分!AG165</f>
        <v>167718699657112</v>
      </c>
      <c r="AH2" s="1">
        <f>建筑各项能耗拆分!$B$18*建筑各项能耗拆分!AH165</f>
        <v>158360310381980</v>
      </c>
      <c r="AI2" s="1">
        <f>建筑各项能耗拆分!$B$18*建筑各项能耗拆分!AI165</f>
        <v>143624359420187</v>
      </c>
      <c r="AJ2" s="1">
        <f>建筑各项能耗拆分!$B$18*建筑各项能耗拆分!AJ165</f>
        <v>128436346846996</v>
      </c>
      <c r="AK2" s="1">
        <f>建筑各项能耗拆分!$B$18*建筑各项能耗拆分!AK165</f>
        <v>112777648126684</v>
      </c>
      <c r="AL2" s="1">
        <f>建筑各项能耗拆分!$B$18*建筑各项能耗拆分!AL165</f>
        <v>96693433126878.2</v>
      </c>
      <c r="AM2" s="1">
        <f>建筑各项能耗拆分!$B$18*建筑各项能耗拆分!AM165</f>
        <v>80212683626146</v>
      </c>
      <c r="AN2" s="1">
        <f>建筑各项能耗拆分!$B$18*建筑各项能耗拆分!AN165</f>
        <v>62711426506744.1</v>
      </c>
      <c r="AO2" s="1">
        <f>建筑各项能耗拆分!$B$18*建筑各项能耗拆分!AO165</f>
        <v>44817123836045.9</v>
      </c>
      <c r="AP2" s="1">
        <f>建筑各项能耗拆分!$B$18*建筑各项能耗拆分!AP165</f>
        <v>26559370045144.1</v>
      </c>
      <c r="AQ2" s="1">
        <f>建筑各项能耗拆分!$B$18*建筑各项能耗拆分!AQ165</f>
        <v>7956627846858.77</v>
      </c>
      <c r="AR2" s="1">
        <f>建筑各项能耗拆分!$B$18*建筑各项能耗拆分!AR165</f>
        <v>0</v>
      </c>
    </row>
    <row r="3" spans="1:44">
      <c r="A3" t="s">
        <v>1110</v>
      </c>
      <c r="B3" s="1">
        <f>建筑各项能耗拆分!$B$18*建筑各项能耗拆分!B166</f>
        <v>51941531870279.1</v>
      </c>
      <c r="C3" s="1">
        <f>建筑各项能耗拆分!$B$18*建筑各项能耗拆分!C166</f>
        <v>0</v>
      </c>
      <c r="D3" s="1">
        <f>建筑各项能耗拆分!$B$18*建筑各项能耗拆分!D166</f>
        <v>0</v>
      </c>
      <c r="E3" s="1">
        <f>建筑各项能耗拆分!$B$18*建筑各项能耗拆分!E166</f>
        <v>0</v>
      </c>
      <c r="F3" s="1">
        <f>建筑各项能耗拆分!$B$18*建筑各项能耗拆分!F166</f>
        <v>0</v>
      </c>
      <c r="G3" s="1">
        <f>建筑各项能耗拆分!$B$18*建筑各项能耗拆分!G166</f>
        <v>0</v>
      </c>
      <c r="H3" s="1">
        <f>建筑各项能耗拆分!$B$18*建筑各项能耗拆分!H166</f>
        <v>0</v>
      </c>
      <c r="I3" s="1">
        <f>建筑各项能耗拆分!$B$18*建筑各项能耗拆分!I166</f>
        <v>0</v>
      </c>
      <c r="J3" s="1">
        <f>建筑各项能耗拆分!$B$18*建筑各项能耗拆分!J166</f>
        <v>0</v>
      </c>
      <c r="K3" s="1">
        <f>建筑各项能耗拆分!$B$18*建筑各项能耗拆分!K166</f>
        <v>0</v>
      </c>
      <c r="L3" s="1">
        <f>建筑各项能耗拆分!$B$18*建筑各项能耗拆分!L166</f>
        <v>0</v>
      </c>
      <c r="M3" s="1">
        <f>建筑各项能耗拆分!$B$18*建筑各项能耗拆分!M166</f>
        <v>0</v>
      </c>
      <c r="N3" s="1">
        <f>建筑各项能耗拆分!$B$18*建筑各项能耗拆分!N166</f>
        <v>0</v>
      </c>
      <c r="O3" s="1">
        <f>建筑各项能耗拆分!$B$18*建筑各项能耗拆分!O166</f>
        <v>0</v>
      </c>
      <c r="P3" s="1">
        <f>建筑各项能耗拆分!$B$18*建筑各项能耗拆分!P166</f>
        <v>0</v>
      </c>
      <c r="Q3" s="1">
        <f>建筑各项能耗拆分!$B$18*建筑各项能耗拆分!Q166</f>
        <v>0</v>
      </c>
      <c r="R3" s="1">
        <f>建筑各项能耗拆分!$B$18*建筑各项能耗拆分!R166</f>
        <v>0</v>
      </c>
      <c r="S3" s="1">
        <f>建筑各项能耗拆分!$B$18*建筑各项能耗拆分!S166</f>
        <v>0</v>
      </c>
      <c r="T3" s="1">
        <f>建筑各项能耗拆分!$B$18*建筑各项能耗拆分!T166</f>
        <v>0</v>
      </c>
      <c r="U3" s="1">
        <f>建筑各项能耗拆分!$B$18*建筑各项能耗拆分!U166</f>
        <v>0</v>
      </c>
      <c r="V3" s="1">
        <f>建筑各项能耗拆分!$B$18*建筑各项能耗拆分!V166</f>
        <v>0</v>
      </c>
      <c r="W3" s="1">
        <f>建筑各项能耗拆分!$B$18*建筑各项能耗拆分!W166</f>
        <v>0</v>
      </c>
      <c r="X3" s="1">
        <f>建筑各项能耗拆分!$B$18*建筑各项能耗拆分!X166</f>
        <v>0</v>
      </c>
      <c r="Y3" s="1">
        <f>建筑各项能耗拆分!$B$18*建筑各项能耗拆分!Y166</f>
        <v>0</v>
      </c>
      <c r="Z3" s="1">
        <f>建筑各项能耗拆分!$B$18*建筑各项能耗拆分!Z166</f>
        <v>0</v>
      </c>
      <c r="AA3" s="1">
        <f>建筑各项能耗拆分!$B$18*建筑各项能耗拆分!AA166</f>
        <v>0</v>
      </c>
      <c r="AB3" s="1">
        <f>建筑各项能耗拆分!$B$18*建筑各项能耗拆分!AB166</f>
        <v>0</v>
      </c>
      <c r="AC3" s="1">
        <f>建筑各项能耗拆分!$B$18*建筑各项能耗拆分!AC166</f>
        <v>0</v>
      </c>
      <c r="AD3" s="1">
        <f>建筑各项能耗拆分!$B$18*建筑各项能耗拆分!AD166</f>
        <v>0</v>
      </c>
      <c r="AE3" s="1">
        <f>建筑各项能耗拆分!$B$18*建筑各项能耗拆分!AE166</f>
        <v>0</v>
      </c>
      <c r="AF3" s="1">
        <f>建筑各项能耗拆分!$B$18*建筑各项能耗拆分!AF166</f>
        <v>0</v>
      </c>
      <c r="AG3" s="1">
        <f>建筑各项能耗拆分!$B$18*建筑各项能耗拆分!AG166</f>
        <v>0</v>
      </c>
      <c r="AH3" s="1">
        <f>建筑各项能耗拆分!$B$18*建筑各项能耗拆分!AH166</f>
        <v>0</v>
      </c>
      <c r="AI3" s="1">
        <f>建筑各项能耗拆分!$B$18*建筑各项能耗拆分!AI166</f>
        <v>0</v>
      </c>
      <c r="AJ3" s="1">
        <f>建筑各项能耗拆分!$B$18*建筑各项能耗拆分!AJ166</f>
        <v>0</v>
      </c>
      <c r="AK3" s="1">
        <f>建筑各项能耗拆分!$B$18*建筑各项能耗拆分!AK166</f>
        <v>0</v>
      </c>
      <c r="AL3" s="1">
        <f>建筑各项能耗拆分!$B$18*建筑各项能耗拆分!AL166</f>
        <v>0</v>
      </c>
      <c r="AM3" s="1">
        <f>建筑各项能耗拆分!$B$18*建筑各项能耗拆分!AM166</f>
        <v>0</v>
      </c>
      <c r="AN3" s="1">
        <f>建筑各项能耗拆分!$B$18*建筑各项能耗拆分!AN166</f>
        <v>0</v>
      </c>
      <c r="AO3" s="1">
        <f>建筑各项能耗拆分!$B$18*建筑各项能耗拆分!AO166</f>
        <v>0</v>
      </c>
      <c r="AP3" s="1">
        <f>建筑各项能耗拆分!$B$18*建筑各项能耗拆分!AP166</f>
        <v>0</v>
      </c>
      <c r="AQ3" s="1">
        <f>建筑各项能耗拆分!$B$18*建筑各项能耗拆分!AQ166</f>
        <v>0</v>
      </c>
      <c r="AR3" s="1">
        <f>建筑各项能耗拆分!$B$18*建筑各项能耗拆分!AR166</f>
        <v>0</v>
      </c>
    </row>
    <row r="4" spans="1:44">
      <c r="A4" t="s">
        <v>1111</v>
      </c>
      <c r="B4" s="1">
        <f>建筑各项能耗拆分!$B$18*建筑各项能耗拆分!B167</f>
        <v>38436400011563.5</v>
      </c>
      <c r="C4" s="1">
        <f>建筑各项能耗拆分!$B$18*建筑各项能耗拆分!C167</f>
        <v>0</v>
      </c>
      <c r="D4" s="1">
        <f>建筑各项能耗拆分!$B$18*建筑各项能耗拆分!D167</f>
        <v>0</v>
      </c>
      <c r="E4" s="1">
        <f>建筑各项能耗拆分!$B$18*建筑各项能耗拆分!E167</f>
        <v>0</v>
      </c>
      <c r="F4" s="1">
        <f>建筑各项能耗拆分!$B$18*建筑各项能耗拆分!F167</f>
        <v>0</v>
      </c>
      <c r="G4" s="1">
        <f>建筑各项能耗拆分!$B$18*建筑各项能耗拆分!G167</f>
        <v>0</v>
      </c>
      <c r="H4" s="1">
        <f>建筑各项能耗拆分!$B$18*建筑各项能耗拆分!H167</f>
        <v>0</v>
      </c>
      <c r="I4" s="1">
        <f>建筑各项能耗拆分!$B$18*建筑各项能耗拆分!I167</f>
        <v>0</v>
      </c>
      <c r="J4" s="1">
        <f>建筑各项能耗拆分!$B$18*建筑各项能耗拆分!J167</f>
        <v>0</v>
      </c>
      <c r="K4" s="1">
        <f>建筑各项能耗拆分!$B$18*建筑各项能耗拆分!K167</f>
        <v>0</v>
      </c>
      <c r="L4" s="1">
        <f>建筑各项能耗拆分!$B$18*建筑各项能耗拆分!L167</f>
        <v>0</v>
      </c>
      <c r="M4" s="1">
        <f>建筑各项能耗拆分!$B$18*建筑各项能耗拆分!M167</f>
        <v>0</v>
      </c>
      <c r="N4" s="1">
        <f>建筑各项能耗拆分!$B$18*建筑各项能耗拆分!N167</f>
        <v>0</v>
      </c>
      <c r="O4" s="1">
        <f>建筑各项能耗拆分!$B$18*建筑各项能耗拆分!O167</f>
        <v>0</v>
      </c>
      <c r="P4" s="1">
        <f>建筑各项能耗拆分!$B$18*建筑各项能耗拆分!P167</f>
        <v>0</v>
      </c>
      <c r="Q4" s="1">
        <f>建筑各项能耗拆分!$B$18*建筑各项能耗拆分!Q167</f>
        <v>0</v>
      </c>
      <c r="R4" s="1">
        <f>建筑各项能耗拆分!$B$18*建筑各项能耗拆分!R167</f>
        <v>0</v>
      </c>
      <c r="S4" s="1">
        <f>建筑各项能耗拆分!$B$18*建筑各项能耗拆分!S167</f>
        <v>0</v>
      </c>
      <c r="T4" s="1">
        <f>建筑各项能耗拆分!$B$18*建筑各项能耗拆分!T167</f>
        <v>0</v>
      </c>
      <c r="U4" s="1">
        <f>建筑各项能耗拆分!$B$18*建筑各项能耗拆分!U167</f>
        <v>0</v>
      </c>
      <c r="V4" s="1">
        <f>建筑各项能耗拆分!$B$18*建筑各项能耗拆分!V167</f>
        <v>0</v>
      </c>
      <c r="W4" s="1">
        <f>建筑各项能耗拆分!$B$18*建筑各项能耗拆分!W167</f>
        <v>0</v>
      </c>
      <c r="X4" s="1">
        <f>建筑各项能耗拆分!$B$18*建筑各项能耗拆分!X167</f>
        <v>0</v>
      </c>
      <c r="Y4" s="1">
        <f>建筑各项能耗拆分!$B$18*建筑各项能耗拆分!Y167</f>
        <v>0</v>
      </c>
      <c r="Z4" s="1">
        <f>建筑各项能耗拆分!$B$18*建筑各项能耗拆分!Z167</f>
        <v>0</v>
      </c>
      <c r="AA4" s="1">
        <f>建筑各项能耗拆分!$B$18*建筑各项能耗拆分!AA167</f>
        <v>0</v>
      </c>
      <c r="AB4" s="1">
        <f>建筑各项能耗拆分!$B$18*建筑各项能耗拆分!AB167</f>
        <v>0</v>
      </c>
      <c r="AC4" s="1">
        <f>建筑各项能耗拆分!$B$18*建筑各项能耗拆分!AC167</f>
        <v>0</v>
      </c>
      <c r="AD4" s="1">
        <f>建筑各项能耗拆分!$B$18*建筑各项能耗拆分!AD167</f>
        <v>0</v>
      </c>
      <c r="AE4" s="1">
        <f>建筑各项能耗拆分!$B$18*建筑各项能耗拆分!AE167</f>
        <v>0</v>
      </c>
      <c r="AF4" s="1">
        <f>建筑各项能耗拆分!$B$18*建筑各项能耗拆分!AF167</f>
        <v>0</v>
      </c>
      <c r="AG4" s="1">
        <f>建筑各项能耗拆分!$B$18*建筑各项能耗拆分!AG167</f>
        <v>0</v>
      </c>
      <c r="AH4" s="1">
        <f>建筑各项能耗拆分!$B$18*建筑各项能耗拆分!AH167</f>
        <v>0</v>
      </c>
      <c r="AI4" s="1">
        <f>建筑各项能耗拆分!$B$18*建筑各项能耗拆分!AI167</f>
        <v>0</v>
      </c>
      <c r="AJ4" s="1">
        <f>建筑各项能耗拆分!$B$18*建筑各项能耗拆分!AJ167</f>
        <v>0</v>
      </c>
      <c r="AK4" s="1">
        <f>建筑各项能耗拆分!$B$18*建筑各项能耗拆分!AK167</f>
        <v>0</v>
      </c>
      <c r="AL4" s="1">
        <f>建筑各项能耗拆分!$B$18*建筑各项能耗拆分!AL167</f>
        <v>0</v>
      </c>
      <c r="AM4" s="1">
        <f>建筑各项能耗拆分!$B$18*建筑各项能耗拆分!AM167</f>
        <v>0</v>
      </c>
      <c r="AN4" s="1">
        <f>建筑各项能耗拆分!$B$18*建筑各项能耗拆分!AN167</f>
        <v>0</v>
      </c>
      <c r="AO4" s="1">
        <f>建筑各项能耗拆分!$B$18*建筑各项能耗拆分!AO167</f>
        <v>0</v>
      </c>
      <c r="AP4" s="1">
        <f>建筑各项能耗拆分!$B$18*建筑各项能耗拆分!AP167</f>
        <v>0</v>
      </c>
      <c r="AQ4" s="1">
        <f>建筑各项能耗拆分!$B$18*建筑各项能耗拆分!AQ167</f>
        <v>0</v>
      </c>
      <c r="AR4" s="1">
        <f>建筑各项能耗拆分!$B$18*建筑各项能耗拆分!AR167</f>
        <v>0</v>
      </c>
    </row>
    <row r="5" spans="1:44">
      <c r="A5" t="s">
        <v>1112</v>
      </c>
      <c r="B5" s="1">
        <f>建筑各项能耗拆分!$B$18*建筑各项能耗拆分!B168</f>
        <v>0</v>
      </c>
      <c r="C5" s="1">
        <f>建筑各项能耗拆分!$B$18*建筑各项能耗拆分!C168</f>
        <v>0</v>
      </c>
      <c r="D5" s="1">
        <f>建筑各项能耗拆分!$B$18*建筑各项能耗拆分!D168</f>
        <v>0</v>
      </c>
      <c r="E5" s="1">
        <f>建筑各项能耗拆分!$B$18*建筑各项能耗拆分!E168</f>
        <v>0</v>
      </c>
      <c r="F5" s="1">
        <f>建筑各项能耗拆分!$B$18*建筑各项能耗拆分!F168</f>
        <v>0</v>
      </c>
      <c r="G5" s="1">
        <f>建筑各项能耗拆分!$B$18*建筑各项能耗拆分!G168</f>
        <v>0</v>
      </c>
      <c r="H5" s="1">
        <f>建筑各项能耗拆分!$B$18*建筑各项能耗拆分!H168</f>
        <v>0</v>
      </c>
      <c r="I5" s="1">
        <f>建筑各项能耗拆分!$B$18*建筑各项能耗拆分!I168</f>
        <v>0</v>
      </c>
      <c r="J5" s="1">
        <f>建筑各项能耗拆分!$B$18*建筑各项能耗拆分!J168</f>
        <v>0</v>
      </c>
      <c r="K5" s="1">
        <f>建筑各项能耗拆分!$B$18*建筑各项能耗拆分!K168</f>
        <v>0</v>
      </c>
      <c r="L5" s="1">
        <f>建筑各项能耗拆分!$B$18*建筑各项能耗拆分!L168</f>
        <v>0</v>
      </c>
      <c r="M5" s="1">
        <f>建筑各项能耗拆分!$B$18*建筑各项能耗拆分!M168</f>
        <v>0</v>
      </c>
      <c r="N5" s="1">
        <f>建筑各项能耗拆分!$B$18*建筑各项能耗拆分!N168</f>
        <v>0</v>
      </c>
      <c r="O5" s="1">
        <f>建筑各项能耗拆分!$B$18*建筑各项能耗拆分!O168</f>
        <v>0</v>
      </c>
      <c r="P5" s="1">
        <f>建筑各项能耗拆分!$B$18*建筑各项能耗拆分!P168</f>
        <v>0</v>
      </c>
      <c r="Q5" s="1">
        <f>建筑各项能耗拆分!$B$18*建筑各项能耗拆分!Q168</f>
        <v>0</v>
      </c>
      <c r="R5" s="1">
        <f>建筑各项能耗拆分!$B$18*建筑各项能耗拆分!R168</f>
        <v>0</v>
      </c>
      <c r="S5" s="1">
        <f>建筑各项能耗拆分!$B$18*建筑各项能耗拆分!S168</f>
        <v>0</v>
      </c>
      <c r="T5" s="1">
        <f>建筑各项能耗拆分!$B$18*建筑各项能耗拆分!T168</f>
        <v>0</v>
      </c>
      <c r="U5" s="1">
        <f>建筑各项能耗拆分!$B$18*建筑各项能耗拆分!U168</f>
        <v>0</v>
      </c>
      <c r="V5" s="1">
        <f>建筑各项能耗拆分!$B$18*建筑各项能耗拆分!V168</f>
        <v>0</v>
      </c>
      <c r="W5" s="1">
        <f>建筑各项能耗拆分!$B$18*建筑各项能耗拆分!W168</f>
        <v>0</v>
      </c>
      <c r="X5" s="1">
        <f>建筑各项能耗拆分!$B$18*建筑各项能耗拆分!X168</f>
        <v>0</v>
      </c>
      <c r="Y5" s="1">
        <f>建筑各项能耗拆分!$B$18*建筑各项能耗拆分!Y168</f>
        <v>0</v>
      </c>
      <c r="Z5" s="1">
        <f>建筑各项能耗拆分!$B$18*建筑各项能耗拆分!Z168</f>
        <v>0</v>
      </c>
      <c r="AA5" s="1">
        <f>建筑各项能耗拆分!$B$18*建筑各项能耗拆分!AA168</f>
        <v>0</v>
      </c>
      <c r="AB5" s="1">
        <f>建筑各项能耗拆分!$B$18*建筑各项能耗拆分!AB168</f>
        <v>0</v>
      </c>
      <c r="AC5" s="1">
        <f>建筑各项能耗拆分!$B$18*建筑各项能耗拆分!AC168</f>
        <v>0</v>
      </c>
      <c r="AD5" s="1">
        <f>建筑各项能耗拆分!$B$18*建筑各项能耗拆分!AD168</f>
        <v>0</v>
      </c>
      <c r="AE5" s="1">
        <f>建筑各项能耗拆分!$B$18*建筑各项能耗拆分!AE168</f>
        <v>0</v>
      </c>
      <c r="AF5" s="1">
        <f>建筑各项能耗拆分!$B$18*建筑各项能耗拆分!AF168</f>
        <v>0</v>
      </c>
      <c r="AG5" s="1">
        <f>建筑各项能耗拆分!$B$18*建筑各项能耗拆分!AG168</f>
        <v>0</v>
      </c>
      <c r="AH5" s="1">
        <f>建筑各项能耗拆分!$B$18*建筑各项能耗拆分!AH168</f>
        <v>0</v>
      </c>
      <c r="AI5" s="1">
        <f>建筑各项能耗拆分!$B$18*建筑各项能耗拆分!AI168</f>
        <v>0</v>
      </c>
      <c r="AJ5" s="1">
        <f>建筑各项能耗拆分!$B$18*建筑各项能耗拆分!AJ168</f>
        <v>0</v>
      </c>
      <c r="AK5" s="1">
        <f>建筑各项能耗拆分!$B$18*建筑各项能耗拆分!AK168</f>
        <v>0</v>
      </c>
      <c r="AL5" s="1">
        <f>建筑各项能耗拆分!$B$18*建筑各项能耗拆分!AL168</f>
        <v>0</v>
      </c>
      <c r="AM5" s="1">
        <f>建筑各项能耗拆分!$B$18*建筑各项能耗拆分!AM168</f>
        <v>0</v>
      </c>
      <c r="AN5" s="1">
        <f>建筑各项能耗拆分!$B$18*建筑各项能耗拆分!AN168</f>
        <v>0</v>
      </c>
      <c r="AO5" s="1">
        <f>建筑各项能耗拆分!$B$18*建筑各项能耗拆分!AO168</f>
        <v>0</v>
      </c>
      <c r="AP5" s="1">
        <f>建筑各项能耗拆分!$B$18*建筑各项能耗拆分!AP168</f>
        <v>0</v>
      </c>
      <c r="AQ5" s="1">
        <f>建筑各项能耗拆分!$B$18*建筑各项能耗拆分!AQ168</f>
        <v>0</v>
      </c>
      <c r="AR5" s="1">
        <f>建筑各项能耗拆分!$B$18*建筑各项能耗拆分!AR168</f>
        <v>0</v>
      </c>
    </row>
    <row r="6" spans="1:44">
      <c r="A6" t="s">
        <v>1113</v>
      </c>
      <c r="B6" s="1">
        <f>建筑各项能耗拆分!$B$18*建筑各项能耗拆分!B169</f>
        <v>0</v>
      </c>
      <c r="C6" s="1">
        <f>建筑各项能耗拆分!$B$18*建筑各项能耗拆分!C169</f>
        <v>0</v>
      </c>
      <c r="D6" s="1">
        <f>建筑各项能耗拆分!$B$18*建筑各项能耗拆分!D169</f>
        <v>0</v>
      </c>
      <c r="E6" s="1">
        <f>建筑各项能耗拆分!$B$18*建筑各项能耗拆分!E169</f>
        <v>0</v>
      </c>
      <c r="F6" s="1">
        <f>建筑各项能耗拆分!$B$18*建筑各项能耗拆分!F169</f>
        <v>0</v>
      </c>
      <c r="G6" s="1">
        <f>建筑各项能耗拆分!$B$18*建筑各项能耗拆分!G169</f>
        <v>0</v>
      </c>
      <c r="H6" s="1">
        <f>建筑各项能耗拆分!$B$18*建筑各项能耗拆分!H169</f>
        <v>0</v>
      </c>
      <c r="I6" s="1">
        <f>建筑各项能耗拆分!$B$18*建筑各项能耗拆分!I169</f>
        <v>0</v>
      </c>
      <c r="J6" s="1">
        <f>建筑各项能耗拆分!$B$18*建筑各项能耗拆分!J169</f>
        <v>0</v>
      </c>
      <c r="K6" s="1">
        <f>建筑各项能耗拆分!$B$18*建筑各项能耗拆分!K169</f>
        <v>0</v>
      </c>
      <c r="L6" s="1">
        <f>建筑各项能耗拆分!$B$18*建筑各项能耗拆分!L169</f>
        <v>0</v>
      </c>
      <c r="M6" s="1">
        <f>建筑各项能耗拆分!$B$18*建筑各项能耗拆分!M169</f>
        <v>0</v>
      </c>
      <c r="N6" s="1">
        <f>建筑各项能耗拆分!$B$18*建筑各项能耗拆分!N169</f>
        <v>0</v>
      </c>
      <c r="O6" s="1">
        <f>建筑各项能耗拆分!$B$18*建筑各项能耗拆分!O169</f>
        <v>0</v>
      </c>
      <c r="P6" s="1">
        <f>建筑各项能耗拆分!$B$18*建筑各项能耗拆分!P169</f>
        <v>0</v>
      </c>
      <c r="Q6" s="1">
        <f>建筑各项能耗拆分!$B$18*建筑各项能耗拆分!Q169</f>
        <v>0</v>
      </c>
      <c r="R6" s="1">
        <f>建筑各项能耗拆分!$B$18*建筑各项能耗拆分!R169</f>
        <v>0</v>
      </c>
      <c r="S6" s="1">
        <f>建筑各项能耗拆分!$B$18*建筑各项能耗拆分!S169</f>
        <v>0</v>
      </c>
      <c r="T6" s="1">
        <f>建筑各项能耗拆分!$B$18*建筑各项能耗拆分!T169</f>
        <v>0</v>
      </c>
      <c r="U6" s="1">
        <f>建筑各项能耗拆分!$B$18*建筑各项能耗拆分!U169</f>
        <v>0</v>
      </c>
      <c r="V6" s="1">
        <f>建筑各项能耗拆分!$B$18*建筑各项能耗拆分!V169</f>
        <v>0</v>
      </c>
      <c r="W6" s="1">
        <f>建筑各项能耗拆分!$B$18*建筑各项能耗拆分!W169</f>
        <v>0</v>
      </c>
      <c r="X6" s="1">
        <f>建筑各项能耗拆分!$B$18*建筑各项能耗拆分!X169</f>
        <v>0</v>
      </c>
      <c r="Y6" s="1">
        <f>建筑各项能耗拆分!$B$18*建筑各项能耗拆分!Y169</f>
        <v>0</v>
      </c>
      <c r="Z6" s="1">
        <f>建筑各项能耗拆分!$B$18*建筑各项能耗拆分!Z169</f>
        <v>0</v>
      </c>
      <c r="AA6" s="1">
        <f>建筑各项能耗拆分!$B$18*建筑各项能耗拆分!AA169</f>
        <v>0</v>
      </c>
      <c r="AB6" s="1">
        <f>建筑各项能耗拆分!$B$18*建筑各项能耗拆分!AB169</f>
        <v>0</v>
      </c>
      <c r="AC6" s="1">
        <f>建筑各项能耗拆分!$B$18*建筑各项能耗拆分!AC169</f>
        <v>0</v>
      </c>
      <c r="AD6" s="1">
        <f>建筑各项能耗拆分!$B$18*建筑各项能耗拆分!AD169</f>
        <v>0</v>
      </c>
      <c r="AE6" s="1">
        <f>建筑各项能耗拆分!$B$18*建筑各项能耗拆分!AE169</f>
        <v>0</v>
      </c>
      <c r="AF6" s="1">
        <f>建筑各项能耗拆分!$B$18*建筑各项能耗拆分!AF169</f>
        <v>0</v>
      </c>
      <c r="AG6" s="1">
        <f>建筑各项能耗拆分!$B$18*建筑各项能耗拆分!AG169</f>
        <v>0</v>
      </c>
      <c r="AH6" s="1">
        <f>建筑各项能耗拆分!$B$18*建筑各项能耗拆分!AH169</f>
        <v>0</v>
      </c>
      <c r="AI6" s="1">
        <f>建筑各项能耗拆分!$B$18*建筑各项能耗拆分!AI169</f>
        <v>0</v>
      </c>
      <c r="AJ6" s="1">
        <f>建筑各项能耗拆分!$B$18*建筑各项能耗拆分!AJ169</f>
        <v>0</v>
      </c>
      <c r="AK6" s="1">
        <f>建筑各项能耗拆分!$B$18*建筑各项能耗拆分!AK169</f>
        <v>0</v>
      </c>
      <c r="AL6" s="1">
        <f>建筑各项能耗拆分!$B$18*建筑各项能耗拆分!AL169</f>
        <v>0</v>
      </c>
      <c r="AM6" s="1">
        <f>建筑各项能耗拆分!$B$18*建筑各项能耗拆分!AM169</f>
        <v>0</v>
      </c>
      <c r="AN6" s="1">
        <f>建筑各项能耗拆分!$B$18*建筑各项能耗拆分!AN169</f>
        <v>0</v>
      </c>
      <c r="AO6" s="1">
        <f>建筑各项能耗拆分!$B$18*建筑各项能耗拆分!AO169</f>
        <v>0</v>
      </c>
      <c r="AP6" s="1">
        <f>建筑各项能耗拆分!$B$18*建筑各项能耗拆分!AP169</f>
        <v>0</v>
      </c>
      <c r="AQ6" s="1">
        <f>建筑各项能耗拆分!$B$18*建筑各项能耗拆分!AQ169</f>
        <v>0</v>
      </c>
      <c r="AR6" s="1">
        <f>建筑各项能耗拆分!$B$18*建筑各项能耗拆分!AR169</f>
        <v>0</v>
      </c>
    </row>
    <row r="7" spans="1:44">
      <c r="A7" t="s">
        <v>1114</v>
      </c>
      <c r="B7" s="1">
        <f>建筑各项能耗拆分!$B$18*建筑各项能耗拆分!B170</f>
        <v>65641037312631.7</v>
      </c>
      <c r="C7" s="1">
        <f>建筑各项能耗拆分!$B$18*建筑各项能耗拆分!C170</f>
        <v>0</v>
      </c>
      <c r="D7" s="1">
        <f>建筑各项能耗拆分!$B$18*建筑各项能耗拆分!D170</f>
        <v>0</v>
      </c>
      <c r="E7" s="1">
        <f>建筑各项能耗拆分!$B$18*建筑各项能耗拆分!E170</f>
        <v>0</v>
      </c>
      <c r="F7" s="1">
        <f>建筑各项能耗拆分!$B$18*建筑各项能耗拆分!F170</f>
        <v>0</v>
      </c>
      <c r="G7" s="1">
        <f>建筑各项能耗拆分!$B$18*建筑各项能耗拆分!G170</f>
        <v>0</v>
      </c>
      <c r="H7" s="1">
        <f>建筑各项能耗拆分!$B$18*建筑各项能耗拆分!H170</f>
        <v>0</v>
      </c>
      <c r="I7" s="1">
        <f>建筑各项能耗拆分!$B$18*建筑各项能耗拆分!I170</f>
        <v>0</v>
      </c>
      <c r="J7" s="1">
        <f>建筑各项能耗拆分!$B$18*建筑各项能耗拆分!J170</f>
        <v>0</v>
      </c>
      <c r="K7" s="1">
        <f>建筑各项能耗拆分!$B$18*建筑各项能耗拆分!K170</f>
        <v>0</v>
      </c>
      <c r="L7" s="1">
        <f>建筑各项能耗拆分!$B$18*建筑各项能耗拆分!L170</f>
        <v>0</v>
      </c>
      <c r="M7" s="1">
        <f>建筑各项能耗拆分!$B$18*建筑各项能耗拆分!M170</f>
        <v>0</v>
      </c>
      <c r="N7" s="1">
        <f>建筑各项能耗拆分!$B$18*建筑各项能耗拆分!N170</f>
        <v>0</v>
      </c>
      <c r="O7" s="1">
        <f>建筑各项能耗拆分!$B$18*建筑各项能耗拆分!O170</f>
        <v>0</v>
      </c>
      <c r="P7" s="1">
        <f>建筑各项能耗拆分!$B$18*建筑各项能耗拆分!P170</f>
        <v>0</v>
      </c>
      <c r="Q7" s="1">
        <f>建筑各项能耗拆分!$B$18*建筑各项能耗拆分!Q170</f>
        <v>0</v>
      </c>
      <c r="R7" s="1">
        <f>建筑各项能耗拆分!$B$18*建筑各项能耗拆分!R170</f>
        <v>0</v>
      </c>
      <c r="S7" s="1">
        <f>建筑各项能耗拆分!$B$18*建筑各项能耗拆分!S170</f>
        <v>0</v>
      </c>
      <c r="T7" s="1">
        <f>建筑各项能耗拆分!$B$18*建筑各项能耗拆分!T170</f>
        <v>0</v>
      </c>
      <c r="U7" s="1">
        <f>建筑各项能耗拆分!$B$18*建筑各项能耗拆分!U170</f>
        <v>0</v>
      </c>
      <c r="V7" s="1">
        <f>建筑各项能耗拆分!$B$18*建筑各项能耗拆分!V170</f>
        <v>0</v>
      </c>
      <c r="W7" s="1">
        <f>建筑各项能耗拆分!$B$18*建筑各项能耗拆分!W170</f>
        <v>0</v>
      </c>
      <c r="X7" s="1">
        <f>建筑各项能耗拆分!$B$18*建筑各项能耗拆分!X170</f>
        <v>0</v>
      </c>
      <c r="Y7" s="1">
        <f>建筑各项能耗拆分!$B$18*建筑各项能耗拆分!Y170</f>
        <v>0</v>
      </c>
      <c r="Z7" s="1">
        <f>建筑各项能耗拆分!$B$18*建筑各项能耗拆分!Z170</f>
        <v>0</v>
      </c>
      <c r="AA7" s="1">
        <f>建筑各项能耗拆分!$B$18*建筑各项能耗拆分!AA170</f>
        <v>0</v>
      </c>
      <c r="AB7" s="1">
        <f>建筑各项能耗拆分!$B$18*建筑各项能耗拆分!AB170</f>
        <v>0</v>
      </c>
      <c r="AC7" s="1">
        <f>建筑各项能耗拆分!$B$18*建筑各项能耗拆分!AC170</f>
        <v>0</v>
      </c>
      <c r="AD7" s="1">
        <f>建筑各项能耗拆分!$B$18*建筑各项能耗拆分!AD170</f>
        <v>0</v>
      </c>
      <c r="AE7" s="1">
        <f>建筑各项能耗拆分!$B$18*建筑各项能耗拆分!AE170</f>
        <v>0</v>
      </c>
      <c r="AF7" s="1">
        <f>建筑各项能耗拆分!$B$18*建筑各项能耗拆分!AF170</f>
        <v>0</v>
      </c>
      <c r="AG7" s="1">
        <f>建筑各项能耗拆分!$B$18*建筑各项能耗拆分!AG170</f>
        <v>0</v>
      </c>
      <c r="AH7" s="1">
        <f>建筑各项能耗拆分!$B$18*建筑各项能耗拆分!AH170</f>
        <v>0</v>
      </c>
      <c r="AI7" s="1">
        <f>建筑各项能耗拆分!$B$18*建筑各项能耗拆分!AI170</f>
        <v>0</v>
      </c>
      <c r="AJ7" s="1">
        <f>建筑各项能耗拆分!$B$18*建筑各项能耗拆分!AJ170</f>
        <v>0</v>
      </c>
      <c r="AK7" s="1">
        <f>建筑各项能耗拆分!$B$18*建筑各项能耗拆分!AK170</f>
        <v>0</v>
      </c>
      <c r="AL7" s="1">
        <f>建筑各项能耗拆分!$B$18*建筑各项能耗拆分!AL170</f>
        <v>0</v>
      </c>
      <c r="AM7" s="1">
        <f>建筑各项能耗拆分!$B$18*建筑各项能耗拆分!AM170</f>
        <v>0</v>
      </c>
      <c r="AN7" s="1">
        <f>建筑各项能耗拆分!$B$18*建筑各项能耗拆分!AN170</f>
        <v>0</v>
      </c>
      <c r="AO7" s="1">
        <f>建筑各项能耗拆分!$B$18*建筑各项能耗拆分!AO170</f>
        <v>0</v>
      </c>
      <c r="AP7" s="1">
        <f>建筑各项能耗拆分!$B$18*建筑各项能耗拆分!AP170</f>
        <v>0</v>
      </c>
      <c r="AQ7" s="1">
        <f>建筑各项能耗拆分!$B$18*建筑各项能耗拆分!AQ170</f>
        <v>0</v>
      </c>
      <c r="AR7" s="1">
        <f>建筑各项能耗拆分!$B$18*建筑各项能耗拆分!AR170</f>
        <v>0</v>
      </c>
    </row>
    <row r="8" spans="1:44">
      <c r="A8" t="s">
        <v>1115</v>
      </c>
      <c r="B8" s="1">
        <f>建筑各项能耗拆分!$B$18*建筑各项能耗拆分!B171</f>
        <v>0</v>
      </c>
      <c r="C8" s="1">
        <f>建筑各项能耗拆分!$B$18*建筑各项能耗拆分!C171</f>
        <v>0</v>
      </c>
      <c r="D8" s="1">
        <f>建筑各项能耗拆分!$B$18*建筑各项能耗拆分!D171</f>
        <v>0</v>
      </c>
      <c r="E8" s="1">
        <f>建筑各项能耗拆分!$B$18*建筑各项能耗拆分!E171</f>
        <v>0</v>
      </c>
      <c r="F8" s="1">
        <f>建筑各项能耗拆分!$B$18*建筑各项能耗拆分!F171</f>
        <v>0</v>
      </c>
      <c r="G8" s="1">
        <f>建筑各项能耗拆分!$B$18*建筑各项能耗拆分!G171</f>
        <v>0</v>
      </c>
      <c r="H8" s="1">
        <f>建筑各项能耗拆分!$B$18*建筑各项能耗拆分!H171</f>
        <v>0</v>
      </c>
      <c r="I8" s="1">
        <f>建筑各项能耗拆分!$B$18*建筑各项能耗拆分!I171</f>
        <v>0</v>
      </c>
      <c r="J8" s="1">
        <f>建筑各项能耗拆分!$B$18*建筑各项能耗拆分!J171</f>
        <v>0</v>
      </c>
      <c r="K8" s="1">
        <f>建筑各项能耗拆分!$B$18*建筑各项能耗拆分!K171</f>
        <v>0</v>
      </c>
      <c r="L8" s="1">
        <f>建筑各项能耗拆分!$B$18*建筑各项能耗拆分!L171</f>
        <v>0</v>
      </c>
      <c r="M8" s="1">
        <f>建筑各项能耗拆分!$B$18*建筑各项能耗拆分!M171</f>
        <v>0</v>
      </c>
      <c r="N8" s="1">
        <f>建筑各项能耗拆分!$B$18*建筑各项能耗拆分!N171</f>
        <v>0</v>
      </c>
      <c r="O8" s="1">
        <f>建筑各项能耗拆分!$B$18*建筑各项能耗拆分!O171</f>
        <v>0</v>
      </c>
      <c r="P8" s="1">
        <f>建筑各项能耗拆分!$B$18*建筑各项能耗拆分!P171</f>
        <v>0</v>
      </c>
      <c r="Q8" s="1">
        <f>建筑各项能耗拆分!$B$18*建筑各项能耗拆分!Q171</f>
        <v>0</v>
      </c>
      <c r="R8" s="1">
        <f>建筑各项能耗拆分!$B$18*建筑各项能耗拆分!R171</f>
        <v>0</v>
      </c>
      <c r="S8" s="1">
        <f>建筑各项能耗拆分!$B$18*建筑各项能耗拆分!S171</f>
        <v>0</v>
      </c>
      <c r="T8" s="1">
        <f>建筑各项能耗拆分!$B$18*建筑各项能耗拆分!T171</f>
        <v>0</v>
      </c>
      <c r="U8" s="1">
        <f>建筑各项能耗拆分!$B$18*建筑各项能耗拆分!U171</f>
        <v>0</v>
      </c>
      <c r="V8" s="1">
        <f>建筑各项能耗拆分!$B$18*建筑各项能耗拆分!V171</f>
        <v>0</v>
      </c>
      <c r="W8" s="1">
        <f>建筑各项能耗拆分!$B$18*建筑各项能耗拆分!W171</f>
        <v>0</v>
      </c>
      <c r="X8" s="1">
        <f>建筑各项能耗拆分!$B$18*建筑各项能耗拆分!X171</f>
        <v>0</v>
      </c>
      <c r="Y8" s="1">
        <f>建筑各项能耗拆分!$B$18*建筑各项能耗拆分!Y171</f>
        <v>0</v>
      </c>
      <c r="Z8" s="1">
        <f>建筑各项能耗拆分!$B$18*建筑各项能耗拆分!Z171</f>
        <v>0</v>
      </c>
      <c r="AA8" s="1">
        <f>建筑各项能耗拆分!$B$18*建筑各项能耗拆分!AA171</f>
        <v>0</v>
      </c>
      <c r="AB8" s="1">
        <f>建筑各项能耗拆分!$B$18*建筑各项能耗拆分!AB171</f>
        <v>0</v>
      </c>
      <c r="AC8" s="1">
        <f>建筑各项能耗拆分!$B$18*建筑各项能耗拆分!AC171</f>
        <v>0</v>
      </c>
      <c r="AD8" s="1">
        <f>建筑各项能耗拆分!$B$18*建筑各项能耗拆分!AD171</f>
        <v>0</v>
      </c>
      <c r="AE8" s="1">
        <f>建筑各项能耗拆分!$B$18*建筑各项能耗拆分!AE171</f>
        <v>0</v>
      </c>
      <c r="AF8" s="1">
        <f>建筑各项能耗拆分!$B$18*建筑各项能耗拆分!AF171</f>
        <v>0</v>
      </c>
      <c r="AG8" s="1">
        <f>建筑各项能耗拆分!$B$18*建筑各项能耗拆分!AG171</f>
        <v>0</v>
      </c>
      <c r="AH8" s="1">
        <f>建筑各项能耗拆分!$B$18*建筑各项能耗拆分!AH171</f>
        <v>0</v>
      </c>
      <c r="AI8" s="1">
        <f>建筑各项能耗拆分!$B$18*建筑各项能耗拆分!AI171</f>
        <v>0</v>
      </c>
      <c r="AJ8" s="1">
        <f>建筑各项能耗拆分!$B$18*建筑各项能耗拆分!AJ171</f>
        <v>0</v>
      </c>
      <c r="AK8" s="1">
        <f>建筑各项能耗拆分!$B$18*建筑各项能耗拆分!AK171</f>
        <v>0</v>
      </c>
      <c r="AL8" s="1">
        <f>建筑各项能耗拆分!$B$18*建筑各项能耗拆分!AL171</f>
        <v>0</v>
      </c>
      <c r="AM8" s="1">
        <f>建筑各项能耗拆分!$B$18*建筑各项能耗拆分!AM171</f>
        <v>0</v>
      </c>
      <c r="AN8" s="1">
        <f>建筑各项能耗拆分!$B$18*建筑各项能耗拆分!AN171</f>
        <v>0</v>
      </c>
      <c r="AO8" s="1">
        <f>建筑各项能耗拆分!$B$18*建筑各项能耗拆分!AO171</f>
        <v>0</v>
      </c>
      <c r="AP8" s="1">
        <f>建筑各项能耗拆分!$B$18*建筑各项能耗拆分!AP171</f>
        <v>0</v>
      </c>
      <c r="AQ8" s="1">
        <f>建筑各项能耗拆分!$B$18*建筑各项能耗拆分!AQ171</f>
        <v>0</v>
      </c>
      <c r="AR8" s="1">
        <f>建筑各项能耗拆分!$B$18*建筑各项能耗拆分!AR171</f>
        <v>0</v>
      </c>
    </row>
    <row r="9" spans="1:44">
      <c r="A9" t="s">
        <v>1116</v>
      </c>
      <c r="B9" s="1">
        <f>建筑各项能耗拆分!$B$18*建筑各项能耗拆分!B172</f>
        <v>0</v>
      </c>
      <c r="C9" s="1">
        <f>建筑各项能耗拆分!$B$18*建筑各项能耗拆分!C172</f>
        <v>0</v>
      </c>
      <c r="D9" s="1">
        <f>建筑各项能耗拆分!$B$18*建筑各项能耗拆分!D172</f>
        <v>0</v>
      </c>
      <c r="E9" s="1">
        <f>建筑各项能耗拆分!$B$18*建筑各项能耗拆分!E172</f>
        <v>0</v>
      </c>
      <c r="F9" s="1">
        <f>建筑各项能耗拆分!$B$18*建筑各项能耗拆分!F172</f>
        <v>0</v>
      </c>
      <c r="G9" s="1">
        <f>建筑各项能耗拆分!$B$18*建筑各项能耗拆分!G172</f>
        <v>0</v>
      </c>
      <c r="H9" s="1">
        <f>建筑各项能耗拆分!$B$18*建筑各项能耗拆分!H172</f>
        <v>0</v>
      </c>
      <c r="I9" s="1">
        <f>建筑各项能耗拆分!$B$18*建筑各项能耗拆分!I172</f>
        <v>0</v>
      </c>
      <c r="J9" s="1">
        <f>建筑各项能耗拆分!$B$18*建筑各项能耗拆分!J172</f>
        <v>0</v>
      </c>
      <c r="K9" s="1">
        <f>建筑各项能耗拆分!$B$18*建筑各项能耗拆分!K172</f>
        <v>0</v>
      </c>
      <c r="L9" s="1">
        <f>建筑各项能耗拆分!$B$18*建筑各项能耗拆分!L172</f>
        <v>0</v>
      </c>
      <c r="M9" s="1">
        <f>建筑各项能耗拆分!$B$18*建筑各项能耗拆分!M172</f>
        <v>0</v>
      </c>
      <c r="N9" s="1">
        <f>建筑各项能耗拆分!$B$18*建筑各项能耗拆分!N172</f>
        <v>0</v>
      </c>
      <c r="O9" s="1">
        <f>建筑各项能耗拆分!$B$18*建筑各项能耗拆分!O172</f>
        <v>0</v>
      </c>
      <c r="P9" s="1">
        <f>建筑各项能耗拆分!$B$18*建筑各项能耗拆分!P172</f>
        <v>0</v>
      </c>
      <c r="Q9" s="1">
        <f>建筑各项能耗拆分!$B$18*建筑各项能耗拆分!Q172</f>
        <v>0</v>
      </c>
      <c r="R9" s="1">
        <f>建筑各项能耗拆分!$B$18*建筑各项能耗拆分!R172</f>
        <v>0</v>
      </c>
      <c r="S9" s="1">
        <f>建筑各项能耗拆分!$B$18*建筑各项能耗拆分!S172</f>
        <v>0</v>
      </c>
      <c r="T9" s="1">
        <f>建筑各项能耗拆分!$B$18*建筑各项能耗拆分!T172</f>
        <v>0</v>
      </c>
      <c r="U9" s="1">
        <f>建筑各项能耗拆分!$B$18*建筑各项能耗拆分!U172</f>
        <v>0</v>
      </c>
      <c r="V9" s="1">
        <f>建筑各项能耗拆分!$B$18*建筑各项能耗拆分!V172</f>
        <v>0</v>
      </c>
      <c r="W9" s="1">
        <f>建筑各项能耗拆分!$B$18*建筑各项能耗拆分!W172</f>
        <v>0</v>
      </c>
      <c r="X9" s="1">
        <f>建筑各项能耗拆分!$B$18*建筑各项能耗拆分!X172</f>
        <v>0</v>
      </c>
      <c r="Y9" s="1">
        <f>建筑各项能耗拆分!$B$18*建筑各项能耗拆分!Y172</f>
        <v>0</v>
      </c>
      <c r="Z9" s="1">
        <f>建筑各项能耗拆分!$B$18*建筑各项能耗拆分!Z172</f>
        <v>0</v>
      </c>
      <c r="AA9" s="1">
        <f>建筑各项能耗拆分!$B$18*建筑各项能耗拆分!AA172</f>
        <v>0</v>
      </c>
      <c r="AB9" s="1">
        <f>建筑各项能耗拆分!$B$18*建筑各项能耗拆分!AB172</f>
        <v>0</v>
      </c>
      <c r="AC9" s="1">
        <f>建筑各项能耗拆分!$B$18*建筑各项能耗拆分!AC172</f>
        <v>0</v>
      </c>
      <c r="AD9" s="1">
        <f>建筑各项能耗拆分!$B$18*建筑各项能耗拆分!AD172</f>
        <v>0</v>
      </c>
      <c r="AE9" s="1">
        <f>建筑各项能耗拆分!$B$18*建筑各项能耗拆分!AE172</f>
        <v>0</v>
      </c>
      <c r="AF9" s="1">
        <f>建筑各项能耗拆分!$B$18*建筑各项能耗拆分!AF172</f>
        <v>0</v>
      </c>
      <c r="AG9" s="1">
        <f>建筑各项能耗拆分!$B$18*建筑各项能耗拆分!AG172</f>
        <v>0</v>
      </c>
      <c r="AH9" s="1">
        <f>建筑各项能耗拆分!$B$18*建筑各项能耗拆分!AH172</f>
        <v>0</v>
      </c>
      <c r="AI9" s="1">
        <f>建筑各项能耗拆分!$B$18*建筑各项能耗拆分!AI172</f>
        <v>0</v>
      </c>
      <c r="AJ9" s="1">
        <f>建筑各项能耗拆分!$B$18*建筑各项能耗拆分!AJ172</f>
        <v>0</v>
      </c>
      <c r="AK9" s="1">
        <f>建筑各项能耗拆分!$B$18*建筑各项能耗拆分!AK172</f>
        <v>0</v>
      </c>
      <c r="AL9" s="1">
        <f>建筑各项能耗拆分!$B$18*建筑各项能耗拆分!AL172</f>
        <v>0</v>
      </c>
      <c r="AM9" s="1">
        <f>建筑各项能耗拆分!$B$18*建筑各项能耗拆分!AM172</f>
        <v>0</v>
      </c>
      <c r="AN9" s="1">
        <f>建筑各项能耗拆分!$B$18*建筑各项能耗拆分!AN172</f>
        <v>0</v>
      </c>
      <c r="AO9" s="1">
        <f>建筑各项能耗拆分!$B$18*建筑各项能耗拆分!AO172</f>
        <v>0</v>
      </c>
      <c r="AP9" s="1">
        <f>建筑各项能耗拆分!$B$18*建筑各项能耗拆分!AP172</f>
        <v>0</v>
      </c>
      <c r="AQ9" s="1">
        <f>建筑各项能耗拆分!$B$18*建筑各项能耗拆分!AQ172</f>
        <v>0</v>
      </c>
      <c r="AR9" s="1">
        <f>建筑各项能耗拆分!$B$18*建筑各项能耗拆分!AR172</f>
        <v>0</v>
      </c>
    </row>
    <row r="10" spans="1:44">
      <c r="A10" t="s">
        <v>1117</v>
      </c>
      <c r="B10" s="1">
        <f>建筑各项能耗拆分!$B$18*建筑各项能耗拆分!B173</f>
        <v>193099087041619</v>
      </c>
      <c r="C10" s="1">
        <f>建筑各项能耗拆分!$B$18*建筑各项能耗拆分!C173</f>
        <v>0</v>
      </c>
      <c r="D10" s="1">
        <f>建筑各项能耗拆分!$B$18*建筑各项能耗拆分!D173</f>
        <v>0</v>
      </c>
      <c r="E10" s="1">
        <f>建筑各项能耗拆分!$B$18*建筑各项能耗拆分!E173</f>
        <v>0</v>
      </c>
      <c r="F10" s="1">
        <f>建筑各项能耗拆分!$B$18*建筑各项能耗拆分!F173</f>
        <v>0</v>
      </c>
      <c r="G10" s="1">
        <f>建筑各项能耗拆分!$B$18*建筑各项能耗拆分!G173</f>
        <v>0</v>
      </c>
      <c r="H10" s="1">
        <f>建筑各项能耗拆分!$B$18*建筑各项能耗拆分!H173</f>
        <v>0</v>
      </c>
      <c r="I10" s="1">
        <f>建筑各项能耗拆分!$B$18*建筑各项能耗拆分!I173</f>
        <v>0</v>
      </c>
      <c r="J10" s="1">
        <f>建筑各项能耗拆分!$B$18*建筑各项能耗拆分!J173</f>
        <v>0</v>
      </c>
      <c r="K10" s="1">
        <f>建筑各项能耗拆分!$B$18*建筑各项能耗拆分!K173</f>
        <v>0</v>
      </c>
      <c r="L10" s="1">
        <f>建筑各项能耗拆分!$B$18*建筑各项能耗拆分!L173</f>
        <v>0</v>
      </c>
      <c r="M10" s="1">
        <f>建筑各项能耗拆分!$B$18*建筑各项能耗拆分!M173</f>
        <v>0</v>
      </c>
      <c r="N10" s="1">
        <f>建筑各项能耗拆分!$B$18*建筑各项能耗拆分!N173</f>
        <v>0</v>
      </c>
      <c r="O10" s="1">
        <f>建筑各项能耗拆分!$B$18*建筑各项能耗拆分!O173</f>
        <v>0</v>
      </c>
      <c r="P10" s="1">
        <f>建筑各项能耗拆分!$B$18*建筑各项能耗拆分!P173</f>
        <v>0</v>
      </c>
      <c r="Q10" s="1">
        <f>建筑各项能耗拆分!$B$18*建筑各项能耗拆分!Q173</f>
        <v>0</v>
      </c>
      <c r="R10" s="1">
        <f>建筑各项能耗拆分!$B$18*建筑各项能耗拆分!R173</f>
        <v>0</v>
      </c>
      <c r="S10" s="1">
        <f>建筑各项能耗拆分!$B$18*建筑各项能耗拆分!S173</f>
        <v>0</v>
      </c>
      <c r="T10" s="1">
        <f>建筑各项能耗拆分!$B$18*建筑各项能耗拆分!T173</f>
        <v>0</v>
      </c>
      <c r="U10" s="1">
        <f>建筑各项能耗拆分!$B$18*建筑各项能耗拆分!U173</f>
        <v>0</v>
      </c>
      <c r="V10" s="1">
        <f>建筑各项能耗拆分!$B$18*建筑各项能耗拆分!V173</f>
        <v>0</v>
      </c>
      <c r="W10" s="1">
        <f>建筑各项能耗拆分!$B$18*建筑各项能耗拆分!W173</f>
        <v>0</v>
      </c>
      <c r="X10" s="1">
        <f>建筑各项能耗拆分!$B$18*建筑各项能耗拆分!X173</f>
        <v>0</v>
      </c>
      <c r="Y10" s="1">
        <f>建筑各项能耗拆分!$B$18*建筑各项能耗拆分!Y173</f>
        <v>0</v>
      </c>
      <c r="Z10" s="1">
        <f>建筑各项能耗拆分!$B$18*建筑各项能耗拆分!Z173</f>
        <v>0</v>
      </c>
      <c r="AA10" s="1">
        <f>建筑各项能耗拆分!$B$18*建筑各项能耗拆分!AA173</f>
        <v>0</v>
      </c>
      <c r="AB10" s="1">
        <f>建筑各项能耗拆分!$B$18*建筑各项能耗拆分!AB173</f>
        <v>0</v>
      </c>
      <c r="AC10" s="1">
        <f>建筑各项能耗拆分!$B$18*建筑各项能耗拆分!AC173</f>
        <v>0</v>
      </c>
      <c r="AD10" s="1">
        <f>建筑各项能耗拆分!$B$18*建筑各项能耗拆分!AD173</f>
        <v>0</v>
      </c>
      <c r="AE10" s="1">
        <f>建筑各项能耗拆分!$B$18*建筑各项能耗拆分!AE173</f>
        <v>0</v>
      </c>
      <c r="AF10" s="1">
        <f>建筑各项能耗拆分!$B$18*建筑各项能耗拆分!AF173</f>
        <v>0</v>
      </c>
      <c r="AG10" s="1">
        <f>建筑各项能耗拆分!$B$18*建筑各项能耗拆分!AG173</f>
        <v>0</v>
      </c>
      <c r="AH10" s="1">
        <f>建筑各项能耗拆分!$B$18*建筑各项能耗拆分!AH173</f>
        <v>0</v>
      </c>
      <c r="AI10" s="1">
        <f>建筑各项能耗拆分!$B$18*建筑各项能耗拆分!AI173</f>
        <v>0</v>
      </c>
      <c r="AJ10" s="1">
        <f>建筑各项能耗拆分!$B$18*建筑各项能耗拆分!AJ173</f>
        <v>0</v>
      </c>
      <c r="AK10" s="1">
        <f>建筑各项能耗拆分!$B$18*建筑各项能耗拆分!AK173</f>
        <v>0</v>
      </c>
      <c r="AL10" s="1">
        <f>建筑各项能耗拆分!$B$18*建筑各项能耗拆分!AL173</f>
        <v>0</v>
      </c>
      <c r="AM10" s="1">
        <f>建筑各项能耗拆分!$B$18*建筑各项能耗拆分!AM173</f>
        <v>0</v>
      </c>
      <c r="AN10" s="1">
        <f>建筑各项能耗拆分!$B$18*建筑各项能耗拆分!AN173</f>
        <v>0</v>
      </c>
      <c r="AO10" s="1">
        <f>建筑各项能耗拆分!$B$18*建筑各项能耗拆分!AO173</f>
        <v>0</v>
      </c>
      <c r="AP10" s="1">
        <f>建筑各项能耗拆分!$B$18*建筑各项能耗拆分!AP173</f>
        <v>0</v>
      </c>
      <c r="AQ10" s="1">
        <f>建筑各项能耗拆分!$B$18*建筑各项能耗拆分!AQ173</f>
        <v>0</v>
      </c>
      <c r="AR10" s="1">
        <f>建筑各项能耗拆分!$B$18*建筑各项能耗拆分!AR173</f>
        <v>0</v>
      </c>
    </row>
    <row r="11" spans="1:44">
      <c r="A11" t="s">
        <v>1118</v>
      </c>
      <c r="B11" s="1">
        <f>建筑各项能耗拆分!$B$18*建筑各项能耗拆分!B174</f>
        <v>0</v>
      </c>
      <c r="C11" s="1">
        <f>建筑各项能耗拆分!$B$18*建筑各项能耗拆分!C174</f>
        <v>0</v>
      </c>
      <c r="D11" s="1">
        <f>建筑各项能耗拆分!$B$18*建筑各项能耗拆分!D174</f>
        <v>0</v>
      </c>
      <c r="E11" s="1">
        <f>建筑各项能耗拆分!$B$18*建筑各项能耗拆分!E174</f>
        <v>0</v>
      </c>
      <c r="F11" s="1">
        <f>建筑各项能耗拆分!$B$18*建筑各项能耗拆分!F174</f>
        <v>0</v>
      </c>
      <c r="G11" s="1">
        <f>建筑各项能耗拆分!$B$18*建筑各项能耗拆分!G174</f>
        <v>0</v>
      </c>
      <c r="H11" s="1">
        <f>建筑各项能耗拆分!$B$18*建筑各项能耗拆分!H174</f>
        <v>0</v>
      </c>
      <c r="I11" s="1">
        <f>建筑各项能耗拆分!$B$18*建筑各项能耗拆分!I174</f>
        <v>0</v>
      </c>
      <c r="J11" s="1">
        <f>建筑各项能耗拆分!$B$18*建筑各项能耗拆分!J174</f>
        <v>0</v>
      </c>
      <c r="K11" s="1">
        <f>建筑各项能耗拆分!$B$18*建筑各项能耗拆分!K174</f>
        <v>0</v>
      </c>
      <c r="L11" s="1">
        <f>建筑各项能耗拆分!$B$18*建筑各项能耗拆分!L174</f>
        <v>0</v>
      </c>
      <c r="M11" s="1">
        <f>建筑各项能耗拆分!$B$18*建筑各项能耗拆分!M174</f>
        <v>0</v>
      </c>
      <c r="N11" s="1">
        <f>建筑各项能耗拆分!$B$18*建筑各项能耗拆分!N174</f>
        <v>0</v>
      </c>
      <c r="O11" s="1">
        <f>建筑各项能耗拆分!$B$18*建筑各项能耗拆分!O174</f>
        <v>0</v>
      </c>
      <c r="P11" s="1">
        <f>建筑各项能耗拆分!$B$18*建筑各项能耗拆分!P174</f>
        <v>0</v>
      </c>
      <c r="Q11" s="1">
        <f>建筑各项能耗拆分!$B$18*建筑各项能耗拆分!Q174</f>
        <v>0</v>
      </c>
      <c r="R11" s="1">
        <f>建筑各项能耗拆分!$B$18*建筑各项能耗拆分!R174</f>
        <v>0</v>
      </c>
      <c r="S11" s="1">
        <f>建筑各项能耗拆分!$B$18*建筑各项能耗拆分!S174</f>
        <v>0</v>
      </c>
      <c r="T11" s="1">
        <f>建筑各项能耗拆分!$B$18*建筑各项能耗拆分!T174</f>
        <v>0</v>
      </c>
      <c r="U11" s="1">
        <f>建筑各项能耗拆分!$B$18*建筑各项能耗拆分!U174</f>
        <v>0</v>
      </c>
      <c r="V11" s="1">
        <f>建筑各项能耗拆分!$B$18*建筑各项能耗拆分!V174</f>
        <v>0</v>
      </c>
      <c r="W11" s="1">
        <f>建筑各项能耗拆分!$B$18*建筑各项能耗拆分!W174</f>
        <v>0</v>
      </c>
      <c r="X11" s="1">
        <f>建筑各项能耗拆分!$B$18*建筑各项能耗拆分!X174</f>
        <v>0</v>
      </c>
      <c r="Y11" s="1">
        <f>建筑各项能耗拆分!$B$18*建筑各项能耗拆分!Y174</f>
        <v>0</v>
      </c>
      <c r="Z11" s="1">
        <f>建筑各项能耗拆分!$B$18*建筑各项能耗拆分!Z174</f>
        <v>0</v>
      </c>
      <c r="AA11" s="1">
        <f>建筑各项能耗拆分!$B$18*建筑各项能耗拆分!AA174</f>
        <v>0</v>
      </c>
      <c r="AB11" s="1">
        <f>建筑各项能耗拆分!$B$18*建筑各项能耗拆分!AB174</f>
        <v>0</v>
      </c>
      <c r="AC11" s="1">
        <f>建筑各项能耗拆分!$B$18*建筑各项能耗拆分!AC174</f>
        <v>0</v>
      </c>
      <c r="AD11" s="1">
        <f>建筑各项能耗拆分!$B$18*建筑各项能耗拆分!AD174</f>
        <v>0</v>
      </c>
      <c r="AE11" s="1">
        <f>建筑各项能耗拆分!$B$18*建筑各项能耗拆分!AE174</f>
        <v>0</v>
      </c>
      <c r="AF11" s="1">
        <f>建筑各项能耗拆分!$B$18*建筑各项能耗拆分!AF174</f>
        <v>0</v>
      </c>
      <c r="AG11" s="1">
        <f>建筑各项能耗拆分!$B$18*建筑各项能耗拆分!AG174</f>
        <v>0</v>
      </c>
      <c r="AH11" s="1">
        <f>建筑各项能耗拆分!$B$18*建筑各项能耗拆分!AH174</f>
        <v>0</v>
      </c>
      <c r="AI11" s="1">
        <f>建筑各项能耗拆分!$B$18*建筑各项能耗拆分!AI174</f>
        <v>0</v>
      </c>
      <c r="AJ11" s="1">
        <f>建筑各项能耗拆分!$B$18*建筑各项能耗拆分!AJ174</f>
        <v>0</v>
      </c>
      <c r="AK11" s="1">
        <f>建筑各项能耗拆分!$B$18*建筑各项能耗拆分!AK174</f>
        <v>0</v>
      </c>
      <c r="AL11" s="1">
        <f>建筑各项能耗拆分!$B$18*建筑各项能耗拆分!AL174</f>
        <v>0</v>
      </c>
      <c r="AM11" s="1">
        <f>建筑各项能耗拆分!$B$18*建筑各项能耗拆分!AM174</f>
        <v>0</v>
      </c>
      <c r="AN11" s="1">
        <f>建筑各项能耗拆分!$B$18*建筑各项能耗拆分!AN174</f>
        <v>0</v>
      </c>
      <c r="AO11" s="1">
        <f>建筑各项能耗拆分!$B$18*建筑各项能耗拆分!AO174</f>
        <v>0</v>
      </c>
      <c r="AP11" s="1">
        <f>建筑各项能耗拆分!$B$18*建筑各项能耗拆分!AP174</f>
        <v>0</v>
      </c>
      <c r="AQ11" s="1">
        <f>建筑各项能耗拆分!$B$18*建筑各项能耗拆分!AQ174</f>
        <v>0</v>
      </c>
      <c r="AR11" s="1">
        <f>建筑各项能耗拆分!$B$18*建筑各项能耗拆分!AR174</f>
        <v>0</v>
      </c>
    </row>
    <row r="12" spans="1:44">
      <c r="A12" t="s">
        <v>1119</v>
      </c>
      <c r="B12" s="1">
        <f>SUM(B2:B11)</f>
        <v>681540327270215</v>
      </c>
      <c r="C12" s="1">
        <f t="shared" ref="C12:AR12" si="0">SUM(C2:C11)</f>
        <v>393055484507069</v>
      </c>
      <c r="D12" s="1">
        <f t="shared" si="0"/>
        <v>423770836239440</v>
      </c>
      <c r="E12" s="1">
        <f t="shared" si="0"/>
        <v>442999934424622</v>
      </c>
      <c r="F12" s="1">
        <f t="shared" si="0"/>
        <v>504657141504348</v>
      </c>
      <c r="G12" s="1">
        <f t="shared" si="0"/>
        <v>486507210102777</v>
      </c>
      <c r="H12" s="1">
        <f t="shared" si="0"/>
        <v>417175214254282</v>
      </c>
      <c r="I12" s="1">
        <f t="shared" si="0"/>
        <v>375476655874796</v>
      </c>
      <c r="J12" s="1">
        <f t="shared" si="0"/>
        <v>371265059330393</v>
      </c>
      <c r="K12" s="1">
        <f t="shared" si="0"/>
        <v>363727878460903</v>
      </c>
      <c r="L12" s="1">
        <f t="shared" si="0"/>
        <v>355610330736439</v>
      </c>
      <c r="M12" s="1">
        <f t="shared" si="0"/>
        <v>344364999045959</v>
      </c>
      <c r="N12" s="1">
        <f t="shared" si="0"/>
        <v>330796248695152</v>
      </c>
      <c r="O12" s="1">
        <f t="shared" si="0"/>
        <v>314090188767103</v>
      </c>
      <c r="P12" s="1">
        <f t="shared" si="0"/>
        <v>294898694173754</v>
      </c>
      <c r="Q12" s="1">
        <f t="shared" si="0"/>
        <v>273027199223958</v>
      </c>
      <c r="R12" s="1">
        <f t="shared" si="0"/>
        <v>248862009410720</v>
      </c>
      <c r="S12" s="1">
        <f t="shared" si="0"/>
        <v>264034951617616</v>
      </c>
      <c r="T12" s="1">
        <f t="shared" si="0"/>
        <v>251934125843763</v>
      </c>
      <c r="U12" s="1">
        <f t="shared" si="0"/>
        <v>238405700379365</v>
      </c>
      <c r="V12" s="1">
        <f t="shared" si="0"/>
        <v>233509317800695</v>
      </c>
      <c r="W12" s="1">
        <f t="shared" si="0"/>
        <v>229576276364232</v>
      </c>
      <c r="X12" s="1">
        <f t="shared" si="0"/>
        <v>224808216502877</v>
      </c>
      <c r="Y12" s="1">
        <f t="shared" si="0"/>
        <v>221092039607848</v>
      </c>
      <c r="Z12" s="1">
        <f t="shared" si="0"/>
        <v>216747752894174</v>
      </c>
      <c r="AA12" s="1">
        <f t="shared" si="0"/>
        <v>211794265101816</v>
      </c>
      <c r="AB12" s="1">
        <f t="shared" si="0"/>
        <v>206265550182118</v>
      </c>
      <c r="AC12" s="1">
        <f t="shared" si="0"/>
        <v>200208991983266</v>
      </c>
      <c r="AD12" s="1">
        <f t="shared" si="0"/>
        <v>192870775393907</v>
      </c>
      <c r="AE12" s="1">
        <f t="shared" si="0"/>
        <v>184979757784627</v>
      </c>
      <c r="AF12" s="1">
        <f t="shared" si="0"/>
        <v>176575189489049</v>
      </c>
      <c r="AG12" s="1">
        <f t="shared" si="0"/>
        <v>167718699657112</v>
      </c>
      <c r="AH12" s="1">
        <f t="shared" si="0"/>
        <v>158360310381980</v>
      </c>
      <c r="AI12" s="1">
        <f t="shared" si="0"/>
        <v>143624359420187</v>
      </c>
      <c r="AJ12" s="1">
        <f t="shared" si="0"/>
        <v>128436346846996</v>
      </c>
      <c r="AK12" s="1">
        <f t="shared" si="0"/>
        <v>112777648126684</v>
      </c>
      <c r="AL12" s="1">
        <f t="shared" si="0"/>
        <v>96693433126878.2</v>
      </c>
      <c r="AM12" s="1">
        <f t="shared" si="0"/>
        <v>80212683626146</v>
      </c>
      <c r="AN12" s="1">
        <f t="shared" si="0"/>
        <v>62711426506744.1</v>
      </c>
      <c r="AO12" s="1">
        <f t="shared" si="0"/>
        <v>44817123836045.9</v>
      </c>
      <c r="AP12" s="1">
        <f t="shared" si="0"/>
        <v>26559370045144.1</v>
      </c>
      <c r="AQ12" s="1">
        <f t="shared" si="0"/>
        <v>7956627846858.77</v>
      </c>
      <c r="AR12" s="1">
        <f t="shared" si="0"/>
        <v>0</v>
      </c>
    </row>
  </sheetData>
  <pageMargins left="0.7" right="0.7" top="0.75" bottom="0.75" header="0.3" footer="0.3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2060"/>
  </sheetPr>
  <dimension ref="A1:AR15"/>
  <sheetViews>
    <sheetView workbookViewId="0">
      <selection activeCell="A1" sqref="$A1:$XFD1048576"/>
    </sheetView>
  </sheetViews>
  <sheetFormatPr defaultColWidth="9" defaultRowHeight="13.5"/>
  <cols>
    <col min="1" max="1" width="37.25" customWidth="1"/>
    <col min="2" max="44" width="13.6333333333333" customWidth="1"/>
  </cols>
  <sheetData>
    <row r="1" spans="1:44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>
      <c r="A2" t="s">
        <v>1109</v>
      </c>
      <c r="B2" s="1">
        <f>建筑各项能耗拆分!$B$18*建筑各项能耗拆分!B178</f>
        <v>0</v>
      </c>
      <c r="C2" s="1">
        <f>建筑各项能耗拆分!$B$18*建筑各项能耗拆分!C178</f>
        <v>146416896294971</v>
      </c>
      <c r="D2" s="1">
        <f>建筑各项能耗拆分!$B$18*建筑各项能耗拆分!D178</f>
        <v>148966950968545</v>
      </c>
      <c r="E2" s="1">
        <f>建筑各项能耗拆分!$B$18*建筑各项能耗拆分!E178</f>
        <v>177052696253254</v>
      </c>
      <c r="F2" s="1">
        <f>建筑各项能耗拆分!$B$18*建筑各项能耗拆分!F178</f>
        <v>181587884192978</v>
      </c>
      <c r="G2" s="1">
        <f>建筑各项能耗拆分!$B$18*建筑各项能耗拆分!G178</f>
        <v>211198779727057</v>
      </c>
      <c r="H2" s="1">
        <f>建筑各项能耗拆分!$B$18*建筑各项能耗拆分!H178</f>
        <v>172410547445351</v>
      </c>
      <c r="I2" s="1">
        <f>建筑各项能耗拆分!$B$18*建筑各项能耗拆分!I178</f>
        <v>168647598898781</v>
      </c>
      <c r="J2" s="1">
        <f>建筑各项能耗拆分!$B$18*建筑各项能耗拆分!J178</f>
        <v>174545603117954</v>
      </c>
      <c r="K2" s="1">
        <f>建筑各项能耗拆分!$B$18*建筑各项能耗拆分!K178</f>
        <v>180284110085503</v>
      </c>
      <c r="L2" s="1">
        <f>建筑各项能耗拆分!$B$18*建筑各项能耗拆分!L178</f>
        <v>185880975149220</v>
      </c>
      <c r="M2" s="1">
        <f>建筑各项能耗拆分!$B$18*建筑各项能耗拆分!M178</f>
        <v>191119360710886</v>
      </c>
      <c r="N2" s="1">
        <f>建筑各项能耗拆分!$B$18*建筑各项能耗拆分!N178</f>
        <v>196058876697670</v>
      </c>
      <c r="O2" s="1">
        <f>建筑各项能耗拆分!$B$18*建筑各项能耗拆分!O178</f>
        <v>200514504414003</v>
      </c>
      <c r="P2" s="1">
        <f>建筑各项能耗拆分!$B$18*建筑各项能耗拆分!P178</f>
        <v>204446147545287</v>
      </c>
      <c r="Q2" s="1">
        <f>建筑各项能耗拆分!$B$18*建筑各项能耗拆分!Q178</f>
        <v>207959834387813</v>
      </c>
      <c r="R2" s="1">
        <f>建筑各项能耗拆分!$B$18*建筑各项能耗拆分!R178</f>
        <v>211005230835143</v>
      </c>
      <c r="S2" s="1">
        <f>建筑各项能耗拆分!$B$18*建筑各项能耗拆分!S178</f>
        <v>229271587080270</v>
      </c>
      <c r="T2" s="1">
        <f>建筑各项能耗拆分!$B$18*建筑各项能耗拆分!T178</f>
        <v>234766489181413</v>
      </c>
      <c r="U2" s="1">
        <f>建筑各项能耗拆分!$B$18*建筑各项能耗拆分!U178</f>
        <v>239958776130853</v>
      </c>
      <c r="V2" s="1">
        <f>建筑各项能耗拆分!$B$18*建筑各项能耗拆分!V178</f>
        <v>246988480510955</v>
      </c>
      <c r="W2" s="1">
        <f>建筑各项能耗拆分!$B$18*建筑各项能耗拆分!W178</f>
        <v>254123144663637</v>
      </c>
      <c r="X2" s="1">
        <f>建筑各项能耗拆分!$B$18*建筑各项能耗拆分!X178</f>
        <v>260982997501515</v>
      </c>
      <c r="Y2" s="1">
        <f>建筑各项能耗拆分!$B$18*建筑各项能耗拆分!Y178</f>
        <v>267323826435524</v>
      </c>
      <c r="Z2" s="1">
        <f>建筑各项能耗拆分!$B$18*建筑各项能耗拆分!Z178</f>
        <v>273397696423502</v>
      </c>
      <c r="AA2" s="1">
        <f>建筑各项能耗拆分!$B$18*建筑各项能耗拆分!AA178</f>
        <v>279215598559451</v>
      </c>
      <c r="AB2" s="1">
        <f>建筑各项能耗拆分!$B$18*建筑各项能耗拆分!AB178</f>
        <v>284777448814210</v>
      </c>
      <c r="AC2" s="1">
        <f>建筑各项能耗拆分!$B$18*建筑各项能耗拆分!AC178</f>
        <v>290123644730763</v>
      </c>
      <c r="AD2" s="1">
        <f>建筑各项能耗拆分!$B$18*建筑各项能耗拆分!AD178</f>
        <v>294989316387115</v>
      </c>
      <c r="AE2" s="1">
        <f>建筑各项能耗拆分!$B$18*建筑各项能耗拆分!AE178</f>
        <v>299621173624406</v>
      </c>
      <c r="AF2" s="1">
        <f>建筑各项能耗拆分!$B$18*建筑各项能耗拆分!AF178</f>
        <v>304045886739775</v>
      </c>
      <c r="AG2" s="1">
        <f>建筑各项能耗拆分!$B$18*建筑各项能耗拆分!AG178</f>
        <v>308298938742099</v>
      </c>
      <c r="AH2" s="1">
        <f>建筑各项能耗拆分!$B$18*建筑各项能耗拆分!AH178</f>
        <v>312344006047284</v>
      </c>
      <c r="AI2" s="1">
        <f>建筑各项能耗拆分!$B$18*建筑各项能耗拆分!AI178</f>
        <v>315335209961899</v>
      </c>
      <c r="AJ2" s="1">
        <f>建筑各项能耗拆分!$B$18*建筑各项能耗拆分!AJ178</f>
        <v>318118009087409</v>
      </c>
      <c r="AK2" s="1">
        <f>建筑各项能耗拆分!$B$18*建筑各项能耗拆分!AK178</f>
        <v>320667442706529</v>
      </c>
      <c r="AL2" s="1">
        <f>建筑各项能耗拆分!$B$18*建筑各项能耗拆分!AL178</f>
        <v>322980770273807</v>
      </c>
      <c r="AM2" s="1">
        <f>建筑各项能耗拆分!$B$18*建筑各项能耗拆分!AM178</f>
        <v>325036337568167</v>
      </c>
      <c r="AN2" s="1">
        <f>建筑各项能耗拆分!$B$18*建筑各项能耗拆分!AN178</f>
        <v>326431800566397</v>
      </c>
      <c r="AO2" s="1">
        <f>建筑各项能耗拆分!$B$18*建筑各项能耗拆分!AO178</f>
        <v>327487685919620</v>
      </c>
      <c r="AP2" s="1">
        <f>建筑各项能耗拆分!$B$18*建筑各项能耗拆分!AP178</f>
        <v>328199114297888</v>
      </c>
      <c r="AQ2" s="1">
        <f>建筑各项能耗拆分!$B$18*建筑各项能耗拆分!AQ178</f>
        <v>328569845281438</v>
      </c>
      <c r="AR2" s="1">
        <f>建筑各项能耗拆分!$B$18*建筑各项能耗拆分!AR178</f>
        <v>328599940844424</v>
      </c>
    </row>
    <row r="3" spans="1:44">
      <c r="A3" t="s">
        <v>1110</v>
      </c>
      <c r="B3" s="1">
        <f>建筑各项能耗拆分!$B$18*建筑各项能耗拆分!B179</f>
        <v>428607634629118</v>
      </c>
      <c r="C3" s="1">
        <f>建筑各项能耗拆分!$B$18*建筑各项能耗拆分!C179</f>
        <v>916939131456183</v>
      </c>
      <c r="D3" s="1">
        <f>建筑各项能耗拆分!$B$18*建筑各项能耗拆分!D179</f>
        <v>831564707131996</v>
      </c>
      <c r="E3" s="1">
        <f>建筑各项能耗拆分!$B$18*建筑各项能耗拆分!E179</f>
        <v>665301680060697</v>
      </c>
      <c r="F3" s="1">
        <f>建筑各项能耗拆分!$B$18*建筑各项能耗拆分!F179</f>
        <v>596068694869267</v>
      </c>
      <c r="G3" s="1">
        <f>建筑各项能耗拆分!$B$18*建筑各项能耗拆分!G179</f>
        <v>653726848211922</v>
      </c>
      <c r="H3" s="1">
        <f>建筑各项能耗拆分!$B$18*建筑各项能耗拆分!H179</f>
        <v>667245864173969</v>
      </c>
      <c r="I3" s="1">
        <f>建筑各项能耗拆分!$B$18*建筑各项能耗拆分!I179</f>
        <v>687186673719604</v>
      </c>
      <c r="J3" s="1">
        <f>建筑各项能耗拆分!$B$18*建筑各项能耗拆分!J179</f>
        <v>704059691365323</v>
      </c>
      <c r="K3" s="1">
        <f>建筑各项能耗拆分!$B$18*建筑各项能耗拆分!K179</f>
        <v>721293756686112</v>
      </c>
      <c r="L3" s="1">
        <f>建筑各项能耗拆分!$B$18*建筑各项能耗拆分!L179</f>
        <v>738899033290798</v>
      </c>
      <c r="M3" s="1">
        <f>建筑各项能耗拆分!$B$18*建筑各项能耗拆分!M179</f>
        <v>756883396542125</v>
      </c>
      <c r="N3" s="1">
        <f>建筑各项能耗拆分!$B$18*建筑各项能耗拆分!N179</f>
        <v>775251015067981</v>
      </c>
      <c r="O3" s="1">
        <f>建筑各项能耗拆分!$B$18*建筑各项能耗拆分!O179</f>
        <v>793508473074455</v>
      </c>
      <c r="P3" s="1">
        <f>建筑各项能耗拆分!$B$18*建筑各项能耗拆分!P179</f>
        <v>812135524846936</v>
      </c>
      <c r="Q3" s="1">
        <f>建筑各项能耗拆分!$B$18*建筑各项能耗拆分!Q179</f>
        <v>831142725169335</v>
      </c>
      <c r="R3" s="1">
        <f>建筑各项能耗拆分!$B$18*建筑各项能耗拆分!R179</f>
        <v>850536754772210</v>
      </c>
      <c r="S3" s="1">
        <f>建筑各项能耗拆分!$B$18*建筑各项能耗拆分!S179</f>
        <v>870321615988124</v>
      </c>
      <c r="T3" s="1">
        <f>建筑各项能耗拆分!$B$18*建筑各项能耗拆分!T179</f>
        <v>878589462659134</v>
      </c>
      <c r="U3" s="1">
        <f>建筑各项能耗拆分!$B$18*建筑各项能耗拆分!U179</f>
        <v>886874706248661</v>
      </c>
      <c r="V3" s="1">
        <f>建筑各项能耗拆分!$B$18*建筑各项能耗拆分!V179</f>
        <v>895171517729607</v>
      </c>
      <c r="W3" s="1">
        <f>建筑各项能耗拆分!$B$18*建筑各项能耗拆分!W179</f>
        <v>903483986137201</v>
      </c>
      <c r="X3" s="1">
        <f>建筑各项能耗拆分!$B$18*建筑各项能耗拆分!X179</f>
        <v>911810666403111</v>
      </c>
      <c r="Y3" s="1">
        <f>建筑各项能耗拆分!$B$18*建筑各项能耗拆分!Y179</f>
        <v>914025815350399</v>
      </c>
      <c r="Z3" s="1">
        <f>建筑各项能耗拆分!$B$18*建筑各项能耗拆分!Z179</f>
        <v>916203486321653</v>
      </c>
      <c r="AA3" s="1">
        <f>建筑各项能耗拆分!$B$18*建筑各项能耗拆分!AA179</f>
        <v>918342960041728</v>
      </c>
      <c r="AB3" s="1">
        <f>建筑各项能耗拆分!$B$18*建筑各项能耗拆分!AB179</f>
        <v>920444900522318</v>
      </c>
      <c r="AC3" s="1">
        <f>建筑各项能耗拆分!$B$18*建筑各项能耗拆分!AC179</f>
        <v>922510072949745</v>
      </c>
      <c r="AD3" s="1">
        <f>建筑各项能耗拆分!$B$18*建筑各项能耗拆分!AD179</f>
        <v>923103492799760</v>
      </c>
      <c r="AE3" s="1">
        <f>建筑各项能耗拆分!$B$18*建筑各项能耗拆分!AE179</f>
        <v>923639125778449</v>
      </c>
      <c r="AF3" s="1">
        <f>建筑各项能耗拆分!$B$18*建筑各项能耗拆分!AF179</f>
        <v>924126162623794</v>
      </c>
      <c r="AG3" s="1">
        <f>建筑各项能耗拆分!$B$18*建筑各项能耗拆分!AG179</f>
        <v>924557118113111</v>
      </c>
      <c r="AH3" s="1">
        <f>建筑各项能耗拆分!$B$18*建筑各项能耗拆分!AH179</f>
        <v>924929539399128</v>
      </c>
      <c r="AI3" s="1">
        <f>建筑各项能耗拆分!$B$18*建筑各项能耗拆分!AI179</f>
        <v>918497805697239</v>
      </c>
      <c r="AJ3" s="1">
        <f>建筑各项能耗拆分!$B$18*建筑各项能耗拆分!AJ179</f>
        <v>912066973214808</v>
      </c>
      <c r="AK3" s="1">
        <f>建筑各项能耗拆分!$B$18*建筑各项能耗拆分!AK179</f>
        <v>905628921624491</v>
      </c>
      <c r="AL3" s="1">
        <f>建筑各项能耗拆分!$B$18*建筑各项能耗拆分!AL179</f>
        <v>899191506839239</v>
      </c>
      <c r="AM3" s="1">
        <f>建筑各项能耗拆分!$B$18*建筑各项能耗拆分!AM179</f>
        <v>892750564545026</v>
      </c>
      <c r="AN3" s="1">
        <f>建筑各项能耗拆分!$B$18*建筑各项能耗拆分!AN179</f>
        <v>885002799634478</v>
      </c>
      <c r="AO3" s="1">
        <f>建筑各项能耗拆分!$B$18*建筑各项能耗拆分!AO179</f>
        <v>877253950709972</v>
      </c>
      <c r="AP3" s="1">
        <f>建筑各项能耗拆分!$B$18*建筑各项能耗拆分!AP179</f>
        <v>869501201885827</v>
      </c>
      <c r="AQ3" s="1">
        <f>建筑各项能耗拆分!$B$18*建筑各项能耗拆分!AQ179</f>
        <v>861744998670519</v>
      </c>
      <c r="AR3" s="1">
        <f>建筑各项能耗拆分!$B$18*建筑各项能耗拆分!AR179</f>
        <v>853985563818299</v>
      </c>
    </row>
    <row r="4" spans="1:44">
      <c r="A4" t="s">
        <v>1111</v>
      </c>
      <c r="B4" s="1">
        <f>建筑各项能耗拆分!$B$18*建筑各项能耗拆分!B180</f>
        <v>0</v>
      </c>
      <c r="C4" s="1">
        <f>建筑各项能耗拆分!$B$18*建筑各项能耗拆分!C180</f>
        <v>142959372156331</v>
      </c>
      <c r="D4" s="1">
        <f>建筑各项能耗拆分!$B$18*建筑各项能耗拆分!D180</f>
        <v>140464923268314</v>
      </c>
      <c r="E4" s="1">
        <f>建筑各项能耗拆分!$B$18*建筑各项能耗拆分!E180</f>
        <v>156684808621498</v>
      </c>
      <c r="F4" s="1">
        <f>建筑各项能耗拆分!$B$18*建筑各项能耗拆分!F180</f>
        <v>162043696423986</v>
      </c>
      <c r="G4" s="1">
        <f>建筑各项能耗拆分!$B$18*建筑各项能耗拆分!G180</f>
        <v>178873921316258</v>
      </c>
      <c r="H4" s="1">
        <f>建筑各项能耗拆分!$B$18*建筑各项能耗拆分!H180</f>
        <v>182573018889017</v>
      </c>
      <c r="I4" s="1">
        <f>建筑各项能耗拆分!$B$18*建筑各项能耗拆分!I180</f>
        <v>188029259224572</v>
      </c>
      <c r="J4" s="1">
        <f>建筑各项能耗拆分!$B$18*建筑各项能耗拆分!J180</f>
        <v>192646084797796</v>
      </c>
      <c r="K4" s="1">
        <f>建筑各项能耗拆分!$B$18*建筑各项能耗拆分!K180</f>
        <v>197361700888189</v>
      </c>
      <c r="L4" s="1">
        <f>建筑各项能耗拆分!$B$18*建筑各项能耗拆分!L180</f>
        <v>202178888480761</v>
      </c>
      <c r="M4" s="1">
        <f>建筑各项能耗拆分!$B$18*建筑各项能耗拆分!M180</f>
        <v>207099802446494</v>
      </c>
      <c r="N4" s="1">
        <f>建筑各项能耗拆分!$B$18*建筑各项能耗拆分!N180</f>
        <v>212125583412883</v>
      </c>
      <c r="O4" s="1">
        <f>建筑各项能耗拆分!$B$18*建筑各项能耗拆分!O180</f>
        <v>217121222058929</v>
      </c>
      <c r="P4" s="1">
        <f>建筑各项能耗拆分!$B$18*建筑各项能耗拆分!P180</f>
        <v>222217989618985</v>
      </c>
      <c r="Q4" s="1">
        <f>建筑各项能耗拆分!$B$18*建筑各项能耗拆分!Q180</f>
        <v>227418774112097</v>
      </c>
      <c r="R4" s="1">
        <f>建筑各项能耗拆分!$B$18*建筑各项能耗拆分!R180</f>
        <v>232725403531828</v>
      </c>
      <c r="S4" s="1">
        <f>建筑各项能耗拆分!$B$18*建筑各项能耗拆分!S180</f>
        <v>238138973003647</v>
      </c>
      <c r="T4" s="1">
        <f>建筑各项能耗拆分!$B$18*建筑各项能耗拆分!T180</f>
        <v>240401236147544</v>
      </c>
      <c r="U4" s="1">
        <f>建筑各项能耗拆分!$B$18*建筑各项能耗拆分!U180</f>
        <v>242668259467715</v>
      </c>
      <c r="V4" s="1">
        <f>建筑各项能耗拆分!$B$18*建筑各项能耗拆分!V180</f>
        <v>244938448015238</v>
      </c>
      <c r="W4" s="1">
        <f>建筑各项能耗拆分!$B$18*建筑各项能耗拆分!W180</f>
        <v>247212920639318</v>
      </c>
      <c r="X4" s="1">
        <f>建筑各项能耗拆分!$B$18*建筑各项能耗拆分!X180</f>
        <v>249491281937747</v>
      </c>
      <c r="Y4" s="1">
        <f>建筑各项能耗拆分!$B$18*建筑各项能耗拆分!Y180</f>
        <v>250097394994881</v>
      </c>
      <c r="Z4" s="1">
        <f>建筑各项能耗拆分!$B$18*建筑各项能耗拆分!Z180</f>
        <v>250693253260502</v>
      </c>
      <c r="AA4" s="1">
        <f>建筑各项能耗拆分!$B$18*建筑各项能耗拆分!AA180</f>
        <v>251278659925242</v>
      </c>
      <c r="AB4" s="1">
        <f>建筑各项能耗拆分!$B$18*建筑各项能耗拆分!AB180</f>
        <v>251853796677182</v>
      </c>
      <c r="AC4" s="1">
        <f>建筑各项能耗拆分!$B$18*建筑各项能耗拆分!AC180</f>
        <v>252418872887985</v>
      </c>
      <c r="AD4" s="1">
        <f>建筑各项能耗拆分!$B$18*建筑各项能耗拆分!AD180</f>
        <v>252581245499496</v>
      </c>
      <c r="AE4" s="1">
        <f>建筑各项能耗拆分!$B$18*建筑各项能耗拆分!AE180</f>
        <v>252727806362870</v>
      </c>
      <c r="AF4" s="1">
        <f>建筑各项能耗拆分!$B$18*建筑各项能耗拆分!AF180</f>
        <v>252861070264438</v>
      </c>
      <c r="AG4" s="1">
        <f>建筑各项能耗拆分!$B$18*建筑各项能耗拆分!AG180</f>
        <v>252978989084045</v>
      </c>
      <c r="AH4" s="1">
        <f>建筑各项能耗拆分!$B$18*建筑各项能耗拆分!AH180</f>
        <v>253080891669190</v>
      </c>
      <c r="AI4" s="1">
        <f>建筑各项能耗拆分!$B$18*建筑各项能耗拆分!AI180</f>
        <v>251321029073267</v>
      </c>
      <c r="AJ4" s="1">
        <f>建筑各项能耗拆分!$B$18*建筑各项能耗拆分!AJ180</f>
        <v>249561413070640</v>
      </c>
      <c r="AK4" s="1">
        <f>建筑各项能耗拆分!$B$18*建筑各项能耗拆分!AK180</f>
        <v>247799821762671</v>
      </c>
      <c r="AL4" s="1">
        <f>建筑各项能耗拆分!$B$18*建筑各项能耗拆分!AL180</f>
        <v>246038404698454</v>
      </c>
      <c r="AM4" s="1">
        <f>建筑各项能耗拆分!$B$18*建筑各项能耗拆分!AM180</f>
        <v>244276022430862</v>
      </c>
      <c r="AN4" s="1">
        <f>建筑各项能耗拆分!$B$18*建筑各项能耗拆分!AN180</f>
        <v>242156064997911</v>
      </c>
      <c r="AO4" s="1">
        <f>建筑各项能耗拆分!$B$18*建筑各项能耗拆分!AO180</f>
        <v>240035810955103</v>
      </c>
      <c r="AP4" s="1">
        <f>建筑各项能耗拆分!$B$18*建筑各项能耗拆分!AP180</f>
        <v>237914489814709</v>
      </c>
      <c r="AQ4" s="1">
        <f>建筑各项能耗拆分!$B$18*建筑各项能耗拆分!AQ180</f>
        <v>235792223477565</v>
      </c>
      <c r="AR4" s="1">
        <f>建筑各项能耗拆分!$B$18*建筑各项能耗拆分!AR180</f>
        <v>233669072894089</v>
      </c>
    </row>
    <row r="5" spans="1:44">
      <c r="A5" t="s">
        <v>1112</v>
      </c>
      <c r="B5" s="1">
        <f>建筑各项能耗拆分!$B$18*建筑各项能耗拆分!B181</f>
        <v>192011114156587</v>
      </c>
      <c r="C5" s="1">
        <f>建筑各项能耗拆分!$B$18*建筑各项能耗拆分!C181</f>
        <v>0</v>
      </c>
      <c r="D5" s="1">
        <f>建筑各项能耗拆分!$B$18*建筑各项能耗拆分!D181</f>
        <v>0</v>
      </c>
      <c r="E5" s="1">
        <f>建筑各项能耗拆分!$B$18*建筑各项能耗拆分!E181</f>
        <v>0</v>
      </c>
      <c r="F5" s="1">
        <f>建筑各项能耗拆分!$B$18*建筑各项能耗拆分!F181</f>
        <v>0</v>
      </c>
      <c r="G5" s="1">
        <f>建筑各项能耗拆分!$B$18*建筑各项能耗拆分!G181</f>
        <v>0</v>
      </c>
      <c r="H5" s="1">
        <f>建筑各项能耗拆分!$B$18*建筑各项能耗拆分!H181</f>
        <v>0</v>
      </c>
      <c r="I5" s="1">
        <f>建筑各项能耗拆分!$B$18*建筑各项能耗拆分!I181</f>
        <v>0</v>
      </c>
      <c r="J5" s="1">
        <f>建筑各项能耗拆分!$B$18*建筑各项能耗拆分!J181</f>
        <v>0</v>
      </c>
      <c r="K5" s="1">
        <f>建筑各项能耗拆分!$B$18*建筑各项能耗拆分!K181</f>
        <v>0</v>
      </c>
      <c r="L5" s="1">
        <f>建筑各项能耗拆分!$B$18*建筑各项能耗拆分!L181</f>
        <v>0</v>
      </c>
      <c r="M5" s="1">
        <f>建筑各项能耗拆分!$B$18*建筑各项能耗拆分!M181</f>
        <v>0</v>
      </c>
      <c r="N5" s="1">
        <f>建筑各项能耗拆分!$B$18*建筑各项能耗拆分!N181</f>
        <v>0</v>
      </c>
      <c r="O5" s="1">
        <f>建筑各项能耗拆分!$B$18*建筑各项能耗拆分!O181</f>
        <v>0</v>
      </c>
      <c r="P5" s="1">
        <f>建筑各项能耗拆分!$B$18*建筑各项能耗拆分!P181</f>
        <v>0</v>
      </c>
      <c r="Q5" s="1">
        <f>建筑各项能耗拆分!$B$18*建筑各项能耗拆分!Q181</f>
        <v>0</v>
      </c>
      <c r="R5" s="1">
        <f>建筑各项能耗拆分!$B$18*建筑各项能耗拆分!R181</f>
        <v>0</v>
      </c>
      <c r="S5" s="1">
        <f>建筑各项能耗拆分!$B$18*建筑各项能耗拆分!S181</f>
        <v>0</v>
      </c>
      <c r="T5" s="1">
        <f>建筑各项能耗拆分!$B$18*建筑各项能耗拆分!T181</f>
        <v>0</v>
      </c>
      <c r="U5" s="1">
        <f>建筑各项能耗拆分!$B$18*建筑各项能耗拆分!U181</f>
        <v>0</v>
      </c>
      <c r="V5" s="1">
        <f>建筑各项能耗拆分!$B$18*建筑各项能耗拆分!V181</f>
        <v>0</v>
      </c>
      <c r="W5" s="1">
        <f>建筑各项能耗拆分!$B$18*建筑各项能耗拆分!W181</f>
        <v>0</v>
      </c>
      <c r="X5" s="1">
        <f>建筑各项能耗拆分!$B$18*建筑各项能耗拆分!X181</f>
        <v>0</v>
      </c>
      <c r="Y5" s="1">
        <f>建筑各项能耗拆分!$B$18*建筑各项能耗拆分!Y181</f>
        <v>0</v>
      </c>
      <c r="Z5" s="1">
        <f>建筑各项能耗拆分!$B$18*建筑各项能耗拆分!Z181</f>
        <v>0</v>
      </c>
      <c r="AA5" s="1">
        <f>建筑各项能耗拆分!$B$18*建筑各项能耗拆分!AA181</f>
        <v>0</v>
      </c>
      <c r="AB5" s="1">
        <f>建筑各项能耗拆分!$B$18*建筑各项能耗拆分!AB181</f>
        <v>0</v>
      </c>
      <c r="AC5" s="1">
        <f>建筑各项能耗拆分!$B$18*建筑各项能耗拆分!AC181</f>
        <v>0</v>
      </c>
      <c r="AD5" s="1">
        <f>建筑各项能耗拆分!$B$18*建筑各项能耗拆分!AD181</f>
        <v>0</v>
      </c>
      <c r="AE5" s="1">
        <f>建筑各项能耗拆分!$B$18*建筑各项能耗拆分!AE181</f>
        <v>0</v>
      </c>
      <c r="AF5" s="1">
        <f>建筑各项能耗拆分!$B$18*建筑各项能耗拆分!AF181</f>
        <v>0</v>
      </c>
      <c r="AG5" s="1">
        <f>建筑各项能耗拆分!$B$18*建筑各项能耗拆分!AG181</f>
        <v>0</v>
      </c>
      <c r="AH5" s="1">
        <f>建筑各项能耗拆分!$B$18*建筑各项能耗拆分!AH181</f>
        <v>0</v>
      </c>
      <c r="AI5" s="1">
        <f>建筑各项能耗拆分!$B$18*建筑各项能耗拆分!AI181</f>
        <v>0</v>
      </c>
      <c r="AJ5" s="1">
        <f>建筑各项能耗拆分!$B$18*建筑各项能耗拆分!AJ181</f>
        <v>0</v>
      </c>
      <c r="AK5" s="1">
        <f>建筑各项能耗拆分!$B$18*建筑各项能耗拆分!AK181</f>
        <v>0</v>
      </c>
      <c r="AL5" s="1">
        <f>建筑各项能耗拆分!$B$18*建筑各项能耗拆分!AL181</f>
        <v>0</v>
      </c>
      <c r="AM5" s="1">
        <f>建筑各项能耗拆分!$B$18*建筑各项能耗拆分!AM181</f>
        <v>0</v>
      </c>
      <c r="AN5" s="1">
        <f>建筑各项能耗拆分!$B$18*建筑各项能耗拆分!AN181</f>
        <v>0</v>
      </c>
      <c r="AO5" s="1">
        <f>建筑各项能耗拆分!$B$18*建筑各项能耗拆分!AO181</f>
        <v>0</v>
      </c>
      <c r="AP5" s="1">
        <f>建筑各项能耗拆分!$B$18*建筑各项能耗拆分!AP181</f>
        <v>0</v>
      </c>
      <c r="AQ5" s="1">
        <f>建筑各项能耗拆分!$B$18*建筑各项能耗拆分!AQ181</f>
        <v>0</v>
      </c>
      <c r="AR5" s="1">
        <f>建筑各项能耗拆分!$B$18*建筑各项能耗拆分!AR181</f>
        <v>0</v>
      </c>
    </row>
    <row r="6" spans="1:44">
      <c r="A6" t="s">
        <v>1113</v>
      </c>
      <c r="B6" s="1">
        <f>建筑各项能耗拆分!$B$18*建筑各项能耗拆分!B182</f>
        <v>500091576859815</v>
      </c>
      <c r="C6" s="1">
        <f>建筑各项能耗拆分!$B$18*建筑各项能耗拆分!C182</f>
        <v>911692547713311</v>
      </c>
      <c r="D6" s="1">
        <f>建筑各项能耗拆分!$B$18*建筑各项能耗拆分!D182</f>
        <v>956960225529010</v>
      </c>
      <c r="E6" s="1">
        <f>建筑各项能耗拆分!$B$18*建筑各项能耗拆分!E182</f>
        <v>995543982855972</v>
      </c>
      <c r="F6" s="1">
        <f>建筑各项能耗拆分!$B$18*建筑各项能耗拆分!F182</f>
        <v>998317007248463</v>
      </c>
      <c r="G6" s="1">
        <f>建筑各项能耗拆分!$B$18*建筑各项能耗拆分!G182</f>
        <v>1006356588532420</v>
      </c>
      <c r="H6" s="1">
        <f>建筑各项能耗拆分!$B$18*建筑各项能耗拆分!H182</f>
        <v>1027627171780100</v>
      </c>
      <c r="I6" s="1">
        <f>建筑各项能耗拆分!$B$18*建筑各项能耗拆分!I182</f>
        <v>1051868373323430</v>
      </c>
      <c r="J6" s="1">
        <f>建筑各项能耗拆分!$B$18*建筑各项能耗拆分!J182</f>
        <v>1072134014261650</v>
      </c>
      <c r="K6" s="1">
        <f>建筑各项能耗拆分!$B$18*建筑各项能耗拆分!K182</f>
        <v>1092732430075750</v>
      </c>
      <c r="L6" s="1">
        <f>建筑各项能耗拆分!$B$18*建筑各项能耗拆分!L182</f>
        <v>1113680436133910</v>
      </c>
      <c r="M6" s="1">
        <f>建筑各项能耗拆分!$B$18*建筑各项能耗拆分!M182</f>
        <v>1134979307912320</v>
      </c>
      <c r="N6" s="1">
        <f>建筑各项能耗拆分!$B$18*建筑各项能耗拆分!N182</f>
        <v>1156633646691880</v>
      </c>
      <c r="O6" s="1">
        <f>建筑各项能耗拆分!$B$18*建筑各项能耗拆分!O182</f>
        <v>1177516372706560</v>
      </c>
      <c r="P6" s="1">
        <f>建筑各项能耗拆分!$B$18*建筑各项能耗拆分!P182</f>
        <v>1198712548999020</v>
      </c>
      <c r="Q6" s="1">
        <f>建筑各项能耗拆分!$B$18*建筑各项能耗拆分!Q182</f>
        <v>1220227410213720</v>
      </c>
      <c r="R6" s="1">
        <f>建筑各项能耗拆分!$B$18*建筑各项能耗拆分!R182</f>
        <v>1242069713191220</v>
      </c>
      <c r="S6" s="1">
        <f>建筑各项能耗拆分!$B$18*建筑各项能耗拆分!S182</f>
        <v>1264231436615380</v>
      </c>
      <c r="T6" s="1">
        <f>建筑各项能耗拆分!$B$18*建筑各项能耗拆分!T182</f>
        <v>1273278904891930</v>
      </c>
      <c r="U6" s="1">
        <f>建筑各项能耗拆分!$B$18*建筑各项能耗拆分!U182</f>
        <v>1282285008747400</v>
      </c>
      <c r="V6" s="1">
        <f>建筑各项能耗拆分!$B$18*建筑各项能耗拆分!V182</f>
        <v>1291248940726100</v>
      </c>
      <c r="W6" s="1">
        <f>建筑各项能耗拆分!$B$18*建筑各项能耗拆分!W182</f>
        <v>1300172576258280</v>
      </c>
      <c r="X6" s="1">
        <f>建筑各项能耗拆分!$B$18*建筑各项能耗拆分!X182</f>
        <v>1309049742047300</v>
      </c>
      <c r="Y6" s="1">
        <f>建筑各项能耗拆分!$B$18*建筑各项能耗拆分!Y182</f>
        <v>1309828517506760</v>
      </c>
      <c r="Z6" s="1">
        <f>建筑各项能耗拆分!$B$18*建筑各项能耗拆分!Z182</f>
        <v>1310526522293490</v>
      </c>
      <c r="AA6" s="1">
        <f>建筑各项能耗拆分!$B$18*建筑各项能耗拆分!AA182</f>
        <v>1311136597614690</v>
      </c>
      <c r="AB6" s="1">
        <f>建筑各项能耗拆分!$B$18*建筑各项能耗拆分!AB182</f>
        <v>1311669118097810</v>
      </c>
      <c r="AC6" s="1">
        <f>建筑各项能耗拆分!$B$18*建筑各项能耗拆分!AC182</f>
        <v>1312123172964540</v>
      </c>
      <c r="AD6" s="1">
        <f>建筑各项能耗拆分!$B$18*建筑各项能耗拆分!AD182</f>
        <v>1310405662381050</v>
      </c>
      <c r="AE6" s="1">
        <f>建筑各项能耗拆分!$B$18*建筑各项能耗拆分!AE182</f>
        <v>1308573809759850</v>
      </c>
      <c r="AF6" s="1">
        <f>建筑各项能耗拆分!$B$18*建筑各项能耗拆分!AF182</f>
        <v>1306650631931590</v>
      </c>
      <c r="AG6" s="1">
        <f>建筑各项能耗拆分!$B$18*建筑各项能耗拆分!AG182</f>
        <v>1304616069284200</v>
      </c>
      <c r="AH6" s="1">
        <f>建筑各项能耗拆分!$B$18*建筑各项能耗拆分!AH182</f>
        <v>1302471261227630</v>
      </c>
      <c r="AI6" s="1">
        <f>建筑各项能耗拆分!$B$18*建筑各项能耗拆分!AI182</f>
        <v>1290850269183160</v>
      </c>
      <c r="AJ6" s="1">
        <f>建筑各项能耗拆分!$B$18*建筑各项能耗拆分!AJ182</f>
        <v>1279232998961340</v>
      </c>
      <c r="AK6" s="1">
        <f>建筑各项能耗拆分!$B$18*建筑各项能耗拆分!AK182</f>
        <v>1267603112772720</v>
      </c>
      <c r="AL6" s="1">
        <f>建筑各项能耗拆分!$B$18*建筑各项能耗拆分!AL182</f>
        <v>1255968357855380</v>
      </c>
      <c r="AM6" s="1">
        <f>建筑各项能耗拆分!$B$18*建筑各项能耗拆分!AM182</f>
        <v>1244334802316950</v>
      </c>
      <c r="AN6" s="1">
        <f>建筑各项能耗拆分!$B$18*建筑各项能耗拆分!AN182</f>
        <v>1230989819294890</v>
      </c>
      <c r="AO6" s="1">
        <f>建筑各项能耗拆分!$B$18*建筑各项能耗拆分!AO182</f>
        <v>1217648872932430</v>
      </c>
      <c r="AP6" s="1">
        <f>建筑各项能耗拆分!$B$18*建筑各项能耗拆分!AP182</f>
        <v>1204295074475460</v>
      </c>
      <c r="AQ6" s="1">
        <f>建筑各项能耗拆分!$B$18*建筑各项能耗拆分!AQ182</f>
        <v>1190940282782840</v>
      </c>
      <c r="AR6" s="1">
        <f>建筑各项能耗拆分!$B$18*建筑各项能耗拆分!AR182</f>
        <v>1177578549684850</v>
      </c>
    </row>
    <row r="7" spans="1:44">
      <c r="A7" t="s">
        <v>1114</v>
      </c>
      <c r="B7" s="1">
        <f>建筑各项能耗拆分!$B$18*建筑各项能耗拆分!B183</f>
        <v>6450925366809.62</v>
      </c>
      <c r="C7" s="1">
        <f>建筑各项能耗拆分!$B$18*建筑各项能耗拆分!C183</f>
        <v>506538292343103</v>
      </c>
      <c r="D7" s="1">
        <f>建筑各项能耗拆分!$B$18*建筑各项能耗拆分!D183</f>
        <v>421079948179510</v>
      </c>
      <c r="E7" s="1">
        <f>建筑各项能耗拆分!$B$18*建筑各项能耗拆分!E183</f>
        <v>341395029143484</v>
      </c>
      <c r="F7" s="1">
        <f>建筑各项能耗拆分!$B$18*建筑各项能耗拆分!F183</f>
        <v>197175923710376</v>
      </c>
      <c r="G7" s="1">
        <f>建筑各项能耗拆分!$B$18*建筑各项能耗拆分!G183</f>
        <v>207571562400000</v>
      </c>
      <c r="H7" s="1">
        <f>建筑各项能耗拆分!$B$18*建筑各项能耗拆分!H183</f>
        <v>211864124764584</v>
      </c>
      <c r="I7" s="1">
        <f>建筑各项能耗拆分!$B$18*建筑各项能耗拆分!I183</f>
        <v>218195737125664</v>
      </c>
      <c r="J7" s="1">
        <f>建筑各项能耗拆分!$B$18*建筑各项能耗拆分!J183</f>
        <v>223553263200514</v>
      </c>
      <c r="K7" s="1">
        <f>建筑各项能耗拆分!$B$18*建筑各项能耗拆分!K183</f>
        <v>229025429251097</v>
      </c>
      <c r="L7" s="1">
        <f>建筑各项能耗拆分!$B$18*建筑各项能耗拆分!L183</f>
        <v>234615462429807</v>
      </c>
      <c r="M7" s="1">
        <f>建筑各项能耗拆分!$B$18*建筑各项能耗拆分!M183</f>
        <v>240325863324398</v>
      </c>
      <c r="N7" s="1">
        <f>建筑各项能耗拆分!$B$18*建筑各项能耗拆分!N183</f>
        <v>246157955558957</v>
      </c>
      <c r="O7" s="1">
        <f>建筑各项能耗拆分!$B$18*建筑各项能耗拆分!O183</f>
        <v>251955069589414</v>
      </c>
      <c r="P7" s="1">
        <f>建筑各项能耗拆分!$B$18*建筑各项能耗拆分!P183</f>
        <v>257869537153191</v>
      </c>
      <c r="Q7" s="1">
        <f>建筑各项能耗拆分!$B$18*建筑各项能耗拆分!Q183</f>
        <v>263904709608723</v>
      </c>
      <c r="R7" s="1">
        <f>建筑各项能耗拆分!$B$18*建筑各项能耗拆分!R183</f>
        <v>270062708223758</v>
      </c>
      <c r="S7" s="1">
        <f>建筑各项能耗拆分!$B$18*建筑各项能耗拆分!S183</f>
        <v>276344803820240</v>
      </c>
      <c r="T7" s="1">
        <f>建筑各项能耗拆分!$B$18*建筑各项能耗拆分!T183</f>
        <v>278970013196112</v>
      </c>
      <c r="U7" s="1">
        <f>建筑各项能耗拆分!$B$18*建筑各项能耗拆分!U183</f>
        <v>281600746447235</v>
      </c>
      <c r="V7" s="1">
        <f>建筑各项能耗拆分!$B$18*建筑各项能耗拆分!V183</f>
        <v>284235152739019</v>
      </c>
      <c r="W7" s="1">
        <f>建筑各项能耗拆分!$B$18*建筑各项能耗拆分!W183</f>
        <v>286874530423268</v>
      </c>
      <c r="X7" s="1">
        <f>建筑各项能耗拆分!$B$18*建筑各项能耗拆分!X183</f>
        <v>289518420661414</v>
      </c>
      <c r="Y7" s="1">
        <f>建筑各项能耗拆分!$B$18*建筑各项能耗拆分!Y183</f>
        <v>290221775478789</v>
      </c>
      <c r="Z7" s="1">
        <f>建筑各项能耗拆分!$B$18*建筑各项能耗拆分!Z183</f>
        <v>290913230276970</v>
      </c>
      <c r="AA7" s="1">
        <f>建筑各项能耗拆分!$B$18*建筑各项能耗拆分!AA183</f>
        <v>291592556671481</v>
      </c>
      <c r="AB7" s="1">
        <f>建筑各项能耗拆分!$B$18*建筑各项能耗拆分!AB183</f>
        <v>292259965499527</v>
      </c>
      <c r="AC7" s="1">
        <f>建筑各项能耗拆分!$B$18*建筑各项能耗拆分!AC183</f>
        <v>292915699723321</v>
      </c>
      <c r="AD7" s="1">
        <f>建筑各项能耗拆分!$B$18*建筑各项能耗拆分!AD183</f>
        <v>293104122587952</v>
      </c>
      <c r="AE7" s="1">
        <f>建筑各项能耗拆分!$B$18*建筑各项能耗拆分!AE183</f>
        <v>293274196946325</v>
      </c>
      <c r="AF7" s="1">
        <f>建筑各项能耗拆分!$B$18*建筑各项能耗拆分!AF183</f>
        <v>293428841044561</v>
      </c>
      <c r="AG7" s="1">
        <f>建筑各项能耗拆分!$B$18*建筑各项能耗拆分!AG183</f>
        <v>293565678172312</v>
      </c>
      <c r="AH7" s="1">
        <f>建筑各项能耗拆分!$B$18*建筑各项能耗拆分!AH183</f>
        <v>293683929500707</v>
      </c>
      <c r="AI7" s="1">
        <f>建筑各项能耗拆分!$B$18*建筑各项能耗拆分!AI183</f>
        <v>291641723314600</v>
      </c>
      <c r="AJ7" s="1">
        <f>建筑各项能耗拆分!$B$18*建筑各项能耗拆分!AJ183</f>
        <v>289599803283991</v>
      </c>
      <c r="AK7" s="1">
        <f>建筑各项能耗拆分!$B$18*建筑各项能耗拆分!AK183</f>
        <v>287555591039887</v>
      </c>
      <c r="AL7" s="1">
        <f>建筑各项能耗拆分!$B$18*建筑各项能耗拆分!AL183</f>
        <v>285511580994338</v>
      </c>
      <c r="AM7" s="1">
        <f>建筑各项能耗拆分!$B$18*建筑各项能耗拆分!AM183</f>
        <v>283466450892988</v>
      </c>
      <c r="AN7" s="1">
        <f>建筑各项能耗拆分!$B$18*建筑各项能耗拆分!AN183</f>
        <v>281006378047597</v>
      </c>
      <c r="AO7" s="1">
        <f>建筑各项能耗拆分!$B$18*建筑各项能耗拆分!AO183</f>
        <v>278545961005738</v>
      </c>
      <c r="AP7" s="1">
        <f>建筑各项能耗拆分!$B$18*建筑各项能耗拆分!AP183</f>
        <v>276084305666471</v>
      </c>
      <c r="AQ7" s="1">
        <f>建筑各项能耗拆分!$B$18*建筑各项能耗拆分!AQ183</f>
        <v>273621553487795</v>
      </c>
      <c r="AR7" s="1">
        <f>建筑各项能耗拆分!$B$18*建筑各项能耗拆分!AR183</f>
        <v>271157775198710</v>
      </c>
    </row>
    <row r="8" spans="1:44">
      <c r="A8" t="s">
        <v>1115</v>
      </c>
      <c r="B8" s="1">
        <f>建筑各项能耗拆分!$B$18*建筑各项能耗拆分!B184</f>
        <v>1764950681800.99</v>
      </c>
      <c r="C8" s="1">
        <f>建筑各项能耗拆分!$B$18*建筑各项能耗拆分!C184</f>
        <v>81497883631707.2</v>
      </c>
      <c r="D8" s="1">
        <f>建筑各项能耗拆分!$B$18*建筑各项能耗拆分!D184</f>
        <v>80714093125932.7</v>
      </c>
      <c r="E8" s="1">
        <f>建筑各项能耗拆分!$B$18*建筑各项能耗拆分!E184</f>
        <v>85465823067192.3</v>
      </c>
      <c r="F8" s="1">
        <f>建筑各项能耗拆分!$B$18*建筑各项能耗拆分!F184</f>
        <v>88760192536777</v>
      </c>
      <c r="G8" s="1">
        <f>建筑各项能耗拆分!$B$18*建筑各项能耗拆分!G184</f>
        <v>69633005400000</v>
      </c>
      <c r="H8" s="1">
        <f>建筑各项能耗拆分!$B$18*建筑各项能耗拆分!H184</f>
        <v>71073010065653</v>
      </c>
      <c r="I8" s="1">
        <f>建筑各项能耗拆分!$B$18*建筑各项能耗拆分!I184</f>
        <v>73197044748593.8</v>
      </c>
      <c r="J8" s="1">
        <f>建筑各项能耗拆分!$B$18*建筑各项能耗拆分!J184</f>
        <v>74994307522873.9</v>
      </c>
      <c r="K8" s="1">
        <f>建筑各项能耗拆分!$B$18*建筑各项能耗拆分!K184</f>
        <v>76830028002809.5</v>
      </c>
      <c r="L8" s="1">
        <f>建筑各项能耗拆分!$B$18*建筑各项能耗拆分!L184</f>
        <v>78705288785253.6</v>
      </c>
      <c r="M8" s="1">
        <f>建筑各项能耗拆分!$B$18*建筑各项能耗拆分!M184</f>
        <v>80620928730011.1</v>
      </c>
      <c r="N8" s="1">
        <f>建筑各项能耗拆分!$B$18*建筑各项能耗拆分!N184</f>
        <v>82577391866708.7</v>
      </c>
      <c r="O8" s="1">
        <f>建筑各项能耗拆分!$B$18*建筑各项能耗拆分!O184</f>
        <v>84522121038276.7</v>
      </c>
      <c r="P8" s="1">
        <f>建筑各项能耗拆分!$B$18*建筑各项能耗拆分!P184</f>
        <v>86506218219243.1</v>
      </c>
      <c r="Q8" s="1">
        <f>建筑各项能耗拆分!$B$18*建筑各项能耗拆分!Q184</f>
        <v>88530807673246.5</v>
      </c>
      <c r="R8" s="1">
        <f>建筑各项能耗拆分!$B$18*建筑各项能耗拆分!R184</f>
        <v>90596601011486.2</v>
      </c>
      <c r="S8" s="1">
        <f>建筑各项能耗拆分!$B$18*建筑各项能耗拆分!S184</f>
        <v>92704024550314.5</v>
      </c>
      <c r="T8" s="1">
        <f>建筑各项能耗拆分!$B$18*建筑各项能耗拆分!T184</f>
        <v>93584690555487.3</v>
      </c>
      <c r="U8" s="1">
        <f>建筑各项能耗拆分!$B$18*建筑各项能耗拆分!U184</f>
        <v>94467209627769</v>
      </c>
      <c r="V8" s="1">
        <f>建筑各项能耗拆分!$B$18*建筑各项能耗拆分!V184</f>
        <v>95350960876835.5</v>
      </c>
      <c r="W8" s="1">
        <f>建筑各项能耗拆分!$B$18*建筑各项能耗拆分!W184</f>
        <v>96236379854343.6</v>
      </c>
      <c r="X8" s="1">
        <f>建筑各项能耗拆分!$B$18*建筑各项能耗拆分!X184</f>
        <v>97123312635988.1</v>
      </c>
      <c r="Y8" s="1">
        <f>建筑各项能耗拆分!$B$18*建筑各项能耗拆分!Y184</f>
        <v>97359263597815.8</v>
      </c>
      <c r="Z8" s="1">
        <f>建筑各项能耗拆分!$B$18*建筑各项能耗拆分!Z184</f>
        <v>97591222519061.8</v>
      </c>
      <c r="AA8" s="1">
        <f>建筑各项能耗拆分!$B$18*建筑各项能耗拆分!AA184</f>
        <v>97819112784714.4</v>
      </c>
      <c r="AB8" s="1">
        <f>建筑各项能耗拆分!$B$18*建筑各项能耗拆分!AB184</f>
        <v>98043005123289.2</v>
      </c>
      <c r="AC8" s="1">
        <f>建筑各项能耗拆分!$B$18*建筑各项能耗拆分!AC184</f>
        <v>98262981040117.7</v>
      </c>
      <c r="AD8" s="1">
        <f>建筑各项能耗拆分!$B$18*建筑各项能耗拆分!AD184</f>
        <v>98326190326586</v>
      </c>
      <c r="AE8" s="1">
        <f>建筑各项能耗拆分!$B$18*建筑各项能耗拆分!AE184</f>
        <v>98383244330409.5</v>
      </c>
      <c r="AF8" s="1">
        <f>建筑各项能耗拆分!$B$18*建筑各项能耗拆分!AF184</f>
        <v>98435122021183.1</v>
      </c>
      <c r="AG8" s="1">
        <f>建筑各项能耗拆分!$B$18*建筑各项能耗拆分!AG184</f>
        <v>98481026095640.1</v>
      </c>
      <c r="AH8" s="1">
        <f>建筑各项能耗拆分!$B$18*建筑各项能耗拆分!AH184</f>
        <v>98520695283912.2</v>
      </c>
      <c r="AI8" s="1">
        <f>建筑各项能耗拆分!$B$18*建筑各项能耗拆分!AI184</f>
        <v>97835606475306.7</v>
      </c>
      <c r="AJ8" s="1">
        <f>建筑各项能耗拆分!$B$18*建筑各项能耗拆分!AJ184</f>
        <v>97150613661870.1</v>
      </c>
      <c r="AK8" s="1">
        <f>建筑各项能耗拆分!$B$18*建筑各项能耗拆分!AK184</f>
        <v>96464851890910</v>
      </c>
      <c r="AL8" s="1">
        <f>建筑各项能耗拆分!$B$18*建筑各项能耗拆分!AL184</f>
        <v>95779157950498.2</v>
      </c>
      <c r="AM8" s="1">
        <f>建筑各项能耗拆分!$B$18*建筑各项能耗拆分!AM184</f>
        <v>95093088270507.3</v>
      </c>
      <c r="AN8" s="1">
        <f>建筑各项能耗拆分!$B$18*建筑各项能耗拆分!AN184</f>
        <v>94267819800458.1</v>
      </c>
      <c r="AO8" s="1">
        <f>建筑各项能耗拆分!$B$18*建筑各项能耗拆分!AO184</f>
        <v>93442435864522.5</v>
      </c>
      <c r="AP8" s="1">
        <f>建筑各项能耗拆分!$B$18*建筑各项能耗拆分!AP184</f>
        <v>92616636523079.9</v>
      </c>
      <c r="AQ8" s="1">
        <f>建筑各项能耗拆分!$B$18*建筑各项能耗拆分!AQ184</f>
        <v>91790469230345.8</v>
      </c>
      <c r="AR8" s="1">
        <f>建筑各项能耗拆分!$B$18*建筑各项能耗拆分!AR184</f>
        <v>90963957713427.9</v>
      </c>
    </row>
    <row r="9" spans="1:44">
      <c r="A9" t="s">
        <v>1116</v>
      </c>
      <c r="B9" s="1">
        <f>建筑各项能耗拆分!$B$18*建筑各项能耗拆分!B185</f>
        <v>0</v>
      </c>
      <c r="C9" s="1">
        <f>建筑各项能耗拆分!$B$18*建筑各项能耗拆分!C185</f>
        <v>0</v>
      </c>
      <c r="D9" s="1">
        <f>建筑各项能耗拆分!$B$18*建筑各项能耗拆分!D185</f>
        <v>0</v>
      </c>
      <c r="E9" s="1">
        <f>建筑各项能耗拆分!$B$18*建筑各项能耗拆分!E185</f>
        <v>0</v>
      </c>
      <c r="F9" s="1">
        <f>建筑各项能耗拆分!$B$18*建筑各项能耗拆分!F185</f>
        <v>0</v>
      </c>
      <c r="G9" s="1">
        <f>建筑各项能耗拆分!$B$18*建筑各项能耗拆分!G185</f>
        <v>0</v>
      </c>
      <c r="H9" s="1">
        <f>建筑各项能耗拆分!$B$18*建筑各项能耗拆分!H185</f>
        <v>0</v>
      </c>
      <c r="I9" s="1">
        <f>建筑各项能耗拆分!$B$18*建筑各项能耗拆分!I185</f>
        <v>0</v>
      </c>
      <c r="J9" s="1">
        <f>建筑各项能耗拆分!$B$18*建筑各项能耗拆分!J185</f>
        <v>0</v>
      </c>
      <c r="K9" s="1">
        <f>建筑各项能耗拆分!$B$18*建筑各项能耗拆分!K185</f>
        <v>0</v>
      </c>
      <c r="L9" s="1">
        <f>建筑各项能耗拆分!$B$18*建筑各项能耗拆分!L185</f>
        <v>0</v>
      </c>
      <c r="M9" s="1">
        <f>建筑各项能耗拆分!$B$18*建筑各项能耗拆分!M185</f>
        <v>0</v>
      </c>
      <c r="N9" s="1">
        <f>建筑各项能耗拆分!$B$18*建筑各项能耗拆分!N185</f>
        <v>0</v>
      </c>
      <c r="O9" s="1">
        <f>建筑各项能耗拆分!$B$18*建筑各项能耗拆分!O185</f>
        <v>0</v>
      </c>
      <c r="P9" s="1">
        <f>建筑各项能耗拆分!$B$18*建筑各项能耗拆分!P185</f>
        <v>0</v>
      </c>
      <c r="Q9" s="1">
        <f>建筑各项能耗拆分!$B$18*建筑各项能耗拆分!Q185</f>
        <v>0</v>
      </c>
      <c r="R9" s="1">
        <f>建筑各项能耗拆分!$B$18*建筑各项能耗拆分!R185</f>
        <v>0</v>
      </c>
      <c r="S9" s="1">
        <f>建筑各项能耗拆分!$B$18*建筑各项能耗拆分!S185</f>
        <v>0</v>
      </c>
      <c r="T9" s="1">
        <f>建筑各项能耗拆分!$B$18*建筑各项能耗拆分!T185</f>
        <v>0</v>
      </c>
      <c r="U9" s="1">
        <f>建筑各项能耗拆分!$B$18*建筑各项能耗拆分!U185</f>
        <v>0</v>
      </c>
      <c r="V9" s="1">
        <f>建筑各项能耗拆分!$B$18*建筑各项能耗拆分!V185</f>
        <v>0</v>
      </c>
      <c r="W9" s="1">
        <f>建筑各项能耗拆分!$B$18*建筑各项能耗拆分!W185</f>
        <v>0</v>
      </c>
      <c r="X9" s="1">
        <f>建筑各项能耗拆分!$B$18*建筑各项能耗拆分!X185</f>
        <v>0</v>
      </c>
      <c r="Y9" s="1">
        <f>建筑各项能耗拆分!$B$18*建筑各项能耗拆分!Y185</f>
        <v>0</v>
      </c>
      <c r="Z9" s="1">
        <f>建筑各项能耗拆分!$B$18*建筑各项能耗拆分!Z185</f>
        <v>0</v>
      </c>
      <c r="AA9" s="1">
        <f>建筑各项能耗拆分!$B$18*建筑各项能耗拆分!AA185</f>
        <v>0</v>
      </c>
      <c r="AB9" s="1">
        <f>建筑各项能耗拆分!$B$18*建筑各项能耗拆分!AB185</f>
        <v>0</v>
      </c>
      <c r="AC9" s="1">
        <f>建筑各项能耗拆分!$B$18*建筑各项能耗拆分!AC185</f>
        <v>0</v>
      </c>
      <c r="AD9" s="1">
        <f>建筑各项能耗拆分!$B$18*建筑各项能耗拆分!AD185</f>
        <v>0</v>
      </c>
      <c r="AE9" s="1">
        <f>建筑各项能耗拆分!$B$18*建筑各项能耗拆分!AE185</f>
        <v>0</v>
      </c>
      <c r="AF9" s="1">
        <f>建筑各项能耗拆分!$B$18*建筑各项能耗拆分!AF185</f>
        <v>0</v>
      </c>
      <c r="AG9" s="1">
        <f>建筑各项能耗拆分!$B$18*建筑各项能耗拆分!AG185</f>
        <v>0</v>
      </c>
      <c r="AH9" s="1">
        <f>建筑各项能耗拆分!$B$18*建筑各项能耗拆分!AH185</f>
        <v>0</v>
      </c>
      <c r="AI9" s="1">
        <f>建筑各项能耗拆分!$B$18*建筑各项能耗拆分!AI185</f>
        <v>0</v>
      </c>
      <c r="AJ9" s="1">
        <f>建筑各项能耗拆分!$B$18*建筑各项能耗拆分!AJ185</f>
        <v>0</v>
      </c>
      <c r="AK9" s="1">
        <f>建筑各项能耗拆分!$B$18*建筑各项能耗拆分!AK185</f>
        <v>0</v>
      </c>
      <c r="AL9" s="1">
        <f>建筑各项能耗拆分!$B$18*建筑各项能耗拆分!AL185</f>
        <v>0</v>
      </c>
      <c r="AM9" s="1">
        <f>建筑各项能耗拆分!$B$18*建筑各项能耗拆分!AM185</f>
        <v>0</v>
      </c>
      <c r="AN9" s="1">
        <f>建筑各项能耗拆分!$B$18*建筑各项能耗拆分!AN185</f>
        <v>0</v>
      </c>
      <c r="AO9" s="1">
        <f>建筑各项能耗拆分!$B$18*建筑各项能耗拆分!AO185</f>
        <v>0</v>
      </c>
      <c r="AP9" s="1">
        <f>建筑各项能耗拆分!$B$18*建筑各项能耗拆分!AP185</f>
        <v>0</v>
      </c>
      <c r="AQ9" s="1">
        <f>建筑各项能耗拆分!$B$18*建筑各项能耗拆分!AQ185</f>
        <v>0</v>
      </c>
      <c r="AR9" s="1">
        <f>建筑各项能耗拆分!$B$18*建筑各项能耗拆分!AR185</f>
        <v>0</v>
      </c>
    </row>
    <row r="10" spans="1:44">
      <c r="A10" t="s">
        <v>1117</v>
      </c>
      <c r="B10" s="1">
        <f>建筑各项能耗拆分!$B$18*建筑各项能耗拆分!B186</f>
        <v>0</v>
      </c>
      <c r="C10" s="1">
        <f>建筑各项能耗拆分!$B$18*建筑各项能耗拆分!C186</f>
        <v>1846994929291.94</v>
      </c>
      <c r="D10" s="1">
        <f>建筑各项能耗拆分!$B$18*建筑各项能耗拆分!D186</f>
        <v>1865624574647.32</v>
      </c>
      <c r="E10" s="1">
        <f>建筑各项能耗拆分!$B$18*建筑各项能耗拆分!E186</f>
        <v>2004239705232.61</v>
      </c>
      <c r="F10" s="1">
        <f>建筑各项能耗拆分!$B$18*建筑各项能耗拆分!F186</f>
        <v>2073577231848.6</v>
      </c>
      <c r="G10" s="1">
        <f>建筑各项能耗拆分!$B$18*建筑各项能耗拆分!G186</f>
        <v>2090542898812.01</v>
      </c>
      <c r="H10" s="1">
        <f>建筑各项能耗拆分!$B$18*建筑各项能耗拆分!H186</f>
        <v>2133775149247.62</v>
      </c>
      <c r="I10" s="1">
        <f>建筑各项能耗拆分!$B$18*建筑各项能耗拆分!I186</f>
        <v>2197543553293.16</v>
      </c>
      <c r="J10" s="1">
        <f>建筑各项能耗拆分!$B$18*建筑各项能耗拆分!J186</f>
        <v>2251501513437.02</v>
      </c>
      <c r="K10" s="1">
        <f>建筑各项能耗拆分!$B$18*建筑各项能耗拆分!K186</f>
        <v>2306614062313.64</v>
      </c>
      <c r="L10" s="1">
        <f>建筑各项能耗拆分!$B$18*建筑各项能耗拆分!L186</f>
        <v>2362913701969.27</v>
      </c>
      <c r="M10" s="1">
        <f>建筑各项能耗拆分!$B$18*建筑各项能耗拆分!M186</f>
        <v>2420425616903.7</v>
      </c>
      <c r="N10" s="1">
        <f>建筑各项能耗拆分!$B$18*建筑各项能耗拆分!N186</f>
        <v>2479163137907.08</v>
      </c>
      <c r="O10" s="1">
        <f>建筑各项能耗拆分!$B$18*建筑各项能耗拆分!O186</f>
        <v>2537548378302.5</v>
      </c>
      <c r="P10" s="1">
        <f>建筑各项能耗拆分!$B$18*建筑各项能耗拆分!P186</f>
        <v>2597115536841.68</v>
      </c>
      <c r="Q10" s="1">
        <f>建筑各项能耗拆分!$B$18*建筑各项能耗拆分!Q186</f>
        <v>2657898366503.61</v>
      </c>
      <c r="R10" s="1">
        <f>建筑各项能耗拆分!$B$18*建筑各项能耗拆分!R186</f>
        <v>2719918231492.38</v>
      </c>
      <c r="S10" s="1">
        <f>建筑各项能耗拆分!$B$18*建筑各项能耗拆分!S186</f>
        <v>2783187930804.93</v>
      </c>
      <c r="T10" s="1">
        <f>建筑各项能耗拆分!$B$18*建筑各项能耗拆分!T186</f>
        <v>2809627548810.25</v>
      </c>
      <c r="U10" s="1">
        <f>建筑各项能耗拆分!$B$18*建筑各项能耗拆分!U186</f>
        <v>2836122800150.15</v>
      </c>
      <c r="V10" s="1">
        <f>建筑各项能耗拆分!$B$18*建筑各项能耗拆分!V186</f>
        <v>2862655044269.71</v>
      </c>
      <c r="W10" s="1">
        <f>建筑各项能耗拆分!$B$18*建筑各项能耗拆分!W186</f>
        <v>2889237357430.98</v>
      </c>
      <c r="X10" s="1">
        <f>建筑各项能耗拆分!$B$18*建筑各项能耗拆分!X186</f>
        <v>2915865118472.45</v>
      </c>
      <c r="Y10" s="1">
        <f>建筑各项能耗拆分!$B$18*建筑各项能耗拆分!Y186</f>
        <v>2922948908765.33</v>
      </c>
      <c r="Z10" s="1">
        <f>建筑各项能耗拆分!$B$18*建筑各项能耗拆分!Z186</f>
        <v>2929912848822.8</v>
      </c>
      <c r="AA10" s="1">
        <f>建筑各项能耗拆分!$B$18*建筑各项能耗拆分!AA186</f>
        <v>2936754638486.08</v>
      </c>
      <c r="AB10" s="1">
        <f>建筑各项能耗拆分!$B$18*建筑各项能耗拆分!AB186</f>
        <v>2943476401187.78</v>
      </c>
      <c r="AC10" s="1">
        <f>建筑各项能耗拆分!$B$18*建筑各项能耗拆分!AC186</f>
        <v>2950080583905.36</v>
      </c>
      <c r="AD10" s="1">
        <f>建筑各项能耗拆分!$B$18*建筑各项能耗拆分!AD186</f>
        <v>2951978271994.59</v>
      </c>
      <c r="AE10" s="1">
        <f>建筑各项能耗拆分!$B$18*建筑各项能耗拆分!AE186</f>
        <v>2953691164348.69</v>
      </c>
      <c r="AF10" s="1">
        <f>建筑各项能耗拆分!$B$18*建筑各项能耗拆分!AF186</f>
        <v>2955248651885.4</v>
      </c>
      <c r="AG10" s="1">
        <f>建筑各项能耗拆分!$B$18*建筑各项能耗拆分!AG186</f>
        <v>2956626797727.74</v>
      </c>
      <c r="AH10" s="1">
        <f>建筑各项能耗拆分!$B$18*建筑各项能耗拆分!AH186</f>
        <v>2957817757953.67</v>
      </c>
      <c r="AI10" s="1">
        <f>建筑各项能耗拆分!$B$18*建筑各项能耗拆分!AI186</f>
        <v>2937249816994.37</v>
      </c>
      <c r="AJ10" s="1">
        <f>建筑各项能耗拆分!$B$18*建筑各项能耗拆分!AJ186</f>
        <v>2916684758030.72</v>
      </c>
      <c r="AK10" s="1">
        <f>建筑各项能耗拆分!$B$18*建筑各项能耗拆分!AK186</f>
        <v>2896096613194.49</v>
      </c>
      <c r="AL10" s="1">
        <f>建筑各项能耗拆分!$B$18*建筑各项能耗拆分!AL186</f>
        <v>2875510504787.27</v>
      </c>
      <c r="AM10" s="1">
        <f>建筑各项能耗拆分!$B$18*建筑各项能耗拆分!AM186</f>
        <v>2854913115814.1</v>
      </c>
      <c r="AN10" s="1">
        <f>建筑各项能耗拆分!$B$18*建筑各项能耗拆分!AN186</f>
        <v>2830136659164.47</v>
      </c>
      <c r="AO10" s="1">
        <f>建筑各项能耗拆分!$B$18*建筑各项能耗拆分!AO186</f>
        <v>2805356735963.53</v>
      </c>
      <c r="AP10" s="1">
        <f>建筑各项能耗拆分!$B$18*建筑各项能耗拆分!AP186</f>
        <v>2780564341334.3</v>
      </c>
      <c r="AQ10" s="1">
        <f>建筑各项能耗拆分!$B$18*建筑各项能耗拆分!AQ186</f>
        <v>2755760899961.41</v>
      </c>
      <c r="AR10" s="1">
        <f>建筑各项能耗拆分!$B$18*建筑各项能耗拆分!AR186</f>
        <v>2730947124187.21</v>
      </c>
    </row>
    <row r="11" spans="1:44">
      <c r="A11" t="s">
        <v>1118</v>
      </c>
      <c r="B11" s="1">
        <f>建筑各项能耗拆分!$B$18*建筑各项能耗拆分!B187</f>
        <v>0</v>
      </c>
      <c r="C11" s="1">
        <f>建筑各项能耗拆分!$B$18*建筑各项能耗拆分!C187</f>
        <v>0</v>
      </c>
      <c r="D11" s="1">
        <f>建筑各项能耗拆分!$B$18*建筑各项能耗拆分!D187</f>
        <v>0</v>
      </c>
      <c r="E11" s="1">
        <f>建筑各项能耗拆分!$B$18*建筑各项能耗拆分!E187</f>
        <v>0</v>
      </c>
      <c r="F11" s="1">
        <f>建筑各项能耗拆分!$B$18*建筑各项能耗拆分!F187</f>
        <v>0</v>
      </c>
      <c r="G11" s="1">
        <f>建筑各项能耗拆分!$B$18*建筑各项能耗拆分!G187</f>
        <v>0</v>
      </c>
      <c r="H11" s="1">
        <f>建筑各项能耗拆分!$B$18*建筑各项能耗拆分!H187</f>
        <v>0</v>
      </c>
      <c r="I11" s="1">
        <f>建筑各项能耗拆分!$B$18*建筑各项能耗拆分!I187</f>
        <v>0</v>
      </c>
      <c r="J11" s="1">
        <f>建筑各项能耗拆分!$B$18*建筑各项能耗拆分!J187</f>
        <v>0</v>
      </c>
      <c r="K11" s="1">
        <f>建筑各项能耗拆分!$B$18*建筑各项能耗拆分!K187</f>
        <v>0</v>
      </c>
      <c r="L11" s="1">
        <f>建筑各项能耗拆分!$B$18*建筑各项能耗拆分!L187</f>
        <v>0</v>
      </c>
      <c r="M11" s="1">
        <f>建筑各项能耗拆分!$B$18*建筑各项能耗拆分!M187</f>
        <v>0</v>
      </c>
      <c r="N11" s="1">
        <f>建筑各项能耗拆分!$B$18*建筑各项能耗拆分!N187</f>
        <v>0</v>
      </c>
      <c r="O11" s="1">
        <f>建筑各项能耗拆分!$B$18*建筑各项能耗拆分!O187</f>
        <v>0</v>
      </c>
      <c r="P11" s="1">
        <f>建筑各项能耗拆分!$B$18*建筑各项能耗拆分!P187</f>
        <v>0</v>
      </c>
      <c r="Q11" s="1">
        <f>建筑各项能耗拆分!$B$18*建筑各项能耗拆分!Q187</f>
        <v>0</v>
      </c>
      <c r="R11" s="1">
        <f>建筑各项能耗拆分!$B$18*建筑各项能耗拆分!R187</f>
        <v>0</v>
      </c>
      <c r="S11" s="1">
        <f>建筑各项能耗拆分!$B$18*建筑各项能耗拆分!S187</f>
        <v>0</v>
      </c>
      <c r="T11" s="1">
        <f>建筑各项能耗拆分!$B$18*建筑各项能耗拆分!T187</f>
        <v>0</v>
      </c>
      <c r="U11" s="1">
        <f>建筑各项能耗拆分!$B$18*建筑各项能耗拆分!U187</f>
        <v>0</v>
      </c>
      <c r="V11" s="1">
        <f>建筑各项能耗拆分!$B$18*建筑各项能耗拆分!V187</f>
        <v>0</v>
      </c>
      <c r="W11" s="1">
        <f>建筑各项能耗拆分!$B$18*建筑各项能耗拆分!W187</f>
        <v>0</v>
      </c>
      <c r="X11" s="1">
        <f>建筑各项能耗拆分!$B$18*建筑各项能耗拆分!X187</f>
        <v>0</v>
      </c>
      <c r="Y11" s="1">
        <f>建筑各项能耗拆分!$B$18*建筑各项能耗拆分!Y187</f>
        <v>0</v>
      </c>
      <c r="Z11" s="1">
        <f>建筑各项能耗拆分!$B$18*建筑各项能耗拆分!Z187</f>
        <v>0</v>
      </c>
      <c r="AA11" s="1">
        <f>建筑各项能耗拆分!$B$18*建筑各项能耗拆分!AA187</f>
        <v>0</v>
      </c>
      <c r="AB11" s="1">
        <f>建筑各项能耗拆分!$B$18*建筑各项能耗拆分!AB187</f>
        <v>0</v>
      </c>
      <c r="AC11" s="1">
        <f>建筑各项能耗拆分!$B$18*建筑各项能耗拆分!AC187</f>
        <v>0</v>
      </c>
      <c r="AD11" s="1">
        <f>建筑各项能耗拆分!$B$18*建筑各项能耗拆分!AD187</f>
        <v>0</v>
      </c>
      <c r="AE11" s="1">
        <f>建筑各项能耗拆分!$B$18*建筑各项能耗拆分!AE187</f>
        <v>0</v>
      </c>
      <c r="AF11" s="1">
        <f>建筑各项能耗拆分!$B$18*建筑各项能耗拆分!AF187</f>
        <v>0</v>
      </c>
      <c r="AG11" s="1">
        <f>建筑各项能耗拆分!$B$18*建筑各项能耗拆分!AG187</f>
        <v>0</v>
      </c>
      <c r="AH11" s="1">
        <f>建筑各项能耗拆分!$B$18*建筑各项能耗拆分!AH187</f>
        <v>0</v>
      </c>
      <c r="AI11" s="1">
        <f>建筑各项能耗拆分!$B$18*建筑各项能耗拆分!AI187</f>
        <v>0</v>
      </c>
      <c r="AJ11" s="1">
        <f>建筑各项能耗拆分!$B$18*建筑各项能耗拆分!AJ187</f>
        <v>0</v>
      </c>
      <c r="AK11" s="1">
        <f>建筑各项能耗拆分!$B$18*建筑各项能耗拆分!AK187</f>
        <v>0</v>
      </c>
      <c r="AL11" s="1">
        <f>建筑各项能耗拆分!$B$18*建筑各项能耗拆分!AL187</f>
        <v>0</v>
      </c>
      <c r="AM11" s="1">
        <f>建筑各项能耗拆分!$B$18*建筑各项能耗拆分!AM187</f>
        <v>0</v>
      </c>
      <c r="AN11" s="1">
        <f>建筑各项能耗拆分!$B$18*建筑各项能耗拆分!AN187</f>
        <v>0</v>
      </c>
      <c r="AO11" s="1">
        <f>建筑各项能耗拆分!$B$18*建筑各项能耗拆分!AO187</f>
        <v>0</v>
      </c>
      <c r="AP11" s="1">
        <f>建筑各项能耗拆分!$B$18*建筑各项能耗拆分!AP187</f>
        <v>0</v>
      </c>
      <c r="AQ11" s="1">
        <f>建筑各项能耗拆分!$B$18*建筑各项能耗拆分!AQ187</f>
        <v>0</v>
      </c>
      <c r="AR11" s="1">
        <f>建筑各项能耗拆分!$B$18*建筑各项能耗拆分!AR187</f>
        <v>0</v>
      </c>
    </row>
    <row r="12" spans="1:44">
      <c r="A12" t="s">
        <v>1119</v>
      </c>
      <c r="B12" s="1">
        <f>SUM(B2:B11)</f>
        <v>1128926201694130</v>
      </c>
      <c r="C12" s="1">
        <f t="shared" ref="C12:AR12" si="0">SUM(C2:C11)</f>
        <v>2707891118524900</v>
      </c>
      <c r="D12" s="1">
        <f t="shared" si="0"/>
        <v>2581616472777950</v>
      </c>
      <c r="E12" s="1">
        <f t="shared" si="0"/>
        <v>2423448259707330</v>
      </c>
      <c r="F12" s="1">
        <f t="shared" si="0"/>
        <v>2226026976213700</v>
      </c>
      <c r="G12" s="1">
        <f t="shared" si="0"/>
        <v>2329451248486470</v>
      </c>
      <c r="H12" s="1">
        <f t="shared" si="0"/>
        <v>2334927512267920</v>
      </c>
      <c r="I12" s="1">
        <f t="shared" si="0"/>
        <v>2389322230593940</v>
      </c>
      <c r="J12" s="1">
        <f t="shared" si="0"/>
        <v>2444184465779550</v>
      </c>
      <c r="K12" s="1">
        <f t="shared" si="0"/>
        <v>2499834069051770</v>
      </c>
      <c r="L12" s="1">
        <f t="shared" si="0"/>
        <v>2556322997971710</v>
      </c>
      <c r="M12" s="1">
        <f t="shared" si="0"/>
        <v>2613449085283140</v>
      </c>
      <c r="N12" s="1">
        <f t="shared" si="0"/>
        <v>2671283632433980</v>
      </c>
      <c r="O12" s="1">
        <f t="shared" si="0"/>
        <v>2727675311259940</v>
      </c>
      <c r="P12" s="1">
        <f t="shared" si="0"/>
        <v>2784485081919500</v>
      </c>
      <c r="Q12" s="1">
        <f t="shared" si="0"/>
        <v>2841842159531440</v>
      </c>
      <c r="R12" s="1">
        <f t="shared" si="0"/>
        <v>2899716329797140</v>
      </c>
      <c r="S12" s="1">
        <f t="shared" si="0"/>
        <v>2973795628988780</v>
      </c>
      <c r="T12" s="1">
        <f t="shared" si="0"/>
        <v>3002400424180430</v>
      </c>
      <c r="U12" s="1">
        <f t="shared" si="0"/>
        <v>3030690829469780</v>
      </c>
      <c r="V12" s="1">
        <f t="shared" si="0"/>
        <v>3060796155642020</v>
      </c>
      <c r="W12" s="1">
        <f t="shared" si="0"/>
        <v>3090992775333480</v>
      </c>
      <c r="X12" s="1">
        <f t="shared" si="0"/>
        <v>3120892286305540</v>
      </c>
      <c r="Y12" s="1">
        <f t="shared" si="0"/>
        <v>3131779542272930</v>
      </c>
      <c r="Z12" s="1">
        <f t="shared" si="0"/>
        <v>3142255323944000</v>
      </c>
      <c r="AA12" s="1">
        <f t="shared" si="0"/>
        <v>3152322240235790</v>
      </c>
      <c r="AB12" s="1">
        <f t="shared" si="0"/>
        <v>3161991711135530</v>
      </c>
      <c r="AC12" s="1">
        <f t="shared" si="0"/>
        <v>3171304524880370</v>
      </c>
      <c r="AD12" s="1">
        <f t="shared" si="0"/>
        <v>3175462008253960</v>
      </c>
      <c r="AE12" s="1">
        <f t="shared" si="0"/>
        <v>3179173047966650</v>
      </c>
      <c r="AF12" s="1">
        <f t="shared" si="0"/>
        <v>3182502963277220</v>
      </c>
      <c r="AG12" s="1">
        <f t="shared" si="0"/>
        <v>3185454446289130</v>
      </c>
      <c r="AH12" s="1">
        <f t="shared" si="0"/>
        <v>3187988140885800</v>
      </c>
      <c r="AI12" s="1">
        <f t="shared" si="0"/>
        <v>3168418893522470</v>
      </c>
      <c r="AJ12" s="1">
        <f t="shared" si="0"/>
        <v>3148646496038080</v>
      </c>
      <c r="AK12" s="1">
        <f t="shared" si="0"/>
        <v>3128615838410400</v>
      </c>
      <c r="AL12" s="1">
        <f t="shared" si="0"/>
        <v>3108345289116510</v>
      </c>
      <c r="AM12" s="1">
        <f t="shared" si="0"/>
        <v>3087812179140310</v>
      </c>
      <c r="AN12" s="1">
        <f t="shared" si="0"/>
        <v>3062684819000890</v>
      </c>
      <c r="AO12" s="1">
        <f t="shared" si="0"/>
        <v>3037220074123350</v>
      </c>
      <c r="AP12" s="1">
        <f t="shared" si="0"/>
        <v>3011391387004770</v>
      </c>
      <c r="AQ12" s="1">
        <f t="shared" si="0"/>
        <v>2985215133830470</v>
      </c>
      <c r="AR12" s="1">
        <f t="shared" si="0"/>
        <v>2958685807277980</v>
      </c>
    </row>
    <row r="13" spans="1:44">
      <c r="G13" s="2"/>
      <c r="H13" s="2"/>
    </row>
    <row r="14" spans="1:44">
      <c r="F14" s="2"/>
      <c r="G14" s="2"/>
      <c r="H14" s="2"/>
    </row>
    <row r="15" spans="1:44">
      <c r="F15" s="2"/>
    </row>
  </sheetData>
  <pageMargins left="0.7" right="0.7" top="0.75" bottom="0.75" header="0.3" footer="0.3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2060"/>
  </sheetPr>
  <dimension ref="A1:AR11"/>
  <sheetViews>
    <sheetView workbookViewId="0">
      <selection activeCell="A1" sqref="$A1:$XFD1048576"/>
    </sheetView>
  </sheetViews>
  <sheetFormatPr defaultColWidth="9" defaultRowHeight="13.5"/>
  <cols>
    <col min="1" max="1" width="37.25" customWidth="1"/>
    <col min="2" max="44" width="13.6333333333333" customWidth="1"/>
  </cols>
  <sheetData>
    <row r="1" spans="1:44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>
      <c r="A2" t="s">
        <v>1109</v>
      </c>
      <c r="B2" s="1">
        <f>建筑各项能耗拆分!$B$18*建筑各项能耗拆分!B191</f>
        <v>1256372466401100</v>
      </c>
      <c r="C2" s="1">
        <f>建筑各项能耗拆分!$B$18*建筑各项能耗拆分!C191</f>
        <v>1610645432487870</v>
      </c>
      <c r="D2" s="1">
        <f>建筑各项能耗拆分!$B$18*建筑各项能耗拆分!D191</f>
        <v>1638697071448380</v>
      </c>
      <c r="E2" s="1">
        <f>建筑各项能耗拆分!$B$18*建筑各项能耗拆分!E191</f>
        <v>1947651696942580</v>
      </c>
      <c r="F2" s="1">
        <f>建筑各项能耗拆分!$B$18*建筑各项能耗拆分!F191</f>
        <v>1997540609530060</v>
      </c>
      <c r="G2" s="1">
        <f>建筑各项能耗拆分!$B$18*建筑各项能耗拆分!G191</f>
        <v>2323272508311460</v>
      </c>
      <c r="H2" s="1">
        <f>建筑各项能耗拆分!$B$18*建筑各项能耗拆分!H191</f>
        <v>1896586171285510</v>
      </c>
      <c r="I2" s="1">
        <f>建筑各项能耗拆分!$B$18*建筑各项能耗拆分!I191</f>
        <v>1855192206226940</v>
      </c>
      <c r="J2" s="1">
        <f>建筑各项能耗拆分!$B$18*建筑各项能耗拆分!J191</f>
        <v>1920072652383010</v>
      </c>
      <c r="K2" s="1">
        <f>建筑各项能耗拆分!$B$18*建筑各项能耗拆分!K191</f>
        <v>1983198563875910</v>
      </c>
      <c r="L2" s="1">
        <f>建筑各项能耗拆分!$B$18*建筑各项能耗拆分!L191</f>
        <v>2044766356796250</v>
      </c>
      <c r="M2" s="1">
        <f>建筑各项能耗拆分!$B$18*建筑各项能耗拆分!M191</f>
        <v>2102390729337990</v>
      </c>
      <c r="N2" s="1">
        <f>建筑各项能耗拆分!$B$18*建筑各项能耗拆分!N191</f>
        <v>2156727414953760</v>
      </c>
      <c r="O2" s="1">
        <f>建筑各项能耗拆分!$B$18*建筑各项能耗拆分!O191</f>
        <v>2205741132712940</v>
      </c>
      <c r="P2" s="1">
        <f>建筑各项能耗拆分!$B$18*建筑各项能耗拆分!P191</f>
        <v>2248990806840830</v>
      </c>
      <c r="Q2" s="1">
        <f>建筑各项能耗拆分!$B$18*建筑各项能耗拆分!Q191</f>
        <v>2287642791736800</v>
      </c>
      <c r="R2" s="1">
        <f>建筑各项能耗拆分!$B$18*建筑各项能耗拆分!R191</f>
        <v>2321143391750380</v>
      </c>
      <c r="S2" s="1">
        <f>建筑各项能耗拆分!$B$18*建筑各项能耗拆分!S191</f>
        <v>2522080742554060</v>
      </c>
      <c r="T2" s="1">
        <f>建筑各项能耗拆分!$B$18*建筑各项能耗拆分!T191</f>
        <v>2582526901399990</v>
      </c>
      <c r="U2" s="1">
        <f>建筑各项能耗拆分!$B$18*建筑各项能耗拆分!U191</f>
        <v>2639644170450920</v>
      </c>
      <c r="V2" s="1">
        <f>建筑各项能耗拆分!$B$18*建筑各项能耗拆分!V191</f>
        <v>2716973778836700</v>
      </c>
      <c r="W2" s="1">
        <f>建筑各项能耗拆分!$B$18*建筑各项能耗拆分!W191</f>
        <v>2795457987426270</v>
      </c>
      <c r="X2" s="1">
        <f>建筑各项能耗拆分!$B$18*建筑各项能耗拆分!X191</f>
        <v>2870919159739390</v>
      </c>
      <c r="Y2" s="1">
        <f>建筑各项能耗拆分!$B$18*建筑各项能耗拆分!Y191</f>
        <v>2940670857932570</v>
      </c>
      <c r="Z2" s="1">
        <f>建筑各项能耗拆分!$B$18*建筑各项能耗拆分!Z191</f>
        <v>3007485899100720</v>
      </c>
      <c r="AA2" s="1">
        <f>建筑各项能耗拆分!$B$18*建筑各项能耗拆分!AA191</f>
        <v>3071485189749870</v>
      </c>
      <c r="AB2" s="1">
        <f>建筑各项能耗拆分!$B$18*建筑各项能耗拆分!AB191</f>
        <v>3132667805525050</v>
      </c>
      <c r="AC2" s="1">
        <f>建筑各项能耗拆分!$B$18*建筑各项能耗拆分!AC191</f>
        <v>3191478135835790</v>
      </c>
      <c r="AD2" s="1">
        <f>建筑各项能耗拆分!$B$18*建筑各项能耗拆分!AD191</f>
        <v>3245002503771440</v>
      </c>
      <c r="AE2" s="1">
        <f>建筑各项能耗拆分!$B$18*建筑各项能耗拆分!AE191</f>
        <v>3295954817964400</v>
      </c>
      <c r="AF2" s="1">
        <f>建筑各项能耗拆分!$B$18*建筑各项能耗拆分!AF191</f>
        <v>3344628462534640</v>
      </c>
      <c r="AG2" s="1">
        <f>建筑各项能耗拆分!$B$18*建筑各项能耗拆分!AG191</f>
        <v>3391413765016920</v>
      </c>
      <c r="AH2" s="1">
        <f>建筑各项能耗拆分!$B$18*建筑各项能耗拆分!AH191</f>
        <v>3435911151207070</v>
      </c>
      <c r="AI2" s="1">
        <f>建筑各项能耗拆分!$B$18*建筑各项能耗拆分!AI191</f>
        <v>3468815611311240</v>
      </c>
      <c r="AJ2" s="1">
        <f>建筑各项能耗拆分!$B$18*建筑各项能耗拆分!AJ191</f>
        <v>3499427533940750</v>
      </c>
      <c r="AK2" s="1">
        <f>建筑各项能耗拆分!$B$18*建筑各项能耗拆分!AK191</f>
        <v>3527472341049580</v>
      </c>
      <c r="AL2" s="1">
        <f>建筑各项能耗拆分!$B$18*建筑各项能耗拆分!AL191</f>
        <v>3552919885522720</v>
      </c>
      <c r="AM2" s="1">
        <f>建筑各项能耗拆分!$B$18*建筑各项能耗拆分!AM191</f>
        <v>3575531962117780</v>
      </c>
      <c r="AN2" s="1">
        <f>建筑各项能耗拆分!$B$18*建筑各项能耗拆分!AN191</f>
        <v>3590882622876070</v>
      </c>
      <c r="AO2" s="1">
        <f>建筑各项能耗拆分!$B$18*建筑各项能耗拆分!AO191</f>
        <v>3602497791373920</v>
      </c>
      <c r="AP2" s="1">
        <f>建筑各项能耗拆分!$B$18*建筑各项能耗拆分!AP191</f>
        <v>3610323792996650</v>
      </c>
      <c r="AQ2" s="1">
        <f>建筑各项能耗拆分!$B$18*建筑各项能耗拆分!AQ191</f>
        <v>3614401984656540</v>
      </c>
      <c r="AR2" s="1">
        <f>建筑各项能耗拆分!$B$18*建筑各项能耗拆分!AR191</f>
        <v>3614733048094490</v>
      </c>
    </row>
    <row r="3" spans="1:44">
      <c r="A3" t="s">
        <v>1110</v>
      </c>
      <c r="B3" s="1">
        <f>建筑各项能耗拆分!$B$18*建筑各项能耗拆分!B192</f>
        <v>0</v>
      </c>
      <c r="C3" s="1">
        <f>建筑各项能耗拆分!$B$18*建筑各项能耗拆分!C192</f>
        <v>0</v>
      </c>
      <c r="D3" s="1">
        <f>建筑各项能耗拆分!$B$18*建筑各项能耗拆分!D192</f>
        <v>0</v>
      </c>
      <c r="E3" s="1">
        <f>建筑各项能耗拆分!$B$18*建筑各项能耗拆分!E192</f>
        <v>0</v>
      </c>
      <c r="F3" s="1">
        <f>建筑各项能耗拆分!$B$18*建筑各项能耗拆分!F192</f>
        <v>0</v>
      </c>
      <c r="G3" s="1">
        <f>建筑各项能耗拆分!$B$18*建筑各项能耗拆分!G192</f>
        <v>0</v>
      </c>
      <c r="H3" s="1">
        <f>建筑各项能耗拆分!$B$18*建筑各项能耗拆分!H192</f>
        <v>0</v>
      </c>
      <c r="I3" s="1">
        <f>建筑各项能耗拆分!$B$18*建筑各项能耗拆分!I192</f>
        <v>0</v>
      </c>
      <c r="J3" s="1">
        <f>建筑各项能耗拆分!$B$18*建筑各项能耗拆分!J192</f>
        <v>0</v>
      </c>
      <c r="K3" s="1">
        <f>建筑各项能耗拆分!$B$18*建筑各项能耗拆分!K192</f>
        <v>0</v>
      </c>
      <c r="L3" s="1">
        <f>建筑各项能耗拆分!$B$18*建筑各项能耗拆分!L192</f>
        <v>0</v>
      </c>
      <c r="M3" s="1">
        <f>建筑各项能耗拆分!$B$18*建筑各项能耗拆分!M192</f>
        <v>0</v>
      </c>
      <c r="N3" s="1">
        <f>建筑各项能耗拆分!$B$18*建筑各项能耗拆分!N192</f>
        <v>0</v>
      </c>
      <c r="O3" s="1">
        <f>建筑各项能耗拆分!$B$18*建筑各项能耗拆分!O192</f>
        <v>0</v>
      </c>
      <c r="P3" s="1">
        <f>建筑各项能耗拆分!$B$18*建筑各项能耗拆分!P192</f>
        <v>0</v>
      </c>
      <c r="Q3" s="1">
        <f>建筑各项能耗拆分!$B$18*建筑各项能耗拆分!Q192</f>
        <v>0</v>
      </c>
      <c r="R3" s="1">
        <f>建筑各项能耗拆分!$B$18*建筑各项能耗拆分!R192</f>
        <v>0</v>
      </c>
      <c r="S3" s="1">
        <f>建筑各项能耗拆分!$B$18*建筑各项能耗拆分!S192</f>
        <v>0</v>
      </c>
      <c r="T3" s="1">
        <f>建筑各项能耗拆分!$B$18*建筑各项能耗拆分!T192</f>
        <v>0</v>
      </c>
      <c r="U3" s="1">
        <f>建筑各项能耗拆分!$B$18*建筑各项能耗拆分!U192</f>
        <v>0</v>
      </c>
      <c r="V3" s="1">
        <f>建筑各项能耗拆分!$B$18*建筑各项能耗拆分!V192</f>
        <v>0</v>
      </c>
      <c r="W3" s="1">
        <f>建筑各项能耗拆分!$B$18*建筑各项能耗拆分!W192</f>
        <v>0</v>
      </c>
      <c r="X3" s="1">
        <f>建筑各项能耗拆分!$B$18*建筑各项能耗拆分!X192</f>
        <v>0</v>
      </c>
      <c r="Y3" s="1">
        <f>建筑各项能耗拆分!$B$18*建筑各项能耗拆分!Y192</f>
        <v>0</v>
      </c>
      <c r="Z3" s="1">
        <f>建筑各项能耗拆分!$B$18*建筑各项能耗拆分!Z192</f>
        <v>0</v>
      </c>
      <c r="AA3" s="1">
        <f>建筑各项能耗拆分!$B$18*建筑各项能耗拆分!AA192</f>
        <v>0</v>
      </c>
      <c r="AB3" s="1">
        <f>建筑各项能耗拆分!$B$18*建筑各项能耗拆分!AB192</f>
        <v>0</v>
      </c>
      <c r="AC3" s="1">
        <f>建筑各项能耗拆分!$B$18*建筑各项能耗拆分!AC192</f>
        <v>0</v>
      </c>
      <c r="AD3" s="1">
        <f>建筑各项能耗拆分!$B$18*建筑各项能耗拆分!AD192</f>
        <v>0</v>
      </c>
      <c r="AE3" s="1">
        <f>建筑各项能耗拆分!$B$18*建筑各项能耗拆分!AE192</f>
        <v>0</v>
      </c>
      <c r="AF3" s="1">
        <f>建筑各项能耗拆分!$B$18*建筑各项能耗拆分!AF192</f>
        <v>0</v>
      </c>
      <c r="AG3" s="1">
        <f>建筑各项能耗拆分!$B$18*建筑各项能耗拆分!AG192</f>
        <v>0</v>
      </c>
      <c r="AH3" s="1">
        <f>建筑各项能耗拆分!$B$18*建筑各项能耗拆分!AH192</f>
        <v>0</v>
      </c>
      <c r="AI3" s="1">
        <f>建筑各项能耗拆分!$B$18*建筑各项能耗拆分!AI192</f>
        <v>0</v>
      </c>
      <c r="AJ3" s="1">
        <f>建筑各项能耗拆分!$B$18*建筑各项能耗拆分!AJ192</f>
        <v>0</v>
      </c>
      <c r="AK3" s="1">
        <f>建筑各项能耗拆分!$B$18*建筑各项能耗拆分!AK192</f>
        <v>0</v>
      </c>
      <c r="AL3" s="1">
        <f>建筑各项能耗拆分!$B$18*建筑各项能耗拆分!AL192</f>
        <v>0</v>
      </c>
      <c r="AM3" s="1">
        <f>建筑各项能耗拆分!$B$18*建筑各项能耗拆分!AM192</f>
        <v>0</v>
      </c>
      <c r="AN3" s="1">
        <f>建筑各项能耗拆分!$B$18*建筑各项能耗拆分!AN192</f>
        <v>0</v>
      </c>
      <c r="AO3" s="1">
        <f>建筑各项能耗拆分!$B$18*建筑各项能耗拆分!AO192</f>
        <v>0</v>
      </c>
      <c r="AP3" s="1">
        <f>建筑各项能耗拆分!$B$18*建筑各项能耗拆分!AP192</f>
        <v>0</v>
      </c>
      <c r="AQ3" s="1">
        <f>建筑各项能耗拆分!$B$18*建筑各项能耗拆分!AQ192</f>
        <v>0</v>
      </c>
      <c r="AR3" s="1">
        <f>建筑各项能耗拆分!$B$18*建筑各项能耗拆分!AR192</f>
        <v>0</v>
      </c>
    </row>
    <row r="4" spans="1:44">
      <c r="A4" t="s">
        <v>1111</v>
      </c>
      <c r="B4" s="1">
        <f>建筑各项能耗拆分!$B$18*建筑各项能耗拆分!B193</f>
        <v>0</v>
      </c>
      <c r="C4" s="1">
        <f>建筑各项能耗拆分!$B$18*建筑各项能耗拆分!C193</f>
        <v>0</v>
      </c>
      <c r="D4" s="1">
        <f>建筑各项能耗拆分!$B$18*建筑各项能耗拆分!D193</f>
        <v>0</v>
      </c>
      <c r="E4" s="1">
        <f>建筑各项能耗拆分!$B$18*建筑各项能耗拆分!E193</f>
        <v>0</v>
      </c>
      <c r="F4" s="1">
        <f>建筑各项能耗拆分!$B$18*建筑各项能耗拆分!F193</f>
        <v>0</v>
      </c>
      <c r="G4" s="1">
        <f>建筑各项能耗拆分!$B$18*建筑各项能耗拆分!G193</f>
        <v>0</v>
      </c>
      <c r="H4" s="1">
        <f>建筑各项能耗拆分!$B$18*建筑各项能耗拆分!H193</f>
        <v>0</v>
      </c>
      <c r="I4" s="1">
        <f>建筑各项能耗拆分!$B$18*建筑各项能耗拆分!I193</f>
        <v>0</v>
      </c>
      <c r="J4" s="1">
        <f>建筑各项能耗拆分!$B$18*建筑各项能耗拆分!J193</f>
        <v>0</v>
      </c>
      <c r="K4" s="1">
        <f>建筑各项能耗拆分!$B$18*建筑各项能耗拆分!K193</f>
        <v>0</v>
      </c>
      <c r="L4" s="1">
        <f>建筑各项能耗拆分!$B$18*建筑各项能耗拆分!L193</f>
        <v>0</v>
      </c>
      <c r="M4" s="1">
        <f>建筑各项能耗拆分!$B$18*建筑各项能耗拆分!M193</f>
        <v>0</v>
      </c>
      <c r="N4" s="1">
        <f>建筑各项能耗拆分!$B$18*建筑各项能耗拆分!N193</f>
        <v>0</v>
      </c>
      <c r="O4" s="1">
        <f>建筑各项能耗拆分!$B$18*建筑各项能耗拆分!O193</f>
        <v>0</v>
      </c>
      <c r="P4" s="1">
        <f>建筑各项能耗拆分!$B$18*建筑各项能耗拆分!P193</f>
        <v>0</v>
      </c>
      <c r="Q4" s="1">
        <f>建筑各项能耗拆分!$B$18*建筑各项能耗拆分!Q193</f>
        <v>0</v>
      </c>
      <c r="R4" s="1">
        <f>建筑各项能耗拆分!$B$18*建筑各项能耗拆分!R193</f>
        <v>0</v>
      </c>
      <c r="S4" s="1">
        <f>建筑各项能耗拆分!$B$18*建筑各项能耗拆分!S193</f>
        <v>0</v>
      </c>
      <c r="T4" s="1">
        <f>建筑各项能耗拆分!$B$18*建筑各项能耗拆分!T193</f>
        <v>0</v>
      </c>
      <c r="U4" s="1">
        <f>建筑各项能耗拆分!$B$18*建筑各项能耗拆分!U193</f>
        <v>0</v>
      </c>
      <c r="V4" s="1">
        <f>建筑各项能耗拆分!$B$18*建筑各项能耗拆分!V193</f>
        <v>0</v>
      </c>
      <c r="W4" s="1">
        <f>建筑各项能耗拆分!$B$18*建筑各项能耗拆分!W193</f>
        <v>0</v>
      </c>
      <c r="X4" s="1">
        <f>建筑各项能耗拆分!$B$18*建筑各项能耗拆分!X193</f>
        <v>0</v>
      </c>
      <c r="Y4" s="1">
        <f>建筑各项能耗拆分!$B$18*建筑各项能耗拆分!Y193</f>
        <v>0</v>
      </c>
      <c r="Z4" s="1">
        <f>建筑各项能耗拆分!$B$18*建筑各项能耗拆分!Z193</f>
        <v>0</v>
      </c>
      <c r="AA4" s="1">
        <f>建筑各项能耗拆分!$B$18*建筑各项能耗拆分!AA193</f>
        <v>0</v>
      </c>
      <c r="AB4" s="1">
        <f>建筑各项能耗拆分!$B$18*建筑各项能耗拆分!AB193</f>
        <v>0</v>
      </c>
      <c r="AC4" s="1">
        <f>建筑各项能耗拆分!$B$18*建筑各项能耗拆分!AC193</f>
        <v>0</v>
      </c>
      <c r="AD4" s="1">
        <f>建筑各项能耗拆分!$B$18*建筑各项能耗拆分!AD193</f>
        <v>0</v>
      </c>
      <c r="AE4" s="1">
        <f>建筑各项能耗拆分!$B$18*建筑各项能耗拆分!AE193</f>
        <v>0</v>
      </c>
      <c r="AF4" s="1">
        <f>建筑各项能耗拆分!$B$18*建筑各项能耗拆分!AF193</f>
        <v>0</v>
      </c>
      <c r="AG4" s="1">
        <f>建筑各项能耗拆分!$B$18*建筑各项能耗拆分!AG193</f>
        <v>0</v>
      </c>
      <c r="AH4" s="1">
        <f>建筑各项能耗拆分!$B$18*建筑各项能耗拆分!AH193</f>
        <v>0</v>
      </c>
      <c r="AI4" s="1">
        <f>建筑各项能耗拆分!$B$18*建筑各项能耗拆分!AI193</f>
        <v>0</v>
      </c>
      <c r="AJ4" s="1">
        <f>建筑各项能耗拆分!$B$18*建筑各项能耗拆分!AJ193</f>
        <v>0</v>
      </c>
      <c r="AK4" s="1">
        <f>建筑各项能耗拆分!$B$18*建筑各项能耗拆分!AK193</f>
        <v>0</v>
      </c>
      <c r="AL4" s="1">
        <f>建筑各项能耗拆分!$B$18*建筑各项能耗拆分!AL193</f>
        <v>0</v>
      </c>
      <c r="AM4" s="1">
        <f>建筑各项能耗拆分!$B$18*建筑各项能耗拆分!AM193</f>
        <v>0</v>
      </c>
      <c r="AN4" s="1">
        <f>建筑各项能耗拆分!$B$18*建筑各项能耗拆分!AN193</f>
        <v>0</v>
      </c>
      <c r="AO4" s="1">
        <f>建筑各项能耗拆分!$B$18*建筑各项能耗拆分!AO193</f>
        <v>0</v>
      </c>
      <c r="AP4" s="1">
        <f>建筑各项能耗拆分!$B$18*建筑各项能耗拆分!AP193</f>
        <v>0</v>
      </c>
      <c r="AQ4" s="1">
        <f>建筑各项能耗拆分!$B$18*建筑各项能耗拆分!AQ193</f>
        <v>0</v>
      </c>
      <c r="AR4" s="1">
        <f>建筑各项能耗拆分!$B$18*建筑各项能耗拆分!AR193</f>
        <v>0</v>
      </c>
    </row>
    <row r="5" spans="1:44">
      <c r="A5" t="s">
        <v>1112</v>
      </c>
      <c r="B5" s="1">
        <f>建筑各项能耗拆分!$B$18*建筑各项能耗拆分!B194</f>
        <v>0</v>
      </c>
      <c r="C5" s="1">
        <f>建筑各项能耗拆分!$B$18*建筑各项能耗拆分!C194</f>
        <v>0</v>
      </c>
      <c r="D5" s="1">
        <f>建筑各项能耗拆分!$B$18*建筑各项能耗拆分!D194</f>
        <v>0</v>
      </c>
      <c r="E5" s="1">
        <f>建筑各项能耗拆分!$B$18*建筑各项能耗拆分!E194</f>
        <v>0</v>
      </c>
      <c r="F5" s="1">
        <f>建筑各项能耗拆分!$B$18*建筑各项能耗拆分!F194</f>
        <v>0</v>
      </c>
      <c r="G5" s="1">
        <f>建筑各项能耗拆分!$B$18*建筑各项能耗拆分!G194</f>
        <v>0</v>
      </c>
      <c r="H5" s="1">
        <f>建筑各项能耗拆分!$B$18*建筑各项能耗拆分!H194</f>
        <v>0</v>
      </c>
      <c r="I5" s="1">
        <f>建筑各项能耗拆分!$B$18*建筑各项能耗拆分!I194</f>
        <v>0</v>
      </c>
      <c r="J5" s="1">
        <f>建筑各项能耗拆分!$B$18*建筑各项能耗拆分!J194</f>
        <v>0</v>
      </c>
      <c r="K5" s="1">
        <f>建筑各项能耗拆分!$B$18*建筑各项能耗拆分!K194</f>
        <v>0</v>
      </c>
      <c r="L5" s="1">
        <f>建筑各项能耗拆分!$B$18*建筑各项能耗拆分!L194</f>
        <v>0</v>
      </c>
      <c r="M5" s="1">
        <f>建筑各项能耗拆分!$B$18*建筑各项能耗拆分!M194</f>
        <v>0</v>
      </c>
      <c r="N5" s="1">
        <f>建筑各项能耗拆分!$B$18*建筑各项能耗拆分!N194</f>
        <v>0</v>
      </c>
      <c r="O5" s="1">
        <f>建筑各项能耗拆分!$B$18*建筑各项能耗拆分!O194</f>
        <v>0</v>
      </c>
      <c r="P5" s="1">
        <f>建筑各项能耗拆分!$B$18*建筑各项能耗拆分!P194</f>
        <v>0</v>
      </c>
      <c r="Q5" s="1">
        <f>建筑各项能耗拆分!$B$18*建筑各项能耗拆分!Q194</f>
        <v>0</v>
      </c>
      <c r="R5" s="1">
        <f>建筑各项能耗拆分!$B$18*建筑各项能耗拆分!R194</f>
        <v>0</v>
      </c>
      <c r="S5" s="1">
        <f>建筑各项能耗拆分!$B$18*建筑各项能耗拆分!S194</f>
        <v>0</v>
      </c>
      <c r="T5" s="1">
        <f>建筑各项能耗拆分!$B$18*建筑各项能耗拆分!T194</f>
        <v>0</v>
      </c>
      <c r="U5" s="1">
        <f>建筑各项能耗拆分!$B$18*建筑各项能耗拆分!U194</f>
        <v>0</v>
      </c>
      <c r="V5" s="1">
        <f>建筑各项能耗拆分!$B$18*建筑各项能耗拆分!V194</f>
        <v>0</v>
      </c>
      <c r="W5" s="1">
        <f>建筑各项能耗拆分!$B$18*建筑各项能耗拆分!W194</f>
        <v>0</v>
      </c>
      <c r="X5" s="1">
        <f>建筑各项能耗拆分!$B$18*建筑各项能耗拆分!X194</f>
        <v>0</v>
      </c>
      <c r="Y5" s="1">
        <f>建筑各项能耗拆分!$B$18*建筑各项能耗拆分!Y194</f>
        <v>0</v>
      </c>
      <c r="Z5" s="1">
        <f>建筑各项能耗拆分!$B$18*建筑各项能耗拆分!Z194</f>
        <v>0</v>
      </c>
      <c r="AA5" s="1">
        <f>建筑各项能耗拆分!$B$18*建筑各项能耗拆分!AA194</f>
        <v>0</v>
      </c>
      <c r="AB5" s="1">
        <f>建筑各项能耗拆分!$B$18*建筑各项能耗拆分!AB194</f>
        <v>0</v>
      </c>
      <c r="AC5" s="1">
        <f>建筑各项能耗拆分!$B$18*建筑各项能耗拆分!AC194</f>
        <v>0</v>
      </c>
      <c r="AD5" s="1">
        <f>建筑各项能耗拆分!$B$18*建筑各项能耗拆分!AD194</f>
        <v>0</v>
      </c>
      <c r="AE5" s="1">
        <f>建筑各项能耗拆分!$B$18*建筑各项能耗拆分!AE194</f>
        <v>0</v>
      </c>
      <c r="AF5" s="1">
        <f>建筑各项能耗拆分!$B$18*建筑各项能耗拆分!AF194</f>
        <v>0</v>
      </c>
      <c r="AG5" s="1">
        <f>建筑各项能耗拆分!$B$18*建筑各项能耗拆分!AG194</f>
        <v>0</v>
      </c>
      <c r="AH5" s="1">
        <f>建筑各项能耗拆分!$B$18*建筑各项能耗拆分!AH194</f>
        <v>0</v>
      </c>
      <c r="AI5" s="1">
        <f>建筑各项能耗拆分!$B$18*建筑各项能耗拆分!AI194</f>
        <v>0</v>
      </c>
      <c r="AJ5" s="1">
        <f>建筑各项能耗拆分!$B$18*建筑各项能耗拆分!AJ194</f>
        <v>0</v>
      </c>
      <c r="AK5" s="1">
        <f>建筑各项能耗拆分!$B$18*建筑各项能耗拆分!AK194</f>
        <v>0</v>
      </c>
      <c r="AL5" s="1">
        <f>建筑各项能耗拆分!$B$18*建筑各项能耗拆分!AL194</f>
        <v>0</v>
      </c>
      <c r="AM5" s="1">
        <f>建筑各项能耗拆分!$B$18*建筑各项能耗拆分!AM194</f>
        <v>0</v>
      </c>
      <c r="AN5" s="1">
        <f>建筑各项能耗拆分!$B$18*建筑各项能耗拆分!AN194</f>
        <v>0</v>
      </c>
      <c r="AO5" s="1">
        <f>建筑各项能耗拆分!$B$18*建筑各项能耗拆分!AO194</f>
        <v>0</v>
      </c>
      <c r="AP5" s="1">
        <f>建筑各项能耗拆分!$B$18*建筑各项能耗拆分!AP194</f>
        <v>0</v>
      </c>
      <c r="AQ5" s="1">
        <f>建筑各项能耗拆分!$B$18*建筑各项能耗拆分!AQ194</f>
        <v>0</v>
      </c>
      <c r="AR5" s="1">
        <f>建筑各项能耗拆分!$B$18*建筑各项能耗拆分!AR194</f>
        <v>0</v>
      </c>
    </row>
    <row r="6" spans="1:44">
      <c r="A6" t="s">
        <v>1113</v>
      </c>
      <c r="B6" s="1">
        <f>建筑各项能耗拆分!$B$18*建筑各项能耗拆分!B195</f>
        <v>0</v>
      </c>
      <c r="C6" s="1">
        <f>建筑各项能耗拆分!$B$18*建筑各项能耗拆分!C195</f>
        <v>0</v>
      </c>
      <c r="D6" s="1">
        <f>建筑各项能耗拆分!$B$18*建筑各项能耗拆分!D195</f>
        <v>0</v>
      </c>
      <c r="E6" s="1">
        <f>建筑各项能耗拆分!$B$18*建筑各项能耗拆分!E195</f>
        <v>0</v>
      </c>
      <c r="F6" s="1">
        <f>建筑各项能耗拆分!$B$18*建筑各项能耗拆分!F195</f>
        <v>0</v>
      </c>
      <c r="G6" s="1">
        <f>建筑各项能耗拆分!$B$18*建筑各项能耗拆分!G195</f>
        <v>0</v>
      </c>
      <c r="H6" s="1">
        <f>建筑各项能耗拆分!$B$18*建筑各项能耗拆分!H195</f>
        <v>0</v>
      </c>
      <c r="I6" s="1">
        <f>建筑各项能耗拆分!$B$18*建筑各项能耗拆分!I195</f>
        <v>0</v>
      </c>
      <c r="J6" s="1">
        <f>建筑各项能耗拆分!$B$18*建筑各项能耗拆分!J195</f>
        <v>0</v>
      </c>
      <c r="K6" s="1">
        <f>建筑各项能耗拆分!$B$18*建筑各项能耗拆分!K195</f>
        <v>0</v>
      </c>
      <c r="L6" s="1">
        <f>建筑各项能耗拆分!$B$18*建筑各项能耗拆分!L195</f>
        <v>0</v>
      </c>
      <c r="M6" s="1">
        <f>建筑各项能耗拆分!$B$18*建筑各项能耗拆分!M195</f>
        <v>0</v>
      </c>
      <c r="N6" s="1">
        <f>建筑各项能耗拆分!$B$18*建筑各项能耗拆分!N195</f>
        <v>0</v>
      </c>
      <c r="O6" s="1">
        <f>建筑各项能耗拆分!$B$18*建筑各项能耗拆分!O195</f>
        <v>0</v>
      </c>
      <c r="P6" s="1">
        <f>建筑各项能耗拆分!$B$18*建筑各项能耗拆分!P195</f>
        <v>0</v>
      </c>
      <c r="Q6" s="1">
        <f>建筑各项能耗拆分!$B$18*建筑各项能耗拆分!Q195</f>
        <v>0</v>
      </c>
      <c r="R6" s="1">
        <f>建筑各项能耗拆分!$B$18*建筑各项能耗拆分!R195</f>
        <v>0</v>
      </c>
      <c r="S6" s="1">
        <f>建筑各项能耗拆分!$B$18*建筑各项能耗拆分!S195</f>
        <v>0</v>
      </c>
      <c r="T6" s="1">
        <f>建筑各项能耗拆分!$B$18*建筑各项能耗拆分!T195</f>
        <v>0</v>
      </c>
      <c r="U6" s="1">
        <f>建筑各项能耗拆分!$B$18*建筑各项能耗拆分!U195</f>
        <v>0</v>
      </c>
      <c r="V6" s="1">
        <f>建筑各项能耗拆分!$B$18*建筑各项能耗拆分!V195</f>
        <v>0</v>
      </c>
      <c r="W6" s="1">
        <f>建筑各项能耗拆分!$B$18*建筑各项能耗拆分!W195</f>
        <v>0</v>
      </c>
      <c r="X6" s="1">
        <f>建筑各项能耗拆分!$B$18*建筑各项能耗拆分!X195</f>
        <v>0</v>
      </c>
      <c r="Y6" s="1">
        <f>建筑各项能耗拆分!$B$18*建筑各项能耗拆分!Y195</f>
        <v>0</v>
      </c>
      <c r="Z6" s="1">
        <f>建筑各项能耗拆分!$B$18*建筑各项能耗拆分!Z195</f>
        <v>0</v>
      </c>
      <c r="AA6" s="1">
        <f>建筑各项能耗拆分!$B$18*建筑各项能耗拆分!AA195</f>
        <v>0</v>
      </c>
      <c r="AB6" s="1">
        <f>建筑各项能耗拆分!$B$18*建筑各项能耗拆分!AB195</f>
        <v>0</v>
      </c>
      <c r="AC6" s="1">
        <f>建筑各项能耗拆分!$B$18*建筑各项能耗拆分!AC195</f>
        <v>0</v>
      </c>
      <c r="AD6" s="1">
        <f>建筑各项能耗拆分!$B$18*建筑各项能耗拆分!AD195</f>
        <v>0</v>
      </c>
      <c r="AE6" s="1">
        <f>建筑各项能耗拆分!$B$18*建筑各项能耗拆分!AE195</f>
        <v>0</v>
      </c>
      <c r="AF6" s="1">
        <f>建筑各项能耗拆分!$B$18*建筑各项能耗拆分!AF195</f>
        <v>0</v>
      </c>
      <c r="AG6" s="1">
        <f>建筑各项能耗拆分!$B$18*建筑各项能耗拆分!AG195</f>
        <v>0</v>
      </c>
      <c r="AH6" s="1">
        <f>建筑各项能耗拆分!$B$18*建筑各项能耗拆分!AH195</f>
        <v>0</v>
      </c>
      <c r="AI6" s="1">
        <f>建筑各项能耗拆分!$B$18*建筑各项能耗拆分!AI195</f>
        <v>0</v>
      </c>
      <c r="AJ6" s="1">
        <f>建筑各项能耗拆分!$B$18*建筑各项能耗拆分!AJ195</f>
        <v>0</v>
      </c>
      <c r="AK6" s="1">
        <f>建筑各项能耗拆分!$B$18*建筑各项能耗拆分!AK195</f>
        <v>0</v>
      </c>
      <c r="AL6" s="1">
        <f>建筑各项能耗拆分!$B$18*建筑各项能耗拆分!AL195</f>
        <v>0</v>
      </c>
      <c r="AM6" s="1">
        <f>建筑各项能耗拆分!$B$18*建筑各项能耗拆分!AM195</f>
        <v>0</v>
      </c>
      <c r="AN6" s="1">
        <f>建筑各项能耗拆分!$B$18*建筑各项能耗拆分!AN195</f>
        <v>0</v>
      </c>
      <c r="AO6" s="1">
        <f>建筑各项能耗拆分!$B$18*建筑各项能耗拆分!AO195</f>
        <v>0</v>
      </c>
      <c r="AP6" s="1">
        <f>建筑各项能耗拆分!$B$18*建筑各项能耗拆分!AP195</f>
        <v>0</v>
      </c>
      <c r="AQ6" s="1">
        <f>建筑各项能耗拆分!$B$18*建筑各项能耗拆分!AQ195</f>
        <v>0</v>
      </c>
      <c r="AR6" s="1">
        <f>建筑各项能耗拆分!$B$18*建筑各项能耗拆分!AR195</f>
        <v>0</v>
      </c>
    </row>
    <row r="7" spans="1:44">
      <c r="A7" t="s">
        <v>1114</v>
      </c>
      <c r="B7" s="1">
        <f>建筑各项能耗拆分!$B$18*建筑各项能耗拆分!B196</f>
        <v>0</v>
      </c>
      <c r="C7" s="1">
        <f>建筑各项能耗拆分!$B$18*建筑各项能耗拆分!C196</f>
        <v>0</v>
      </c>
      <c r="D7" s="1">
        <f>建筑各项能耗拆分!$B$18*建筑各项能耗拆分!D196</f>
        <v>0</v>
      </c>
      <c r="E7" s="1">
        <f>建筑各项能耗拆分!$B$18*建筑各项能耗拆分!E196</f>
        <v>0</v>
      </c>
      <c r="F7" s="1">
        <f>建筑各项能耗拆分!$B$18*建筑各项能耗拆分!F196</f>
        <v>0</v>
      </c>
      <c r="G7" s="1">
        <f>建筑各项能耗拆分!$B$18*建筑各项能耗拆分!G196</f>
        <v>0</v>
      </c>
      <c r="H7" s="1">
        <f>建筑各项能耗拆分!$B$18*建筑各项能耗拆分!H196</f>
        <v>0</v>
      </c>
      <c r="I7" s="1">
        <f>建筑各项能耗拆分!$B$18*建筑各项能耗拆分!I196</f>
        <v>0</v>
      </c>
      <c r="J7" s="1">
        <f>建筑各项能耗拆分!$B$18*建筑各项能耗拆分!J196</f>
        <v>0</v>
      </c>
      <c r="K7" s="1">
        <f>建筑各项能耗拆分!$B$18*建筑各项能耗拆分!K196</f>
        <v>0</v>
      </c>
      <c r="L7" s="1">
        <f>建筑各项能耗拆分!$B$18*建筑各项能耗拆分!L196</f>
        <v>0</v>
      </c>
      <c r="M7" s="1">
        <f>建筑各项能耗拆分!$B$18*建筑各项能耗拆分!M196</f>
        <v>0</v>
      </c>
      <c r="N7" s="1">
        <f>建筑各项能耗拆分!$B$18*建筑各项能耗拆分!N196</f>
        <v>0</v>
      </c>
      <c r="O7" s="1">
        <f>建筑各项能耗拆分!$B$18*建筑各项能耗拆分!O196</f>
        <v>0</v>
      </c>
      <c r="P7" s="1">
        <f>建筑各项能耗拆分!$B$18*建筑各项能耗拆分!P196</f>
        <v>0</v>
      </c>
      <c r="Q7" s="1">
        <f>建筑各项能耗拆分!$B$18*建筑各项能耗拆分!Q196</f>
        <v>0</v>
      </c>
      <c r="R7" s="1">
        <f>建筑各项能耗拆分!$B$18*建筑各项能耗拆分!R196</f>
        <v>0</v>
      </c>
      <c r="S7" s="1">
        <f>建筑各项能耗拆分!$B$18*建筑各项能耗拆分!S196</f>
        <v>0</v>
      </c>
      <c r="T7" s="1">
        <f>建筑各项能耗拆分!$B$18*建筑各项能耗拆分!T196</f>
        <v>0</v>
      </c>
      <c r="U7" s="1">
        <f>建筑各项能耗拆分!$B$18*建筑各项能耗拆分!U196</f>
        <v>0</v>
      </c>
      <c r="V7" s="1">
        <f>建筑各项能耗拆分!$B$18*建筑各项能耗拆分!V196</f>
        <v>0</v>
      </c>
      <c r="W7" s="1">
        <f>建筑各项能耗拆分!$B$18*建筑各项能耗拆分!W196</f>
        <v>0</v>
      </c>
      <c r="X7" s="1">
        <f>建筑各项能耗拆分!$B$18*建筑各项能耗拆分!X196</f>
        <v>0</v>
      </c>
      <c r="Y7" s="1">
        <f>建筑各项能耗拆分!$B$18*建筑各项能耗拆分!Y196</f>
        <v>0</v>
      </c>
      <c r="Z7" s="1">
        <f>建筑各项能耗拆分!$B$18*建筑各项能耗拆分!Z196</f>
        <v>0</v>
      </c>
      <c r="AA7" s="1">
        <f>建筑各项能耗拆分!$B$18*建筑各项能耗拆分!AA196</f>
        <v>0</v>
      </c>
      <c r="AB7" s="1">
        <f>建筑各项能耗拆分!$B$18*建筑各项能耗拆分!AB196</f>
        <v>0</v>
      </c>
      <c r="AC7" s="1">
        <f>建筑各项能耗拆分!$B$18*建筑各项能耗拆分!AC196</f>
        <v>0</v>
      </c>
      <c r="AD7" s="1">
        <f>建筑各项能耗拆分!$B$18*建筑各项能耗拆分!AD196</f>
        <v>0</v>
      </c>
      <c r="AE7" s="1">
        <f>建筑各项能耗拆分!$B$18*建筑各项能耗拆分!AE196</f>
        <v>0</v>
      </c>
      <c r="AF7" s="1">
        <f>建筑各项能耗拆分!$B$18*建筑各项能耗拆分!AF196</f>
        <v>0</v>
      </c>
      <c r="AG7" s="1">
        <f>建筑各项能耗拆分!$B$18*建筑各项能耗拆分!AG196</f>
        <v>0</v>
      </c>
      <c r="AH7" s="1">
        <f>建筑各项能耗拆分!$B$18*建筑各项能耗拆分!AH196</f>
        <v>0</v>
      </c>
      <c r="AI7" s="1">
        <f>建筑各项能耗拆分!$B$18*建筑各项能耗拆分!AI196</f>
        <v>0</v>
      </c>
      <c r="AJ7" s="1">
        <f>建筑各项能耗拆分!$B$18*建筑各项能耗拆分!AJ196</f>
        <v>0</v>
      </c>
      <c r="AK7" s="1">
        <f>建筑各项能耗拆分!$B$18*建筑各项能耗拆分!AK196</f>
        <v>0</v>
      </c>
      <c r="AL7" s="1">
        <f>建筑各项能耗拆分!$B$18*建筑各项能耗拆分!AL196</f>
        <v>0</v>
      </c>
      <c r="AM7" s="1">
        <f>建筑各项能耗拆分!$B$18*建筑各项能耗拆分!AM196</f>
        <v>0</v>
      </c>
      <c r="AN7" s="1">
        <f>建筑各项能耗拆分!$B$18*建筑各项能耗拆分!AN196</f>
        <v>0</v>
      </c>
      <c r="AO7" s="1">
        <f>建筑各项能耗拆分!$B$18*建筑各项能耗拆分!AO196</f>
        <v>0</v>
      </c>
      <c r="AP7" s="1">
        <f>建筑各项能耗拆分!$B$18*建筑各项能耗拆分!AP196</f>
        <v>0</v>
      </c>
      <c r="AQ7" s="1">
        <f>建筑各项能耗拆分!$B$18*建筑各项能耗拆分!AQ196</f>
        <v>0</v>
      </c>
      <c r="AR7" s="1">
        <f>建筑各项能耗拆分!$B$18*建筑各项能耗拆分!AR196</f>
        <v>0</v>
      </c>
    </row>
    <row r="8" spans="1:44">
      <c r="A8" t="s">
        <v>1115</v>
      </c>
      <c r="B8" s="1">
        <f>建筑各项能耗拆分!$B$18*建筑各项能耗拆分!B197</f>
        <v>0</v>
      </c>
      <c r="C8" s="1">
        <f>建筑各项能耗拆分!$B$18*建筑各项能耗拆分!C197</f>
        <v>0</v>
      </c>
      <c r="D8" s="1">
        <f>建筑各项能耗拆分!$B$18*建筑各项能耗拆分!D197</f>
        <v>0</v>
      </c>
      <c r="E8" s="1">
        <f>建筑各项能耗拆分!$B$18*建筑各项能耗拆分!E197</f>
        <v>0</v>
      </c>
      <c r="F8" s="1">
        <f>建筑各项能耗拆分!$B$18*建筑各项能耗拆分!F197</f>
        <v>0</v>
      </c>
      <c r="G8" s="1">
        <f>建筑各项能耗拆分!$B$18*建筑各项能耗拆分!G197</f>
        <v>0</v>
      </c>
      <c r="H8" s="1">
        <f>建筑各项能耗拆分!$B$18*建筑各项能耗拆分!H197</f>
        <v>0</v>
      </c>
      <c r="I8" s="1">
        <f>建筑各项能耗拆分!$B$18*建筑各项能耗拆分!I197</f>
        <v>0</v>
      </c>
      <c r="J8" s="1">
        <f>建筑各项能耗拆分!$B$18*建筑各项能耗拆分!J197</f>
        <v>0</v>
      </c>
      <c r="K8" s="1">
        <f>建筑各项能耗拆分!$B$18*建筑各项能耗拆分!K197</f>
        <v>0</v>
      </c>
      <c r="L8" s="1">
        <f>建筑各项能耗拆分!$B$18*建筑各项能耗拆分!L197</f>
        <v>0</v>
      </c>
      <c r="M8" s="1">
        <f>建筑各项能耗拆分!$B$18*建筑各项能耗拆分!M197</f>
        <v>0</v>
      </c>
      <c r="N8" s="1">
        <f>建筑各项能耗拆分!$B$18*建筑各项能耗拆分!N197</f>
        <v>0</v>
      </c>
      <c r="O8" s="1">
        <f>建筑各项能耗拆分!$B$18*建筑各项能耗拆分!O197</f>
        <v>0</v>
      </c>
      <c r="P8" s="1">
        <f>建筑各项能耗拆分!$B$18*建筑各项能耗拆分!P197</f>
        <v>0</v>
      </c>
      <c r="Q8" s="1">
        <f>建筑各项能耗拆分!$B$18*建筑各项能耗拆分!Q197</f>
        <v>0</v>
      </c>
      <c r="R8" s="1">
        <f>建筑各项能耗拆分!$B$18*建筑各项能耗拆分!R197</f>
        <v>0</v>
      </c>
      <c r="S8" s="1">
        <f>建筑各项能耗拆分!$B$18*建筑各项能耗拆分!S197</f>
        <v>0</v>
      </c>
      <c r="T8" s="1">
        <f>建筑各项能耗拆分!$B$18*建筑各项能耗拆分!T197</f>
        <v>0</v>
      </c>
      <c r="U8" s="1">
        <f>建筑各项能耗拆分!$B$18*建筑各项能耗拆分!U197</f>
        <v>0</v>
      </c>
      <c r="V8" s="1">
        <f>建筑各项能耗拆分!$B$18*建筑各项能耗拆分!V197</f>
        <v>0</v>
      </c>
      <c r="W8" s="1">
        <f>建筑各项能耗拆分!$B$18*建筑各项能耗拆分!W197</f>
        <v>0</v>
      </c>
      <c r="X8" s="1">
        <f>建筑各项能耗拆分!$B$18*建筑各项能耗拆分!X197</f>
        <v>0</v>
      </c>
      <c r="Y8" s="1">
        <f>建筑各项能耗拆分!$B$18*建筑各项能耗拆分!Y197</f>
        <v>0</v>
      </c>
      <c r="Z8" s="1">
        <f>建筑各项能耗拆分!$B$18*建筑各项能耗拆分!Z197</f>
        <v>0</v>
      </c>
      <c r="AA8" s="1">
        <f>建筑各项能耗拆分!$B$18*建筑各项能耗拆分!AA197</f>
        <v>0</v>
      </c>
      <c r="AB8" s="1">
        <f>建筑各项能耗拆分!$B$18*建筑各项能耗拆分!AB197</f>
        <v>0</v>
      </c>
      <c r="AC8" s="1">
        <f>建筑各项能耗拆分!$B$18*建筑各项能耗拆分!AC197</f>
        <v>0</v>
      </c>
      <c r="AD8" s="1">
        <f>建筑各项能耗拆分!$B$18*建筑各项能耗拆分!AD197</f>
        <v>0</v>
      </c>
      <c r="AE8" s="1">
        <f>建筑各项能耗拆分!$B$18*建筑各项能耗拆分!AE197</f>
        <v>0</v>
      </c>
      <c r="AF8" s="1">
        <f>建筑各项能耗拆分!$B$18*建筑各项能耗拆分!AF197</f>
        <v>0</v>
      </c>
      <c r="AG8" s="1">
        <f>建筑各项能耗拆分!$B$18*建筑各项能耗拆分!AG197</f>
        <v>0</v>
      </c>
      <c r="AH8" s="1">
        <f>建筑各项能耗拆分!$B$18*建筑各项能耗拆分!AH197</f>
        <v>0</v>
      </c>
      <c r="AI8" s="1">
        <f>建筑各项能耗拆分!$B$18*建筑各项能耗拆分!AI197</f>
        <v>0</v>
      </c>
      <c r="AJ8" s="1">
        <f>建筑各项能耗拆分!$B$18*建筑各项能耗拆分!AJ197</f>
        <v>0</v>
      </c>
      <c r="AK8" s="1">
        <f>建筑各项能耗拆分!$B$18*建筑各项能耗拆分!AK197</f>
        <v>0</v>
      </c>
      <c r="AL8" s="1">
        <f>建筑各项能耗拆分!$B$18*建筑各项能耗拆分!AL197</f>
        <v>0</v>
      </c>
      <c r="AM8" s="1">
        <f>建筑各项能耗拆分!$B$18*建筑各项能耗拆分!AM197</f>
        <v>0</v>
      </c>
      <c r="AN8" s="1">
        <f>建筑各项能耗拆分!$B$18*建筑各项能耗拆分!AN197</f>
        <v>0</v>
      </c>
      <c r="AO8" s="1">
        <f>建筑各项能耗拆分!$B$18*建筑各项能耗拆分!AO197</f>
        <v>0</v>
      </c>
      <c r="AP8" s="1">
        <f>建筑各项能耗拆分!$B$18*建筑各项能耗拆分!AP197</f>
        <v>0</v>
      </c>
      <c r="AQ8" s="1">
        <f>建筑各项能耗拆分!$B$18*建筑各项能耗拆分!AQ197</f>
        <v>0</v>
      </c>
      <c r="AR8" s="1">
        <f>建筑各项能耗拆分!$B$18*建筑各项能耗拆分!AR197</f>
        <v>0</v>
      </c>
    </row>
    <row r="9" spans="1:44">
      <c r="A9" t="s">
        <v>1116</v>
      </c>
      <c r="B9" s="1">
        <f>建筑各项能耗拆分!$B$18*建筑各项能耗拆分!B198</f>
        <v>0</v>
      </c>
      <c r="C9" s="1">
        <f>建筑各项能耗拆分!$B$18*建筑各项能耗拆分!C198</f>
        <v>0</v>
      </c>
      <c r="D9" s="1">
        <f>建筑各项能耗拆分!$B$18*建筑各项能耗拆分!D198</f>
        <v>0</v>
      </c>
      <c r="E9" s="1">
        <f>建筑各项能耗拆分!$B$18*建筑各项能耗拆分!E198</f>
        <v>0</v>
      </c>
      <c r="F9" s="1">
        <f>建筑各项能耗拆分!$B$18*建筑各项能耗拆分!F198</f>
        <v>0</v>
      </c>
      <c r="G9" s="1">
        <f>建筑各项能耗拆分!$B$18*建筑各项能耗拆分!G198</f>
        <v>0</v>
      </c>
      <c r="H9" s="1">
        <f>建筑各项能耗拆分!$B$18*建筑各项能耗拆分!H198</f>
        <v>0</v>
      </c>
      <c r="I9" s="1">
        <f>建筑各项能耗拆分!$B$18*建筑各项能耗拆分!I198</f>
        <v>0</v>
      </c>
      <c r="J9" s="1">
        <f>建筑各项能耗拆分!$B$18*建筑各项能耗拆分!J198</f>
        <v>0</v>
      </c>
      <c r="K9" s="1">
        <f>建筑各项能耗拆分!$B$18*建筑各项能耗拆分!K198</f>
        <v>0</v>
      </c>
      <c r="L9" s="1">
        <f>建筑各项能耗拆分!$B$18*建筑各项能耗拆分!L198</f>
        <v>0</v>
      </c>
      <c r="M9" s="1">
        <f>建筑各项能耗拆分!$B$18*建筑各项能耗拆分!M198</f>
        <v>0</v>
      </c>
      <c r="N9" s="1">
        <f>建筑各项能耗拆分!$B$18*建筑各项能耗拆分!N198</f>
        <v>0</v>
      </c>
      <c r="O9" s="1">
        <f>建筑各项能耗拆分!$B$18*建筑各项能耗拆分!O198</f>
        <v>0</v>
      </c>
      <c r="P9" s="1">
        <f>建筑各项能耗拆分!$B$18*建筑各项能耗拆分!P198</f>
        <v>0</v>
      </c>
      <c r="Q9" s="1">
        <f>建筑各项能耗拆分!$B$18*建筑各项能耗拆分!Q198</f>
        <v>0</v>
      </c>
      <c r="R9" s="1">
        <f>建筑各项能耗拆分!$B$18*建筑各项能耗拆分!R198</f>
        <v>0</v>
      </c>
      <c r="S9" s="1">
        <f>建筑各项能耗拆分!$B$18*建筑各项能耗拆分!S198</f>
        <v>0</v>
      </c>
      <c r="T9" s="1">
        <f>建筑各项能耗拆分!$B$18*建筑各项能耗拆分!T198</f>
        <v>0</v>
      </c>
      <c r="U9" s="1">
        <f>建筑各项能耗拆分!$B$18*建筑各项能耗拆分!U198</f>
        <v>0</v>
      </c>
      <c r="V9" s="1">
        <f>建筑各项能耗拆分!$B$18*建筑各项能耗拆分!V198</f>
        <v>0</v>
      </c>
      <c r="W9" s="1">
        <f>建筑各项能耗拆分!$B$18*建筑各项能耗拆分!W198</f>
        <v>0</v>
      </c>
      <c r="X9" s="1">
        <f>建筑各项能耗拆分!$B$18*建筑各项能耗拆分!X198</f>
        <v>0</v>
      </c>
      <c r="Y9" s="1">
        <f>建筑各项能耗拆分!$B$18*建筑各项能耗拆分!Y198</f>
        <v>0</v>
      </c>
      <c r="Z9" s="1">
        <f>建筑各项能耗拆分!$B$18*建筑各项能耗拆分!Z198</f>
        <v>0</v>
      </c>
      <c r="AA9" s="1">
        <f>建筑各项能耗拆分!$B$18*建筑各项能耗拆分!AA198</f>
        <v>0</v>
      </c>
      <c r="AB9" s="1">
        <f>建筑各项能耗拆分!$B$18*建筑各项能耗拆分!AB198</f>
        <v>0</v>
      </c>
      <c r="AC9" s="1">
        <f>建筑各项能耗拆分!$B$18*建筑各项能耗拆分!AC198</f>
        <v>0</v>
      </c>
      <c r="AD9" s="1">
        <f>建筑各项能耗拆分!$B$18*建筑各项能耗拆分!AD198</f>
        <v>0</v>
      </c>
      <c r="AE9" s="1">
        <f>建筑各项能耗拆分!$B$18*建筑各项能耗拆分!AE198</f>
        <v>0</v>
      </c>
      <c r="AF9" s="1">
        <f>建筑各项能耗拆分!$B$18*建筑各项能耗拆分!AF198</f>
        <v>0</v>
      </c>
      <c r="AG9" s="1">
        <f>建筑各项能耗拆分!$B$18*建筑各项能耗拆分!AG198</f>
        <v>0</v>
      </c>
      <c r="AH9" s="1">
        <f>建筑各项能耗拆分!$B$18*建筑各项能耗拆分!AH198</f>
        <v>0</v>
      </c>
      <c r="AI9" s="1">
        <f>建筑各项能耗拆分!$B$18*建筑各项能耗拆分!AI198</f>
        <v>0</v>
      </c>
      <c r="AJ9" s="1">
        <f>建筑各项能耗拆分!$B$18*建筑各项能耗拆分!AJ198</f>
        <v>0</v>
      </c>
      <c r="AK9" s="1">
        <f>建筑各项能耗拆分!$B$18*建筑各项能耗拆分!AK198</f>
        <v>0</v>
      </c>
      <c r="AL9" s="1">
        <f>建筑各项能耗拆分!$B$18*建筑各项能耗拆分!AL198</f>
        <v>0</v>
      </c>
      <c r="AM9" s="1">
        <f>建筑各项能耗拆分!$B$18*建筑各项能耗拆分!AM198</f>
        <v>0</v>
      </c>
      <c r="AN9" s="1">
        <f>建筑各项能耗拆分!$B$18*建筑各项能耗拆分!AN198</f>
        <v>0</v>
      </c>
      <c r="AO9" s="1">
        <f>建筑各项能耗拆分!$B$18*建筑各项能耗拆分!AO198</f>
        <v>0</v>
      </c>
      <c r="AP9" s="1">
        <f>建筑各项能耗拆分!$B$18*建筑各项能耗拆分!AP198</f>
        <v>0</v>
      </c>
      <c r="AQ9" s="1">
        <f>建筑各项能耗拆分!$B$18*建筑各项能耗拆分!AQ198</f>
        <v>0</v>
      </c>
      <c r="AR9" s="1">
        <f>建筑各项能耗拆分!$B$18*建筑各项能耗拆分!AR198</f>
        <v>0</v>
      </c>
    </row>
    <row r="10" spans="1:44">
      <c r="A10" t="s">
        <v>1117</v>
      </c>
      <c r="B10" s="1">
        <f>建筑各项能耗拆分!$B$18*建筑各项能耗拆分!B199</f>
        <v>0</v>
      </c>
      <c r="C10" s="1">
        <f>建筑各项能耗拆分!$B$18*建筑各项能耗拆分!C199</f>
        <v>0</v>
      </c>
      <c r="D10" s="1">
        <f>建筑各项能耗拆分!$B$18*建筑各项能耗拆分!D199</f>
        <v>0</v>
      </c>
      <c r="E10" s="1">
        <f>建筑各项能耗拆分!$B$18*建筑各项能耗拆分!E199</f>
        <v>0</v>
      </c>
      <c r="F10" s="1">
        <f>建筑各项能耗拆分!$B$18*建筑各项能耗拆分!F199</f>
        <v>0</v>
      </c>
      <c r="G10" s="1">
        <f>建筑各项能耗拆分!$B$18*建筑各项能耗拆分!G199</f>
        <v>0</v>
      </c>
      <c r="H10" s="1">
        <f>建筑各项能耗拆分!$B$18*建筑各项能耗拆分!H199</f>
        <v>0</v>
      </c>
      <c r="I10" s="1">
        <f>建筑各项能耗拆分!$B$18*建筑各项能耗拆分!I199</f>
        <v>0</v>
      </c>
      <c r="J10" s="1">
        <f>建筑各项能耗拆分!$B$18*建筑各项能耗拆分!J199</f>
        <v>0</v>
      </c>
      <c r="K10" s="1">
        <f>建筑各项能耗拆分!$B$18*建筑各项能耗拆分!K199</f>
        <v>0</v>
      </c>
      <c r="L10" s="1">
        <f>建筑各项能耗拆分!$B$18*建筑各项能耗拆分!L199</f>
        <v>0</v>
      </c>
      <c r="M10" s="1">
        <f>建筑各项能耗拆分!$B$18*建筑各项能耗拆分!M199</f>
        <v>0</v>
      </c>
      <c r="N10" s="1">
        <f>建筑各项能耗拆分!$B$18*建筑各项能耗拆分!N199</f>
        <v>0</v>
      </c>
      <c r="O10" s="1">
        <f>建筑各项能耗拆分!$B$18*建筑各项能耗拆分!O199</f>
        <v>0</v>
      </c>
      <c r="P10" s="1">
        <f>建筑各项能耗拆分!$B$18*建筑各项能耗拆分!P199</f>
        <v>0</v>
      </c>
      <c r="Q10" s="1">
        <f>建筑各项能耗拆分!$B$18*建筑各项能耗拆分!Q199</f>
        <v>0</v>
      </c>
      <c r="R10" s="1">
        <f>建筑各项能耗拆分!$B$18*建筑各项能耗拆分!R199</f>
        <v>0</v>
      </c>
      <c r="S10" s="1">
        <f>建筑各项能耗拆分!$B$18*建筑各项能耗拆分!S199</f>
        <v>0</v>
      </c>
      <c r="T10" s="1">
        <f>建筑各项能耗拆分!$B$18*建筑各项能耗拆分!T199</f>
        <v>0</v>
      </c>
      <c r="U10" s="1">
        <f>建筑各项能耗拆分!$B$18*建筑各项能耗拆分!U199</f>
        <v>0</v>
      </c>
      <c r="V10" s="1">
        <f>建筑各项能耗拆分!$B$18*建筑各项能耗拆分!V199</f>
        <v>0</v>
      </c>
      <c r="W10" s="1">
        <f>建筑各项能耗拆分!$B$18*建筑各项能耗拆分!W199</f>
        <v>0</v>
      </c>
      <c r="X10" s="1">
        <f>建筑各项能耗拆分!$B$18*建筑各项能耗拆分!X199</f>
        <v>0</v>
      </c>
      <c r="Y10" s="1">
        <f>建筑各项能耗拆分!$B$18*建筑各项能耗拆分!Y199</f>
        <v>0</v>
      </c>
      <c r="Z10" s="1">
        <f>建筑各项能耗拆分!$B$18*建筑各项能耗拆分!Z199</f>
        <v>0</v>
      </c>
      <c r="AA10" s="1">
        <f>建筑各项能耗拆分!$B$18*建筑各项能耗拆分!AA199</f>
        <v>0</v>
      </c>
      <c r="AB10" s="1">
        <f>建筑各项能耗拆分!$B$18*建筑各项能耗拆分!AB199</f>
        <v>0</v>
      </c>
      <c r="AC10" s="1">
        <f>建筑各项能耗拆分!$B$18*建筑各项能耗拆分!AC199</f>
        <v>0</v>
      </c>
      <c r="AD10" s="1">
        <f>建筑各项能耗拆分!$B$18*建筑各项能耗拆分!AD199</f>
        <v>0</v>
      </c>
      <c r="AE10" s="1">
        <f>建筑各项能耗拆分!$B$18*建筑各项能耗拆分!AE199</f>
        <v>0</v>
      </c>
      <c r="AF10" s="1">
        <f>建筑各项能耗拆分!$B$18*建筑各项能耗拆分!AF199</f>
        <v>0</v>
      </c>
      <c r="AG10" s="1">
        <f>建筑各项能耗拆分!$B$18*建筑各项能耗拆分!AG199</f>
        <v>0</v>
      </c>
      <c r="AH10" s="1">
        <f>建筑各项能耗拆分!$B$18*建筑各项能耗拆分!AH199</f>
        <v>0</v>
      </c>
      <c r="AI10" s="1">
        <f>建筑各项能耗拆分!$B$18*建筑各项能耗拆分!AI199</f>
        <v>0</v>
      </c>
      <c r="AJ10" s="1">
        <f>建筑各项能耗拆分!$B$18*建筑各项能耗拆分!AJ199</f>
        <v>0</v>
      </c>
      <c r="AK10" s="1">
        <f>建筑各项能耗拆分!$B$18*建筑各项能耗拆分!AK199</f>
        <v>0</v>
      </c>
      <c r="AL10" s="1">
        <f>建筑各项能耗拆分!$B$18*建筑各项能耗拆分!AL199</f>
        <v>0</v>
      </c>
      <c r="AM10" s="1">
        <f>建筑各项能耗拆分!$B$18*建筑各项能耗拆分!AM199</f>
        <v>0</v>
      </c>
      <c r="AN10" s="1">
        <f>建筑各项能耗拆分!$B$18*建筑各项能耗拆分!AN199</f>
        <v>0</v>
      </c>
      <c r="AO10" s="1">
        <f>建筑各项能耗拆分!$B$18*建筑各项能耗拆分!AO199</f>
        <v>0</v>
      </c>
      <c r="AP10" s="1">
        <f>建筑各项能耗拆分!$B$18*建筑各项能耗拆分!AP199</f>
        <v>0</v>
      </c>
      <c r="AQ10" s="1">
        <f>建筑各项能耗拆分!$B$18*建筑各项能耗拆分!AQ199</f>
        <v>0</v>
      </c>
      <c r="AR10" s="1">
        <f>建筑各项能耗拆分!$B$18*建筑各项能耗拆分!AR199</f>
        <v>0</v>
      </c>
    </row>
    <row r="11" spans="1:44">
      <c r="A11" t="s">
        <v>1118</v>
      </c>
      <c r="B11" s="1">
        <f>建筑各项能耗拆分!$B$18*建筑各项能耗拆分!B200</f>
        <v>0</v>
      </c>
      <c r="C11" s="1">
        <f>建筑各项能耗拆分!$B$18*建筑各项能耗拆分!C200</f>
        <v>0</v>
      </c>
      <c r="D11" s="1">
        <f>建筑各项能耗拆分!$B$18*建筑各项能耗拆分!D200</f>
        <v>0</v>
      </c>
      <c r="E11" s="1">
        <f>建筑各项能耗拆分!$B$18*建筑各项能耗拆分!E200</f>
        <v>0</v>
      </c>
      <c r="F11" s="1">
        <f>建筑各项能耗拆分!$B$18*建筑各项能耗拆分!F200</f>
        <v>0</v>
      </c>
      <c r="G11" s="1">
        <f>建筑各项能耗拆分!$B$18*建筑各项能耗拆分!G200</f>
        <v>0</v>
      </c>
      <c r="H11" s="1">
        <f>建筑各项能耗拆分!$B$18*建筑各项能耗拆分!H200</f>
        <v>0</v>
      </c>
      <c r="I11" s="1">
        <f>建筑各项能耗拆分!$B$18*建筑各项能耗拆分!I200</f>
        <v>0</v>
      </c>
      <c r="J11" s="1">
        <f>建筑各项能耗拆分!$B$18*建筑各项能耗拆分!J200</f>
        <v>0</v>
      </c>
      <c r="K11" s="1">
        <f>建筑各项能耗拆分!$B$18*建筑各项能耗拆分!K200</f>
        <v>0</v>
      </c>
      <c r="L11" s="1">
        <f>建筑各项能耗拆分!$B$18*建筑各项能耗拆分!L200</f>
        <v>0</v>
      </c>
      <c r="M11" s="1">
        <f>建筑各项能耗拆分!$B$18*建筑各项能耗拆分!M200</f>
        <v>0</v>
      </c>
      <c r="N11" s="1">
        <f>建筑各项能耗拆分!$B$18*建筑各项能耗拆分!N200</f>
        <v>0</v>
      </c>
      <c r="O11" s="1">
        <f>建筑各项能耗拆分!$B$18*建筑各项能耗拆分!O200</f>
        <v>0</v>
      </c>
      <c r="P11" s="1">
        <f>建筑各项能耗拆分!$B$18*建筑各项能耗拆分!P200</f>
        <v>0</v>
      </c>
      <c r="Q11" s="1">
        <f>建筑各项能耗拆分!$B$18*建筑各项能耗拆分!Q200</f>
        <v>0</v>
      </c>
      <c r="R11" s="1">
        <f>建筑各项能耗拆分!$B$18*建筑各项能耗拆分!R200</f>
        <v>0</v>
      </c>
      <c r="S11" s="1">
        <f>建筑各项能耗拆分!$B$18*建筑各项能耗拆分!S200</f>
        <v>0</v>
      </c>
      <c r="T11" s="1">
        <f>建筑各项能耗拆分!$B$18*建筑各项能耗拆分!T200</f>
        <v>0</v>
      </c>
      <c r="U11" s="1">
        <f>建筑各项能耗拆分!$B$18*建筑各项能耗拆分!U200</f>
        <v>0</v>
      </c>
      <c r="V11" s="1">
        <f>建筑各项能耗拆分!$B$18*建筑各项能耗拆分!V200</f>
        <v>0</v>
      </c>
      <c r="W11" s="1">
        <f>建筑各项能耗拆分!$B$18*建筑各项能耗拆分!W200</f>
        <v>0</v>
      </c>
      <c r="X11" s="1">
        <f>建筑各项能耗拆分!$B$18*建筑各项能耗拆分!X200</f>
        <v>0</v>
      </c>
      <c r="Y11" s="1">
        <f>建筑各项能耗拆分!$B$18*建筑各项能耗拆分!Y200</f>
        <v>0</v>
      </c>
      <c r="Z11" s="1">
        <f>建筑各项能耗拆分!$B$18*建筑各项能耗拆分!Z200</f>
        <v>0</v>
      </c>
      <c r="AA11" s="1">
        <f>建筑各项能耗拆分!$B$18*建筑各项能耗拆分!AA200</f>
        <v>0</v>
      </c>
      <c r="AB11" s="1">
        <f>建筑各项能耗拆分!$B$18*建筑各项能耗拆分!AB200</f>
        <v>0</v>
      </c>
      <c r="AC11" s="1">
        <f>建筑各项能耗拆分!$B$18*建筑各项能耗拆分!AC200</f>
        <v>0</v>
      </c>
      <c r="AD11" s="1">
        <f>建筑各项能耗拆分!$B$18*建筑各项能耗拆分!AD200</f>
        <v>0</v>
      </c>
      <c r="AE11" s="1">
        <f>建筑各项能耗拆分!$B$18*建筑各项能耗拆分!AE200</f>
        <v>0</v>
      </c>
      <c r="AF11" s="1">
        <f>建筑各项能耗拆分!$B$18*建筑各项能耗拆分!AF200</f>
        <v>0</v>
      </c>
      <c r="AG11" s="1">
        <f>建筑各项能耗拆分!$B$18*建筑各项能耗拆分!AG200</f>
        <v>0</v>
      </c>
      <c r="AH11" s="1">
        <f>建筑各项能耗拆分!$B$18*建筑各项能耗拆分!AH200</f>
        <v>0</v>
      </c>
      <c r="AI11" s="1">
        <f>建筑各项能耗拆分!$B$18*建筑各项能耗拆分!AI200</f>
        <v>0</v>
      </c>
      <c r="AJ11" s="1">
        <f>建筑各项能耗拆分!$B$18*建筑各项能耗拆分!AJ200</f>
        <v>0</v>
      </c>
      <c r="AK11" s="1">
        <f>建筑各项能耗拆分!$B$18*建筑各项能耗拆分!AK200</f>
        <v>0</v>
      </c>
      <c r="AL11" s="1">
        <f>建筑各项能耗拆分!$B$18*建筑各项能耗拆分!AL200</f>
        <v>0</v>
      </c>
      <c r="AM11" s="1">
        <f>建筑各项能耗拆分!$B$18*建筑各项能耗拆分!AM200</f>
        <v>0</v>
      </c>
      <c r="AN11" s="1">
        <f>建筑各项能耗拆分!$B$18*建筑各项能耗拆分!AN200</f>
        <v>0</v>
      </c>
      <c r="AO11" s="1">
        <f>建筑各项能耗拆分!$B$18*建筑各项能耗拆分!AO200</f>
        <v>0</v>
      </c>
      <c r="AP11" s="1">
        <f>建筑各项能耗拆分!$B$18*建筑各项能耗拆分!AP200</f>
        <v>0</v>
      </c>
      <c r="AQ11" s="1">
        <f>建筑各项能耗拆分!$B$18*建筑各项能耗拆分!AQ200</f>
        <v>0</v>
      </c>
      <c r="AR11" s="1">
        <f>建筑各项能耗拆分!$B$18*建筑各项能耗拆分!AR200</f>
        <v>0</v>
      </c>
    </row>
  </sheetData>
  <pageMargins left="0.7" right="0.7" top="0.75" bottom="0.75" header="0.3" footer="0.3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2060"/>
  </sheetPr>
  <dimension ref="A1:AR11"/>
  <sheetViews>
    <sheetView workbookViewId="0">
      <selection activeCell="A1" sqref="$A1:$XFD1048576"/>
    </sheetView>
  </sheetViews>
  <sheetFormatPr defaultColWidth="9" defaultRowHeight="13.5"/>
  <cols>
    <col min="1" max="1" width="37.25" customWidth="1"/>
    <col min="2" max="44" width="13.6333333333333" customWidth="1"/>
  </cols>
  <sheetData>
    <row r="1" spans="1:44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>
      <c r="A2" t="s">
        <v>1109</v>
      </c>
      <c r="B2" s="1">
        <f>建筑各项能耗拆分!$B$18*建筑各项能耗拆分!B217</f>
        <v>1960636617117290</v>
      </c>
      <c r="C2" s="1">
        <f>建筑各项能耗拆分!$B$18*建筑各项能耗拆分!C217</f>
        <v>830939125593986</v>
      </c>
      <c r="D2" s="1">
        <f>建筑各项能耗拆分!$B$18*建筑各项能耗拆分!D217</f>
        <v>845411090608237</v>
      </c>
      <c r="E2" s="1">
        <f>建筑各项能耗拆分!$B$18*建筑各项能耗拆分!E217</f>
        <v>1004802152835890</v>
      </c>
      <c r="F2" s="1">
        <f>建筑各项能耗拆分!$B$18*建筑各项能耗拆分!F217</f>
        <v>1030540064213590</v>
      </c>
      <c r="G2" s="1">
        <f>建筑各项能耗拆分!$B$18*建筑各项能耗拆分!G217</f>
        <v>1198586596176500</v>
      </c>
      <c r="H2" s="1">
        <f>建筑各项能耗拆分!$B$18*建筑各项能耗拆分!H217</f>
        <v>978457221554563</v>
      </c>
      <c r="I2" s="1">
        <f>建筑各项能耗拆分!$B$18*建筑各项能耗拆分!I217</f>
        <v>957101891301950</v>
      </c>
      <c r="J2" s="1">
        <f>建筑各项能耗拆分!$B$18*建筑各项能耗拆分!J217</f>
        <v>990574001370149</v>
      </c>
      <c r="K2" s="1">
        <f>建筑各项能耗拆分!$B$18*建筑各项能耗拆分!K217</f>
        <v>1023140939220160</v>
      </c>
      <c r="L2" s="1">
        <f>建筑各项能耗拆分!$B$18*建筑各项能耗拆分!L217</f>
        <v>1054904036784690</v>
      </c>
      <c r="M2" s="1">
        <f>建筑各项能耗拆分!$B$18*建筑各项能耗拆分!M217</f>
        <v>1084632706277630</v>
      </c>
      <c r="N2" s="1">
        <f>建筑各项能耗拆分!$B$18*建筑各项能耗拆分!N217</f>
        <v>1112665243496880</v>
      </c>
      <c r="O2" s="1">
        <f>建筑各项能耗拆分!$B$18*建筑各项能耗拆分!O217</f>
        <v>1137951637979130</v>
      </c>
      <c r="P2" s="1">
        <f>建筑各项能耗拆分!$B$18*建筑各项能耗拆分!P217</f>
        <v>1160264336775010</v>
      </c>
      <c r="Q2" s="1">
        <f>建筑各项能耗拆分!$B$18*建筑各项能耗拆分!Q217</f>
        <v>1180205067294650</v>
      </c>
      <c r="R2" s="1">
        <f>建筑各项能耗拆分!$B$18*建筑各项能耗拆分!R217</f>
        <v>1197488175495040</v>
      </c>
      <c r="S2" s="1">
        <f>建筑各项能耗拆分!$B$18*建筑各项能耗拆分!S217</f>
        <v>1301152646401020</v>
      </c>
      <c r="T2" s="1">
        <f>建筑各项能耗拆分!$B$18*建筑各项能耗拆分!T217</f>
        <v>1332337087969490</v>
      </c>
      <c r="U2" s="1">
        <f>建筑各项能耗拆分!$B$18*建筑各项能耗拆分!U217</f>
        <v>1361804140521330</v>
      </c>
      <c r="V2" s="1">
        <f>建筑各项能耗拆分!$B$18*建筑各项能耗拆分!V217</f>
        <v>1401698828624940</v>
      </c>
      <c r="W2" s="1">
        <f>建筑各项能耗拆分!$B$18*建筑各项能耗拆分!W217</f>
        <v>1442189180097030</v>
      </c>
      <c r="X2" s="1">
        <f>建筑各项能耗拆分!$B$18*建筑各项能耗拆分!X217</f>
        <v>1481119933739880</v>
      </c>
      <c r="Y2" s="1">
        <f>建筑各项能耗拆分!$B$18*建筑各项能耗拆分!Y217</f>
        <v>1517105144349400</v>
      </c>
      <c r="Z2" s="1">
        <f>建筑各项能耗拆分!$B$18*建筑各项能耗拆分!Z217</f>
        <v>1551575320568770</v>
      </c>
      <c r="AA2" s="1">
        <f>建筑各项能耗拆分!$B$18*建筑各项能耗拆分!AA217</f>
        <v>1584592838600970</v>
      </c>
      <c r="AB2" s="1">
        <f>建筑各项能耗拆分!$B$18*建筑各项能耗拆分!AB217</f>
        <v>1616157221567150</v>
      </c>
      <c r="AC2" s="1">
        <f>建筑各项能耗拆分!$B$18*建筑各项能耗拆分!AC217</f>
        <v>1646497731935600</v>
      </c>
      <c r="AD2" s="1">
        <f>建筑各项能耗拆分!$B$18*建筑各项能耗拆分!AD217</f>
        <v>1674111190859160</v>
      </c>
      <c r="AE2" s="1">
        <f>建筑各项能耗拆分!$B$18*建筑各项能耗拆分!AE217</f>
        <v>1700397715843800</v>
      </c>
      <c r="AF2" s="1">
        <f>建筑各项能耗拆分!$B$18*建筑各项能耗拆分!AF217</f>
        <v>1725508665058860</v>
      </c>
      <c r="AG2" s="1">
        <f>建筑各项能耗拆分!$B$18*建筑各项能耗拆分!AG217</f>
        <v>1749645410211530</v>
      </c>
      <c r="AH2" s="1">
        <f>建筑各项能耗拆分!$B$18*建筑各项能耗拆分!AH217</f>
        <v>1772601809196840</v>
      </c>
      <c r="AI2" s="1">
        <f>建筑各项能耗拆分!$B$18*建筑各项能耗拆分!AI217</f>
        <v>1789577366172700</v>
      </c>
      <c r="AJ2" s="1">
        <f>建筑各项能耗拆分!$B$18*建筑各项能耗拆分!AJ217</f>
        <v>1805370192892620</v>
      </c>
      <c r="AK2" s="1">
        <f>建筑各项能耗拆分!$B$18*建筑各项能耗拆分!AK217</f>
        <v>1819838633324280</v>
      </c>
      <c r="AL2" s="1">
        <f>建筑各项能耗拆分!$B$18*建筑各项能耗拆分!AL217</f>
        <v>1832967134437250</v>
      </c>
      <c r="AM2" s="1">
        <f>建筑各项能耗拆分!$B$18*建筑各项能耗拆分!AM217</f>
        <v>1844632805090000</v>
      </c>
      <c r="AN2" s="1">
        <f>建筑各项能耗拆分!$B$18*建筑各项能耗拆分!AN217</f>
        <v>1852552279091230</v>
      </c>
      <c r="AO2" s="1">
        <f>建筑各项能耗拆分!$B$18*建筑各项能耗拆分!AO217</f>
        <v>1858544596059670</v>
      </c>
      <c r="AP2" s="1">
        <f>建筑各项能耗拆分!$B$18*建筑各项能耗拆分!AP217</f>
        <v>1862582065023420</v>
      </c>
      <c r="AQ2" s="1">
        <f>建筑各项能耗拆分!$B$18*建筑各项能耗拆分!AQ217</f>
        <v>1864686022197060</v>
      </c>
      <c r="AR2" s="1">
        <f>建筑各项能耗拆分!$B$18*建筑各项能耗拆分!AR217</f>
        <v>1864856819293740</v>
      </c>
    </row>
    <row r="3" spans="1:44">
      <c r="A3" t="s">
        <v>1110</v>
      </c>
      <c r="B3" s="1">
        <f>建筑各项能耗拆分!$B$18*建筑各项能耗拆分!B218</f>
        <v>0</v>
      </c>
      <c r="C3" s="1">
        <f>建筑各项能耗拆分!$B$18*建筑各项能耗拆分!C218</f>
        <v>0</v>
      </c>
      <c r="D3" s="1">
        <f>建筑各项能耗拆分!$B$18*建筑各项能耗拆分!D218</f>
        <v>0</v>
      </c>
      <c r="E3" s="1">
        <f>建筑各项能耗拆分!$B$18*建筑各项能耗拆分!E218</f>
        <v>0</v>
      </c>
      <c r="F3" s="1">
        <f>建筑各项能耗拆分!$B$18*建筑各项能耗拆分!F218</f>
        <v>0</v>
      </c>
      <c r="G3" s="1">
        <f>建筑各项能耗拆分!$B$18*建筑各项能耗拆分!G218</f>
        <v>0</v>
      </c>
      <c r="H3" s="1">
        <f>建筑各项能耗拆分!$B$18*建筑各项能耗拆分!H218</f>
        <v>0</v>
      </c>
      <c r="I3" s="1">
        <f>建筑各项能耗拆分!$B$18*建筑各项能耗拆分!I218</f>
        <v>0</v>
      </c>
      <c r="J3" s="1">
        <f>建筑各项能耗拆分!$B$18*建筑各项能耗拆分!J218</f>
        <v>0</v>
      </c>
      <c r="K3" s="1">
        <f>建筑各项能耗拆分!$B$18*建筑各项能耗拆分!K218</f>
        <v>0</v>
      </c>
      <c r="L3" s="1">
        <f>建筑各项能耗拆分!$B$18*建筑各项能耗拆分!L218</f>
        <v>0</v>
      </c>
      <c r="M3" s="1">
        <f>建筑各项能耗拆分!$B$18*建筑各项能耗拆分!M218</f>
        <v>0</v>
      </c>
      <c r="N3" s="1">
        <f>建筑各项能耗拆分!$B$18*建筑各项能耗拆分!N218</f>
        <v>0</v>
      </c>
      <c r="O3" s="1">
        <f>建筑各项能耗拆分!$B$18*建筑各项能耗拆分!O218</f>
        <v>0</v>
      </c>
      <c r="P3" s="1">
        <f>建筑各项能耗拆分!$B$18*建筑各项能耗拆分!P218</f>
        <v>0</v>
      </c>
      <c r="Q3" s="1">
        <f>建筑各项能耗拆分!$B$18*建筑各项能耗拆分!Q218</f>
        <v>0</v>
      </c>
      <c r="R3" s="1">
        <f>建筑各项能耗拆分!$B$18*建筑各项能耗拆分!R218</f>
        <v>0</v>
      </c>
      <c r="S3" s="1">
        <f>建筑各项能耗拆分!$B$18*建筑各项能耗拆分!S218</f>
        <v>0</v>
      </c>
      <c r="T3" s="1">
        <f>建筑各项能耗拆分!$B$18*建筑各项能耗拆分!T218</f>
        <v>0</v>
      </c>
      <c r="U3" s="1">
        <f>建筑各项能耗拆分!$B$18*建筑各项能耗拆分!U218</f>
        <v>0</v>
      </c>
      <c r="V3" s="1">
        <f>建筑各项能耗拆分!$B$18*建筑各项能耗拆分!V218</f>
        <v>0</v>
      </c>
      <c r="W3" s="1">
        <f>建筑各项能耗拆分!$B$18*建筑各项能耗拆分!W218</f>
        <v>0</v>
      </c>
      <c r="X3" s="1">
        <f>建筑各项能耗拆分!$B$18*建筑各项能耗拆分!X218</f>
        <v>0</v>
      </c>
      <c r="Y3" s="1">
        <f>建筑各项能耗拆分!$B$18*建筑各项能耗拆分!Y218</f>
        <v>0</v>
      </c>
      <c r="Z3" s="1">
        <f>建筑各项能耗拆分!$B$18*建筑各项能耗拆分!Z218</f>
        <v>0</v>
      </c>
      <c r="AA3" s="1">
        <f>建筑各项能耗拆分!$B$18*建筑各项能耗拆分!AA218</f>
        <v>0</v>
      </c>
      <c r="AB3" s="1">
        <f>建筑各项能耗拆分!$B$18*建筑各项能耗拆分!AB218</f>
        <v>0</v>
      </c>
      <c r="AC3" s="1">
        <f>建筑各项能耗拆分!$B$18*建筑各项能耗拆分!AC218</f>
        <v>0</v>
      </c>
      <c r="AD3" s="1">
        <f>建筑各项能耗拆分!$B$18*建筑各项能耗拆分!AD218</f>
        <v>0</v>
      </c>
      <c r="AE3" s="1">
        <f>建筑各项能耗拆分!$B$18*建筑各项能耗拆分!AE218</f>
        <v>0</v>
      </c>
      <c r="AF3" s="1">
        <f>建筑各项能耗拆分!$B$18*建筑各项能耗拆分!AF218</f>
        <v>0</v>
      </c>
      <c r="AG3" s="1">
        <f>建筑各项能耗拆分!$B$18*建筑各项能耗拆分!AG218</f>
        <v>0</v>
      </c>
      <c r="AH3" s="1">
        <f>建筑各项能耗拆分!$B$18*建筑各项能耗拆分!AH218</f>
        <v>0</v>
      </c>
      <c r="AI3" s="1">
        <f>建筑各项能耗拆分!$B$18*建筑各项能耗拆分!AI218</f>
        <v>0</v>
      </c>
      <c r="AJ3" s="1">
        <f>建筑各项能耗拆分!$B$18*建筑各项能耗拆分!AJ218</f>
        <v>0</v>
      </c>
      <c r="AK3" s="1">
        <f>建筑各项能耗拆分!$B$18*建筑各项能耗拆分!AK218</f>
        <v>0</v>
      </c>
      <c r="AL3" s="1">
        <f>建筑各项能耗拆分!$B$18*建筑各项能耗拆分!AL218</f>
        <v>0</v>
      </c>
      <c r="AM3" s="1">
        <f>建筑各项能耗拆分!$B$18*建筑各项能耗拆分!AM218</f>
        <v>0</v>
      </c>
      <c r="AN3" s="1">
        <f>建筑各项能耗拆分!$B$18*建筑各项能耗拆分!AN218</f>
        <v>0</v>
      </c>
      <c r="AO3" s="1">
        <f>建筑各项能耗拆分!$B$18*建筑各项能耗拆分!AO218</f>
        <v>0</v>
      </c>
      <c r="AP3" s="1">
        <f>建筑各项能耗拆分!$B$18*建筑各项能耗拆分!AP218</f>
        <v>0</v>
      </c>
      <c r="AQ3" s="1">
        <f>建筑各项能耗拆分!$B$18*建筑各项能耗拆分!AQ218</f>
        <v>0</v>
      </c>
      <c r="AR3" s="1">
        <f>建筑各项能耗拆分!$B$18*建筑各项能耗拆分!AR218</f>
        <v>0</v>
      </c>
    </row>
    <row r="4" spans="1:44">
      <c r="A4" t="s">
        <v>1111</v>
      </c>
      <c r="B4" s="1">
        <f>建筑各项能耗拆分!$B$18*建筑各项能耗拆分!B219</f>
        <v>0</v>
      </c>
      <c r="C4" s="1">
        <f>建筑各项能耗拆分!$B$18*建筑各项能耗拆分!C219</f>
        <v>0</v>
      </c>
      <c r="D4" s="1">
        <f>建筑各项能耗拆分!$B$18*建筑各项能耗拆分!D219</f>
        <v>0</v>
      </c>
      <c r="E4" s="1">
        <f>建筑各项能耗拆分!$B$18*建筑各项能耗拆分!E219</f>
        <v>0</v>
      </c>
      <c r="F4" s="1">
        <f>建筑各项能耗拆分!$B$18*建筑各项能耗拆分!F219</f>
        <v>0</v>
      </c>
      <c r="G4" s="1">
        <f>建筑各项能耗拆分!$B$18*建筑各项能耗拆分!G219</f>
        <v>0</v>
      </c>
      <c r="H4" s="1">
        <f>建筑各项能耗拆分!$B$18*建筑各项能耗拆分!H219</f>
        <v>0</v>
      </c>
      <c r="I4" s="1">
        <f>建筑各项能耗拆分!$B$18*建筑各项能耗拆分!I219</f>
        <v>0</v>
      </c>
      <c r="J4" s="1">
        <f>建筑各项能耗拆分!$B$18*建筑各项能耗拆分!J219</f>
        <v>0</v>
      </c>
      <c r="K4" s="1">
        <f>建筑各项能耗拆分!$B$18*建筑各项能耗拆分!K219</f>
        <v>0</v>
      </c>
      <c r="L4" s="1">
        <f>建筑各项能耗拆分!$B$18*建筑各项能耗拆分!L219</f>
        <v>0</v>
      </c>
      <c r="M4" s="1">
        <f>建筑各项能耗拆分!$B$18*建筑各项能耗拆分!M219</f>
        <v>0</v>
      </c>
      <c r="N4" s="1">
        <f>建筑各项能耗拆分!$B$18*建筑各项能耗拆分!N219</f>
        <v>0</v>
      </c>
      <c r="O4" s="1">
        <f>建筑各项能耗拆分!$B$18*建筑各项能耗拆分!O219</f>
        <v>0</v>
      </c>
      <c r="P4" s="1">
        <f>建筑各项能耗拆分!$B$18*建筑各项能耗拆分!P219</f>
        <v>0</v>
      </c>
      <c r="Q4" s="1">
        <f>建筑各项能耗拆分!$B$18*建筑各项能耗拆分!Q219</f>
        <v>0</v>
      </c>
      <c r="R4" s="1">
        <f>建筑各项能耗拆分!$B$18*建筑各项能耗拆分!R219</f>
        <v>0</v>
      </c>
      <c r="S4" s="1">
        <f>建筑各项能耗拆分!$B$18*建筑各项能耗拆分!S219</f>
        <v>0</v>
      </c>
      <c r="T4" s="1">
        <f>建筑各项能耗拆分!$B$18*建筑各项能耗拆分!T219</f>
        <v>0</v>
      </c>
      <c r="U4" s="1">
        <f>建筑各项能耗拆分!$B$18*建筑各项能耗拆分!U219</f>
        <v>0</v>
      </c>
      <c r="V4" s="1">
        <f>建筑各项能耗拆分!$B$18*建筑各项能耗拆分!V219</f>
        <v>0</v>
      </c>
      <c r="W4" s="1">
        <f>建筑各项能耗拆分!$B$18*建筑各项能耗拆分!W219</f>
        <v>0</v>
      </c>
      <c r="X4" s="1">
        <f>建筑各项能耗拆分!$B$18*建筑各项能耗拆分!X219</f>
        <v>0</v>
      </c>
      <c r="Y4" s="1">
        <f>建筑各项能耗拆分!$B$18*建筑各项能耗拆分!Y219</f>
        <v>0</v>
      </c>
      <c r="Z4" s="1">
        <f>建筑各项能耗拆分!$B$18*建筑各项能耗拆分!Z219</f>
        <v>0</v>
      </c>
      <c r="AA4" s="1">
        <f>建筑各项能耗拆分!$B$18*建筑各项能耗拆分!AA219</f>
        <v>0</v>
      </c>
      <c r="AB4" s="1">
        <f>建筑各项能耗拆分!$B$18*建筑各项能耗拆分!AB219</f>
        <v>0</v>
      </c>
      <c r="AC4" s="1">
        <f>建筑各项能耗拆分!$B$18*建筑各项能耗拆分!AC219</f>
        <v>0</v>
      </c>
      <c r="AD4" s="1">
        <f>建筑各项能耗拆分!$B$18*建筑各项能耗拆分!AD219</f>
        <v>0</v>
      </c>
      <c r="AE4" s="1">
        <f>建筑各项能耗拆分!$B$18*建筑各项能耗拆分!AE219</f>
        <v>0</v>
      </c>
      <c r="AF4" s="1">
        <f>建筑各项能耗拆分!$B$18*建筑各项能耗拆分!AF219</f>
        <v>0</v>
      </c>
      <c r="AG4" s="1">
        <f>建筑各项能耗拆分!$B$18*建筑各项能耗拆分!AG219</f>
        <v>0</v>
      </c>
      <c r="AH4" s="1">
        <f>建筑各项能耗拆分!$B$18*建筑各项能耗拆分!AH219</f>
        <v>0</v>
      </c>
      <c r="AI4" s="1">
        <f>建筑各项能耗拆分!$B$18*建筑各项能耗拆分!AI219</f>
        <v>0</v>
      </c>
      <c r="AJ4" s="1">
        <f>建筑各项能耗拆分!$B$18*建筑各项能耗拆分!AJ219</f>
        <v>0</v>
      </c>
      <c r="AK4" s="1">
        <f>建筑各项能耗拆分!$B$18*建筑各项能耗拆分!AK219</f>
        <v>0</v>
      </c>
      <c r="AL4" s="1">
        <f>建筑各项能耗拆分!$B$18*建筑各项能耗拆分!AL219</f>
        <v>0</v>
      </c>
      <c r="AM4" s="1">
        <f>建筑各项能耗拆分!$B$18*建筑各项能耗拆分!AM219</f>
        <v>0</v>
      </c>
      <c r="AN4" s="1">
        <f>建筑各项能耗拆分!$B$18*建筑各项能耗拆分!AN219</f>
        <v>0</v>
      </c>
      <c r="AO4" s="1">
        <f>建筑各项能耗拆分!$B$18*建筑各项能耗拆分!AO219</f>
        <v>0</v>
      </c>
      <c r="AP4" s="1">
        <f>建筑各项能耗拆分!$B$18*建筑各项能耗拆分!AP219</f>
        <v>0</v>
      </c>
      <c r="AQ4" s="1">
        <f>建筑各项能耗拆分!$B$18*建筑各项能耗拆分!AQ219</f>
        <v>0</v>
      </c>
      <c r="AR4" s="1">
        <f>建筑各项能耗拆分!$B$18*建筑各项能耗拆分!AR219</f>
        <v>0</v>
      </c>
    </row>
    <row r="5" spans="1:44">
      <c r="A5" t="s">
        <v>1112</v>
      </c>
      <c r="B5" s="1">
        <f>建筑各项能耗拆分!$B$18*建筑各项能耗拆分!B220</f>
        <v>0</v>
      </c>
      <c r="C5" s="1">
        <f>建筑各项能耗拆分!$B$18*建筑各项能耗拆分!C220</f>
        <v>0</v>
      </c>
      <c r="D5" s="1">
        <f>建筑各项能耗拆分!$B$18*建筑各项能耗拆分!D220</f>
        <v>0</v>
      </c>
      <c r="E5" s="1">
        <f>建筑各项能耗拆分!$B$18*建筑各项能耗拆分!E220</f>
        <v>0</v>
      </c>
      <c r="F5" s="1">
        <f>建筑各项能耗拆分!$B$18*建筑各项能耗拆分!F220</f>
        <v>0</v>
      </c>
      <c r="G5" s="1">
        <f>建筑各项能耗拆分!$B$18*建筑各项能耗拆分!G220</f>
        <v>0</v>
      </c>
      <c r="H5" s="1">
        <f>建筑各项能耗拆分!$B$18*建筑各项能耗拆分!H220</f>
        <v>0</v>
      </c>
      <c r="I5" s="1">
        <f>建筑各项能耗拆分!$B$18*建筑各项能耗拆分!I220</f>
        <v>0</v>
      </c>
      <c r="J5" s="1">
        <f>建筑各项能耗拆分!$B$18*建筑各项能耗拆分!J220</f>
        <v>0</v>
      </c>
      <c r="K5" s="1">
        <f>建筑各项能耗拆分!$B$18*建筑各项能耗拆分!K220</f>
        <v>0</v>
      </c>
      <c r="L5" s="1">
        <f>建筑各项能耗拆分!$B$18*建筑各项能耗拆分!L220</f>
        <v>0</v>
      </c>
      <c r="M5" s="1">
        <f>建筑各项能耗拆分!$B$18*建筑各项能耗拆分!M220</f>
        <v>0</v>
      </c>
      <c r="N5" s="1">
        <f>建筑各项能耗拆分!$B$18*建筑各项能耗拆分!N220</f>
        <v>0</v>
      </c>
      <c r="O5" s="1">
        <f>建筑各项能耗拆分!$B$18*建筑各项能耗拆分!O220</f>
        <v>0</v>
      </c>
      <c r="P5" s="1">
        <f>建筑各项能耗拆分!$B$18*建筑各项能耗拆分!P220</f>
        <v>0</v>
      </c>
      <c r="Q5" s="1">
        <f>建筑各项能耗拆分!$B$18*建筑各项能耗拆分!Q220</f>
        <v>0</v>
      </c>
      <c r="R5" s="1">
        <f>建筑各项能耗拆分!$B$18*建筑各项能耗拆分!R220</f>
        <v>0</v>
      </c>
      <c r="S5" s="1">
        <f>建筑各项能耗拆分!$B$18*建筑各项能耗拆分!S220</f>
        <v>0</v>
      </c>
      <c r="T5" s="1">
        <f>建筑各项能耗拆分!$B$18*建筑各项能耗拆分!T220</f>
        <v>0</v>
      </c>
      <c r="U5" s="1">
        <f>建筑各项能耗拆分!$B$18*建筑各项能耗拆分!U220</f>
        <v>0</v>
      </c>
      <c r="V5" s="1">
        <f>建筑各项能耗拆分!$B$18*建筑各项能耗拆分!V220</f>
        <v>0</v>
      </c>
      <c r="W5" s="1">
        <f>建筑各项能耗拆分!$B$18*建筑各项能耗拆分!W220</f>
        <v>0</v>
      </c>
      <c r="X5" s="1">
        <f>建筑各项能耗拆分!$B$18*建筑各项能耗拆分!X220</f>
        <v>0</v>
      </c>
      <c r="Y5" s="1">
        <f>建筑各项能耗拆分!$B$18*建筑各项能耗拆分!Y220</f>
        <v>0</v>
      </c>
      <c r="Z5" s="1">
        <f>建筑各项能耗拆分!$B$18*建筑各项能耗拆分!Z220</f>
        <v>0</v>
      </c>
      <c r="AA5" s="1">
        <f>建筑各项能耗拆分!$B$18*建筑各项能耗拆分!AA220</f>
        <v>0</v>
      </c>
      <c r="AB5" s="1">
        <f>建筑各项能耗拆分!$B$18*建筑各项能耗拆分!AB220</f>
        <v>0</v>
      </c>
      <c r="AC5" s="1">
        <f>建筑各项能耗拆分!$B$18*建筑各项能耗拆分!AC220</f>
        <v>0</v>
      </c>
      <c r="AD5" s="1">
        <f>建筑各项能耗拆分!$B$18*建筑各项能耗拆分!AD220</f>
        <v>0</v>
      </c>
      <c r="AE5" s="1">
        <f>建筑各项能耗拆分!$B$18*建筑各项能耗拆分!AE220</f>
        <v>0</v>
      </c>
      <c r="AF5" s="1">
        <f>建筑各项能耗拆分!$B$18*建筑各项能耗拆分!AF220</f>
        <v>0</v>
      </c>
      <c r="AG5" s="1">
        <f>建筑各项能耗拆分!$B$18*建筑各项能耗拆分!AG220</f>
        <v>0</v>
      </c>
      <c r="AH5" s="1">
        <f>建筑各项能耗拆分!$B$18*建筑各项能耗拆分!AH220</f>
        <v>0</v>
      </c>
      <c r="AI5" s="1">
        <f>建筑各项能耗拆分!$B$18*建筑各项能耗拆分!AI220</f>
        <v>0</v>
      </c>
      <c r="AJ5" s="1">
        <f>建筑各项能耗拆分!$B$18*建筑各项能耗拆分!AJ220</f>
        <v>0</v>
      </c>
      <c r="AK5" s="1">
        <f>建筑各项能耗拆分!$B$18*建筑各项能耗拆分!AK220</f>
        <v>0</v>
      </c>
      <c r="AL5" s="1">
        <f>建筑各项能耗拆分!$B$18*建筑各项能耗拆分!AL220</f>
        <v>0</v>
      </c>
      <c r="AM5" s="1">
        <f>建筑各项能耗拆分!$B$18*建筑各项能耗拆分!AM220</f>
        <v>0</v>
      </c>
      <c r="AN5" s="1">
        <f>建筑各项能耗拆分!$B$18*建筑各项能耗拆分!AN220</f>
        <v>0</v>
      </c>
      <c r="AO5" s="1">
        <f>建筑各项能耗拆分!$B$18*建筑各项能耗拆分!AO220</f>
        <v>0</v>
      </c>
      <c r="AP5" s="1">
        <f>建筑各项能耗拆分!$B$18*建筑各项能耗拆分!AP220</f>
        <v>0</v>
      </c>
      <c r="AQ5" s="1">
        <f>建筑各项能耗拆分!$B$18*建筑各项能耗拆分!AQ220</f>
        <v>0</v>
      </c>
      <c r="AR5" s="1">
        <f>建筑各项能耗拆分!$B$18*建筑各项能耗拆分!AR220</f>
        <v>0</v>
      </c>
    </row>
    <row r="6" spans="1:44">
      <c r="A6" t="s">
        <v>1113</v>
      </c>
      <c r="B6" s="1">
        <f>建筑各项能耗拆分!$B$18*建筑各项能耗拆分!B221</f>
        <v>0</v>
      </c>
      <c r="C6" s="1">
        <f>建筑各项能耗拆分!$B$18*建筑各项能耗拆分!C221</f>
        <v>0</v>
      </c>
      <c r="D6" s="1">
        <f>建筑各项能耗拆分!$B$18*建筑各项能耗拆分!D221</f>
        <v>0</v>
      </c>
      <c r="E6" s="1">
        <f>建筑各项能耗拆分!$B$18*建筑各项能耗拆分!E221</f>
        <v>0</v>
      </c>
      <c r="F6" s="1">
        <f>建筑各项能耗拆分!$B$18*建筑各项能耗拆分!F221</f>
        <v>0</v>
      </c>
      <c r="G6" s="1">
        <f>建筑各项能耗拆分!$B$18*建筑各项能耗拆分!G221</f>
        <v>0</v>
      </c>
      <c r="H6" s="1">
        <f>建筑各项能耗拆分!$B$18*建筑各项能耗拆分!H221</f>
        <v>0</v>
      </c>
      <c r="I6" s="1">
        <f>建筑各项能耗拆分!$B$18*建筑各项能耗拆分!I221</f>
        <v>0</v>
      </c>
      <c r="J6" s="1">
        <f>建筑各项能耗拆分!$B$18*建筑各项能耗拆分!J221</f>
        <v>0</v>
      </c>
      <c r="K6" s="1">
        <f>建筑各项能耗拆分!$B$18*建筑各项能耗拆分!K221</f>
        <v>0</v>
      </c>
      <c r="L6" s="1">
        <f>建筑各项能耗拆分!$B$18*建筑各项能耗拆分!L221</f>
        <v>0</v>
      </c>
      <c r="M6" s="1">
        <f>建筑各项能耗拆分!$B$18*建筑各项能耗拆分!M221</f>
        <v>0</v>
      </c>
      <c r="N6" s="1">
        <f>建筑各项能耗拆分!$B$18*建筑各项能耗拆分!N221</f>
        <v>0</v>
      </c>
      <c r="O6" s="1">
        <f>建筑各项能耗拆分!$B$18*建筑各项能耗拆分!O221</f>
        <v>0</v>
      </c>
      <c r="P6" s="1">
        <f>建筑各项能耗拆分!$B$18*建筑各项能耗拆分!P221</f>
        <v>0</v>
      </c>
      <c r="Q6" s="1">
        <f>建筑各项能耗拆分!$B$18*建筑各项能耗拆分!Q221</f>
        <v>0</v>
      </c>
      <c r="R6" s="1">
        <f>建筑各项能耗拆分!$B$18*建筑各项能耗拆分!R221</f>
        <v>0</v>
      </c>
      <c r="S6" s="1">
        <f>建筑各项能耗拆分!$B$18*建筑各项能耗拆分!S221</f>
        <v>0</v>
      </c>
      <c r="T6" s="1">
        <f>建筑各项能耗拆分!$B$18*建筑各项能耗拆分!T221</f>
        <v>0</v>
      </c>
      <c r="U6" s="1">
        <f>建筑各项能耗拆分!$B$18*建筑各项能耗拆分!U221</f>
        <v>0</v>
      </c>
      <c r="V6" s="1">
        <f>建筑各项能耗拆分!$B$18*建筑各项能耗拆分!V221</f>
        <v>0</v>
      </c>
      <c r="W6" s="1">
        <f>建筑各项能耗拆分!$B$18*建筑各项能耗拆分!W221</f>
        <v>0</v>
      </c>
      <c r="X6" s="1">
        <f>建筑各项能耗拆分!$B$18*建筑各项能耗拆分!X221</f>
        <v>0</v>
      </c>
      <c r="Y6" s="1">
        <f>建筑各项能耗拆分!$B$18*建筑各项能耗拆分!Y221</f>
        <v>0</v>
      </c>
      <c r="Z6" s="1">
        <f>建筑各项能耗拆分!$B$18*建筑各项能耗拆分!Z221</f>
        <v>0</v>
      </c>
      <c r="AA6" s="1">
        <f>建筑各项能耗拆分!$B$18*建筑各项能耗拆分!AA221</f>
        <v>0</v>
      </c>
      <c r="AB6" s="1">
        <f>建筑各项能耗拆分!$B$18*建筑各项能耗拆分!AB221</f>
        <v>0</v>
      </c>
      <c r="AC6" s="1">
        <f>建筑各项能耗拆分!$B$18*建筑各项能耗拆分!AC221</f>
        <v>0</v>
      </c>
      <c r="AD6" s="1">
        <f>建筑各项能耗拆分!$B$18*建筑各项能耗拆分!AD221</f>
        <v>0</v>
      </c>
      <c r="AE6" s="1">
        <f>建筑各项能耗拆分!$B$18*建筑各项能耗拆分!AE221</f>
        <v>0</v>
      </c>
      <c r="AF6" s="1">
        <f>建筑各项能耗拆分!$B$18*建筑各项能耗拆分!AF221</f>
        <v>0</v>
      </c>
      <c r="AG6" s="1">
        <f>建筑各项能耗拆分!$B$18*建筑各项能耗拆分!AG221</f>
        <v>0</v>
      </c>
      <c r="AH6" s="1">
        <f>建筑各项能耗拆分!$B$18*建筑各项能耗拆分!AH221</f>
        <v>0</v>
      </c>
      <c r="AI6" s="1">
        <f>建筑各项能耗拆分!$B$18*建筑各项能耗拆分!AI221</f>
        <v>0</v>
      </c>
      <c r="AJ6" s="1">
        <f>建筑各项能耗拆分!$B$18*建筑各项能耗拆分!AJ221</f>
        <v>0</v>
      </c>
      <c r="AK6" s="1">
        <f>建筑各项能耗拆分!$B$18*建筑各项能耗拆分!AK221</f>
        <v>0</v>
      </c>
      <c r="AL6" s="1">
        <f>建筑各项能耗拆分!$B$18*建筑各项能耗拆分!AL221</f>
        <v>0</v>
      </c>
      <c r="AM6" s="1">
        <f>建筑各项能耗拆分!$B$18*建筑各项能耗拆分!AM221</f>
        <v>0</v>
      </c>
      <c r="AN6" s="1">
        <f>建筑各项能耗拆分!$B$18*建筑各项能耗拆分!AN221</f>
        <v>0</v>
      </c>
      <c r="AO6" s="1">
        <f>建筑各项能耗拆分!$B$18*建筑各项能耗拆分!AO221</f>
        <v>0</v>
      </c>
      <c r="AP6" s="1">
        <f>建筑各项能耗拆分!$B$18*建筑各项能耗拆分!AP221</f>
        <v>0</v>
      </c>
      <c r="AQ6" s="1">
        <f>建筑各项能耗拆分!$B$18*建筑各项能耗拆分!AQ221</f>
        <v>0</v>
      </c>
      <c r="AR6" s="1">
        <f>建筑各项能耗拆分!$B$18*建筑各项能耗拆分!AR221</f>
        <v>0</v>
      </c>
    </row>
    <row r="7" spans="1:44">
      <c r="A7" t="s">
        <v>1114</v>
      </c>
      <c r="B7" s="1">
        <f>建筑各项能耗拆分!$B$18*建筑各项能耗拆分!B222</f>
        <v>0</v>
      </c>
      <c r="C7" s="1">
        <f>建筑各项能耗拆分!$B$18*建筑各项能耗拆分!C222</f>
        <v>0</v>
      </c>
      <c r="D7" s="1">
        <f>建筑各项能耗拆分!$B$18*建筑各项能耗拆分!D222</f>
        <v>0</v>
      </c>
      <c r="E7" s="1">
        <f>建筑各项能耗拆分!$B$18*建筑各项能耗拆分!E222</f>
        <v>0</v>
      </c>
      <c r="F7" s="1">
        <f>建筑各项能耗拆分!$B$18*建筑各项能耗拆分!F222</f>
        <v>0</v>
      </c>
      <c r="G7" s="1">
        <f>建筑各项能耗拆分!$B$18*建筑各项能耗拆分!G222</f>
        <v>0</v>
      </c>
      <c r="H7" s="1">
        <f>建筑各项能耗拆分!$B$18*建筑各项能耗拆分!H222</f>
        <v>0</v>
      </c>
      <c r="I7" s="1">
        <f>建筑各项能耗拆分!$B$18*建筑各项能耗拆分!I222</f>
        <v>0</v>
      </c>
      <c r="J7" s="1">
        <f>建筑各项能耗拆分!$B$18*建筑各项能耗拆分!J222</f>
        <v>0</v>
      </c>
      <c r="K7" s="1">
        <f>建筑各项能耗拆分!$B$18*建筑各项能耗拆分!K222</f>
        <v>0</v>
      </c>
      <c r="L7" s="1">
        <f>建筑各项能耗拆分!$B$18*建筑各项能耗拆分!L222</f>
        <v>0</v>
      </c>
      <c r="M7" s="1">
        <f>建筑各项能耗拆分!$B$18*建筑各项能耗拆分!M222</f>
        <v>0</v>
      </c>
      <c r="N7" s="1">
        <f>建筑各项能耗拆分!$B$18*建筑各项能耗拆分!N222</f>
        <v>0</v>
      </c>
      <c r="O7" s="1">
        <f>建筑各项能耗拆分!$B$18*建筑各项能耗拆分!O222</f>
        <v>0</v>
      </c>
      <c r="P7" s="1">
        <f>建筑各项能耗拆分!$B$18*建筑各项能耗拆分!P222</f>
        <v>0</v>
      </c>
      <c r="Q7" s="1">
        <f>建筑各项能耗拆分!$B$18*建筑各项能耗拆分!Q222</f>
        <v>0</v>
      </c>
      <c r="R7" s="1">
        <f>建筑各项能耗拆分!$B$18*建筑各项能耗拆分!R222</f>
        <v>0</v>
      </c>
      <c r="S7" s="1">
        <f>建筑各项能耗拆分!$B$18*建筑各项能耗拆分!S222</f>
        <v>0</v>
      </c>
      <c r="T7" s="1">
        <f>建筑各项能耗拆分!$B$18*建筑各项能耗拆分!T222</f>
        <v>0</v>
      </c>
      <c r="U7" s="1">
        <f>建筑各项能耗拆分!$B$18*建筑各项能耗拆分!U222</f>
        <v>0</v>
      </c>
      <c r="V7" s="1">
        <f>建筑各项能耗拆分!$B$18*建筑各项能耗拆分!V222</f>
        <v>0</v>
      </c>
      <c r="W7" s="1">
        <f>建筑各项能耗拆分!$B$18*建筑各项能耗拆分!W222</f>
        <v>0</v>
      </c>
      <c r="X7" s="1">
        <f>建筑各项能耗拆分!$B$18*建筑各项能耗拆分!X222</f>
        <v>0</v>
      </c>
      <c r="Y7" s="1">
        <f>建筑各项能耗拆分!$B$18*建筑各项能耗拆分!Y222</f>
        <v>0</v>
      </c>
      <c r="Z7" s="1">
        <f>建筑各项能耗拆分!$B$18*建筑各项能耗拆分!Z222</f>
        <v>0</v>
      </c>
      <c r="AA7" s="1">
        <f>建筑各项能耗拆分!$B$18*建筑各项能耗拆分!AA222</f>
        <v>0</v>
      </c>
      <c r="AB7" s="1">
        <f>建筑各项能耗拆分!$B$18*建筑各项能耗拆分!AB222</f>
        <v>0</v>
      </c>
      <c r="AC7" s="1">
        <f>建筑各项能耗拆分!$B$18*建筑各项能耗拆分!AC222</f>
        <v>0</v>
      </c>
      <c r="AD7" s="1">
        <f>建筑各项能耗拆分!$B$18*建筑各项能耗拆分!AD222</f>
        <v>0</v>
      </c>
      <c r="AE7" s="1">
        <f>建筑各项能耗拆分!$B$18*建筑各项能耗拆分!AE222</f>
        <v>0</v>
      </c>
      <c r="AF7" s="1">
        <f>建筑各项能耗拆分!$B$18*建筑各项能耗拆分!AF222</f>
        <v>0</v>
      </c>
      <c r="AG7" s="1">
        <f>建筑各项能耗拆分!$B$18*建筑各项能耗拆分!AG222</f>
        <v>0</v>
      </c>
      <c r="AH7" s="1">
        <f>建筑各项能耗拆分!$B$18*建筑各项能耗拆分!AH222</f>
        <v>0</v>
      </c>
      <c r="AI7" s="1">
        <f>建筑各项能耗拆分!$B$18*建筑各项能耗拆分!AI222</f>
        <v>0</v>
      </c>
      <c r="AJ7" s="1">
        <f>建筑各项能耗拆分!$B$18*建筑各项能耗拆分!AJ222</f>
        <v>0</v>
      </c>
      <c r="AK7" s="1">
        <f>建筑各项能耗拆分!$B$18*建筑各项能耗拆分!AK222</f>
        <v>0</v>
      </c>
      <c r="AL7" s="1">
        <f>建筑各项能耗拆分!$B$18*建筑各项能耗拆分!AL222</f>
        <v>0</v>
      </c>
      <c r="AM7" s="1">
        <f>建筑各项能耗拆分!$B$18*建筑各项能耗拆分!AM222</f>
        <v>0</v>
      </c>
      <c r="AN7" s="1">
        <f>建筑各项能耗拆分!$B$18*建筑各项能耗拆分!AN222</f>
        <v>0</v>
      </c>
      <c r="AO7" s="1">
        <f>建筑各项能耗拆分!$B$18*建筑各项能耗拆分!AO222</f>
        <v>0</v>
      </c>
      <c r="AP7" s="1">
        <f>建筑各项能耗拆分!$B$18*建筑各项能耗拆分!AP222</f>
        <v>0</v>
      </c>
      <c r="AQ7" s="1">
        <f>建筑各项能耗拆分!$B$18*建筑各项能耗拆分!AQ222</f>
        <v>0</v>
      </c>
      <c r="AR7" s="1">
        <f>建筑各项能耗拆分!$B$18*建筑各项能耗拆分!AR222</f>
        <v>0</v>
      </c>
    </row>
    <row r="8" spans="1:44">
      <c r="A8" t="s">
        <v>1115</v>
      </c>
      <c r="B8" s="1">
        <f>建筑各项能耗拆分!$B$18*建筑各项能耗拆分!B223</f>
        <v>0</v>
      </c>
      <c r="C8" s="1">
        <f>建筑各项能耗拆分!$B$18*建筑各项能耗拆分!C223</f>
        <v>0</v>
      </c>
      <c r="D8" s="1">
        <f>建筑各项能耗拆分!$B$18*建筑各项能耗拆分!D223</f>
        <v>0</v>
      </c>
      <c r="E8" s="1">
        <f>建筑各项能耗拆分!$B$18*建筑各项能耗拆分!E223</f>
        <v>0</v>
      </c>
      <c r="F8" s="1">
        <f>建筑各项能耗拆分!$B$18*建筑各项能耗拆分!F223</f>
        <v>0</v>
      </c>
      <c r="G8" s="1">
        <f>建筑各项能耗拆分!$B$18*建筑各项能耗拆分!G223</f>
        <v>0</v>
      </c>
      <c r="H8" s="1">
        <f>建筑各项能耗拆分!$B$18*建筑各项能耗拆分!H223</f>
        <v>0</v>
      </c>
      <c r="I8" s="1">
        <f>建筑各项能耗拆分!$B$18*建筑各项能耗拆分!I223</f>
        <v>0</v>
      </c>
      <c r="J8" s="1">
        <f>建筑各项能耗拆分!$B$18*建筑各项能耗拆分!J223</f>
        <v>0</v>
      </c>
      <c r="K8" s="1">
        <f>建筑各项能耗拆分!$B$18*建筑各项能耗拆分!K223</f>
        <v>0</v>
      </c>
      <c r="L8" s="1">
        <f>建筑各项能耗拆分!$B$18*建筑各项能耗拆分!L223</f>
        <v>0</v>
      </c>
      <c r="M8" s="1">
        <f>建筑各项能耗拆分!$B$18*建筑各项能耗拆分!M223</f>
        <v>0</v>
      </c>
      <c r="N8" s="1">
        <f>建筑各项能耗拆分!$B$18*建筑各项能耗拆分!N223</f>
        <v>0</v>
      </c>
      <c r="O8" s="1">
        <f>建筑各项能耗拆分!$B$18*建筑各项能耗拆分!O223</f>
        <v>0</v>
      </c>
      <c r="P8" s="1">
        <f>建筑各项能耗拆分!$B$18*建筑各项能耗拆分!P223</f>
        <v>0</v>
      </c>
      <c r="Q8" s="1">
        <f>建筑各项能耗拆分!$B$18*建筑各项能耗拆分!Q223</f>
        <v>0</v>
      </c>
      <c r="R8" s="1">
        <f>建筑各项能耗拆分!$B$18*建筑各项能耗拆分!R223</f>
        <v>0</v>
      </c>
      <c r="S8" s="1">
        <f>建筑各项能耗拆分!$B$18*建筑各项能耗拆分!S223</f>
        <v>0</v>
      </c>
      <c r="T8" s="1">
        <f>建筑各项能耗拆分!$B$18*建筑各项能耗拆分!T223</f>
        <v>0</v>
      </c>
      <c r="U8" s="1">
        <f>建筑各项能耗拆分!$B$18*建筑各项能耗拆分!U223</f>
        <v>0</v>
      </c>
      <c r="V8" s="1">
        <f>建筑各项能耗拆分!$B$18*建筑各项能耗拆分!V223</f>
        <v>0</v>
      </c>
      <c r="W8" s="1">
        <f>建筑各项能耗拆分!$B$18*建筑各项能耗拆分!W223</f>
        <v>0</v>
      </c>
      <c r="X8" s="1">
        <f>建筑各项能耗拆分!$B$18*建筑各项能耗拆分!X223</f>
        <v>0</v>
      </c>
      <c r="Y8" s="1">
        <f>建筑各项能耗拆分!$B$18*建筑各项能耗拆分!Y223</f>
        <v>0</v>
      </c>
      <c r="Z8" s="1">
        <f>建筑各项能耗拆分!$B$18*建筑各项能耗拆分!Z223</f>
        <v>0</v>
      </c>
      <c r="AA8" s="1">
        <f>建筑各项能耗拆分!$B$18*建筑各项能耗拆分!AA223</f>
        <v>0</v>
      </c>
      <c r="AB8" s="1">
        <f>建筑各项能耗拆分!$B$18*建筑各项能耗拆分!AB223</f>
        <v>0</v>
      </c>
      <c r="AC8" s="1">
        <f>建筑各项能耗拆分!$B$18*建筑各项能耗拆分!AC223</f>
        <v>0</v>
      </c>
      <c r="AD8" s="1">
        <f>建筑各项能耗拆分!$B$18*建筑各项能耗拆分!AD223</f>
        <v>0</v>
      </c>
      <c r="AE8" s="1">
        <f>建筑各项能耗拆分!$B$18*建筑各项能耗拆分!AE223</f>
        <v>0</v>
      </c>
      <c r="AF8" s="1">
        <f>建筑各项能耗拆分!$B$18*建筑各项能耗拆分!AF223</f>
        <v>0</v>
      </c>
      <c r="AG8" s="1">
        <f>建筑各项能耗拆分!$B$18*建筑各项能耗拆分!AG223</f>
        <v>0</v>
      </c>
      <c r="AH8" s="1">
        <f>建筑各项能耗拆分!$B$18*建筑各项能耗拆分!AH223</f>
        <v>0</v>
      </c>
      <c r="AI8" s="1">
        <f>建筑各项能耗拆分!$B$18*建筑各项能耗拆分!AI223</f>
        <v>0</v>
      </c>
      <c r="AJ8" s="1">
        <f>建筑各项能耗拆分!$B$18*建筑各项能耗拆分!AJ223</f>
        <v>0</v>
      </c>
      <c r="AK8" s="1">
        <f>建筑各项能耗拆分!$B$18*建筑各项能耗拆分!AK223</f>
        <v>0</v>
      </c>
      <c r="AL8" s="1">
        <f>建筑各项能耗拆分!$B$18*建筑各项能耗拆分!AL223</f>
        <v>0</v>
      </c>
      <c r="AM8" s="1">
        <f>建筑各项能耗拆分!$B$18*建筑各项能耗拆分!AM223</f>
        <v>0</v>
      </c>
      <c r="AN8" s="1">
        <f>建筑各项能耗拆分!$B$18*建筑各项能耗拆分!AN223</f>
        <v>0</v>
      </c>
      <c r="AO8" s="1">
        <f>建筑各项能耗拆分!$B$18*建筑各项能耗拆分!AO223</f>
        <v>0</v>
      </c>
      <c r="AP8" s="1">
        <f>建筑各项能耗拆分!$B$18*建筑各项能耗拆分!AP223</f>
        <v>0</v>
      </c>
      <c r="AQ8" s="1">
        <f>建筑各项能耗拆分!$B$18*建筑各项能耗拆分!AQ223</f>
        <v>0</v>
      </c>
      <c r="AR8" s="1">
        <f>建筑各项能耗拆分!$B$18*建筑各项能耗拆分!AR223</f>
        <v>0</v>
      </c>
    </row>
    <row r="9" spans="1:44">
      <c r="A9" t="s">
        <v>1116</v>
      </c>
      <c r="B9" s="1">
        <f>建筑各项能耗拆分!$B$18*建筑各项能耗拆分!B224</f>
        <v>0</v>
      </c>
      <c r="C9" s="1">
        <f>建筑各项能耗拆分!$B$18*建筑各项能耗拆分!C224</f>
        <v>0</v>
      </c>
      <c r="D9" s="1">
        <f>建筑各项能耗拆分!$B$18*建筑各项能耗拆分!D224</f>
        <v>0</v>
      </c>
      <c r="E9" s="1">
        <f>建筑各项能耗拆分!$B$18*建筑各项能耗拆分!E224</f>
        <v>0</v>
      </c>
      <c r="F9" s="1">
        <f>建筑各项能耗拆分!$B$18*建筑各项能耗拆分!F224</f>
        <v>0</v>
      </c>
      <c r="G9" s="1">
        <f>建筑各项能耗拆分!$B$18*建筑各项能耗拆分!G224</f>
        <v>0</v>
      </c>
      <c r="H9" s="1">
        <f>建筑各项能耗拆分!$B$18*建筑各项能耗拆分!H224</f>
        <v>0</v>
      </c>
      <c r="I9" s="1">
        <f>建筑各项能耗拆分!$B$18*建筑各项能耗拆分!I224</f>
        <v>0</v>
      </c>
      <c r="J9" s="1">
        <f>建筑各项能耗拆分!$B$18*建筑各项能耗拆分!J224</f>
        <v>0</v>
      </c>
      <c r="K9" s="1">
        <f>建筑各项能耗拆分!$B$18*建筑各项能耗拆分!K224</f>
        <v>0</v>
      </c>
      <c r="L9" s="1">
        <f>建筑各项能耗拆分!$B$18*建筑各项能耗拆分!L224</f>
        <v>0</v>
      </c>
      <c r="M9" s="1">
        <f>建筑各项能耗拆分!$B$18*建筑各项能耗拆分!M224</f>
        <v>0</v>
      </c>
      <c r="N9" s="1">
        <f>建筑各项能耗拆分!$B$18*建筑各项能耗拆分!N224</f>
        <v>0</v>
      </c>
      <c r="O9" s="1">
        <f>建筑各项能耗拆分!$B$18*建筑各项能耗拆分!O224</f>
        <v>0</v>
      </c>
      <c r="P9" s="1">
        <f>建筑各项能耗拆分!$B$18*建筑各项能耗拆分!P224</f>
        <v>0</v>
      </c>
      <c r="Q9" s="1">
        <f>建筑各项能耗拆分!$B$18*建筑各项能耗拆分!Q224</f>
        <v>0</v>
      </c>
      <c r="R9" s="1">
        <f>建筑各项能耗拆分!$B$18*建筑各项能耗拆分!R224</f>
        <v>0</v>
      </c>
      <c r="S9" s="1">
        <f>建筑各项能耗拆分!$B$18*建筑各项能耗拆分!S224</f>
        <v>0</v>
      </c>
      <c r="T9" s="1">
        <f>建筑各项能耗拆分!$B$18*建筑各项能耗拆分!T224</f>
        <v>0</v>
      </c>
      <c r="U9" s="1">
        <f>建筑各项能耗拆分!$B$18*建筑各项能耗拆分!U224</f>
        <v>0</v>
      </c>
      <c r="V9" s="1">
        <f>建筑各项能耗拆分!$B$18*建筑各项能耗拆分!V224</f>
        <v>0</v>
      </c>
      <c r="W9" s="1">
        <f>建筑各项能耗拆分!$B$18*建筑各项能耗拆分!W224</f>
        <v>0</v>
      </c>
      <c r="X9" s="1">
        <f>建筑各项能耗拆分!$B$18*建筑各项能耗拆分!X224</f>
        <v>0</v>
      </c>
      <c r="Y9" s="1">
        <f>建筑各项能耗拆分!$B$18*建筑各项能耗拆分!Y224</f>
        <v>0</v>
      </c>
      <c r="Z9" s="1">
        <f>建筑各项能耗拆分!$B$18*建筑各项能耗拆分!Z224</f>
        <v>0</v>
      </c>
      <c r="AA9" s="1">
        <f>建筑各项能耗拆分!$B$18*建筑各项能耗拆分!AA224</f>
        <v>0</v>
      </c>
      <c r="AB9" s="1">
        <f>建筑各项能耗拆分!$B$18*建筑各项能耗拆分!AB224</f>
        <v>0</v>
      </c>
      <c r="AC9" s="1">
        <f>建筑各项能耗拆分!$B$18*建筑各项能耗拆分!AC224</f>
        <v>0</v>
      </c>
      <c r="AD9" s="1">
        <f>建筑各项能耗拆分!$B$18*建筑各项能耗拆分!AD224</f>
        <v>0</v>
      </c>
      <c r="AE9" s="1">
        <f>建筑各项能耗拆分!$B$18*建筑各项能耗拆分!AE224</f>
        <v>0</v>
      </c>
      <c r="AF9" s="1">
        <f>建筑各项能耗拆分!$B$18*建筑各项能耗拆分!AF224</f>
        <v>0</v>
      </c>
      <c r="AG9" s="1">
        <f>建筑各项能耗拆分!$B$18*建筑各项能耗拆分!AG224</f>
        <v>0</v>
      </c>
      <c r="AH9" s="1">
        <f>建筑各项能耗拆分!$B$18*建筑各项能耗拆分!AH224</f>
        <v>0</v>
      </c>
      <c r="AI9" s="1">
        <f>建筑各项能耗拆分!$B$18*建筑各项能耗拆分!AI224</f>
        <v>0</v>
      </c>
      <c r="AJ9" s="1">
        <f>建筑各项能耗拆分!$B$18*建筑各项能耗拆分!AJ224</f>
        <v>0</v>
      </c>
      <c r="AK9" s="1">
        <f>建筑各项能耗拆分!$B$18*建筑各项能耗拆分!AK224</f>
        <v>0</v>
      </c>
      <c r="AL9" s="1">
        <f>建筑各项能耗拆分!$B$18*建筑各项能耗拆分!AL224</f>
        <v>0</v>
      </c>
      <c r="AM9" s="1">
        <f>建筑各项能耗拆分!$B$18*建筑各项能耗拆分!AM224</f>
        <v>0</v>
      </c>
      <c r="AN9" s="1">
        <f>建筑各项能耗拆分!$B$18*建筑各项能耗拆分!AN224</f>
        <v>0</v>
      </c>
      <c r="AO9" s="1">
        <f>建筑各项能耗拆分!$B$18*建筑各项能耗拆分!AO224</f>
        <v>0</v>
      </c>
      <c r="AP9" s="1">
        <f>建筑各项能耗拆分!$B$18*建筑各项能耗拆分!AP224</f>
        <v>0</v>
      </c>
      <c r="AQ9" s="1">
        <f>建筑各项能耗拆分!$B$18*建筑各项能耗拆分!AQ224</f>
        <v>0</v>
      </c>
      <c r="AR9" s="1">
        <f>建筑各项能耗拆分!$B$18*建筑各项能耗拆分!AR224</f>
        <v>0</v>
      </c>
    </row>
    <row r="10" spans="1:44">
      <c r="A10" t="s">
        <v>1117</v>
      </c>
      <c r="B10" s="1">
        <f>建筑各项能耗拆分!$B$18*建筑各项能耗拆分!B225</f>
        <v>0</v>
      </c>
      <c r="C10" s="1">
        <f>建筑各项能耗拆分!$B$18*建筑各项能耗拆分!C225</f>
        <v>0</v>
      </c>
      <c r="D10" s="1">
        <f>建筑各项能耗拆分!$B$18*建筑各项能耗拆分!D225</f>
        <v>0</v>
      </c>
      <c r="E10" s="1">
        <f>建筑各项能耗拆分!$B$18*建筑各项能耗拆分!E225</f>
        <v>0</v>
      </c>
      <c r="F10" s="1">
        <f>建筑各项能耗拆分!$B$18*建筑各项能耗拆分!F225</f>
        <v>0</v>
      </c>
      <c r="G10" s="1">
        <f>建筑各项能耗拆分!$B$18*建筑各项能耗拆分!G225</f>
        <v>0</v>
      </c>
      <c r="H10" s="1">
        <f>建筑各项能耗拆分!$B$18*建筑各项能耗拆分!H225</f>
        <v>0</v>
      </c>
      <c r="I10" s="1">
        <f>建筑各项能耗拆分!$B$18*建筑各项能耗拆分!I225</f>
        <v>0</v>
      </c>
      <c r="J10" s="1">
        <f>建筑各项能耗拆分!$B$18*建筑各项能耗拆分!J225</f>
        <v>0</v>
      </c>
      <c r="K10" s="1">
        <f>建筑各项能耗拆分!$B$18*建筑各项能耗拆分!K225</f>
        <v>0</v>
      </c>
      <c r="L10" s="1">
        <f>建筑各项能耗拆分!$B$18*建筑各项能耗拆分!L225</f>
        <v>0</v>
      </c>
      <c r="M10" s="1">
        <f>建筑各项能耗拆分!$B$18*建筑各项能耗拆分!M225</f>
        <v>0</v>
      </c>
      <c r="N10" s="1">
        <f>建筑各项能耗拆分!$B$18*建筑各项能耗拆分!N225</f>
        <v>0</v>
      </c>
      <c r="O10" s="1">
        <f>建筑各项能耗拆分!$B$18*建筑各项能耗拆分!O225</f>
        <v>0</v>
      </c>
      <c r="P10" s="1">
        <f>建筑各项能耗拆分!$B$18*建筑各项能耗拆分!P225</f>
        <v>0</v>
      </c>
      <c r="Q10" s="1">
        <f>建筑各项能耗拆分!$B$18*建筑各项能耗拆分!Q225</f>
        <v>0</v>
      </c>
      <c r="R10" s="1">
        <f>建筑各项能耗拆分!$B$18*建筑各项能耗拆分!R225</f>
        <v>0</v>
      </c>
      <c r="S10" s="1">
        <f>建筑各项能耗拆分!$B$18*建筑各项能耗拆分!S225</f>
        <v>0</v>
      </c>
      <c r="T10" s="1">
        <f>建筑各项能耗拆分!$B$18*建筑各项能耗拆分!T225</f>
        <v>0</v>
      </c>
      <c r="U10" s="1">
        <f>建筑各项能耗拆分!$B$18*建筑各项能耗拆分!U225</f>
        <v>0</v>
      </c>
      <c r="V10" s="1">
        <f>建筑各项能耗拆分!$B$18*建筑各项能耗拆分!V225</f>
        <v>0</v>
      </c>
      <c r="W10" s="1">
        <f>建筑各项能耗拆分!$B$18*建筑各项能耗拆分!W225</f>
        <v>0</v>
      </c>
      <c r="X10" s="1">
        <f>建筑各项能耗拆分!$B$18*建筑各项能耗拆分!X225</f>
        <v>0</v>
      </c>
      <c r="Y10" s="1">
        <f>建筑各项能耗拆分!$B$18*建筑各项能耗拆分!Y225</f>
        <v>0</v>
      </c>
      <c r="Z10" s="1">
        <f>建筑各项能耗拆分!$B$18*建筑各项能耗拆分!Z225</f>
        <v>0</v>
      </c>
      <c r="AA10" s="1">
        <f>建筑各项能耗拆分!$B$18*建筑各项能耗拆分!AA225</f>
        <v>0</v>
      </c>
      <c r="AB10" s="1">
        <f>建筑各项能耗拆分!$B$18*建筑各项能耗拆分!AB225</f>
        <v>0</v>
      </c>
      <c r="AC10" s="1">
        <f>建筑各项能耗拆分!$B$18*建筑各项能耗拆分!AC225</f>
        <v>0</v>
      </c>
      <c r="AD10" s="1">
        <f>建筑各项能耗拆分!$B$18*建筑各项能耗拆分!AD225</f>
        <v>0</v>
      </c>
      <c r="AE10" s="1">
        <f>建筑各项能耗拆分!$B$18*建筑各项能耗拆分!AE225</f>
        <v>0</v>
      </c>
      <c r="AF10" s="1">
        <f>建筑各项能耗拆分!$B$18*建筑各项能耗拆分!AF225</f>
        <v>0</v>
      </c>
      <c r="AG10" s="1">
        <f>建筑各项能耗拆分!$B$18*建筑各项能耗拆分!AG225</f>
        <v>0</v>
      </c>
      <c r="AH10" s="1">
        <f>建筑各项能耗拆分!$B$18*建筑各项能耗拆分!AH225</f>
        <v>0</v>
      </c>
      <c r="AI10" s="1">
        <f>建筑各项能耗拆分!$B$18*建筑各项能耗拆分!AI225</f>
        <v>0</v>
      </c>
      <c r="AJ10" s="1">
        <f>建筑各项能耗拆分!$B$18*建筑各项能耗拆分!AJ225</f>
        <v>0</v>
      </c>
      <c r="AK10" s="1">
        <f>建筑各项能耗拆分!$B$18*建筑各项能耗拆分!AK225</f>
        <v>0</v>
      </c>
      <c r="AL10" s="1">
        <f>建筑各项能耗拆分!$B$18*建筑各项能耗拆分!AL225</f>
        <v>0</v>
      </c>
      <c r="AM10" s="1">
        <f>建筑各项能耗拆分!$B$18*建筑各项能耗拆分!AM225</f>
        <v>0</v>
      </c>
      <c r="AN10" s="1">
        <f>建筑各项能耗拆分!$B$18*建筑各项能耗拆分!AN225</f>
        <v>0</v>
      </c>
      <c r="AO10" s="1">
        <f>建筑各项能耗拆分!$B$18*建筑各项能耗拆分!AO225</f>
        <v>0</v>
      </c>
      <c r="AP10" s="1">
        <f>建筑各项能耗拆分!$B$18*建筑各项能耗拆分!AP225</f>
        <v>0</v>
      </c>
      <c r="AQ10" s="1">
        <f>建筑各项能耗拆分!$B$18*建筑各项能耗拆分!AQ225</f>
        <v>0</v>
      </c>
      <c r="AR10" s="1">
        <f>建筑各项能耗拆分!$B$18*建筑各项能耗拆分!AR225</f>
        <v>0</v>
      </c>
    </row>
    <row r="11" spans="1:44">
      <c r="A11" t="s">
        <v>1118</v>
      </c>
      <c r="B11" s="1">
        <f>建筑各项能耗拆分!$B$18*建筑各项能耗拆分!B226</f>
        <v>0</v>
      </c>
      <c r="C11" s="1">
        <f>建筑各项能耗拆分!$B$18*建筑各项能耗拆分!C226</f>
        <v>0</v>
      </c>
      <c r="D11" s="1">
        <f>建筑各项能耗拆分!$B$18*建筑各项能耗拆分!D226</f>
        <v>0</v>
      </c>
      <c r="E11" s="1">
        <f>建筑各项能耗拆分!$B$18*建筑各项能耗拆分!E226</f>
        <v>0</v>
      </c>
      <c r="F11" s="1">
        <f>建筑各项能耗拆分!$B$18*建筑各项能耗拆分!F226</f>
        <v>0</v>
      </c>
      <c r="G11" s="1">
        <f>建筑各项能耗拆分!$B$18*建筑各项能耗拆分!G226</f>
        <v>0</v>
      </c>
      <c r="H11" s="1">
        <f>建筑各项能耗拆分!$B$18*建筑各项能耗拆分!H226</f>
        <v>0</v>
      </c>
      <c r="I11" s="1">
        <f>建筑各项能耗拆分!$B$18*建筑各项能耗拆分!I226</f>
        <v>0</v>
      </c>
      <c r="J11" s="1">
        <f>建筑各项能耗拆分!$B$18*建筑各项能耗拆分!J226</f>
        <v>0</v>
      </c>
      <c r="K11" s="1">
        <f>建筑各项能耗拆分!$B$18*建筑各项能耗拆分!K226</f>
        <v>0</v>
      </c>
      <c r="L11" s="1">
        <f>建筑各项能耗拆分!$B$18*建筑各项能耗拆分!L226</f>
        <v>0</v>
      </c>
      <c r="M11" s="1">
        <f>建筑各项能耗拆分!$B$18*建筑各项能耗拆分!M226</f>
        <v>0</v>
      </c>
      <c r="N11" s="1">
        <f>建筑各项能耗拆分!$B$18*建筑各项能耗拆分!N226</f>
        <v>0</v>
      </c>
      <c r="O11" s="1">
        <f>建筑各项能耗拆分!$B$18*建筑各项能耗拆分!O226</f>
        <v>0</v>
      </c>
      <c r="P11" s="1">
        <f>建筑各项能耗拆分!$B$18*建筑各项能耗拆分!P226</f>
        <v>0</v>
      </c>
      <c r="Q11" s="1">
        <f>建筑各项能耗拆分!$B$18*建筑各项能耗拆分!Q226</f>
        <v>0</v>
      </c>
      <c r="R11" s="1">
        <f>建筑各项能耗拆分!$B$18*建筑各项能耗拆分!R226</f>
        <v>0</v>
      </c>
      <c r="S11" s="1">
        <f>建筑各项能耗拆分!$B$18*建筑各项能耗拆分!S226</f>
        <v>0</v>
      </c>
      <c r="T11" s="1">
        <f>建筑各项能耗拆分!$B$18*建筑各项能耗拆分!T226</f>
        <v>0</v>
      </c>
      <c r="U11" s="1">
        <f>建筑各项能耗拆分!$B$18*建筑各项能耗拆分!U226</f>
        <v>0</v>
      </c>
      <c r="V11" s="1">
        <f>建筑各项能耗拆分!$B$18*建筑各项能耗拆分!V226</f>
        <v>0</v>
      </c>
      <c r="W11" s="1">
        <f>建筑各项能耗拆分!$B$18*建筑各项能耗拆分!W226</f>
        <v>0</v>
      </c>
      <c r="X11" s="1">
        <f>建筑各项能耗拆分!$B$18*建筑各项能耗拆分!X226</f>
        <v>0</v>
      </c>
      <c r="Y11" s="1">
        <f>建筑各项能耗拆分!$B$18*建筑各项能耗拆分!Y226</f>
        <v>0</v>
      </c>
      <c r="Z11" s="1">
        <f>建筑各项能耗拆分!$B$18*建筑各项能耗拆分!Z226</f>
        <v>0</v>
      </c>
      <c r="AA11" s="1">
        <f>建筑各项能耗拆分!$B$18*建筑各项能耗拆分!AA226</f>
        <v>0</v>
      </c>
      <c r="AB11" s="1">
        <f>建筑各项能耗拆分!$B$18*建筑各项能耗拆分!AB226</f>
        <v>0</v>
      </c>
      <c r="AC11" s="1">
        <f>建筑各项能耗拆分!$B$18*建筑各项能耗拆分!AC226</f>
        <v>0</v>
      </c>
      <c r="AD11" s="1">
        <f>建筑各项能耗拆分!$B$18*建筑各项能耗拆分!AD226</f>
        <v>0</v>
      </c>
      <c r="AE11" s="1">
        <f>建筑各项能耗拆分!$B$18*建筑各项能耗拆分!AE226</f>
        <v>0</v>
      </c>
      <c r="AF11" s="1">
        <f>建筑各项能耗拆分!$B$18*建筑各项能耗拆分!AF226</f>
        <v>0</v>
      </c>
      <c r="AG11" s="1">
        <f>建筑各项能耗拆分!$B$18*建筑各项能耗拆分!AG226</f>
        <v>0</v>
      </c>
      <c r="AH11" s="1">
        <f>建筑各项能耗拆分!$B$18*建筑各项能耗拆分!AH226</f>
        <v>0</v>
      </c>
      <c r="AI11" s="1">
        <f>建筑各项能耗拆分!$B$18*建筑各项能耗拆分!AI226</f>
        <v>0</v>
      </c>
      <c r="AJ11" s="1">
        <f>建筑各项能耗拆分!$B$18*建筑各项能耗拆分!AJ226</f>
        <v>0</v>
      </c>
      <c r="AK11" s="1">
        <f>建筑各项能耗拆分!$B$18*建筑各项能耗拆分!AK226</f>
        <v>0</v>
      </c>
      <c r="AL11" s="1">
        <f>建筑各项能耗拆分!$B$18*建筑各项能耗拆分!AL226</f>
        <v>0</v>
      </c>
      <c r="AM11" s="1">
        <f>建筑各项能耗拆分!$B$18*建筑各项能耗拆分!AM226</f>
        <v>0</v>
      </c>
      <c r="AN11" s="1">
        <f>建筑各项能耗拆分!$B$18*建筑各项能耗拆分!AN226</f>
        <v>0</v>
      </c>
      <c r="AO11" s="1">
        <f>建筑各项能耗拆分!$B$18*建筑各项能耗拆分!AO226</f>
        <v>0</v>
      </c>
      <c r="AP11" s="1">
        <f>建筑各项能耗拆分!$B$18*建筑各项能耗拆分!AP226</f>
        <v>0</v>
      </c>
      <c r="AQ11" s="1">
        <f>建筑各项能耗拆分!$B$18*建筑各项能耗拆分!AQ226</f>
        <v>0</v>
      </c>
      <c r="AR11" s="1">
        <f>建筑各项能耗拆分!$B$18*建筑各项能耗拆分!AR226</f>
        <v>0</v>
      </c>
    </row>
  </sheetData>
  <pageMargins left="0.7" right="0.7" top="0.75" bottom="0.75" header="0.3" footer="0.3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2060"/>
  </sheetPr>
  <dimension ref="A1:AR12"/>
  <sheetViews>
    <sheetView topLeftCell="A4" workbookViewId="0">
      <selection activeCell="A1" sqref="$A1:$XFD1048576"/>
    </sheetView>
  </sheetViews>
  <sheetFormatPr defaultColWidth="9" defaultRowHeight="13.5"/>
  <cols>
    <col min="1" max="1" width="37.25" customWidth="1"/>
    <col min="2" max="44" width="13.6333333333333" customWidth="1"/>
  </cols>
  <sheetData>
    <row r="1" spans="1:44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>
      <c r="A2" t="s">
        <v>1109</v>
      </c>
      <c r="B2" s="1">
        <f>建筑各项能耗拆分!$B$18*建筑各项能耗拆分!B230</f>
        <v>1260719775973420</v>
      </c>
      <c r="C2" s="1">
        <f>建筑各项能耗拆分!$B$18*建筑各项能耗拆分!C230</f>
        <v>76012043446058.5</v>
      </c>
      <c r="D2" s="1">
        <f>建筑各项能耗拆分!$B$18*建筑各项能耗拆分!D230</f>
        <v>77335899309298.5</v>
      </c>
      <c r="E2" s="1">
        <f>建筑各项能耗拆分!$B$18*建筑各项能耗拆分!E230</f>
        <v>91916558678661.1</v>
      </c>
      <c r="F2" s="1">
        <f>建筑各项能耗拆分!$B$18*建筑各项能耗拆分!F230</f>
        <v>94270992568693.9</v>
      </c>
      <c r="G2" s="1">
        <f>建筑各项能耗拆分!$B$18*建筑各项能耗拆分!G230</f>
        <v>109643430687302</v>
      </c>
      <c r="H2" s="1">
        <f>建筑各项能耗拆分!$B$18*建筑各项能耗拆分!H230</f>
        <v>89506596264497</v>
      </c>
      <c r="I2" s="1">
        <f>建筑各项能耗拆分!$B$18*建筑各项能耗拆分!I230</f>
        <v>87553068935035.7</v>
      </c>
      <c r="J2" s="1">
        <f>建筑各项能耗拆分!$B$18*建筑各项能耗拆分!J230</f>
        <v>90615006213433.2</v>
      </c>
      <c r="K2" s="1">
        <f>建筑各项能耗拆分!$B$18*建筑各项能耗拆分!K230</f>
        <v>93594140807667.7</v>
      </c>
      <c r="L2" s="1">
        <f>建筑各项能耗拆分!$B$18*建筑各项能耗拆分!L230</f>
        <v>96499742286392.8</v>
      </c>
      <c r="M2" s="1">
        <f>建筑各项能耗拆分!$B$18*建筑各项能耗拆分!M230</f>
        <v>99219239837402</v>
      </c>
      <c r="N2" s="1">
        <f>建筑各项能耗拆分!$B$18*建筑各项能耗拆分!N230</f>
        <v>101783579837026</v>
      </c>
      <c r="O2" s="1">
        <f>建筑各项能耗拆分!$B$18*建筑各项能耗拆分!O230</f>
        <v>104096710193724</v>
      </c>
      <c r="P2" s="1">
        <f>建筑各项能耗拆分!$B$18*建筑各项能耗拆分!P230</f>
        <v>106137814984714</v>
      </c>
      <c r="Q2" s="1">
        <f>建筑各项能耗拆分!$B$18*建筑各项能耗拆分!Q230</f>
        <v>107961938591267</v>
      </c>
      <c r="R2" s="1">
        <f>建筑各项能耗拆分!$B$18*建筑各项能耗拆分!R230</f>
        <v>109542950161124</v>
      </c>
      <c r="S2" s="1">
        <f>建筑各项能耗拆分!$B$18*建筑各项能耗拆分!S230</f>
        <v>119025893042993</v>
      </c>
      <c r="T2" s="1">
        <f>建筑各项能耗拆分!$B$18*建筑各项能耗拆分!T230</f>
        <v>121878560650442</v>
      </c>
      <c r="U2" s="1">
        <f>建筑各项能耗拆分!$B$18*建筑各项能耗拆分!U230</f>
        <v>124574126197674</v>
      </c>
      <c r="V2" s="1">
        <f>建筑各项能耗拆分!$B$18*建筑各项能耗拆分!V230</f>
        <v>128223583386527</v>
      </c>
      <c r="W2" s="1">
        <f>建筑各项能耗拆分!$B$18*建筑各项能耗拆分!W230</f>
        <v>131927530234670</v>
      </c>
      <c r="X2" s="1">
        <f>建筑各项能耗拆分!$B$18*建筑各项能耗拆分!X230</f>
        <v>135488809329781</v>
      </c>
      <c r="Y2" s="1">
        <f>建筑各项能耗拆分!$B$18*建筑各项能耗拆分!Y230</f>
        <v>138780638187053</v>
      </c>
      <c r="Z2" s="1">
        <f>建筑各项能耗拆分!$B$18*建筑各项能耗拆分!Z230</f>
        <v>141933875833081</v>
      </c>
      <c r="AA2" s="1">
        <f>建筑各项能耗拆分!$B$18*建筑各项能耗拆分!AA230</f>
        <v>144954228272677</v>
      </c>
      <c r="AB2" s="1">
        <f>建筑各项能耗拆分!$B$18*建筑各项能耗拆分!AB230</f>
        <v>147841651882269</v>
      </c>
      <c r="AC2" s="1">
        <f>建筑各项能耗拆分!$B$18*建筑各项能耗拆分!AC230</f>
        <v>150617118966761</v>
      </c>
      <c r="AD2" s="1">
        <f>建筑各项能耗拆分!$B$18*建筑各项能耗拆分!AD230</f>
        <v>153143122827625</v>
      </c>
      <c r="AE2" s="1">
        <f>建筑各项能耗拆分!$B$18*建筑各项能耗拆分!AE230</f>
        <v>155547742393168</v>
      </c>
      <c r="AF2" s="1">
        <f>建筑各项能耗拆分!$B$18*建筑各项能耗拆分!AF230</f>
        <v>157844823495640</v>
      </c>
      <c r="AG2" s="1">
        <f>建筑各项能耗拆分!$B$18*建筑各项能耗拆分!AG230</f>
        <v>160052787069241</v>
      </c>
      <c r="AH2" s="1">
        <f>建筑各项能耗拆分!$B$18*建筑各项能耗拆分!AH230</f>
        <v>162152775796802</v>
      </c>
      <c r="AI2" s="1">
        <f>建筑各项能耗拆分!$B$18*建筑各项能耗拆分!AI230</f>
        <v>163705653419994</v>
      </c>
      <c r="AJ2" s="1">
        <f>建筑各项能耗拆分!$B$18*建筑各项能耗拆分!AJ230</f>
        <v>165150338107230</v>
      </c>
      <c r="AK2" s="1">
        <f>建筑各项能耗拆分!$B$18*建筑各项能耗拆分!AK230</f>
        <v>166473871551273</v>
      </c>
      <c r="AL2" s="1">
        <f>建筑各项能耗拆分!$B$18*建筑各项能耗拆分!AL230</f>
        <v>167674831003348</v>
      </c>
      <c r="AM2" s="1">
        <f>建筑各项能耗拆分!$B$18*建筑各项能耗拆分!AM230</f>
        <v>168741974717216</v>
      </c>
      <c r="AN2" s="1">
        <f>建筑各项能耗拆分!$B$18*建筑各项能耗拆分!AN230</f>
        <v>169466426585361</v>
      </c>
      <c r="AO2" s="1">
        <f>建筑各项能耗拆分!$B$18*建筑各项能耗拆分!AO230</f>
        <v>170014587387660</v>
      </c>
      <c r="AP2" s="1">
        <f>建筑各项能耗拆分!$B$18*建筑各项能耗拆分!AP230</f>
        <v>170383924029578</v>
      </c>
      <c r="AQ2" s="1">
        <f>建筑各项能耗拆分!$B$18*建筑各项能耗拆分!AQ230</f>
        <v>170576388289793</v>
      </c>
      <c r="AR2" s="1">
        <f>建筑各项能耗拆分!$B$18*建筑各项能耗拆分!AR230</f>
        <v>170592012342065</v>
      </c>
    </row>
    <row r="3" spans="1:44">
      <c r="A3" t="s">
        <v>1110</v>
      </c>
      <c r="B3" s="1">
        <f>建筑各项能耗拆分!$B$18*建筑各项能耗拆分!B231</f>
        <v>0</v>
      </c>
      <c r="C3" s="1">
        <f>建筑各项能耗拆分!$B$18*建筑各项能耗拆分!C231</f>
        <v>111949179617506</v>
      </c>
      <c r="D3" s="1">
        <f>建筑各项能耗拆分!$B$18*建筑各项能耗拆分!D231</f>
        <v>101525808604611</v>
      </c>
      <c r="E3" s="1">
        <f>建筑各项能耗拆分!$B$18*建筑各项能耗拆分!E231</f>
        <v>81226740931715.5</v>
      </c>
      <c r="F3" s="1">
        <f>建筑各项能耗拆分!$B$18*建筑各项能耗拆分!F231</f>
        <v>72774079649452.7</v>
      </c>
      <c r="G3" s="1">
        <f>建筑各项能耗拆分!$B$18*建筑各项能耗拆分!G231</f>
        <v>79813568688075.9</v>
      </c>
      <c r="H3" s="1">
        <f>建筑各项能耗拆分!$B$18*建筑各项能耗拆分!H231</f>
        <v>81464106541972.2</v>
      </c>
      <c r="I3" s="1">
        <f>建筑各项能耗拆分!$B$18*建筑各项能耗拆分!I231</f>
        <v>83898681742179.5</v>
      </c>
      <c r="J3" s="1">
        <f>建筑各项能耗拆分!$B$18*建筑各项能耗拆分!J231</f>
        <v>85958709958131.2</v>
      </c>
      <c r="K3" s="1">
        <f>建筑各项能耗拆分!$B$18*建筑各项能耗拆分!K231</f>
        <v>88062818516649.1</v>
      </c>
      <c r="L3" s="1">
        <f>建筑各项能耗拆分!$B$18*建筑各项能耗拆分!L231</f>
        <v>90212248293633</v>
      </c>
      <c r="M3" s="1">
        <f>建筑各项能耗拆分!$B$18*建筑各项能耗拆分!M231</f>
        <v>92407960792817.1</v>
      </c>
      <c r="N3" s="1">
        <f>建筑各项能耗拆分!$B$18*建筑各项能耗拆分!N231</f>
        <v>94650464962348.5</v>
      </c>
      <c r="O3" s="1">
        <f>建筑各项能耗拆分!$B$18*建筑各项能耗拆分!O231</f>
        <v>96879519624330.2</v>
      </c>
      <c r="P3" s="1">
        <f>建筑各项能耗拆分!$B$18*建筑各项能耗拆分!P231</f>
        <v>99153698021875.7</v>
      </c>
      <c r="Q3" s="1">
        <f>建筑各项能耗拆分!$B$18*建筑各项能耗拆分!Q231</f>
        <v>101474288789487</v>
      </c>
      <c r="R3" s="1">
        <f>建筑各项能耗拆分!$B$18*建筑各项能耗拆分!R231</f>
        <v>103842107578147</v>
      </c>
      <c r="S3" s="1">
        <f>建筑各项能耗拆分!$B$18*建筑各项能耗拆分!S231</f>
        <v>106257643032992</v>
      </c>
      <c r="T3" s="1">
        <f>建筑各项能耗拆分!$B$18*建筑各项能耗拆分!T231</f>
        <v>107267065163939</v>
      </c>
      <c r="U3" s="1">
        <f>建筑各项能耗拆分!$B$18*建筑各项能耗拆分!U231</f>
        <v>108278611286205</v>
      </c>
      <c r="V3" s="1">
        <f>建筑各项能耗拆分!$B$18*建筑各项能耗拆分!V231</f>
        <v>109291569733357</v>
      </c>
      <c r="W3" s="1">
        <f>建筑各项能耗拆分!$B$18*建筑各项能耗拆分!W231</f>
        <v>110306439736068</v>
      </c>
      <c r="X3" s="1">
        <f>建筑各项能耗拆分!$B$18*建筑各项能耗拆分!X231</f>
        <v>111323044865817</v>
      </c>
      <c r="Y3" s="1">
        <f>建筑各项能耗拆分!$B$18*建筑各项能耗拆分!Y231</f>
        <v>111593492596612</v>
      </c>
      <c r="Z3" s="1">
        <f>建筑各项能耗拆分!$B$18*建筑各项能耗拆分!Z231</f>
        <v>111859364638000</v>
      </c>
      <c r="AA3" s="1">
        <f>建筑各项能耗拆分!$B$18*建筑各项能耗拆分!AA231</f>
        <v>112120573173615</v>
      </c>
      <c r="AB3" s="1">
        <f>建筑各项能耗拆分!$B$18*建筑各项能耗拆分!AB231</f>
        <v>112377199272703</v>
      </c>
      <c r="AC3" s="1">
        <f>建筑各项能耗拆分!$B$18*建筑各项能耗拆分!AC231</f>
        <v>112629336356930</v>
      </c>
      <c r="AD3" s="1">
        <f>建筑各项能耗拆分!$B$18*建筑各项能耗拆分!AD231</f>
        <v>112701787038877</v>
      </c>
      <c r="AE3" s="1">
        <f>建筑各项能耗拆分!$B$18*建筑各项能耗拆分!AE231</f>
        <v>112767182516596</v>
      </c>
      <c r="AF3" s="1">
        <f>建筑各项能耗拆分!$B$18*建筑各项能耗拆分!AF231</f>
        <v>112826644888099</v>
      </c>
      <c r="AG3" s="1">
        <f>建筑各项能耗拆分!$B$18*建筑各项能耗拆分!AG231</f>
        <v>112879260281886</v>
      </c>
      <c r="AH3" s="1">
        <f>建筑各项能耗拆分!$B$18*建筑各项能耗拆分!AH231</f>
        <v>112924729229618</v>
      </c>
      <c r="AI3" s="1">
        <f>建筑各项能耗拆分!$B$18*建筑各项能耗拆分!AI231</f>
        <v>112139478293385</v>
      </c>
      <c r="AJ3" s="1">
        <f>建筑各项能耗拆分!$B$18*建筑各项能耗拆分!AJ231</f>
        <v>111354337387115</v>
      </c>
      <c r="AK3" s="1">
        <f>建筑各项能耗拆分!$B$18*建筑各项能耗拆分!AK231</f>
        <v>110568315099325</v>
      </c>
      <c r="AL3" s="1">
        <f>建筑各项能耗拆分!$B$18*建筑各项能耗拆分!AL231</f>
        <v>109782370559122</v>
      </c>
      <c r="AM3" s="1">
        <f>建筑各项能耗拆分!$B$18*建筑各项能耗拆分!AM231</f>
        <v>108995995345038</v>
      </c>
      <c r="AN3" s="1">
        <f>建筑各项能耗拆分!$B$18*建筑各项能耗拆分!AN231</f>
        <v>108050070042202</v>
      </c>
      <c r="AO3" s="1">
        <f>建筑各项能耗拆分!$B$18*建筑各项能耗拆分!AO231</f>
        <v>107104012392006</v>
      </c>
      <c r="AP3" s="1">
        <f>建筑各项能耗拆分!$B$18*建筑各项能耗拆分!AP231</f>
        <v>106157478602718</v>
      </c>
      <c r="AQ3" s="1">
        <f>建筑各项能耗拆分!$B$18*建筑各项能耗拆分!AQ231</f>
        <v>105210523066507</v>
      </c>
      <c r="AR3" s="1">
        <f>建筑各项能耗拆分!$B$18*建筑各项能耗拆分!AR231</f>
        <v>104263172979460</v>
      </c>
    </row>
    <row r="4" spans="1:44">
      <c r="A4" t="s">
        <v>1111</v>
      </c>
      <c r="B4" s="1">
        <f>建筑各项能耗拆分!$B$18*建筑各项能耗拆分!B232</f>
        <v>1073481585832940</v>
      </c>
      <c r="C4" s="1">
        <f>建筑各项能耗拆分!$B$18*建筑各项能耗拆分!C232</f>
        <v>261029195097470</v>
      </c>
      <c r="D4" s="1">
        <f>建筑各项能耗拆分!$B$18*建筑各项能耗拆分!D232</f>
        <v>256474586500428</v>
      </c>
      <c r="E4" s="1">
        <f>建筑各项能耗拆分!$B$18*建筑各项能耗拆分!E232</f>
        <v>286090438574017</v>
      </c>
      <c r="F4" s="1">
        <f>建筑各项能耗拆分!$B$18*建筑各项能耗拆分!F232</f>
        <v>295875219722689</v>
      </c>
      <c r="G4" s="1">
        <f>建筑各项能耗拆分!$B$18*建筑各项能耗拆分!G232</f>
        <v>326605489383744</v>
      </c>
      <c r="H4" s="1">
        <f>建筑各项能耗拆分!$B$18*建筑各项能耗拆分!H232</f>
        <v>333359663296514</v>
      </c>
      <c r="I4" s="1">
        <f>建筑各项能耗拆分!$B$18*建筑各项能耗拆分!I232</f>
        <v>343322200215678</v>
      </c>
      <c r="J4" s="1">
        <f>建筑各项能耗拆分!$B$18*建筑各项能耗拆分!J232</f>
        <v>351752051614063</v>
      </c>
      <c r="K4" s="1">
        <f>建筑各项能耗拆分!$B$18*建筑各项能耗拆分!K232</f>
        <v>360362284394870</v>
      </c>
      <c r="L4" s="1">
        <f>建筑各项能耗拆分!$B$18*建筑各项能耗拆分!L232</f>
        <v>369157976352353</v>
      </c>
      <c r="M4" s="1">
        <f>建筑各项能耗拆分!$B$18*建筑各项能耗拆分!M232</f>
        <v>378143062060582</v>
      </c>
      <c r="N4" s="1">
        <f>建筑各项能耗拆分!$B$18*建筑各项能耗拆分!N232</f>
        <v>387319624188726</v>
      </c>
      <c r="O4" s="1">
        <f>建筑各项能耗拆分!$B$18*建筑各项能耗拆分!O232</f>
        <v>396441149522153</v>
      </c>
      <c r="P4" s="1">
        <f>建筑各项能耗拆分!$B$18*建筑各项能耗拆分!P232</f>
        <v>405747325911523</v>
      </c>
      <c r="Q4" s="1">
        <f>建筑各项能耗拆分!$B$18*建筑各项能耗拆分!Q232</f>
        <v>415243426584294</v>
      </c>
      <c r="R4" s="1">
        <f>建筑各项能耗拆分!$B$18*建筑各项能耗拆分!R232</f>
        <v>424932789269787</v>
      </c>
      <c r="S4" s="1">
        <f>建筑各项能耗拆分!$B$18*建筑各项能耗拆分!S232</f>
        <v>434817413555124</v>
      </c>
      <c r="T4" s="1">
        <f>建筑各项能耗拆分!$B$18*建筑各项能耗拆分!T232</f>
        <v>438948074725796</v>
      </c>
      <c r="U4" s="1">
        <f>建筑各项能耗拆分!$B$18*建筑各项能耗拆分!U232</f>
        <v>443087427491592</v>
      </c>
      <c r="V4" s="1">
        <f>建筑各项能耗拆分!$B$18*建筑各项能耗拆分!V232</f>
        <v>447232559638865</v>
      </c>
      <c r="W4" s="1">
        <f>建筑各项能耗拆分!$B$18*建筑各项能耗拆分!W232</f>
        <v>451385514071861</v>
      </c>
      <c r="X4" s="1">
        <f>建筑各项能耗拆分!$B$18*建筑各项能耗拆分!X232</f>
        <v>455545568826576</v>
      </c>
      <c r="Y4" s="1">
        <f>建筑各项能耗拆分!$B$18*建筑各项能耗拆分!Y232</f>
        <v>456652269290181</v>
      </c>
      <c r="Z4" s="1">
        <f>建筑各项能耗拆分!$B$18*建筑各项能耗拆分!Z232</f>
        <v>457740245553094</v>
      </c>
      <c r="AA4" s="1">
        <f>建筑各项能耗拆分!$B$18*建筑各项能耗拆分!AA232</f>
        <v>458809138261539</v>
      </c>
      <c r="AB4" s="1">
        <f>建筑各项能耗拆分!$B$18*建筑各项能耗拆分!AB232</f>
        <v>459859279159371</v>
      </c>
      <c r="AC4" s="1">
        <f>建筑各项能耗拆分!$B$18*建筑各项能耗拆分!AC232</f>
        <v>460891050537840</v>
      </c>
      <c r="AD4" s="1">
        <f>建筑各项能耗拆分!$B$18*建筑各项能耗拆分!AD232</f>
        <v>461187526322877</v>
      </c>
      <c r="AE4" s="1">
        <f>建筑各项能耗拆分!$B$18*建筑各项能耗拆分!AE232</f>
        <v>461455131472665</v>
      </c>
      <c r="AF4" s="1">
        <f>建筑各项能耗拆分!$B$18*建筑各项能耗拆分!AF232</f>
        <v>461698457729887</v>
      </c>
      <c r="AG4" s="1">
        <f>建筑各项能耗拆分!$B$18*建筑各项能耗拆分!AG232</f>
        <v>461913765436579</v>
      </c>
      <c r="AH4" s="1">
        <f>建筑各项能耗拆分!$B$18*建筑各项能耗拆分!AH232</f>
        <v>462099829136898</v>
      </c>
      <c r="AI4" s="1">
        <f>建筑各项能耗拆分!$B$18*建筑各项能耗拆分!AI232</f>
        <v>458886499993331</v>
      </c>
      <c r="AJ4" s="1">
        <f>建筑各项能耗拆分!$B$18*建筑各项能耗拆分!AJ232</f>
        <v>455673621103909</v>
      </c>
      <c r="AK4" s="1">
        <f>建筑各项能耗拆分!$B$18*建筑各项能耗拆分!AK232</f>
        <v>452457135508915</v>
      </c>
      <c r="AL4" s="1">
        <f>建筑各项能耗拆分!$B$18*建筑各项能耗拆分!AL232</f>
        <v>449240968065199</v>
      </c>
      <c r="AM4" s="1">
        <f>建筑各项能耗拆分!$B$18*建筑各项能耗拆分!AM232</f>
        <v>446023038258815</v>
      </c>
      <c r="AN4" s="1">
        <f>建筑各项能耗拆分!$B$18*建筑各项能耗拆分!AN232</f>
        <v>442152212764712</v>
      </c>
      <c r="AO4" s="1">
        <f>建筑各项能耗拆分!$B$18*建筑各项能耗拆分!AO232</f>
        <v>438280845691336</v>
      </c>
      <c r="AP4" s="1">
        <f>建筑各项能耗拆分!$B$18*建筑各项能耗拆分!AP232</f>
        <v>434407530206886</v>
      </c>
      <c r="AQ4" s="1">
        <f>建筑各项能耗拆分!$B$18*建筑各项能耗拆分!AQ232</f>
        <v>430532488889823</v>
      </c>
      <c r="AR4" s="1">
        <f>建筑各项能耗拆分!$B$18*建筑各项能耗拆分!AR232</f>
        <v>426655833029376</v>
      </c>
    </row>
    <row r="5" spans="1:44">
      <c r="A5" t="s">
        <v>1112</v>
      </c>
      <c r="B5" s="1">
        <f>建筑各项能耗拆分!$B$18*建筑各项能耗拆分!B233</f>
        <v>0</v>
      </c>
      <c r="C5" s="1">
        <f>建筑各项能耗拆分!$B$18*建筑各项能耗拆分!C233</f>
        <v>0</v>
      </c>
      <c r="D5" s="1">
        <f>建筑各项能耗拆分!$B$18*建筑各项能耗拆分!D233</f>
        <v>0</v>
      </c>
      <c r="E5" s="1">
        <f>建筑各项能耗拆分!$B$18*建筑各项能耗拆分!E233</f>
        <v>0</v>
      </c>
      <c r="F5" s="1">
        <f>建筑各项能耗拆分!$B$18*建筑各项能耗拆分!F233</f>
        <v>0</v>
      </c>
      <c r="G5" s="1">
        <f>建筑各项能耗拆分!$B$18*建筑各项能耗拆分!G233</f>
        <v>0</v>
      </c>
      <c r="H5" s="1">
        <f>建筑各项能耗拆分!$B$18*建筑各项能耗拆分!H233</f>
        <v>0</v>
      </c>
      <c r="I5" s="1">
        <f>建筑各项能耗拆分!$B$18*建筑各项能耗拆分!I233</f>
        <v>0</v>
      </c>
      <c r="J5" s="1">
        <f>建筑各项能耗拆分!$B$18*建筑各项能耗拆分!J233</f>
        <v>0</v>
      </c>
      <c r="K5" s="1">
        <f>建筑各项能耗拆分!$B$18*建筑各项能耗拆分!K233</f>
        <v>0</v>
      </c>
      <c r="L5" s="1">
        <f>建筑各项能耗拆分!$B$18*建筑各项能耗拆分!L233</f>
        <v>0</v>
      </c>
      <c r="M5" s="1">
        <f>建筑各项能耗拆分!$B$18*建筑各项能耗拆分!M233</f>
        <v>0</v>
      </c>
      <c r="N5" s="1">
        <f>建筑各项能耗拆分!$B$18*建筑各项能耗拆分!N233</f>
        <v>0</v>
      </c>
      <c r="O5" s="1">
        <f>建筑各项能耗拆分!$B$18*建筑各项能耗拆分!O233</f>
        <v>0</v>
      </c>
      <c r="P5" s="1">
        <f>建筑各项能耗拆分!$B$18*建筑各项能耗拆分!P233</f>
        <v>0</v>
      </c>
      <c r="Q5" s="1">
        <f>建筑各项能耗拆分!$B$18*建筑各项能耗拆分!Q233</f>
        <v>0</v>
      </c>
      <c r="R5" s="1">
        <f>建筑各项能耗拆分!$B$18*建筑各项能耗拆分!R233</f>
        <v>0</v>
      </c>
      <c r="S5" s="1">
        <f>建筑各项能耗拆分!$B$18*建筑各项能耗拆分!S233</f>
        <v>0</v>
      </c>
      <c r="T5" s="1">
        <f>建筑各项能耗拆分!$B$18*建筑各项能耗拆分!T233</f>
        <v>0</v>
      </c>
      <c r="U5" s="1">
        <f>建筑各项能耗拆分!$B$18*建筑各项能耗拆分!U233</f>
        <v>0</v>
      </c>
      <c r="V5" s="1">
        <f>建筑各项能耗拆分!$B$18*建筑各项能耗拆分!V233</f>
        <v>0</v>
      </c>
      <c r="W5" s="1">
        <f>建筑各项能耗拆分!$B$18*建筑各项能耗拆分!W233</f>
        <v>0</v>
      </c>
      <c r="X5" s="1">
        <f>建筑各项能耗拆分!$B$18*建筑各项能耗拆分!X233</f>
        <v>0</v>
      </c>
      <c r="Y5" s="1">
        <f>建筑各项能耗拆分!$B$18*建筑各项能耗拆分!Y233</f>
        <v>0</v>
      </c>
      <c r="Z5" s="1">
        <f>建筑各项能耗拆分!$B$18*建筑各项能耗拆分!Z233</f>
        <v>0</v>
      </c>
      <c r="AA5" s="1">
        <f>建筑各项能耗拆分!$B$18*建筑各项能耗拆分!AA233</f>
        <v>0</v>
      </c>
      <c r="AB5" s="1">
        <f>建筑各项能耗拆分!$B$18*建筑各项能耗拆分!AB233</f>
        <v>0</v>
      </c>
      <c r="AC5" s="1">
        <f>建筑各项能耗拆分!$B$18*建筑各项能耗拆分!AC233</f>
        <v>0</v>
      </c>
      <c r="AD5" s="1">
        <f>建筑各项能耗拆分!$B$18*建筑各项能耗拆分!AD233</f>
        <v>0</v>
      </c>
      <c r="AE5" s="1">
        <f>建筑各项能耗拆分!$B$18*建筑各项能耗拆分!AE233</f>
        <v>0</v>
      </c>
      <c r="AF5" s="1">
        <f>建筑各项能耗拆分!$B$18*建筑各项能耗拆分!AF233</f>
        <v>0</v>
      </c>
      <c r="AG5" s="1">
        <f>建筑各项能耗拆分!$B$18*建筑各项能耗拆分!AG233</f>
        <v>0</v>
      </c>
      <c r="AH5" s="1">
        <f>建筑各项能耗拆分!$B$18*建筑各项能耗拆分!AH233</f>
        <v>0</v>
      </c>
      <c r="AI5" s="1">
        <f>建筑各项能耗拆分!$B$18*建筑各项能耗拆分!AI233</f>
        <v>0</v>
      </c>
      <c r="AJ5" s="1">
        <f>建筑各项能耗拆分!$B$18*建筑各项能耗拆分!AJ233</f>
        <v>0</v>
      </c>
      <c r="AK5" s="1">
        <f>建筑各项能耗拆分!$B$18*建筑各项能耗拆分!AK233</f>
        <v>0</v>
      </c>
      <c r="AL5" s="1">
        <f>建筑各项能耗拆分!$B$18*建筑各项能耗拆分!AL233</f>
        <v>0</v>
      </c>
      <c r="AM5" s="1">
        <f>建筑各项能耗拆分!$B$18*建筑各项能耗拆分!AM233</f>
        <v>0</v>
      </c>
      <c r="AN5" s="1">
        <f>建筑各项能耗拆分!$B$18*建筑各项能耗拆分!AN233</f>
        <v>0</v>
      </c>
      <c r="AO5" s="1">
        <f>建筑各项能耗拆分!$B$18*建筑各项能耗拆分!AO233</f>
        <v>0</v>
      </c>
      <c r="AP5" s="1">
        <f>建筑各项能耗拆分!$B$18*建筑各项能耗拆分!AP233</f>
        <v>0</v>
      </c>
      <c r="AQ5" s="1">
        <f>建筑各项能耗拆分!$B$18*建筑各项能耗拆分!AQ233</f>
        <v>0</v>
      </c>
      <c r="AR5" s="1">
        <f>建筑各项能耗拆分!$B$18*建筑各项能耗拆分!AR233</f>
        <v>0</v>
      </c>
    </row>
    <row r="6" spans="1:44">
      <c r="A6" t="s">
        <v>1113</v>
      </c>
      <c r="B6" s="1">
        <f>建筑各项能耗拆分!$B$18*建筑各项能耗拆分!B234</f>
        <v>0</v>
      </c>
      <c r="C6" s="1">
        <f>建筑各项能耗拆分!$B$18*建筑各项能耗拆分!C234</f>
        <v>0</v>
      </c>
      <c r="D6" s="1">
        <f>建筑各项能耗拆分!$B$18*建筑各项能耗拆分!D234</f>
        <v>0</v>
      </c>
      <c r="E6" s="1">
        <f>建筑各项能耗拆分!$B$18*建筑各项能耗拆分!E234</f>
        <v>0</v>
      </c>
      <c r="F6" s="1">
        <f>建筑各项能耗拆分!$B$18*建筑各项能耗拆分!F234</f>
        <v>0</v>
      </c>
      <c r="G6" s="1">
        <f>建筑各项能耗拆分!$B$18*建筑各项能耗拆分!G234</f>
        <v>0</v>
      </c>
      <c r="H6" s="1">
        <f>建筑各项能耗拆分!$B$18*建筑各项能耗拆分!H234</f>
        <v>0</v>
      </c>
      <c r="I6" s="1">
        <f>建筑各项能耗拆分!$B$18*建筑各项能耗拆分!I234</f>
        <v>0</v>
      </c>
      <c r="J6" s="1">
        <f>建筑各项能耗拆分!$B$18*建筑各项能耗拆分!J234</f>
        <v>0</v>
      </c>
      <c r="K6" s="1">
        <f>建筑各项能耗拆分!$B$18*建筑各项能耗拆分!K234</f>
        <v>0</v>
      </c>
      <c r="L6" s="1">
        <f>建筑各项能耗拆分!$B$18*建筑各项能耗拆分!L234</f>
        <v>0</v>
      </c>
      <c r="M6" s="1">
        <f>建筑各项能耗拆分!$B$18*建筑各项能耗拆分!M234</f>
        <v>0</v>
      </c>
      <c r="N6" s="1">
        <f>建筑各项能耗拆分!$B$18*建筑各项能耗拆分!N234</f>
        <v>0</v>
      </c>
      <c r="O6" s="1">
        <f>建筑各项能耗拆分!$B$18*建筑各项能耗拆分!O234</f>
        <v>0</v>
      </c>
      <c r="P6" s="1">
        <f>建筑各项能耗拆分!$B$18*建筑各项能耗拆分!P234</f>
        <v>0</v>
      </c>
      <c r="Q6" s="1">
        <f>建筑各项能耗拆分!$B$18*建筑各项能耗拆分!Q234</f>
        <v>0</v>
      </c>
      <c r="R6" s="1">
        <f>建筑各项能耗拆分!$B$18*建筑各项能耗拆分!R234</f>
        <v>0</v>
      </c>
      <c r="S6" s="1">
        <f>建筑各项能耗拆分!$B$18*建筑各项能耗拆分!S234</f>
        <v>0</v>
      </c>
      <c r="T6" s="1">
        <f>建筑各项能耗拆分!$B$18*建筑各项能耗拆分!T234</f>
        <v>0</v>
      </c>
      <c r="U6" s="1">
        <f>建筑各项能耗拆分!$B$18*建筑各项能耗拆分!U234</f>
        <v>0</v>
      </c>
      <c r="V6" s="1">
        <f>建筑各项能耗拆分!$B$18*建筑各项能耗拆分!V234</f>
        <v>0</v>
      </c>
      <c r="W6" s="1">
        <f>建筑各项能耗拆分!$B$18*建筑各项能耗拆分!W234</f>
        <v>0</v>
      </c>
      <c r="X6" s="1">
        <f>建筑各项能耗拆分!$B$18*建筑各项能耗拆分!X234</f>
        <v>0</v>
      </c>
      <c r="Y6" s="1">
        <f>建筑各项能耗拆分!$B$18*建筑各项能耗拆分!Y234</f>
        <v>0</v>
      </c>
      <c r="Z6" s="1">
        <f>建筑各项能耗拆分!$B$18*建筑各项能耗拆分!Z234</f>
        <v>0</v>
      </c>
      <c r="AA6" s="1">
        <f>建筑各项能耗拆分!$B$18*建筑各项能耗拆分!AA234</f>
        <v>0</v>
      </c>
      <c r="AB6" s="1">
        <f>建筑各项能耗拆分!$B$18*建筑各项能耗拆分!AB234</f>
        <v>0</v>
      </c>
      <c r="AC6" s="1">
        <f>建筑各项能耗拆分!$B$18*建筑各项能耗拆分!AC234</f>
        <v>0</v>
      </c>
      <c r="AD6" s="1">
        <f>建筑各项能耗拆分!$B$18*建筑各项能耗拆分!AD234</f>
        <v>0</v>
      </c>
      <c r="AE6" s="1">
        <f>建筑各项能耗拆分!$B$18*建筑各项能耗拆分!AE234</f>
        <v>0</v>
      </c>
      <c r="AF6" s="1">
        <f>建筑各项能耗拆分!$B$18*建筑各项能耗拆分!AF234</f>
        <v>0</v>
      </c>
      <c r="AG6" s="1">
        <f>建筑各项能耗拆分!$B$18*建筑各项能耗拆分!AG234</f>
        <v>0</v>
      </c>
      <c r="AH6" s="1">
        <f>建筑各项能耗拆分!$B$18*建筑各项能耗拆分!AH234</f>
        <v>0</v>
      </c>
      <c r="AI6" s="1">
        <f>建筑各项能耗拆分!$B$18*建筑各项能耗拆分!AI234</f>
        <v>0</v>
      </c>
      <c r="AJ6" s="1">
        <f>建筑各项能耗拆分!$B$18*建筑各项能耗拆分!AJ234</f>
        <v>0</v>
      </c>
      <c r="AK6" s="1">
        <f>建筑各项能耗拆分!$B$18*建筑各项能耗拆分!AK234</f>
        <v>0</v>
      </c>
      <c r="AL6" s="1">
        <f>建筑各项能耗拆分!$B$18*建筑各项能耗拆分!AL234</f>
        <v>0</v>
      </c>
      <c r="AM6" s="1">
        <f>建筑各项能耗拆分!$B$18*建筑各项能耗拆分!AM234</f>
        <v>0</v>
      </c>
      <c r="AN6" s="1">
        <f>建筑各项能耗拆分!$B$18*建筑各项能耗拆分!AN234</f>
        <v>0</v>
      </c>
      <c r="AO6" s="1">
        <f>建筑各项能耗拆分!$B$18*建筑各项能耗拆分!AO234</f>
        <v>0</v>
      </c>
      <c r="AP6" s="1">
        <f>建筑各项能耗拆分!$B$18*建筑各项能耗拆分!AP234</f>
        <v>0</v>
      </c>
      <c r="AQ6" s="1">
        <f>建筑各项能耗拆分!$B$18*建筑各项能耗拆分!AQ234</f>
        <v>0</v>
      </c>
      <c r="AR6" s="1">
        <f>建筑各项能耗拆分!$B$18*建筑各项能耗拆分!AR234</f>
        <v>0</v>
      </c>
    </row>
    <row r="7" spans="1:44">
      <c r="A7" t="s">
        <v>1114</v>
      </c>
      <c r="B7" s="1">
        <f>建筑各项能耗拆分!$B$18*建筑各项能耗拆分!B235</f>
        <v>0</v>
      </c>
      <c r="C7" s="1">
        <f>建筑各项能耗拆分!$B$18*建筑各项能耗拆分!C235</f>
        <v>0</v>
      </c>
      <c r="D7" s="1">
        <f>建筑各项能耗拆分!$B$18*建筑各项能耗拆分!D235</f>
        <v>0</v>
      </c>
      <c r="E7" s="1">
        <f>建筑各项能耗拆分!$B$18*建筑各项能耗拆分!E235</f>
        <v>0</v>
      </c>
      <c r="F7" s="1">
        <f>建筑各项能耗拆分!$B$18*建筑各项能耗拆分!F235</f>
        <v>0</v>
      </c>
      <c r="G7" s="1">
        <f>建筑各项能耗拆分!$B$18*建筑各项能耗拆分!G235</f>
        <v>0</v>
      </c>
      <c r="H7" s="1">
        <f>建筑各项能耗拆分!$B$18*建筑各项能耗拆分!H235</f>
        <v>0</v>
      </c>
      <c r="I7" s="1">
        <f>建筑各项能耗拆分!$B$18*建筑各项能耗拆分!I235</f>
        <v>0</v>
      </c>
      <c r="J7" s="1">
        <f>建筑各项能耗拆分!$B$18*建筑各项能耗拆分!J235</f>
        <v>0</v>
      </c>
      <c r="K7" s="1">
        <f>建筑各项能耗拆分!$B$18*建筑各项能耗拆分!K235</f>
        <v>0</v>
      </c>
      <c r="L7" s="1">
        <f>建筑各项能耗拆分!$B$18*建筑各项能耗拆分!L235</f>
        <v>0</v>
      </c>
      <c r="M7" s="1">
        <f>建筑各项能耗拆分!$B$18*建筑各项能耗拆分!M235</f>
        <v>0</v>
      </c>
      <c r="N7" s="1">
        <f>建筑各项能耗拆分!$B$18*建筑各项能耗拆分!N235</f>
        <v>0</v>
      </c>
      <c r="O7" s="1">
        <f>建筑各项能耗拆分!$B$18*建筑各项能耗拆分!O235</f>
        <v>0</v>
      </c>
      <c r="P7" s="1">
        <f>建筑各项能耗拆分!$B$18*建筑各项能耗拆分!P235</f>
        <v>0</v>
      </c>
      <c r="Q7" s="1">
        <f>建筑各项能耗拆分!$B$18*建筑各项能耗拆分!Q235</f>
        <v>0</v>
      </c>
      <c r="R7" s="1">
        <f>建筑各项能耗拆分!$B$18*建筑各项能耗拆分!R235</f>
        <v>0</v>
      </c>
      <c r="S7" s="1">
        <f>建筑各项能耗拆分!$B$18*建筑各项能耗拆分!S235</f>
        <v>0</v>
      </c>
      <c r="T7" s="1">
        <f>建筑各项能耗拆分!$B$18*建筑各项能耗拆分!T235</f>
        <v>0</v>
      </c>
      <c r="U7" s="1">
        <f>建筑各项能耗拆分!$B$18*建筑各项能耗拆分!U235</f>
        <v>0</v>
      </c>
      <c r="V7" s="1">
        <f>建筑各项能耗拆分!$B$18*建筑各项能耗拆分!V235</f>
        <v>0</v>
      </c>
      <c r="W7" s="1">
        <f>建筑各项能耗拆分!$B$18*建筑各项能耗拆分!W235</f>
        <v>0</v>
      </c>
      <c r="X7" s="1">
        <f>建筑各项能耗拆分!$B$18*建筑各项能耗拆分!X235</f>
        <v>0</v>
      </c>
      <c r="Y7" s="1">
        <f>建筑各项能耗拆分!$B$18*建筑各项能耗拆分!Y235</f>
        <v>0</v>
      </c>
      <c r="Z7" s="1">
        <f>建筑各项能耗拆分!$B$18*建筑各项能耗拆分!Z235</f>
        <v>0</v>
      </c>
      <c r="AA7" s="1">
        <f>建筑各项能耗拆分!$B$18*建筑各项能耗拆分!AA235</f>
        <v>0</v>
      </c>
      <c r="AB7" s="1">
        <f>建筑各项能耗拆分!$B$18*建筑各项能耗拆分!AB235</f>
        <v>0</v>
      </c>
      <c r="AC7" s="1">
        <f>建筑各项能耗拆分!$B$18*建筑各项能耗拆分!AC235</f>
        <v>0</v>
      </c>
      <c r="AD7" s="1">
        <f>建筑各项能耗拆分!$B$18*建筑各项能耗拆分!AD235</f>
        <v>0</v>
      </c>
      <c r="AE7" s="1">
        <f>建筑各项能耗拆分!$B$18*建筑各项能耗拆分!AE235</f>
        <v>0</v>
      </c>
      <c r="AF7" s="1">
        <f>建筑各项能耗拆分!$B$18*建筑各项能耗拆分!AF235</f>
        <v>0</v>
      </c>
      <c r="AG7" s="1">
        <f>建筑各项能耗拆分!$B$18*建筑各项能耗拆分!AG235</f>
        <v>0</v>
      </c>
      <c r="AH7" s="1">
        <f>建筑各项能耗拆分!$B$18*建筑各项能耗拆分!AH235</f>
        <v>0</v>
      </c>
      <c r="AI7" s="1">
        <f>建筑各项能耗拆分!$B$18*建筑各项能耗拆分!AI235</f>
        <v>0</v>
      </c>
      <c r="AJ7" s="1">
        <f>建筑各项能耗拆分!$B$18*建筑各项能耗拆分!AJ235</f>
        <v>0</v>
      </c>
      <c r="AK7" s="1">
        <f>建筑各项能耗拆分!$B$18*建筑各项能耗拆分!AK235</f>
        <v>0</v>
      </c>
      <c r="AL7" s="1">
        <f>建筑各项能耗拆分!$B$18*建筑各项能耗拆分!AL235</f>
        <v>0</v>
      </c>
      <c r="AM7" s="1">
        <f>建筑各项能耗拆分!$B$18*建筑各项能耗拆分!AM235</f>
        <v>0</v>
      </c>
      <c r="AN7" s="1">
        <f>建筑各项能耗拆分!$B$18*建筑各项能耗拆分!AN235</f>
        <v>0</v>
      </c>
      <c r="AO7" s="1">
        <f>建筑各项能耗拆分!$B$18*建筑各项能耗拆分!AO235</f>
        <v>0</v>
      </c>
      <c r="AP7" s="1">
        <f>建筑各项能耗拆分!$B$18*建筑各项能耗拆分!AP235</f>
        <v>0</v>
      </c>
      <c r="AQ7" s="1">
        <f>建筑各项能耗拆分!$B$18*建筑各项能耗拆分!AQ235</f>
        <v>0</v>
      </c>
      <c r="AR7" s="1">
        <f>建筑各项能耗拆分!$B$18*建筑各项能耗拆分!AR235</f>
        <v>0</v>
      </c>
    </row>
    <row r="8" spans="1:44">
      <c r="A8" t="s">
        <v>1115</v>
      </c>
      <c r="B8" s="1">
        <f>建筑各项能耗拆分!$B$18*建筑各项能耗拆分!B236</f>
        <v>0</v>
      </c>
      <c r="C8" s="1">
        <f>建筑各项能耗拆分!$B$18*建筑各项能耗拆分!C236</f>
        <v>0</v>
      </c>
      <c r="D8" s="1">
        <f>建筑各项能耗拆分!$B$18*建筑各项能耗拆分!D236</f>
        <v>0</v>
      </c>
      <c r="E8" s="1">
        <f>建筑各项能耗拆分!$B$18*建筑各项能耗拆分!E236</f>
        <v>0</v>
      </c>
      <c r="F8" s="1">
        <f>建筑各项能耗拆分!$B$18*建筑各项能耗拆分!F236</f>
        <v>0</v>
      </c>
      <c r="G8" s="1">
        <f>建筑各项能耗拆分!$B$18*建筑各项能耗拆分!G236</f>
        <v>0</v>
      </c>
      <c r="H8" s="1">
        <f>建筑各项能耗拆分!$B$18*建筑各项能耗拆分!H236</f>
        <v>0</v>
      </c>
      <c r="I8" s="1">
        <f>建筑各项能耗拆分!$B$18*建筑各项能耗拆分!I236</f>
        <v>0</v>
      </c>
      <c r="J8" s="1">
        <f>建筑各项能耗拆分!$B$18*建筑各项能耗拆分!J236</f>
        <v>0</v>
      </c>
      <c r="K8" s="1">
        <f>建筑各项能耗拆分!$B$18*建筑各项能耗拆分!K236</f>
        <v>0</v>
      </c>
      <c r="L8" s="1">
        <f>建筑各项能耗拆分!$B$18*建筑各项能耗拆分!L236</f>
        <v>0</v>
      </c>
      <c r="M8" s="1">
        <f>建筑各项能耗拆分!$B$18*建筑各项能耗拆分!M236</f>
        <v>0</v>
      </c>
      <c r="N8" s="1">
        <f>建筑各项能耗拆分!$B$18*建筑各项能耗拆分!N236</f>
        <v>0</v>
      </c>
      <c r="O8" s="1">
        <f>建筑各项能耗拆分!$B$18*建筑各项能耗拆分!O236</f>
        <v>0</v>
      </c>
      <c r="P8" s="1">
        <f>建筑各项能耗拆分!$B$18*建筑各项能耗拆分!P236</f>
        <v>0</v>
      </c>
      <c r="Q8" s="1">
        <f>建筑各项能耗拆分!$B$18*建筑各项能耗拆分!Q236</f>
        <v>0</v>
      </c>
      <c r="R8" s="1">
        <f>建筑各项能耗拆分!$B$18*建筑各项能耗拆分!R236</f>
        <v>0</v>
      </c>
      <c r="S8" s="1">
        <f>建筑各项能耗拆分!$B$18*建筑各项能耗拆分!S236</f>
        <v>0</v>
      </c>
      <c r="T8" s="1">
        <f>建筑各项能耗拆分!$B$18*建筑各项能耗拆分!T236</f>
        <v>0</v>
      </c>
      <c r="U8" s="1">
        <f>建筑各项能耗拆分!$B$18*建筑各项能耗拆分!U236</f>
        <v>0</v>
      </c>
      <c r="V8" s="1">
        <f>建筑各项能耗拆分!$B$18*建筑各项能耗拆分!V236</f>
        <v>0</v>
      </c>
      <c r="W8" s="1">
        <f>建筑各项能耗拆分!$B$18*建筑各项能耗拆分!W236</f>
        <v>0</v>
      </c>
      <c r="X8" s="1">
        <f>建筑各项能耗拆分!$B$18*建筑各项能耗拆分!X236</f>
        <v>0</v>
      </c>
      <c r="Y8" s="1">
        <f>建筑各项能耗拆分!$B$18*建筑各项能耗拆分!Y236</f>
        <v>0</v>
      </c>
      <c r="Z8" s="1">
        <f>建筑各项能耗拆分!$B$18*建筑各项能耗拆分!Z236</f>
        <v>0</v>
      </c>
      <c r="AA8" s="1">
        <f>建筑各项能耗拆分!$B$18*建筑各项能耗拆分!AA236</f>
        <v>0</v>
      </c>
      <c r="AB8" s="1">
        <f>建筑各项能耗拆分!$B$18*建筑各项能耗拆分!AB236</f>
        <v>0</v>
      </c>
      <c r="AC8" s="1">
        <f>建筑各项能耗拆分!$B$18*建筑各项能耗拆分!AC236</f>
        <v>0</v>
      </c>
      <c r="AD8" s="1">
        <f>建筑各项能耗拆分!$B$18*建筑各项能耗拆分!AD236</f>
        <v>0</v>
      </c>
      <c r="AE8" s="1">
        <f>建筑各项能耗拆分!$B$18*建筑各项能耗拆分!AE236</f>
        <v>0</v>
      </c>
      <c r="AF8" s="1">
        <f>建筑各项能耗拆分!$B$18*建筑各项能耗拆分!AF236</f>
        <v>0</v>
      </c>
      <c r="AG8" s="1">
        <f>建筑各项能耗拆分!$B$18*建筑各项能耗拆分!AG236</f>
        <v>0</v>
      </c>
      <c r="AH8" s="1">
        <f>建筑各项能耗拆分!$B$18*建筑各项能耗拆分!AH236</f>
        <v>0</v>
      </c>
      <c r="AI8" s="1">
        <f>建筑各项能耗拆分!$B$18*建筑各项能耗拆分!AI236</f>
        <v>0</v>
      </c>
      <c r="AJ8" s="1">
        <f>建筑各项能耗拆分!$B$18*建筑各项能耗拆分!AJ236</f>
        <v>0</v>
      </c>
      <c r="AK8" s="1">
        <f>建筑各项能耗拆分!$B$18*建筑各项能耗拆分!AK236</f>
        <v>0</v>
      </c>
      <c r="AL8" s="1">
        <f>建筑各项能耗拆分!$B$18*建筑各项能耗拆分!AL236</f>
        <v>0</v>
      </c>
      <c r="AM8" s="1">
        <f>建筑各项能耗拆分!$B$18*建筑各项能耗拆分!AM236</f>
        <v>0</v>
      </c>
      <c r="AN8" s="1">
        <f>建筑各项能耗拆分!$B$18*建筑各项能耗拆分!AN236</f>
        <v>0</v>
      </c>
      <c r="AO8" s="1">
        <f>建筑各项能耗拆分!$B$18*建筑各项能耗拆分!AO236</f>
        <v>0</v>
      </c>
      <c r="AP8" s="1">
        <f>建筑各项能耗拆分!$B$18*建筑各项能耗拆分!AP236</f>
        <v>0</v>
      </c>
      <c r="AQ8" s="1">
        <f>建筑各项能耗拆分!$B$18*建筑各项能耗拆分!AQ236</f>
        <v>0</v>
      </c>
      <c r="AR8" s="1">
        <f>建筑各项能耗拆分!$B$18*建筑各项能耗拆分!AR236</f>
        <v>0</v>
      </c>
    </row>
    <row r="9" spans="1:44">
      <c r="A9" t="s">
        <v>1116</v>
      </c>
      <c r="B9" s="1">
        <f>建筑各项能耗拆分!$B$18*建筑各项能耗拆分!B237</f>
        <v>0</v>
      </c>
      <c r="C9" s="1">
        <f>建筑各项能耗拆分!$B$18*建筑各项能耗拆分!C237</f>
        <v>0</v>
      </c>
      <c r="D9" s="1">
        <f>建筑各项能耗拆分!$B$18*建筑各项能耗拆分!D237</f>
        <v>0</v>
      </c>
      <c r="E9" s="1">
        <f>建筑各项能耗拆分!$B$18*建筑各项能耗拆分!E237</f>
        <v>0</v>
      </c>
      <c r="F9" s="1">
        <f>建筑各项能耗拆分!$B$18*建筑各项能耗拆分!F237</f>
        <v>0</v>
      </c>
      <c r="G9" s="1">
        <f>建筑各项能耗拆分!$B$18*建筑各项能耗拆分!G237</f>
        <v>0</v>
      </c>
      <c r="H9" s="1">
        <f>建筑各项能耗拆分!$B$18*建筑各项能耗拆分!H237</f>
        <v>0</v>
      </c>
      <c r="I9" s="1">
        <f>建筑各项能耗拆分!$B$18*建筑各项能耗拆分!I237</f>
        <v>0</v>
      </c>
      <c r="J9" s="1">
        <f>建筑各项能耗拆分!$B$18*建筑各项能耗拆分!J237</f>
        <v>0</v>
      </c>
      <c r="K9" s="1">
        <f>建筑各项能耗拆分!$B$18*建筑各项能耗拆分!K237</f>
        <v>0</v>
      </c>
      <c r="L9" s="1">
        <f>建筑各项能耗拆分!$B$18*建筑各项能耗拆分!L237</f>
        <v>0</v>
      </c>
      <c r="M9" s="1">
        <f>建筑各项能耗拆分!$B$18*建筑各项能耗拆分!M237</f>
        <v>0</v>
      </c>
      <c r="N9" s="1">
        <f>建筑各项能耗拆分!$B$18*建筑各项能耗拆分!N237</f>
        <v>0</v>
      </c>
      <c r="O9" s="1">
        <f>建筑各项能耗拆分!$B$18*建筑各项能耗拆分!O237</f>
        <v>0</v>
      </c>
      <c r="P9" s="1">
        <f>建筑各项能耗拆分!$B$18*建筑各项能耗拆分!P237</f>
        <v>0</v>
      </c>
      <c r="Q9" s="1">
        <f>建筑各项能耗拆分!$B$18*建筑各项能耗拆分!Q237</f>
        <v>0</v>
      </c>
      <c r="R9" s="1">
        <f>建筑各项能耗拆分!$B$18*建筑各项能耗拆分!R237</f>
        <v>0</v>
      </c>
      <c r="S9" s="1">
        <f>建筑各项能耗拆分!$B$18*建筑各项能耗拆分!S237</f>
        <v>0</v>
      </c>
      <c r="T9" s="1">
        <f>建筑各项能耗拆分!$B$18*建筑各项能耗拆分!T237</f>
        <v>0</v>
      </c>
      <c r="U9" s="1">
        <f>建筑各项能耗拆分!$B$18*建筑各项能耗拆分!U237</f>
        <v>0</v>
      </c>
      <c r="V9" s="1">
        <f>建筑各项能耗拆分!$B$18*建筑各项能耗拆分!V237</f>
        <v>0</v>
      </c>
      <c r="W9" s="1">
        <f>建筑各项能耗拆分!$B$18*建筑各项能耗拆分!W237</f>
        <v>0</v>
      </c>
      <c r="X9" s="1">
        <f>建筑各项能耗拆分!$B$18*建筑各项能耗拆分!X237</f>
        <v>0</v>
      </c>
      <c r="Y9" s="1">
        <f>建筑各项能耗拆分!$B$18*建筑各项能耗拆分!Y237</f>
        <v>0</v>
      </c>
      <c r="Z9" s="1">
        <f>建筑各项能耗拆分!$B$18*建筑各项能耗拆分!Z237</f>
        <v>0</v>
      </c>
      <c r="AA9" s="1">
        <f>建筑各项能耗拆分!$B$18*建筑各项能耗拆分!AA237</f>
        <v>0</v>
      </c>
      <c r="AB9" s="1">
        <f>建筑各项能耗拆分!$B$18*建筑各项能耗拆分!AB237</f>
        <v>0</v>
      </c>
      <c r="AC9" s="1">
        <f>建筑各项能耗拆分!$B$18*建筑各项能耗拆分!AC237</f>
        <v>0</v>
      </c>
      <c r="AD9" s="1">
        <f>建筑各项能耗拆分!$B$18*建筑各项能耗拆分!AD237</f>
        <v>0</v>
      </c>
      <c r="AE9" s="1">
        <f>建筑各项能耗拆分!$B$18*建筑各项能耗拆分!AE237</f>
        <v>0</v>
      </c>
      <c r="AF9" s="1">
        <f>建筑各项能耗拆分!$B$18*建筑各项能耗拆分!AF237</f>
        <v>0</v>
      </c>
      <c r="AG9" s="1">
        <f>建筑各项能耗拆分!$B$18*建筑各项能耗拆分!AG237</f>
        <v>0</v>
      </c>
      <c r="AH9" s="1">
        <f>建筑各项能耗拆分!$B$18*建筑各项能耗拆分!AH237</f>
        <v>0</v>
      </c>
      <c r="AI9" s="1">
        <f>建筑各项能耗拆分!$B$18*建筑各项能耗拆分!AI237</f>
        <v>0</v>
      </c>
      <c r="AJ9" s="1">
        <f>建筑各项能耗拆分!$B$18*建筑各项能耗拆分!AJ237</f>
        <v>0</v>
      </c>
      <c r="AK9" s="1">
        <f>建筑各项能耗拆分!$B$18*建筑各项能耗拆分!AK237</f>
        <v>0</v>
      </c>
      <c r="AL9" s="1">
        <f>建筑各项能耗拆分!$B$18*建筑各项能耗拆分!AL237</f>
        <v>0</v>
      </c>
      <c r="AM9" s="1">
        <f>建筑各项能耗拆分!$B$18*建筑各项能耗拆分!AM237</f>
        <v>0</v>
      </c>
      <c r="AN9" s="1">
        <f>建筑各项能耗拆分!$B$18*建筑各项能耗拆分!AN237</f>
        <v>0</v>
      </c>
      <c r="AO9" s="1">
        <f>建筑各项能耗拆分!$B$18*建筑各项能耗拆分!AO237</f>
        <v>0</v>
      </c>
      <c r="AP9" s="1">
        <f>建筑各项能耗拆分!$B$18*建筑各项能耗拆分!AP237</f>
        <v>0</v>
      </c>
      <c r="AQ9" s="1">
        <f>建筑各项能耗拆分!$B$18*建筑各项能耗拆分!AQ237</f>
        <v>0</v>
      </c>
      <c r="AR9" s="1">
        <f>建筑各项能耗拆分!$B$18*建筑各项能耗拆分!AR237</f>
        <v>0</v>
      </c>
    </row>
    <row r="10" spans="1:44">
      <c r="A10" t="s">
        <v>1117</v>
      </c>
      <c r="B10" s="1">
        <f>建筑各项能耗拆分!$B$18*建筑各项能耗拆分!B238</f>
        <v>0</v>
      </c>
      <c r="C10" s="1">
        <f>建筑各项能耗拆分!$B$18*建筑各项能耗拆分!C238</f>
        <v>83991089231758</v>
      </c>
      <c r="D10" s="1">
        <f>建筑各项能耗拆分!$B$18*建筑各项能耗拆分!D238</f>
        <v>84838262215605.3</v>
      </c>
      <c r="E10" s="1">
        <f>建筑各项能耗拆分!$B$18*建筑各项能耗拆分!E238</f>
        <v>91141709841379</v>
      </c>
      <c r="F10" s="1">
        <f>建筑各项能耗拆分!$B$18*建筑各项能耗拆分!F238</f>
        <v>94294796129139.1</v>
      </c>
      <c r="G10" s="1">
        <f>建筑各项能耗拆分!$B$18*建筑各项能耗拆分!G238</f>
        <v>95066300601188</v>
      </c>
      <c r="H10" s="1">
        <f>建筑各项能耗拆分!$B$18*建筑各项能耗拆分!H238</f>
        <v>97032263661746.6</v>
      </c>
      <c r="I10" s="1">
        <f>建筑各项能耗拆分!$B$18*建筑各项能耗拆分!I238</f>
        <v>99932097131462.2</v>
      </c>
      <c r="J10" s="1">
        <f>建筑各项能耗拆分!$B$18*建筑各项能耗拆分!J238</f>
        <v>102385806003822</v>
      </c>
      <c r="K10" s="1">
        <f>建筑各项能耗拆分!$B$18*建筑各项能耗拆分!K238</f>
        <v>104892019170449</v>
      </c>
      <c r="L10" s="1">
        <f>建筑各项能耗拆分!$B$18*建筑各项能耗拆分!L238</f>
        <v>107452214644210</v>
      </c>
      <c r="M10" s="1">
        <f>建筑各项能耗拆分!$B$18*建筑各项能耗拆分!M238</f>
        <v>110067537676525</v>
      </c>
      <c r="N10" s="1">
        <f>建筑各项能耗拆分!$B$18*建筑各项能耗拆分!N238</f>
        <v>112738594477822</v>
      </c>
      <c r="O10" s="1">
        <f>建筑各项能耗拆分!$B$18*建筑各项能耗拆分!O238</f>
        <v>115393631510192</v>
      </c>
      <c r="P10" s="1">
        <f>建筑各项能耗拆分!$B$18*建筑各项能耗拆分!P238</f>
        <v>118102415626922</v>
      </c>
      <c r="Q10" s="1">
        <f>建筑各项能耗拆分!$B$18*建筑各项能耗拆分!Q238</f>
        <v>120866481726362</v>
      </c>
      <c r="R10" s="1">
        <f>建筑各项能耗拆分!$B$18*建筑各项能耗拆分!R238</f>
        <v>123686801334067</v>
      </c>
      <c r="S10" s="1">
        <f>建筑各项能耗拆分!$B$18*建筑各项能耗拆分!S238</f>
        <v>126563956477457</v>
      </c>
      <c r="T10" s="1">
        <f>建筑各项能耗拆分!$B$18*建筑各项能耗拆分!T238</f>
        <v>127766283717191</v>
      </c>
      <c r="U10" s="1">
        <f>建筑各项能耗拆分!$B$18*建筑各项能耗拆分!U238</f>
        <v>128971140852538</v>
      </c>
      <c r="V10" s="1">
        <f>建筑各项能耗拆分!$B$18*建筑各项能耗拆分!V238</f>
        <v>130177680214408</v>
      </c>
      <c r="W10" s="1">
        <f>建筑各项能耗拆分!$B$18*建筑各项能耗拆分!W238</f>
        <v>131386496438701</v>
      </c>
      <c r="X10" s="1">
        <f>建筑各项能耗拆分!$B$18*建筑各项能耗拆分!X238</f>
        <v>132597379380612</v>
      </c>
      <c r="Y10" s="1">
        <f>建筑各项能耗拆分!$B$18*建筑各项能耗拆分!Y238</f>
        <v>132919510889016</v>
      </c>
      <c r="Z10" s="1">
        <f>建筑各项能耗拆分!$B$18*建筑各项能耗拆分!Z238</f>
        <v>133236192273191</v>
      </c>
      <c r="AA10" s="1">
        <f>建筑各项能耗拆分!$B$18*建筑各项能耗拆分!AA238</f>
        <v>133547318934667</v>
      </c>
      <c r="AB10" s="1">
        <f>建筑各项能耗拆分!$B$18*建筑各项能耗拆分!AB238</f>
        <v>133852987435387</v>
      </c>
      <c r="AC10" s="1">
        <f>建筑各项能耗拆分!$B$18*建筑各项能耗拆分!AC238</f>
        <v>134153309050318</v>
      </c>
      <c r="AD10" s="1">
        <f>建筑各项能耗拆分!$B$18*建筑各项能耗拆分!AD238</f>
        <v>134239605383410</v>
      </c>
      <c r="AE10" s="1">
        <f>建筑各项能耗拆分!$B$18*建筑各项能耗拆分!AE238</f>
        <v>134317498231016</v>
      </c>
      <c r="AF10" s="1">
        <f>建筑各项能耗拆分!$B$18*建筑各项能耗拆分!AF238</f>
        <v>134388324129127</v>
      </c>
      <c r="AG10" s="1">
        <f>建筑各项能耗拆分!$B$18*建筑各项能耗拆分!AG238</f>
        <v>134450994561288</v>
      </c>
      <c r="AH10" s="1">
        <f>建筑各项能耗拆分!$B$18*建筑各项能耗拆分!AH238</f>
        <v>134505152829414</v>
      </c>
      <c r="AI10" s="1">
        <f>建筑各项能耗拆分!$B$18*建筑各项能耗拆分!AI238</f>
        <v>133569836907844</v>
      </c>
      <c r="AJ10" s="1">
        <f>建筑各项能耗拆分!$B$18*建筑各项能耗拆分!AJ238</f>
        <v>132634652043458</v>
      </c>
      <c r="AK10" s="1">
        <f>建筑各项能耗拆分!$B$18*建筑各项能耗拆分!AK238</f>
        <v>131698417361579</v>
      </c>
      <c r="AL10" s="1">
        <f>建筑各项能耗拆分!$B$18*建筑各项能耗拆分!AL238</f>
        <v>130762275285201</v>
      </c>
      <c r="AM10" s="1">
        <f>建筑各项能耗拆分!$B$18*建筑各项能耗拆分!AM238</f>
        <v>129825620231227</v>
      </c>
      <c r="AN10" s="1">
        <f>建筑各项能耗拆分!$B$18*建筑各项能耗拆分!AN238</f>
        <v>128698924349012</v>
      </c>
      <c r="AO10" s="1">
        <f>建筑各项能耗拆分!$B$18*建筑各项能耗拆分!AO238</f>
        <v>127572070827262</v>
      </c>
      <c r="AP10" s="1">
        <f>建筑各项能耗拆分!$B$18*建筑各项能耗拆分!AP238</f>
        <v>126444650174098</v>
      </c>
      <c r="AQ10" s="1">
        <f>建筑各项能耗拆分!$B$18*建筑各项能耗拆分!AQ238</f>
        <v>125316727176279</v>
      </c>
      <c r="AR10" s="1">
        <f>建筑各项能耗拆分!$B$18*建筑各项能耗拆分!AR238</f>
        <v>124188334227184</v>
      </c>
    </row>
    <row r="11" spans="1:44">
      <c r="A11" t="s">
        <v>1118</v>
      </c>
      <c r="B11" s="1">
        <f>建筑各项能耗拆分!$B$18*建筑各项能耗拆分!B239</f>
        <v>0</v>
      </c>
      <c r="C11" s="1">
        <f>建筑各项能耗拆分!$B$18*建筑各项能耗拆分!C239</f>
        <v>0</v>
      </c>
      <c r="D11" s="1">
        <f>建筑各项能耗拆分!$B$18*建筑各项能耗拆分!D239</f>
        <v>0</v>
      </c>
      <c r="E11" s="1">
        <f>建筑各项能耗拆分!$B$18*建筑各项能耗拆分!E239</f>
        <v>0</v>
      </c>
      <c r="F11" s="1">
        <f>建筑各项能耗拆分!$B$18*建筑各项能耗拆分!F239</f>
        <v>0</v>
      </c>
      <c r="G11" s="1">
        <f>建筑各项能耗拆分!$B$18*建筑各项能耗拆分!G239</f>
        <v>0</v>
      </c>
      <c r="H11" s="1">
        <f>建筑各项能耗拆分!$B$18*建筑各项能耗拆分!H239</f>
        <v>0</v>
      </c>
      <c r="I11" s="1">
        <f>建筑各项能耗拆分!$B$18*建筑各项能耗拆分!I239</f>
        <v>0</v>
      </c>
      <c r="J11" s="1">
        <f>建筑各项能耗拆分!$B$18*建筑各项能耗拆分!J239</f>
        <v>0</v>
      </c>
      <c r="K11" s="1">
        <f>建筑各项能耗拆分!$B$18*建筑各项能耗拆分!K239</f>
        <v>0</v>
      </c>
      <c r="L11" s="1">
        <f>建筑各项能耗拆分!$B$18*建筑各项能耗拆分!L239</f>
        <v>0</v>
      </c>
      <c r="M11" s="1">
        <f>建筑各项能耗拆分!$B$18*建筑各项能耗拆分!M239</f>
        <v>0</v>
      </c>
      <c r="N11" s="1">
        <f>建筑各项能耗拆分!$B$18*建筑各项能耗拆分!N239</f>
        <v>0</v>
      </c>
      <c r="O11" s="1">
        <f>建筑各项能耗拆分!$B$18*建筑各项能耗拆分!O239</f>
        <v>0</v>
      </c>
      <c r="P11" s="1">
        <f>建筑各项能耗拆分!$B$18*建筑各项能耗拆分!P239</f>
        <v>0</v>
      </c>
      <c r="Q11" s="1">
        <f>建筑各项能耗拆分!$B$18*建筑各项能耗拆分!Q239</f>
        <v>0</v>
      </c>
      <c r="R11" s="1">
        <f>建筑各项能耗拆分!$B$18*建筑各项能耗拆分!R239</f>
        <v>0</v>
      </c>
      <c r="S11" s="1">
        <f>建筑各项能耗拆分!$B$18*建筑各项能耗拆分!S239</f>
        <v>0</v>
      </c>
      <c r="T11" s="1">
        <f>建筑各项能耗拆分!$B$18*建筑各项能耗拆分!T239</f>
        <v>0</v>
      </c>
      <c r="U11" s="1">
        <f>建筑各项能耗拆分!$B$18*建筑各项能耗拆分!U239</f>
        <v>0</v>
      </c>
      <c r="V11" s="1">
        <f>建筑各项能耗拆分!$B$18*建筑各项能耗拆分!V239</f>
        <v>0</v>
      </c>
      <c r="W11" s="1">
        <f>建筑各项能耗拆分!$B$18*建筑各项能耗拆分!W239</f>
        <v>0</v>
      </c>
      <c r="X11" s="1">
        <f>建筑各项能耗拆分!$B$18*建筑各项能耗拆分!X239</f>
        <v>0</v>
      </c>
      <c r="Y11" s="1">
        <f>建筑各项能耗拆分!$B$18*建筑各项能耗拆分!Y239</f>
        <v>0</v>
      </c>
      <c r="Z11" s="1">
        <f>建筑各项能耗拆分!$B$18*建筑各项能耗拆分!Z239</f>
        <v>0</v>
      </c>
      <c r="AA11" s="1">
        <f>建筑各项能耗拆分!$B$18*建筑各项能耗拆分!AA239</f>
        <v>0</v>
      </c>
      <c r="AB11" s="1">
        <f>建筑各项能耗拆分!$B$18*建筑各项能耗拆分!AB239</f>
        <v>0</v>
      </c>
      <c r="AC11" s="1">
        <f>建筑各项能耗拆分!$B$18*建筑各项能耗拆分!AC239</f>
        <v>0</v>
      </c>
      <c r="AD11" s="1">
        <f>建筑各项能耗拆分!$B$18*建筑各项能耗拆分!AD239</f>
        <v>0</v>
      </c>
      <c r="AE11" s="1">
        <f>建筑各项能耗拆分!$B$18*建筑各项能耗拆分!AE239</f>
        <v>0</v>
      </c>
      <c r="AF11" s="1">
        <f>建筑各项能耗拆分!$B$18*建筑各项能耗拆分!AF239</f>
        <v>0</v>
      </c>
      <c r="AG11" s="1">
        <f>建筑各项能耗拆分!$B$18*建筑各项能耗拆分!AG239</f>
        <v>0</v>
      </c>
      <c r="AH11" s="1">
        <f>建筑各项能耗拆分!$B$18*建筑各项能耗拆分!AH239</f>
        <v>0</v>
      </c>
      <c r="AI11" s="1">
        <f>建筑各项能耗拆分!$B$18*建筑各项能耗拆分!AI239</f>
        <v>0</v>
      </c>
      <c r="AJ11" s="1">
        <f>建筑各项能耗拆分!$B$18*建筑各项能耗拆分!AJ239</f>
        <v>0</v>
      </c>
      <c r="AK11" s="1">
        <f>建筑各项能耗拆分!$B$18*建筑各项能耗拆分!AK239</f>
        <v>0</v>
      </c>
      <c r="AL11" s="1">
        <f>建筑各项能耗拆分!$B$18*建筑各项能耗拆分!AL239</f>
        <v>0</v>
      </c>
      <c r="AM11" s="1">
        <f>建筑各项能耗拆分!$B$18*建筑各项能耗拆分!AM239</f>
        <v>0</v>
      </c>
      <c r="AN11" s="1">
        <f>建筑各项能耗拆分!$B$18*建筑各项能耗拆分!AN239</f>
        <v>0</v>
      </c>
      <c r="AO11" s="1">
        <f>建筑各项能耗拆分!$B$18*建筑各项能耗拆分!AO239</f>
        <v>0</v>
      </c>
      <c r="AP11" s="1">
        <f>建筑各项能耗拆分!$B$18*建筑各项能耗拆分!AP239</f>
        <v>0</v>
      </c>
      <c r="AQ11" s="1">
        <f>建筑各项能耗拆分!$B$18*建筑各项能耗拆分!AQ239</f>
        <v>0</v>
      </c>
      <c r="AR11" s="1">
        <f>建筑各项能耗拆分!$B$18*建筑各项能耗拆分!AR239</f>
        <v>0</v>
      </c>
    </row>
    <row r="12" spans="1:44">
      <c r="A12" t="s">
        <v>1119</v>
      </c>
      <c r="B12" s="1">
        <f>SUM(B2:B11)</f>
        <v>2334201361806360</v>
      </c>
      <c r="C12" s="1">
        <f t="shared" ref="C12:AR12" si="0">SUM(C2:C11)</f>
        <v>532981507392792</v>
      </c>
      <c r="D12" s="1">
        <f t="shared" si="0"/>
        <v>520174556629943</v>
      </c>
      <c r="E12" s="1">
        <f t="shared" si="0"/>
        <v>550375448025773</v>
      </c>
      <c r="F12" s="1">
        <f t="shared" si="0"/>
        <v>557215088069975</v>
      </c>
      <c r="G12" s="1">
        <f t="shared" si="0"/>
        <v>611128789360310</v>
      </c>
      <c r="H12" s="1">
        <f t="shared" si="0"/>
        <v>601362629764729</v>
      </c>
      <c r="I12" s="1">
        <f t="shared" si="0"/>
        <v>614706048024356</v>
      </c>
      <c r="J12" s="1">
        <f t="shared" si="0"/>
        <v>630711573789449</v>
      </c>
      <c r="K12" s="1">
        <f t="shared" si="0"/>
        <v>646911262889636</v>
      </c>
      <c r="L12" s="1">
        <f t="shared" si="0"/>
        <v>663322181576589</v>
      </c>
      <c r="M12" s="1">
        <f t="shared" si="0"/>
        <v>679837800367326</v>
      </c>
      <c r="N12" s="1">
        <f t="shared" si="0"/>
        <v>696492263465922</v>
      </c>
      <c r="O12" s="1">
        <f t="shared" si="0"/>
        <v>712811010850398</v>
      </c>
      <c r="P12" s="1">
        <f t="shared" si="0"/>
        <v>729141254545035</v>
      </c>
      <c r="Q12" s="1">
        <f t="shared" si="0"/>
        <v>745546135691411</v>
      </c>
      <c r="R12" s="1">
        <f t="shared" si="0"/>
        <v>762004648343125</v>
      </c>
      <c r="S12" s="1">
        <f t="shared" si="0"/>
        <v>786664906108566</v>
      </c>
      <c r="T12" s="1">
        <f t="shared" si="0"/>
        <v>795859984257368</v>
      </c>
      <c r="U12" s="1">
        <f t="shared" si="0"/>
        <v>804911305828009</v>
      </c>
      <c r="V12" s="1">
        <f t="shared" si="0"/>
        <v>814925392973157</v>
      </c>
      <c r="W12" s="1">
        <f t="shared" si="0"/>
        <v>825005980481300</v>
      </c>
      <c r="X12" s="1">
        <f t="shared" si="0"/>
        <v>834954802402787</v>
      </c>
      <c r="Y12" s="1">
        <f t="shared" si="0"/>
        <v>839945910962862</v>
      </c>
      <c r="Z12" s="1">
        <f t="shared" si="0"/>
        <v>844769678297366</v>
      </c>
      <c r="AA12" s="1">
        <f t="shared" si="0"/>
        <v>849431258642499</v>
      </c>
      <c r="AB12" s="1">
        <f t="shared" si="0"/>
        <v>853931117749730</v>
      </c>
      <c r="AC12" s="1">
        <f t="shared" si="0"/>
        <v>858290814911849</v>
      </c>
      <c r="AD12" s="1">
        <f t="shared" si="0"/>
        <v>861272041572789</v>
      </c>
      <c r="AE12" s="1">
        <f t="shared" si="0"/>
        <v>864087554613445</v>
      </c>
      <c r="AF12" s="1">
        <f t="shared" si="0"/>
        <v>866758250242752</v>
      </c>
      <c r="AG12" s="1">
        <f t="shared" si="0"/>
        <v>869296807348994</v>
      </c>
      <c r="AH12" s="1">
        <f t="shared" si="0"/>
        <v>871682486992732</v>
      </c>
      <c r="AI12" s="1">
        <f t="shared" si="0"/>
        <v>868301468614554</v>
      </c>
      <c r="AJ12" s="1">
        <f t="shared" si="0"/>
        <v>864812948641711</v>
      </c>
      <c r="AK12" s="1">
        <f t="shared" si="0"/>
        <v>861197739521092</v>
      </c>
      <c r="AL12" s="1">
        <f t="shared" si="0"/>
        <v>857460444912870</v>
      </c>
      <c r="AM12" s="1">
        <f t="shared" si="0"/>
        <v>853586628552295</v>
      </c>
      <c r="AN12" s="1">
        <f t="shared" si="0"/>
        <v>848367633741286</v>
      </c>
      <c r="AO12" s="1">
        <f t="shared" si="0"/>
        <v>842971516298264</v>
      </c>
      <c r="AP12" s="1">
        <f t="shared" si="0"/>
        <v>837393583013280</v>
      </c>
      <c r="AQ12" s="1">
        <f t="shared" si="0"/>
        <v>831636127422402</v>
      </c>
      <c r="AR12" s="1">
        <f t="shared" si="0"/>
        <v>825699352578086</v>
      </c>
    </row>
  </sheetData>
  <pageMargins left="0.7" right="0.7" top="0.75" bottom="0.75" header="0.3" footer="0.3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2060"/>
  </sheetPr>
  <dimension ref="A1:AR12"/>
  <sheetViews>
    <sheetView workbookViewId="0">
      <selection activeCell="A1" sqref="$A1:$XFD1048576"/>
    </sheetView>
  </sheetViews>
  <sheetFormatPr defaultColWidth="9" defaultRowHeight="13.5"/>
  <cols>
    <col min="1" max="1" width="37.25" customWidth="1"/>
    <col min="2" max="44" width="13.6333333333333" customWidth="1"/>
  </cols>
  <sheetData>
    <row r="1" spans="1:44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>
      <c r="A2" t="s">
        <v>1109</v>
      </c>
      <c r="B2" s="1">
        <f>建筑各项能耗拆分!$B$18*建筑各项能耗拆分!B243</f>
        <v>81149778683346.7</v>
      </c>
      <c r="C2" s="1">
        <f>建筑各项能耗拆分!$B$18*建筑各项能耗拆分!C243</f>
        <v>1018111377383650</v>
      </c>
      <c r="D2" s="1">
        <f>建筑各项能耗拆分!$B$18*建筑各项能耗拆分!D243</f>
        <v>1035843208489290</v>
      </c>
      <c r="E2" s="1">
        <f>建筑各项能耗拆分!$B$18*建筑各项能耗拆分!E243</f>
        <v>1231137723946410</v>
      </c>
      <c r="F2" s="1">
        <f>建筑各项能耗拆分!$B$18*建筑各项能耗拆分!F243</f>
        <v>1262673199406180</v>
      </c>
      <c r="G2" s="1">
        <f>建筑各项能耗拆分!$B$18*建筑各项能耗拆分!G243</f>
        <v>1468572862632420</v>
      </c>
      <c r="H2" s="1">
        <f>建筑各项能耗拆分!$B$18*建筑各项能耗拆分!H243</f>
        <v>1198858495002010</v>
      </c>
      <c r="I2" s="1">
        <f>建筑各项能耗拆分!$B$18*建筑各项能耗拆分!I243</f>
        <v>1172692794015880</v>
      </c>
      <c r="J2" s="1">
        <f>建筑各项能耗拆分!$B$18*建筑各项能耗拆分!J243</f>
        <v>1213704626334050</v>
      </c>
      <c r="K2" s="1">
        <f>建筑各项能耗拆分!$B$18*建筑各项能耗拆分!K243</f>
        <v>1253607392891040</v>
      </c>
      <c r="L2" s="1">
        <f>建筑各项能耗拆分!$B$18*建筑各项能耗拆分!L243</f>
        <v>1292525251029290</v>
      </c>
      <c r="M2" s="1">
        <f>建筑各项能耗拆分!$B$18*建筑各项能耗拆分!M243</f>
        <v>1328950418304450</v>
      </c>
      <c r="N2" s="1">
        <f>建筑各项能耗拆分!$B$18*建筑各项能耗拆分!N243</f>
        <v>1363297392951300</v>
      </c>
      <c r="O2" s="1">
        <f>建筑各项能耗拆分!$B$18*建筑各项能耗拆分!O243</f>
        <v>1394279645588630</v>
      </c>
      <c r="P2" s="1">
        <f>建筑各项能耗拆分!$B$18*建筑各项能耗拆分!P243</f>
        <v>1421618366085130</v>
      </c>
      <c r="Q2" s="1">
        <f>建筑各项能耗拆分!$B$18*建筑各项能耗拆分!Q243</f>
        <v>1446050823277310</v>
      </c>
      <c r="R2" s="1">
        <f>建筑各项能耗拆分!$B$18*建筑各项能耗拆分!R243</f>
        <v>1467227018444190</v>
      </c>
      <c r="S2" s="1">
        <f>建筑各项能耗拆分!$B$18*建筑各项能耗拆分!S243</f>
        <v>1594242312355620</v>
      </c>
      <c r="T2" s="1">
        <f>建筑各项能耗拆分!$B$18*建筑各项能耗拆分!T243</f>
        <v>1632451169996700</v>
      </c>
      <c r="U2" s="1">
        <f>建筑各项能耗拆分!$B$18*建筑各项能耗拆分!U243</f>
        <v>1668555790102950</v>
      </c>
      <c r="V2" s="1">
        <f>建筑各项能耗拆分!$B$18*建筑各项能耗拆分!V243</f>
        <v>1717436910999040</v>
      </c>
      <c r="W2" s="1">
        <f>建筑各项能耗拆分!$B$18*建筑各项能耗拆分!W243</f>
        <v>1767047870741170</v>
      </c>
      <c r="X2" s="1">
        <f>建筑各项能耗拆分!$B$18*建筑各项能耗拆分!X243</f>
        <v>1814747927211090</v>
      </c>
      <c r="Y2" s="1">
        <f>建筑各项能耗拆分!$B$18*建筑各项能耗拆分!Y243</f>
        <v>1858838945687220</v>
      </c>
      <c r="Z2" s="1">
        <f>建筑各项能耗拆分!$B$18*建筑各项能耗拆分!Z243</f>
        <v>1901073662417250</v>
      </c>
      <c r="AA2" s="1">
        <f>建筑各项能耗拆分!$B$18*建筑各项能耗拆分!AA243</f>
        <v>1941528504085120</v>
      </c>
      <c r="AB2" s="1">
        <f>建筑各项能耗拆分!$B$18*建筑各项能耗拆分!AB243</f>
        <v>1980202886393210</v>
      </c>
      <c r="AC2" s="1">
        <f>建筑各项能耗拆分!$B$18*建筑各项能耗拆分!AC243</f>
        <v>2017377714067460</v>
      </c>
      <c r="AD2" s="1">
        <f>建筑各项能耗拆分!$B$18*建筑各项能耗拆分!AD243</f>
        <v>2051211211411680</v>
      </c>
      <c r="AE2" s="1">
        <f>建筑各项能耗拆分!$B$18*建筑各项能耗拆分!AE243</f>
        <v>2083418877815170</v>
      </c>
      <c r="AF2" s="1">
        <f>建筑各项能耗拆分!$B$18*建筑各项能耗拆分!AF243</f>
        <v>2114186165460300</v>
      </c>
      <c r="AG2" s="1">
        <f>建筑各项能耗拆分!$B$18*建筑各项能耗拆分!AG243</f>
        <v>2143759805810170</v>
      </c>
      <c r="AH2" s="1">
        <f>建筑各项能耗拆分!$B$18*建筑各项能耗拆分!AH243</f>
        <v>2171887222453360</v>
      </c>
      <c r="AI2" s="1">
        <f>建筑各项能耗拆分!$B$18*建筑各项能耗拆分!AI243</f>
        <v>2192686589292880</v>
      </c>
      <c r="AJ2" s="1">
        <f>建筑各项能耗拆分!$B$18*建筑各项能耗拆分!AJ243</f>
        <v>2212036811311980</v>
      </c>
      <c r="AK2" s="1">
        <f>建筑各项能耗拆分!$B$18*建筑各项能耗拆分!AK243</f>
        <v>2229764323909170</v>
      </c>
      <c r="AL2" s="1">
        <f>建筑各项能耗拆分!$B$18*建筑各项能耗拆分!AL243</f>
        <v>2245850070673780</v>
      </c>
      <c r="AM2" s="1">
        <f>建筑各项能耗拆分!$B$18*建筑各项能耗拆分!AM243</f>
        <v>2260143478759350</v>
      </c>
      <c r="AN2" s="1">
        <f>建筑各项能耗拆分!$B$18*建筑各项能耗拆分!AN243</f>
        <v>2269846844908790</v>
      </c>
      <c r="AO2" s="1">
        <f>建筑各项能耗拆分!$B$18*建筑各项能耗拆分!AO243</f>
        <v>2277188954450330</v>
      </c>
      <c r="AP2" s="1">
        <f>建筑各项能耗拆分!$B$18*建筑各项能耗拆分!AP243</f>
        <v>2282135878913530</v>
      </c>
      <c r="AQ2" s="1">
        <f>建筑各项能耗拆分!$B$18*建筑各项能耗拆分!AQ243</f>
        <v>2284713760577820</v>
      </c>
      <c r="AR2" s="1">
        <f>建筑各项能耗拆分!$B$18*建筑各项能耗拆分!AR243</f>
        <v>2284923030381110</v>
      </c>
    </row>
    <row r="3" spans="1:44">
      <c r="A3" t="s">
        <v>1110</v>
      </c>
      <c r="B3" s="1">
        <f>建筑各项能耗拆分!$B$18*建筑各项能耗拆分!B244</f>
        <v>66626378943660</v>
      </c>
      <c r="C3" s="1">
        <f>建筑各项能耗拆分!$B$18*建筑各项能耗拆分!C244</f>
        <v>0</v>
      </c>
      <c r="D3" s="1">
        <f>建筑各项能耗拆分!$B$18*建筑各项能耗拆分!D244</f>
        <v>0</v>
      </c>
      <c r="E3" s="1">
        <f>建筑各项能耗拆分!$B$18*建筑各项能耗拆分!E244</f>
        <v>0</v>
      </c>
      <c r="F3" s="1">
        <f>建筑各项能耗拆分!$B$18*建筑各项能耗拆分!F244</f>
        <v>0</v>
      </c>
      <c r="G3" s="1">
        <f>建筑各项能耗拆分!$B$18*建筑各项能耗拆分!G244</f>
        <v>0</v>
      </c>
      <c r="H3" s="1">
        <f>建筑各项能耗拆分!$B$18*建筑各项能耗拆分!H244</f>
        <v>0</v>
      </c>
      <c r="I3" s="1">
        <f>建筑各项能耗拆分!$B$18*建筑各项能耗拆分!I244</f>
        <v>0</v>
      </c>
      <c r="J3" s="1">
        <f>建筑各项能耗拆分!$B$18*建筑各项能耗拆分!J244</f>
        <v>0</v>
      </c>
      <c r="K3" s="1">
        <f>建筑各项能耗拆分!$B$18*建筑各项能耗拆分!K244</f>
        <v>0</v>
      </c>
      <c r="L3" s="1">
        <f>建筑各项能耗拆分!$B$18*建筑各项能耗拆分!L244</f>
        <v>0</v>
      </c>
      <c r="M3" s="1">
        <f>建筑各项能耗拆分!$B$18*建筑各项能耗拆分!M244</f>
        <v>0</v>
      </c>
      <c r="N3" s="1">
        <f>建筑各项能耗拆分!$B$18*建筑各项能耗拆分!N244</f>
        <v>0</v>
      </c>
      <c r="O3" s="1">
        <f>建筑各项能耗拆分!$B$18*建筑各项能耗拆分!O244</f>
        <v>0</v>
      </c>
      <c r="P3" s="1">
        <f>建筑各项能耗拆分!$B$18*建筑各项能耗拆分!P244</f>
        <v>0</v>
      </c>
      <c r="Q3" s="1">
        <f>建筑各项能耗拆分!$B$18*建筑各项能耗拆分!Q244</f>
        <v>0</v>
      </c>
      <c r="R3" s="1">
        <f>建筑各项能耗拆分!$B$18*建筑各项能耗拆分!R244</f>
        <v>0</v>
      </c>
      <c r="S3" s="1">
        <f>建筑各项能耗拆分!$B$18*建筑各项能耗拆分!S244</f>
        <v>0</v>
      </c>
      <c r="T3" s="1">
        <f>建筑各项能耗拆分!$B$18*建筑各项能耗拆分!T244</f>
        <v>0</v>
      </c>
      <c r="U3" s="1">
        <f>建筑各项能耗拆分!$B$18*建筑各项能耗拆分!U244</f>
        <v>0</v>
      </c>
      <c r="V3" s="1">
        <f>建筑各项能耗拆分!$B$18*建筑各项能耗拆分!V244</f>
        <v>0</v>
      </c>
      <c r="W3" s="1">
        <f>建筑各项能耗拆分!$B$18*建筑各项能耗拆分!W244</f>
        <v>0</v>
      </c>
      <c r="X3" s="1">
        <f>建筑各项能耗拆分!$B$18*建筑各项能耗拆分!X244</f>
        <v>0</v>
      </c>
      <c r="Y3" s="1">
        <f>建筑各项能耗拆分!$B$18*建筑各项能耗拆分!Y244</f>
        <v>0</v>
      </c>
      <c r="Z3" s="1">
        <f>建筑各项能耗拆分!$B$18*建筑各项能耗拆分!Z244</f>
        <v>0</v>
      </c>
      <c r="AA3" s="1">
        <f>建筑各项能耗拆分!$B$18*建筑各项能耗拆分!AA244</f>
        <v>0</v>
      </c>
      <c r="AB3" s="1">
        <f>建筑各项能耗拆分!$B$18*建筑各项能耗拆分!AB244</f>
        <v>0</v>
      </c>
      <c r="AC3" s="1">
        <f>建筑各项能耗拆分!$B$18*建筑各项能耗拆分!AC244</f>
        <v>0</v>
      </c>
      <c r="AD3" s="1">
        <f>建筑各项能耗拆分!$B$18*建筑各项能耗拆分!AD244</f>
        <v>0</v>
      </c>
      <c r="AE3" s="1">
        <f>建筑各项能耗拆分!$B$18*建筑各项能耗拆分!AE244</f>
        <v>0</v>
      </c>
      <c r="AF3" s="1">
        <f>建筑各项能耗拆分!$B$18*建筑各项能耗拆分!AF244</f>
        <v>0</v>
      </c>
      <c r="AG3" s="1">
        <f>建筑各项能耗拆分!$B$18*建筑各项能耗拆分!AG244</f>
        <v>0</v>
      </c>
      <c r="AH3" s="1">
        <f>建筑各项能耗拆分!$B$18*建筑各项能耗拆分!AH244</f>
        <v>0</v>
      </c>
      <c r="AI3" s="1">
        <f>建筑各项能耗拆分!$B$18*建筑各项能耗拆分!AI244</f>
        <v>0</v>
      </c>
      <c r="AJ3" s="1">
        <f>建筑各项能耗拆分!$B$18*建筑各项能耗拆分!AJ244</f>
        <v>0</v>
      </c>
      <c r="AK3" s="1">
        <f>建筑各项能耗拆分!$B$18*建筑各项能耗拆分!AK244</f>
        <v>0</v>
      </c>
      <c r="AL3" s="1">
        <f>建筑各项能耗拆分!$B$18*建筑各项能耗拆分!AL244</f>
        <v>0</v>
      </c>
      <c r="AM3" s="1">
        <f>建筑各项能耗拆分!$B$18*建筑各项能耗拆分!AM244</f>
        <v>0</v>
      </c>
      <c r="AN3" s="1">
        <f>建筑各项能耗拆分!$B$18*建筑各项能耗拆分!AN244</f>
        <v>0</v>
      </c>
      <c r="AO3" s="1">
        <f>建筑各项能耗拆分!$B$18*建筑各项能耗拆分!AO244</f>
        <v>0</v>
      </c>
      <c r="AP3" s="1">
        <f>建筑各项能耗拆分!$B$18*建筑各项能耗拆分!AP244</f>
        <v>0</v>
      </c>
      <c r="AQ3" s="1">
        <f>建筑各项能耗拆分!$B$18*建筑各项能耗拆分!AQ244</f>
        <v>0</v>
      </c>
      <c r="AR3" s="1">
        <f>建筑各项能耗拆分!$B$18*建筑各项能耗拆分!AR244</f>
        <v>0</v>
      </c>
    </row>
    <row r="4" spans="1:44">
      <c r="A4" t="s">
        <v>1111</v>
      </c>
      <c r="B4" s="1">
        <f>建筑各项能耗拆分!$B$18*建筑各项能耗拆分!B245</f>
        <v>0</v>
      </c>
      <c r="C4" s="1">
        <f>建筑各项能耗拆分!$B$18*建筑各项能耗拆分!C245</f>
        <v>0</v>
      </c>
      <c r="D4" s="1">
        <f>建筑各项能耗拆分!$B$18*建筑各项能耗拆分!D245</f>
        <v>0</v>
      </c>
      <c r="E4" s="1">
        <f>建筑各项能耗拆分!$B$18*建筑各项能耗拆分!E245</f>
        <v>0</v>
      </c>
      <c r="F4" s="1">
        <f>建筑各项能耗拆分!$B$18*建筑各项能耗拆分!F245</f>
        <v>0</v>
      </c>
      <c r="G4" s="1">
        <f>建筑各项能耗拆分!$B$18*建筑各项能耗拆分!G245</f>
        <v>0</v>
      </c>
      <c r="H4" s="1">
        <f>建筑各项能耗拆分!$B$18*建筑各项能耗拆分!H245</f>
        <v>0</v>
      </c>
      <c r="I4" s="1">
        <f>建筑各项能耗拆分!$B$18*建筑各项能耗拆分!I245</f>
        <v>0</v>
      </c>
      <c r="J4" s="1">
        <f>建筑各项能耗拆分!$B$18*建筑各项能耗拆分!J245</f>
        <v>0</v>
      </c>
      <c r="K4" s="1">
        <f>建筑各项能耗拆分!$B$18*建筑各项能耗拆分!K245</f>
        <v>0</v>
      </c>
      <c r="L4" s="1">
        <f>建筑各项能耗拆分!$B$18*建筑各项能耗拆分!L245</f>
        <v>0</v>
      </c>
      <c r="M4" s="1">
        <f>建筑各项能耗拆分!$B$18*建筑各项能耗拆分!M245</f>
        <v>0</v>
      </c>
      <c r="N4" s="1">
        <f>建筑各项能耗拆分!$B$18*建筑各项能耗拆分!N245</f>
        <v>0</v>
      </c>
      <c r="O4" s="1">
        <f>建筑各项能耗拆分!$B$18*建筑各项能耗拆分!O245</f>
        <v>0</v>
      </c>
      <c r="P4" s="1">
        <f>建筑各项能耗拆分!$B$18*建筑各项能耗拆分!P245</f>
        <v>0</v>
      </c>
      <c r="Q4" s="1">
        <f>建筑各项能耗拆分!$B$18*建筑各项能耗拆分!Q245</f>
        <v>0</v>
      </c>
      <c r="R4" s="1">
        <f>建筑各项能耗拆分!$B$18*建筑各项能耗拆分!R245</f>
        <v>0</v>
      </c>
      <c r="S4" s="1">
        <f>建筑各项能耗拆分!$B$18*建筑各项能耗拆分!S245</f>
        <v>0</v>
      </c>
      <c r="T4" s="1">
        <f>建筑各项能耗拆分!$B$18*建筑各项能耗拆分!T245</f>
        <v>0</v>
      </c>
      <c r="U4" s="1">
        <f>建筑各项能耗拆分!$B$18*建筑各项能耗拆分!U245</f>
        <v>0</v>
      </c>
      <c r="V4" s="1">
        <f>建筑各项能耗拆分!$B$18*建筑各项能耗拆分!V245</f>
        <v>0</v>
      </c>
      <c r="W4" s="1">
        <f>建筑各项能耗拆分!$B$18*建筑各项能耗拆分!W245</f>
        <v>0</v>
      </c>
      <c r="X4" s="1">
        <f>建筑各项能耗拆分!$B$18*建筑各项能耗拆分!X245</f>
        <v>0</v>
      </c>
      <c r="Y4" s="1">
        <f>建筑各项能耗拆分!$B$18*建筑各项能耗拆分!Y245</f>
        <v>0</v>
      </c>
      <c r="Z4" s="1">
        <f>建筑各项能耗拆分!$B$18*建筑各项能耗拆分!Z245</f>
        <v>0</v>
      </c>
      <c r="AA4" s="1">
        <f>建筑各项能耗拆分!$B$18*建筑各项能耗拆分!AA245</f>
        <v>0</v>
      </c>
      <c r="AB4" s="1">
        <f>建筑各项能耗拆分!$B$18*建筑各项能耗拆分!AB245</f>
        <v>0</v>
      </c>
      <c r="AC4" s="1">
        <f>建筑各项能耗拆分!$B$18*建筑各项能耗拆分!AC245</f>
        <v>0</v>
      </c>
      <c r="AD4" s="1">
        <f>建筑各项能耗拆分!$B$18*建筑各项能耗拆分!AD245</f>
        <v>0</v>
      </c>
      <c r="AE4" s="1">
        <f>建筑各项能耗拆分!$B$18*建筑各项能耗拆分!AE245</f>
        <v>0</v>
      </c>
      <c r="AF4" s="1">
        <f>建筑各项能耗拆分!$B$18*建筑各项能耗拆分!AF245</f>
        <v>0</v>
      </c>
      <c r="AG4" s="1">
        <f>建筑各项能耗拆分!$B$18*建筑各项能耗拆分!AG245</f>
        <v>0</v>
      </c>
      <c r="AH4" s="1">
        <f>建筑各项能耗拆分!$B$18*建筑各项能耗拆分!AH245</f>
        <v>0</v>
      </c>
      <c r="AI4" s="1">
        <f>建筑各项能耗拆分!$B$18*建筑各项能耗拆分!AI245</f>
        <v>0</v>
      </c>
      <c r="AJ4" s="1">
        <f>建筑各项能耗拆分!$B$18*建筑各项能耗拆分!AJ245</f>
        <v>0</v>
      </c>
      <c r="AK4" s="1">
        <f>建筑各项能耗拆分!$B$18*建筑各项能耗拆分!AK245</f>
        <v>0</v>
      </c>
      <c r="AL4" s="1">
        <f>建筑各项能耗拆分!$B$18*建筑各项能耗拆分!AL245</f>
        <v>0</v>
      </c>
      <c r="AM4" s="1">
        <f>建筑各项能耗拆分!$B$18*建筑各项能耗拆分!AM245</f>
        <v>0</v>
      </c>
      <c r="AN4" s="1">
        <f>建筑各项能耗拆分!$B$18*建筑各项能耗拆分!AN245</f>
        <v>0</v>
      </c>
      <c r="AO4" s="1">
        <f>建筑各项能耗拆分!$B$18*建筑各项能耗拆分!AO245</f>
        <v>0</v>
      </c>
      <c r="AP4" s="1">
        <f>建筑各项能耗拆分!$B$18*建筑各项能耗拆分!AP245</f>
        <v>0</v>
      </c>
      <c r="AQ4" s="1">
        <f>建筑各项能耗拆分!$B$18*建筑各项能耗拆分!AQ245</f>
        <v>0</v>
      </c>
      <c r="AR4" s="1">
        <f>建筑各项能耗拆分!$B$18*建筑各项能耗拆分!AR245</f>
        <v>0</v>
      </c>
    </row>
    <row r="5" spans="1:44">
      <c r="A5" t="s">
        <v>1112</v>
      </c>
      <c r="B5" s="1">
        <f>建筑各项能耗拆分!$B$18*建筑各项能耗拆分!B246</f>
        <v>29847824022689.5</v>
      </c>
      <c r="C5" s="1">
        <f>建筑各项能耗拆分!$B$18*建筑各项能耗拆分!C246</f>
        <v>0</v>
      </c>
      <c r="D5" s="1">
        <f>建筑各项能耗拆分!$B$18*建筑各项能耗拆分!D246</f>
        <v>0</v>
      </c>
      <c r="E5" s="1">
        <f>建筑各项能耗拆分!$B$18*建筑各项能耗拆分!E246</f>
        <v>0</v>
      </c>
      <c r="F5" s="1">
        <f>建筑各项能耗拆分!$B$18*建筑各项能耗拆分!F246</f>
        <v>0</v>
      </c>
      <c r="G5" s="1">
        <f>建筑各项能耗拆分!$B$18*建筑各项能耗拆分!G246</f>
        <v>0</v>
      </c>
      <c r="H5" s="1">
        <f>建筑各项能耗拆分!$B$18*建筑各项能耗拆分!H246</f>
        <v>0</v>
      </c>
      <c r="I5" s="1">
        <f>建筑各项能耗拆分!$B$18*建筑各项能耗拆分!I246</f>
        <v>0</v>
      </c>
      <c r="J5" s="1">
        <f>建筑各项能耗拆分!$B$18*建筑各项能耗拆分!J246</f>
        <v>0</v>
      </c>
      <c r="K5" s="1">
        <f>建筑各项能耗拆分!$B$18*建筑各项能耗拆分!K246</f>
        <v>0</v>
      </c>
      <c r="L5" s="1">
        <f>建筑各项能耗拆分!$B$18*建筑各项能耗拆分!L246</f>
        <v>0</v>
      </c>
      <c r="M5" s="1">
        <f>建筑各项能耗拆分!$B$18*建筑各项能耗拆分!M246</f>
        <v>0</v>
      </c>
      <c r="N5" s="1">
        <f>建筑各项能耗拆分!$B$18*建筑各项能耗拆分!N246</f>
        <v>0</v>
      </c>
      <c r="O5" s="1">
        <f>建筑各项能耗拆分!$B$18*建筑各项能耗拆分!O246</f>
        <v>0</v>
      </c>
      <c r="P5" s="1">
        <f>建筑各项能耗拆分!$B$18*建筑各项能耗拆分!P246</f>
        <v>0</v>
      </c>
      <c r="Q5" s="1">
        <f>建筑各项能耗拆分!$B$18*建筑各项能耗拆分!Q246</f>
        <v>0</v>
      </c>
      <c r="R5" s="1">
        <f>建筑各项能耗拆分!$B$18*建筑各项能耗拆分!R246</f>
        <v>0</v>
      </c>
      <c r="S5" s="1">
        <f>建筑各项能耗拆分!$B$18*建筑各项能耗拆分!S246</f>
        <v>0</v>
      </c>
      <c r="T5" s="1">
        <f>建筑各项能耗拆分!$B$18*建筑各项能耗拆分!T246</f>
        <v>0</v>
      </c>
      <c r="U5" s="1">
        <f>建筑各项能耗拆分!$B$18*建筑各项能耗拆分!U246</f>
        <v>0</v>
      </c>
      <c r="V5" s="1">
        <f>建筑各项能耗拆分!$B$18*建筑各项能耗拆分!V246</f>
        <v>0</v>
      </c>
      <c r="W5" s="1">
        <f>建筑各项能耗拆分!$B$18*建筑各项能耗拆分!W246</f>
        <v>0</v>
      </c>
      <c r="X5" s="1">
        <f>建筑各项能耗拆分!$B$18*建筑各项能耗拆分!X246</f>
        <v>0</v>
      </c>
      <c r="Y5" s="1">
        <f>建筑各项能耗拆分!$B$18*建筑各项能耗拆分!Y246</f>
        <v>0</v>
      </c>
      <c r="Z5" s="1">
        <f>建筑各项能耗拆分!$B$18*建筑各项能耗拆分!Z246</f>
        <v>0</v>
      </c>
      <c r="AA5" s="1">
        <f>建筑各项能耗拆分!$B$18*建筑各项能耗拆分!AA246</f>
        <v>0</v>
      </c>
      <c r="AB5" s="1">
        <f>建筑各项能耗拆分!$B$18*建筑各项能耗拆分!AB246</f>
        <v>0</v>
      </c>
      <c r="AC5" s="1">
        <f>建筑各项能耗拆分!$B$18*建筑各项能耗拆分!AC246</f>
        <v>0</v>
      </c>
      <c r="AD5" s="1">
        <f>建筑各项能耗拆分!$B$18*建筑各项能耗拆分!AD246</f>
        <v>0</v>
      </c>
      <c r="AE5" s="1">
        <f>建筑各项能耗拆分!$B$18*建筑各项能耗拆分!AE246</f>
        <v>0</v>
      </c>
      <c r="AF5" s="1">
        <f>建筑各项能耗拆分!$B$18*建筑各项能耗拆分!AF246</f>
        <v>0</v>
      </c>
      <c r="AG5" s="1">
        <f>建筑各项能耗拆分!$B$18*建筑各项能耗拆分!AG246</f>
        <v>0</v>
      </c>
      <c r="AH5" s="1">
        <f>建筑各项能耗拆分!$B$18*建筑各项能耗拆分!AH246</f>
        <v>0</v>
      </c>
      <c r="AI5" s="1">
        <f>建筑各项能耗拆分!$B$18*建筑各项能耗拆分!AI246</f>
        <v>0</v>
      </c>
      <c r="AJ5" s="1">
        <f>建筑各项能耗拆分!$B$18*建筑各项能耗拆分!AJ246</f>
        <v>0</v>
      </c>
      <c r="AK5" s="1">
        <f>建筑各项能耗拆分!$B$18*建筑各项能耗拆分!AK246</f>
        <v>0</v>
      </c>
      <c r="AL5" s="1">
        <f>建筑各项能耗拆分!$B$18*建筑各项能耗拆分!AL246</f>
        <v>0</v>
      </c>
      <c r="AM5" s="1">
        <f>建筑各项能耗拆分!$B$18*建筑各项能耗拆分!AM246</f>
        <v>0</v>
      </c>
      <c r="AN5" s="1">
        <f>建筑各项能耗拆分!$B$18*建筑各项能耗拆分!AN246</f>
        <v>0</v>
      </c>
      <c r="AO5" s="1">
        <f>建筑各项能耗拆分!$B$18*建筑各项能耗拆分!AO246</f>
        <v>0</v>
      </c>
      <c r="AP5" s="1">
        <f>建筑各项能耗拆分!$B$18*建筑各项能耗拆分!AP246</f>
        <v>0</v>
      </c>
      <c r="AQ5" s="1">
        <f>建筑各项能耗拆分!$B$18*建筑各项能耗拆分!AQ246</f>
        <v>0</v>
      </c>
      <c r="AR5" s="1">
        <f>建筑各项能耗拆分!$B$18*建筑各项能耗拆分!AR246</f>
        <v>0</v>
      </c>
    </row>
    <row r="6" spans="1:44">
      <c r="A6" t="s">
        <v>1113</v>
      </c>
      <c r="B6" s="1">
        <f>建筑各项能耗拆分!$B$18*建筑各项能耗拆分!B247</f>
        <v>0</v>
      </c>
      <c r="C6" s="1">
        <f>建筑各项能耗拆分!$B$18*建筑各项能耗拆分!C247</f>
        <v>0</v>
      </c>
      <c r="D6" s="1">
        <f>建筑各项能耗拆分!$B$18*建筑各项能耗拆分!D247</f>
        <v>0</v>
      </c>
      <c r="E6" s="1">
        <f>建筑各项能耗拆分!$B$18*建筑各项能耗拆分!E247</f>
        <v>0</v>
      </c>
      <c r="F6" s="1">
        <f>建筑各项能耗拆分!$B$18*建筑各项能耗拆分!F247</f>
        <v>0</v>
      </c>
      <c r="G6" s="1">
        <f>建筑各项能耗拆分!$B$18*建筑各项能耗拆分!G247</f>
        <v>0</v>
      </c>
      <c r="H6" s="1">
        <f>建筑各项能耗拆分!$B$18*建筑各项能耗拆分!H247</f>
        <v>0</v>
      </c>
      <c r="I6" s="1">
        <f>建筑各项能耗拆分!$B$18*建筑各项能耗拆分!I247</f>
        <v>0</v>
      </c>
      <c r="J6" s="1">
        <f>建筑各项能耗拆分!$B$18*建筑各项能耗拆分!J247</f>
        <v>0</v>
      </c>
      <c r="K6" s="1">
        <f>建筑各项能耗拆分!$B$18*建筑各项能耗拆分!K247</f>
        <v>0</v>
      </c>
      <c r="L6" s="1">
        <f>建筑各项能耗拆分!$B$18*建筑各项能耗拆分!L247</f>
        <v>0</v>
      </c>
      <c r="M6" s="1">
        <f>建筑各项能耗拆分!$B$18*建筑各项能耗拆分!M247</f>
        <v>0</v>
      </c>
      <c r="N6" s="1">
        <f>建筑各项能耗拆分!$B$18*建筑各项能耗拆分!N247</f>
        <v>0</v>
      </c>
      <c r="O6" s="1">
        <f>建筑各项能耗拆分!$B$18*建筑各项能耗拆分!O247</f>
        <v>0</v>
      </c>
      <c r="P6" s="1">
        <f>建筑各项能耗拆分!$B$18*建筑各项能耗拆分!P247</f>
        <v>0</v>
      </c>
      <c r="Q6" s="1">
        <f>建筑各项能耗拆分!$B$18*建筑各项能耗拆分!Q247</f>
        <v>0</v>
      </c>
      <c r="R6" s="1">
        <f>建筑各项能耗拆分!$B$18*建筑各项能耗拆分!R247</f>
        <v>0</v>
      </c>
      <c r="S6" s="1">
        <f>建筑各项能耗拆分!$B$18*建筑各项能耗拆分!S247</f>
        <v>0</v>
      </c>
      <c r="T6" s="1">
        <f>建筑各项能耗拆分!$B$18*建筑各项能耗拆分!T247</f>
        <v>0</v>
      </c>
      <c r="U6" s="1">
        <f>建筑各项能耗拆分!$B$18*建筑各项能耗拆分!U247</f>
        <v>0</v>
      </c>
      <c r="V6" s="1">
        <f>建筑各项能耗拆分!$B$18*建筑各项能耗拆分!V247</f>
        <v>0</v>
      </c>
      <c r="W6" s="1">
        <f>建筑各项能耗拆分!$B$18*建筑各项能耗拆分!W247</f>
        <v>0</v>
      </c>
      <c r="X6" s="1">
        <f>建筑各项能耗拆分!$B$18*建筑各项能耗拆分!X247</f>
        <v>0</v>
      </c>
      <c r="Y6" s="1">
        <f>建筑各项能耗拆分!$B$18*建筑各项能耗拆分!Y247</f>
        <v>0</v>
      </c>
      <c r="Z6" s="1">
        <f>建筑各项能耗拆分!$B$18*建筑各项能耗拆分!Z247</f>
        <v>0</v>
      </c>
      <c r="AA6" s="1">
        <f>建筑各项能耗拆分!$B$18*建筑各项能耗拆分!AA247</f>
        <v>0</v>
      </c>
      <c r="AB6" s="1">
        <f>建筑各项能耗拆分!$B$18*建筑各项能耗拆分!AB247</f>
        <v>0</v>
      </c>
      <c r="AC6" s="1">
        <f>建筑各项能耗拆分!$B$18*建筑各项能耗拆分!AC247</f>
        <v>0</v>
      </c>
      <c r="AD6" s="1">
        <f>建筑各项能耗拆分!$B$18*建筑各项能耗拆分!AD247</f>
        <v>0</v>
      </c>
      <c r="AE6" s="1">
        <f>建筑各项能耗拆分!$B$18*建筑各项能耗拆分!AE247</f>
        <v>0</v>
      </c>
      <c r="AF6" s="1">
        <f>建筑各项能耗拆分!$B$18*建筑各项能耗拆分!AF247</f>
        <v>0</v>
      </c>
      <c r="AG6" s="1">
        <f>建筑各项能耗拆分!$B$18*建筑各项能耗拆分!AG247</f>
        <v>0</v>
      </c>
      <c r="AH6" s="1">
        <f>建筑各项能耗拆分!$B$18*建筑各项能耗拆分!AH247</f>
        <v>0</v>
      </c>
      <c r="AI6" s="1">
        <f>建筑各项能耗拆分!$B$18*建筑各项能耗拆分!AI247</f>
        <v>0</v>
      </c>
      <c r="AJ6" s="1">
        <f>建筑各项能耗拆分!$B$18*建筑各项能耗拆分!AJ247</f>
        <v>0</v>
      </c>
      <c r="AK6" s="1">
        <f>建筑各项能耗拆分!$B$18*建筑各项能耗拆分!AK247</f>
        <v>0</v>
      </c>
      <c r="AL6" s="1">
        <f>建筑各项能耗拆分!$B$18*建筑各项能耗拆分!AL247</f>
        <v>0</v>
      </c>
      <c r="AM6" s="1">
        <f>建筑各项能耗拆分!$B$18*建筑各项能耗拆分!AM247</f>
        <v>0</v>
      </c>
      <c r="AN6" s="1">
        <f>建筑各项能耗拆分!$B$18*建筑各项能耗拆分!AN247</f>
        <v>0</v>
      </c>
      <c r="AO6" s="1">
        <f>建筑各项能耗拆分!$B$18*建筑各项能耗拆分!AO247</f>
        <v>0</v>
      </c>
      <c r="AP6" s="1">
        <f>建筑各项能耗拆分!$B$18*建筑各项能耗拆分!AP247</f>
        <v>0</v>
      </c>
      <c r="AQ6" s="1">
        <f>建筑各项能耗拆分!$B$18*建筑各项能耗拆分!AQ247</f>
        <v>0</v>
      </c>
      <c r="AR6" s="1">
        <f>建筑各项能耗拆分!$B$18*建筑各项能耗拆分!AR247</f>
        <v>0</v>
      </c>
    </row>
    <row r="7" spans="1:44">
      <c r="A7" t="s">
        <v>1114</v>
      </c>
      <c r="B7" s="1">
        <f>建筑各项能耗拆分!$B$18*建筑各项能耗拆分!B248</f>
        <v>0</v>
      </c>
      <c r="C7" s="1">
        <f>建筑各项能耗拆分!$B$18*建筑各项能耗拆分!C248</f>
        <v>0</v>
      </c>
      <c r="D7" s="1">
        <f>建筑各项能耗拆分!$B$18*建筑各项能耗拆分!D248</f>
        <v>0</v>
      </c>
      <c r="E7" s="1">
        <f>建筑各项能耗拆分!$B$18*建筑各项能耗拆分!E248</f>
        <v>0</v>
      </c>
      <c r="F7" s="1">
        <f>建筑各项能耗拆分!$B$18*建筑各项能耗拆分!F248</f>
        <v>0</v>
      </c>
      <c r="G7" s="1">
        <f>建筑各项能耗拆分!$B$18*建筑各项能耗拆分!G248</f>
        <v>0</v>
      </c>
      <c r="H7" s="1">
        <f>建筑各项能耗拆分!$B$18*建筑各项能耗拆分!H248</f>
        <v>0</v>
      </c>
      <c r="I7" s="1">
        <f>建筑各项能耗拆分!$B$18*建筑各项能耗拆分!I248</f>
        <v>0</v>
      </c>
      <c r="J7" s="1">
        <f>建筑各项能耗拆分!$B$18*建筑各项能耗拆分!J248</f>
        <v>0</v>
      </c>
      <c r="K7" s="1">
        <f>建筑各项能耗拆分!$B$18*建筑各项能耗拆分!K248</f>
        <v>0</v>
      </c>
      <c r="L7" s="1">
        <f>建筑各项能耗拆分!$B$18*建筑各项能耗拆分!L248</f>
        <v>0</v>
      </c>
      <c r="M7" s="1">
        <f>建筑各项能耗拆分!$B$18*建筑各项能耗拆分!M248</f>
        <v>0</v>
      </c>
      <c r="N7" s="1">
        <f>建筑各项能耗拆分!$B$18*建筑各项能耗拆分!N248</f>
        <v>0</v>
      </c>
      <c r="O7" s="1">
        <f>建筑各项能耗拆分!$B$18*建筑各项能耗拆分!O248</f>
        <v>0</v>
      </c>
      <c r="P7" s="1">
        <f>建筑各项能耗拆分!$B$18*建筑各项能耗拆分!P248</f>
        <v>0</v>
      </c>
      <c r="Q7" s="1">
        <f>建筑各项能耗拆分!$B$18*建筑各项能耗拆分!Q248</f>
        <v>0</v>
      </c>
      <c r="R7" s="1">
        <f>建筑各项能耗拆分!$B$18*建筑各项能耗拆分!R248</f>
        <v>0</v>
      </c>
      <c r="S7" s="1">
        <f>建筑各项能耗拆分!$B$18*建筑各项能耗拆分!S248</f>
        <v>0</v>
      </c>
      <c r="T7" s="1">
        <f>建筑各项能耗拆分!$B$18*建筑各项能耗拆分!T248</f>
        <v>0</v>
      </c>
      <c r="U7" s="1">
        <f>建筑各项能耗拆分!$B$18*建筑各项能耗拆分!U248</f>
        <v>0</v>
      </c>
      <c r="V7" s="1">
        <f>建筑各项能耗拆分!$B$18*建筑各项能耗拆分!V248</f>
        <v>0</v>
      </c>
      <c r="W7" s="1">
        <f>建筑各项能耗拆分!$B$18*建筑各项能耗拆分!W248</f>
        <v>0</v>
      </c>
      <c r="X7" s="1">
        <f>建筑各项能耗拆分!$B$18*建筑各项能耗拆分!X248</f>
        <v>0</v>
      </c>
      <c r="Y7" s="1">
        <f>建筑各项能耗拆分!$B$18*建筑各项能耗拆分!Y248</f>
        <v>0</v>
      </c>
      <c r="Z7" s="1">
        <f>建筑各项能耗拆分!$B$18*建筑各项能耗拆分!Z248</f>
        <v>0</v>
      </c>
      <c r="AA7" s="1">
        <f>建筑各项能耗拆分!$B$18*建筑各项能耗拆分!AA248</f>
        <v>0</v>
      </c>
      <c r="AB7" s="1">
        <f>建筑各项能耗拆分!$B$18*建筑各项能耗拆分!AB248</f>
        <v>0</v>
      </c>
      <c r="AC7" s="1">
        <f>建筑各项能耗拆分!$B$18*建筑各项能耗拆分!AC248</f>
        <v>0</v>
      </c>
      <c r="AD7" s="1">
        <f>建筑各项能耗拆分!$B$18*建筑各项能耗拆分!AD248</f>
        <v>0</v>
      </c>
      <c r="AE7" s="1">
        <f>建筑各项能耗拆分!$B$18*建筑各项能耗拆分!AE248</f>
        <v>0</v>
      </c>
      <c r="AF7" s="1">
        <f>建筑各项能耗拆分!$B$18*建筑各项能耗拆分!AF248</f>
        <v>0</v>
      </c>
      <c r="AG7" s="1">
        <f>建筑各项能耗拆分!$B$18*建筑各项能耗拆分!AG248</f>
        <v>0</v>
      </c>
      <c r="AH7" s="1">
        <f>建筑各项能耗拆分!$B$18*建筑各项能耗拆分!AH248</f>
        <v>0</v>
      </c>
      <c r="AI7" s="1">
        <f>建筑各项能耗拆分!$B$18*建筑各项能耗拆分!AI248</f>
        <v>0</v>
      </c>
      <c r="AJ7" s="1">
        <f>建筑各项能耗拆分!$B$18*建筑各项能耗拆分!AJ248</f>
        <v>0</v>
      </c>
      <c r="AK7" s="1">
        <f>建筑各项能耗拆分!$B$18*建筑各项能耗拆分!AK248</f>
        <v>0</v>
      </c>
      <c r="AL7" s="1">
        <f>建筑各项能耗拆分!$B$18*建筑各项能耗拆分!AL248</f>
        <v>0</v>
      </c>
      <c r="AM7" s="1">
        <f>建筑各项能耗拆分!$B$18*建筑各项能耗拆分!AM248</f>
        <v>0</v>
      </c>
      <c r="AN7" s="1">
        <f>建筑各项能耗拆分!$B$18*建筑各项能耗拆分!AN248</f>
        <v>0</v>
      </c>
      <c r="AO7" s="1">
        <f>建筑各项能耗拆分!$B$18*建筑各项能耗拆分!AO248</f>
        <v>0</v>
      </c>
      <c r="AP7" s="1">
        <f>建筑各项能耗拆分!$B$18*建筑各项能耗拆分!AP248</f>
        <v>0</v>
      </c>
      <c r="AQ7" s="1">
        <f>建筑各项能耗拆分!$B$18*建筑各项能耗拆分!AQ248</f>
        <v>0</v>
      </c>
      <c r="AR7" s="1">
        <f>建筑各项能耗拆分!$B$18*建筑各项能耗拆分!AR248</f>
        <v>0</v>
      </c>
    </row>
    <row r="8" spans="1:44">
      <c r="A8" t="s">
        <v>1115</v>
      </c>
      <c r="B8" s="1">
        <f>建筑各项能耗拆分!$B$18*建筑各项能耗拆分!B249</f>
        <v>0</v>
      </c>
      <c r="C8" s="1">
        <f>建筑各项能耗拆分!$B$18*建筑各项能耗拆分!C249</f>
        <v>0</v>
      </c>
      <c r="D8" s="1">
        <f>建筑各项能耗拆分!$B$18*建筑各项能耗拆分!D249</f>
        <v>0</v>
      </c>
      <c r="E8" s="1">
        <f>建筑各项能耗拆分!$B$18*建筑各项能耗拆分!E249</f>
        <v>0</v>
      </c>
      <c r="F8" s="1">
        <f>建筑各项能耗拆分!$B$18*建筑各项能耗拆分!F249</f>
        <v>0</v>
      </c>
      <c r="G8" s="1">
        <f>建筑各项能耗拆分!$B$18*建筑各项能耗拆分!G249</f>
        <v>0</v>
      </c>
      <c r="H8" s="1">
        <f>建筑各项能耗拆分!$B$18*建筑各项能耗拆分!H249</f>
        <v>0</v>
      </c>
      <c r="I8" s="1">
        <f>建筑各项能耗拆分!$B$18*建筑各项能耗拆分!I249</f>
        <v>0</v>
      </c>
      <c r="J8" s="1">
        <f>建筑各项能耗拆分!$B$18*建筑各项能耗拆分!J249</f>
        <v>0</v>
      </c>
      <c r="K8" s="1">
        <f>建筑各项能耗拆分!$B$18*建筑各项能耗拆分!K249</f>
        <v>0</v>
      </c>
      <c r="L8" s="1">
        <f>建筑各项能耗拆分!$B$18*建筑各项能耗拆分!L249</f>
        <v>0</v>
      </c>
      <c r="M8" s="1">
        <f>建筑各项能耗拆分!$B$18*建筑各项能耗拆分!M249</f>
        <v>0</v>
      </c>
      <c r="N8" s="1">
        <f>建筑各项能耗拆分!$B$18*建筑各项能耗拆分!N249</f>
        <v>0</v>
      </c>
      <c r="O8" s="1">
        <f>建筑各项能耗拆分!$B$18*建筑各项能耗拆分!O249</f>
        <v>0</v>
      </c>
      <c r="P8" s="1">
        <f>建筑各项能耗拆分!$B$18*建筑各项能耗拆分!P249</f>
        <v>0</v>
      </c>
      <c r="Q8" s="1">
        <f>建筑各项能耗拆分!$B$18*建筑各项能耗拆分!Q249</f>
        <v>0</v>
      </c>
      <c r="R8" s="1">
        <f>建筑各项能耗拆分!$B$18*建筑各项能耗拆分!R249</f>
        <v>0</v>
      </c>
      <c r="S8" s="1">
        <f>建筑各项能耗拆分!$B$18*建筑各项能耗拆分!S249</f>
        <v>0</v>
      </c>
      <c r="T8" s="1">
        <f>建筑各项能耗拆分!$B$18*建筑各项能耗拆分!T249</f>
        <v>0</v>
      </c>
      <c r="U8" s="1">
        <f>建筑各项能耗拆分!$B$18*建筑各项能耗拆分!U249</f>
        <v>0</v>
      </c>
      <c r="V8" s="1">
        <f>建筑各项能耗拆分!$B$18*建筑各项能耗拆分!V249</f>
        <v>0</v>
      </c>
      <c r="W8" s="1">
        <f>建筑各项能耗拆分!$B$18*建筑各项能耗拆分!W249</f>
        <v>0</v>
      </c>
      <c r="X8" s="1">
        <f>建筑各项能耗拆分!$B$18*建筑各项能耗拆分!X249</f>
        <v>0</v>
      </c>
      <c r="Y8" s="1">
        <f>建筑各项能耗拆分!$B$18*建筑各项能耗拆分!Y249</f>
        <v>0</v>
      </c>
      <c r="Z8" s="1">
        <f>建筑各项能耗拆分!$B$18*建筑各项能耗拆分!Z249</f>
        <v>0</v>
      </c>
      <c r="AA8" s="1">
        <f>建筑各项能耗拆分!$B$18*建筑各项能耗拆分!AA249</f>
        <v>0</v>
      </c>
      <c r="AB8" s="1">
        <f>建筑各项能耗拆分!$B$18*建筑各项能耗拆分!AB249</f>
        <v>0</v>
      </c>
      <c r="AC8" s="1">
        <f>建筑各项能耗拆分!$B$18*建筑各项能耗拆分!AC249</f>
        <v>0</v>
      </c>
      <c r="AD8" s="1">
        <f>建筑各项能耗拆分!$B$18*建筑各项能耗拆分!AD249</f>
        <v>0</v>
      </c>
      <c r="AE8" s="1">
        <f>建筑各项能耗拆分!$B$18*建筑各项能耗拆分!AE249</f>
        <v>0</v>
      </c>
      <c r="AF8" s="1">
        <f>建筑各项能耗拆分!$B$18*建筑各项能耗拆分!AF249</f>
        <v>0</v>
      </c>
      <c r="AG8" s="1">
        <f>建筑各项能耗拆分!$B$18*建筑各项能耗拆分!AG249</f>
        <v>0</v>
      </c>
      <c r="AH8" s="1">
        <f>建筑各项能耗拆分!$B$18*建筑各项能耗拆分!AH249</f>
        <v>0</v>
      </c>
      <c r="AI8" s="1">
        <f>建筑各项能耗拆分!$B$18*建筑各项能耗拆分!AI249</f>
        <v>0</v>
      </c>
      <c r="AJ8" s="1">
        <f>建筑各项能耗拆分!$B$18*建筑各项能耗拆分!AJ249</f>
        <v>0</v>
      </c>
      <c r="AK8" s="1">
        <f>建筑各项能耗拆分!$B$18*建筑各项能耗拆分!AK249</f>
        <v>0</v>
      </c>
      <c r="AL8" s="1">
        <f>建筑各项能耗拆分!$B$18*建筑各项能耗拆分!AL249</f>
        <v>0</v>
      </c>
      <c r="AM8" s="1">
        <f>建筑各项能耗拆分!$B$18*建筑各项能耗拆分!AM249</f>
        <v>0</v>
      </c>
      <c r="AN8" s="1">
        <f>建筑各项能耗拆分!$B$18*建筑各项能耗拆分!AN249</f>
        <v>0</v>
      </c>
      <c r="AO8" s="1">
        <f>建筑各项能耗拆分!$B$18*建筑各项能耗拆分!AO249</f>
        <v>0</v>
      </c>
      <c r="AP8" s="1">
        <f>建筑各项能耗拆分!$B$18*建筑各项能耗拆分!AP249</f>
        <v>0</v>
      </c>
      <c r="AQ8" s="1">
        <f>建筑各项能耗拆分!$B$18*建筑各项能耗拆分!AQ249</f>
        <v>0</v>
      </c>
      <c r="AR8" s="1">
        <f>建筑各项能耗拆分!$B$18*建筑各项能耗拆分!AR249</f>
        <v>0</v>
      </c>
    </row>
    <row r="9" spans="1:44">
      <c r="A9" t="s">
        <v>1116</v>
      </c>
      <c r="B9" s="1">
        <f>建筑各项能耗拆分!$B$18*建筑各项能耗拆分!B250</f>
        <v>0</v>
      </c>
      <c r="C9" s="1">
        <f>建筑各项能耗拆分!$B$18*建筑各项能耗拆分!C250</f>
        <v>0</v>
      </c>
      <c r="D9" s="1">
        <f>建筑各项能耗拆分!$B$18*建筑各项能耗拆分!D250</f>
        <v>0</v>
      </c>
      <c r="E9" s="1">
        <f>建筑各项能耗拆分!$B$18*建筑各项能耗拆分!E250</f>
        <v>0</v>
      </c>
      <c r="F9" s="1">
        <f>建筑各项能耗拆分!$B$18*建筑各项能耗拆分!F250</f>
        <v>0</v>
      </c>
      <c r="G9" s="1">
        <f>建筑各项能耗拆分!$B$18*建筑各项能耗拆分!G250</f>
        <v>0</v>
      </c>
      <c r="H9" s="1">
        <f>建筑各项能耗拆分!$B$18*建筑各项能耗拆分!H250</f>
        <v>0</v>
      </c>
      <c r="I9" s="1">
        <f>建筑各项能耗拆分!$B$18*建筑各项能耗拆分!I250</f>
        <v>0</v>
      </c>
      <c r="J9" s="1">
        <f>建筑各项能耗拆分!$B$18*建筑各项能耗拆分!J250</f>
        <v>0</v>
      </c>
      <c r="K9" s="1">
        <f>建筑各项能耗拆分!$B$18*建筑各项能耗拆分!K250</f>
        <v>0</v>
      </c>
      <c r="L9" s="1">
        <f>建筑各项能耗拆分!$B$18*建筑各项能耗拆分!L250</f>
        <v>0</v>
      </c>
      <c r="M9" s="1">
        <f>建筑各项能耗拆分!$B$18*建筑各项能耗拆分!M250</f>
        <v>0</v>
      </c>
      <c r="N9" s="1">
        <f>建筑各项能耗拆分!$B$18*建筑各项能耗拆分!N250</f>
        <v>0</v>
      </c>
      <c r="O9" s="1">
        <f>建筑各项能耗拆分!$B$18*建筑各项能耗拆分!O250</f>
        <v>0</v>
      </c>
      <c r="P9" s="1">
        <f>建筑各项能耗拆分!$B$18*建筑各项能耗拆分!P250</f>
        <v>0</v>
      </c>
      <c r="Q9" s="1">
        <f>建筑各项能耗拆分!$B$18*建筑各项能耗拆分!Q250</f>
        <v>0</v>
      </c>
      <c r="R9" s="1">
        <f>建筑各项能耗拆分!$B$18*建筑各项能耗拆分!R250</f>
        <v>0</v>
      </c>
      <c r="S9" s="1">
        <f>建筑各项能耗拆分!$B$18*建筑各项能耗拆分!S250</f>
        <v>0</v>
      </c>
      <c r="T9" s="1">
        <f>建筑各项能耗拆分!$B$18*建筑各项能耗拆分!T250</f>
        <v>0</v>
      </c>
      <c r="U9" s="1">
        <f>建筑各项能耗拆分!$B$18*建筑各项能耗拆分!U250</f>
        <v>0</v>
      </c>
      <c r="V9" s="1">
        <f>建筑各项能耗拆分!$B$18*建筑各项能耗拆分!V250</f>
        <v>0</v>
      </c>
      <c r="W9" s="1">
        <f>建筑各项能耗拆分!$B$18*建筑各项能耗拆分!W250</f>
        <v>0</v>
      </c>
      <c r="X9" s="1">
        <f>建筑各项能耗拆分!$B$18*建筑各项能耗拆分!X250</f>
        <v>0</v>
      </c>
      <c r="Y9" s="1">
        <f>建筑各项能耗拆分!$B$18*建筑各项能耗拆分!Y250</f>
        <v>0</v>
      </c>
      <c r="Z9" s="1">
        <f>建筑各项能耗拆分!$B$18*建筑各项能耗拆分!Z250</f>
        <v>0</v>
      </c>
      <c r="AA9" s="1">
        <f>建筑各项能耗拆分!$B$18*建筑各项能耗拆分!AA250</f>
        <v>0</v>
      </c>
      <c r="AB9" s="1">
        <f>建筑各项能耗拆分!$B$18*建筑各项能耗拆分!AB250</f>
        <v>0</v>
      </c>
      <c r="AC9" s="1">
        <f>建筑各项能耗拆分!$B$18*建筑各项能耗拆分!AC250</f>
        <v>0</v>
      </c>
      <c r="AD9" s="1">
        <f>建筑各项能耗拆分!$B$18*建筑各项能耗拆分!AD250</f>
        <v>0</v>
      </c>
      <c r="AE9" s="1">
        <f>建筑各项能耗拆分!$B$18*建筑各项能耗拆分!AE250</f>
        <v>0</v>
      </c>
      <c r="AF9" s="1">
        <f>建筑各项能耗拆分!$B$18*建筑各项能耗拆分!AF250</f>
        <v>0</v>
      </c>
      <c r="AG9" s="1">
        <f>建筑各项能耗拆分!$B$18*建筑各项能耗拆分!AG250</f>
        <v>0</v>
      </c>
      <c r="AH9" s="1">
        <f>建筑各项能耗拆分!$B$18*建筑各项能耗拆分!AH250</f>
        <v>0</v>
      </c>
      <c r="AI9" s="1">
        <f>建筑各项能耗拆分!$B$18*建筑各项能耗拆分!AI250</f>
        <v>0</v>
      </c>
      <c r="AJ9" s="1">
        <f>建筑各项能耗拆分!$B$18*建筑各项能耗拆分!AJ250</f>
        <v>0</v>
      </c>
      <c r="AK9" s="1">
        <f>建筑各项能耗拆分!$B$18*建筑各项能耗拆分!AK250</f>
        <v>0</v>
      </c>
      <c r="AL9" s="1">
        <f>建筑各项能耗拆分!$B$18*建筑各项能耗拆分!AL250</f>
        <v>0</v>
      </c>
      <c r="AM9" s="1">
        <f>建筑各项能耗拆分!$B$18*建筑各项能耗拆分!AM250</f>
        <v>0</v>
      </c>
      <c r="AN9" s="1">
        <f>建筑各项能耗拆分!$B$18*建筑各项能耗拆分!AN250</f>
        <v>0</v>
      </c>
      <c r="AO9" s="1">
        <f>建筑各项能耗拆分!$B$18*建筑各项能耗拆分!AO250</f>
        <v>0</v>
      </c>
      <c r="AP9" s="1">
        <f>建筑各项能耗拆分!$B$18*建筑各项能耗拆分!AP250</f>
        <v>0</v>
      </c>
      <c r="AQ9" s="1">
        <f>建筑各项能耗拆分!$B$18*建筑各项能耗拆分!AQ250</f>
        <v>0</v>
      </c>
      <c r="AR9" s="1">
        <f>建筑各项能耗拆分!$B$18*建筑各项能耗拆分!AR250</f>
        <v>0</v>
      </c>
    </row>
    <row r="10" spans="1:44">
      <c r="A10" t="s">
        <v>1117</v>
      </c>
      <c r="B10" s="1">
        <f>建筑各项能耗拆分!$B$18*建筑各项能耗拆分!B251</f>
        <v>222156418854036</v>
      </c>
      <c r="C10" s="1">
        <f>建筑各项能耗拆分!$B$18*建筑各项能耗拆分!C251</f>
        <v>0</v>
      </c>
      <c r="D10" s="1">
        <f>建筑各项能耗拆分!$B$18*建筑各项能耗拆分!D251</f>
        <v>0</v>
      </c>
      <c r="E10" s="1">
        <f>建筑各项能耗拆分!$B$18*建筑各项能耗拆分!E251</f>
        <v>0</v>
      </c>
      <c r="F10" s="1">
        <f>建筑各项能耗拆分!$B$18*建筑各项能耗拆分!F251</f>
        <v>0</v>
      </c>
      <c r="G10" s="1">
        <f>建筑各项能耗拆分!$B$18*建筑各项能耗拆分!G251</f>
        <v>0</v>
      </c>
      <c r="H10" s="1">
        <f>建筑各项能耗拆分!$B$18*建筑各项能耗拆分!H251</f>
        <v>0</v>
      </c>
      <c r="I10" s="1">
        <f>建筑各项能耗拆分!$B$18*建筑各项能耗拆分!I251</f>
        <v>0</v>
      </c>
      <c r="J10" s="1">
        <f>建筑各项能耗拆分!$B$18*建筑各项能耗拆分!J251</f>
        <v>0</v>
      </c>
      <c r="K10" s="1">
        <f>建筑各项能耗拆分!$B$18*建筑各项能耗拆分!K251</f>
        <v>0</v>
      </c>
      <c r="L10" s="1">
        <f>建筑各项能耗拆分!$B$18*建筑各项能耗拆分!L251</f>
        <v>0</v>
      </c>
      <c r="M10" s="1">
        <f>建筑各项能耗拆分!$B$18*建筑各项能耗拆分!M251</f>
        <v>0</v>
      </c>
      <c r="N10" s="1">
        <f>建筑各项能耗拆分!$B$18*建筑各项能耗拆分!N251</f>
        <v>0</v>
      </c>
      <c r="O10" s="1">
        <f>建筑各项能耗拆分!$B$18*建筑各项能耗拆分!O251</f>
        <v>0</v>
      </c>
      <c r="P10" s="1">
        <f>建筑各项能耗拆分!$B$18*建筑各项能耗拆分!P251</f>
        <v>0</v>
      </c>
      <c r="Q10" s="1">
        <f>建筑各项能耗拆分!$B$18*建筑各项能耗拆分!Q251</f>
        <v>0</v>
      </c>
      <c r="R10" s="1">
        <f>建筑各项能耗拆分!$B$18*建筑各项能耗拆分!R251</f>
        <v>0</v>
      </c>
      <c r="S10" s="1">
        <f>建筑各项能耗拆分!$B$18*建筑各项能耗拆分!S251</f>
        <v>0</v>
      </c>
      <c r="T10" s="1">
        <f>建筑各项能耗拆分!$B$18*建筑各项能耗拆分!T251</f>
        <v>0</v>
      </c>
      <c r="U10" s="1">
        <f>建筑各项能耗拆分!$B$18*建筑各项能耗拆分!U251</f>
        <v>0</v>
      </c>
      <c r="V10" s="1">
        <f>建筑各项能耗拆分!$B$18*建筑各项能耗拆分!V251</f>
        <v>0</v>
      </c>
      <c r="W10" s="1">
        <f>建筑各项能耗拆分!$B$18*建筑各项能耗拆分!W251</f>
        <v>0</v>
      </c>
      <c r="X10" s="1">
        <f>建筑各项能耗拆分!$B$18*建筑各项能耗拆分!X251</f>
        <v>0</v>
      </c>
      <c r="Y10" s="1">
        <f>建筑各项能耗拆分!$B$18*建筑各项能耗拆分!Y251</f>
        <v>0</v>
      </c>
      <c r="Z10" s="1">
        <f>建筑各项能耗拆分!$B$18*建筑各项能耗拆分!Z251</f>
        <v>0</v>
      </c>
      <c r="AA10" s="1">
        <f>建筑各项能耗拆分!$B$18*建筑各项能耗拆分!AA251</f>
        <v>0</v>
      </c>
      <c r="AB10" s="1">
        <f>建筑各项能耗拆分!$B$18*建筑各项能耗拆分!AB251</f>
        <v>0</v>
      </c>
      <c r="AC10" s="1">
        <f>建筑各项能耗拆分!$B$18*建筑各项能耗拆分!AC251</f>
        <v>0</v>
      </c>
      <c r="AD10" s="1">
        <f>建筑各项能耗拆分!$B$18*建筑各项能耗拆分!AD251</f>
        <v>0</v>
      </c>
      <c r="AE10" s="1">
        <f>建筑各项能耗拆分!$B$18*建筑各项能耗拆分!AE251</f>
        <v>0</v>
      </c>
      <c r="AF10" s="1">
        <f>建筑各项能耗拆分!$B$18*建筑各项能耗拆分!AF251</f>
        <v>0</v>
      </c>
      <c r="AG10" s="1">
        <f>建筑各项能耗拆分!$B$18*建筑各项能耗拆分!AG251</f>
        <v>0</v>
      </c>
      <c r="AH10" s="1">
        <f>建筑各项能耗拆分!$B$18*建筑各项能耗拆分!AH251</f>
        <v>0</v>
      </c>
      <c r="AI10" s="1">
        <f>建筑各项能耗拆分!$B$18*建筑各项能耗拆分!AI251</f>
        <v>0</v>
      </c>
      <c r="AJ10" s="1">
        <f>建筑各项能耗拆分!$B$18*建筑各项能耗拆分!AJ251</f>
        <v>0</v>
      </c>
      <c r="AK10" s="1">
        <f>建筑各项能耗拆分!$B$18*建筑各项能耗拆分!AK251</f>
        <v>0</v>
      </c>
      <c r="AL10" s="1">
        <f>建筑各项能耗拆分!$B$18*建筑各项能耗拆分!AL251</f>
        <v>0</v>
      </c>
      <c r="AM10" s="1">
        <f>建筑各项能耗拆分!$B$18*建筑各项能耗拆分!AM251</f>
        <v>0</v>
      </c>
      <c r="AN10" s="1">
        <f>建筑各项能耗拆分!$B$18*建筑各项能耗拆分!AN251</f>
        <v>0</v>
      </c>
      <c r="AO10" s="1">
        <f>建筑各项能耗拆分!$B$18*建筑各项能耗拆分!AO251</f>
        <v>0</v>
      </c>
      <c r="AP10" s="1">
        <f>建筑各项能耗拆分!$B$18*建筑各项能耗拆分!AP251</f>
        <v>0</v>
      </c>
      <c r="AQ10" s="1">
        <f>建筑各项能耗拆分!$B$18*建筑各项能耗拆分!AQ251</f>
        <v>0</v>
      </c>
      <c r="AR10" s="1">
        <f>建筑各项能耗拆分!$B$18*建筑各项能耗拆分!AR251</f>
        <v>0</v>
      </c>
    </row>
    <row r="11" spans="1:44">
      <c r="A11" t="s">
        <v>1118</v>
      </c>
      <c r="B11" s="1">
        <f>建筑各项能耗拆分!$B$18*建筑各项能耗拆分!B252</f>
        <v>0</v>
      </c>
      <c r="C11" s="1">
        <f>建筑各项能耗拆分!$B$18*建筑各项能耗拆分!C252</f>
        <v>0</v>
      </c>
      <c r="D11" s="1">
        <f>建筑各项能耗拆分!$B$18*建筑各项能耗拆分!D252</f>
        <v>0</v>
      </c>
      <c r="E11" s="1">
        <f>建筑各项能耗拆分!$B$18*建筑各项能耗拆分!E252</f>
        <v>0</v>
      </c>
      <c r="F11" s="1">
        <f>建筑各项能耗拆分!$B$18*建筑各项能耗拆分!F252</f>
        <v>0</v>
      </c>
      <c r="G11" s="1">
        <f>建筑各项能耗拆分!$B$18*建筑各项能耗拆分!G252</f>
        <v>0</v>
      </c>
      <c r="H11" s="1">
        <f>建筑各项能耗拆分!$B$18*建筑各项能耗拆分!H252</f>
        <v>0</v>
      </c>
      <c r="I11" s="1">
        <f>建筑各项能耗拆分!$B$18*建筑各项能耗拆分!I252</f>
        <v>0</v>
      </c>
      <c r="J11" s="1">
        <f>建筑各项能耗拆分!$B$18*建筑各项能耗拆分!J252</f>
        <v>0</v>
      </c>
      <c r="K11" s="1">
        <f>建筑各项能耗拆分!$B$18*建筑各项能耗拆分!K252</f>
        <v>0</v>
      </c>
      <c r="L11" s="1">
        <f>建筑各项能耗拆分!$B$18*建筑各项能耗拆分!L252</f>
        <v>0</v>
      </c>
      <c r="M11" s="1">
        <f>建筑各项能耗拆分!$B$18*建筑各项能耗拆分!M252</f>
        <v>0</v>
      </c>
      <c r="N11" s="1">
        <f>建筑各项能耗拆分!$B$18*建筑各项能耗拆分!N252</f>
        <v>0</v>
      </c>
      <c r="O11" s="1">
        <f>建筑各项能耗拆分!$B$18*建筑各项能耗拆分!O252</f>
        <v>0</v>
      </c>
      <c r="P11" s="1">
        <f>建筑各项能耗拆分!$B$18*建筑各项能耗拆分!P252</f>
        <v>0</v>
      </c>
      <c r="Q11" s="1">
        <f>建筑各项能耗拆分!$B$18*建筑各项能耗拆分!Q252</f>
        <v>0</v>
      </c>
      <c r="R11" s="1">
        <f>建筑各项能耗拆分!$B$18*建筑各项能耗拆分!R252</f>
        <v>0</v>
      </c>
      <c r="S11" s="1">
        <f>建筑各项能耗拆分!$B$18*建筑各项能耗拆分!S252</f>
        <v>0</v>
      </c>
      <c r="T11" s="1">
        <f>建筑各项能耗拆分!$B$18*建筑各项能耗拆分!T252</f>
        <v>0</v>
      </c>
      <c r="U11" s="1">
        <f>建筑各项能耗拆分!$B$18*建筑各项能耗拆分!U252</f>
        <v>0</v>
      </c>
      <c r="V11" s="1">
        <f>建筑各项能耗拆分!$B$18*建筑各项能耗拆分!V252</f>
        <v>0</v>
      </c>
      <c r="W11" s="1">
        <f>建筑各项能耗拆分!$B$18*建筑各项能耗拆分!W252</f>
        <v>0</v>
      </c>
      <c r="X11" s="1">
        <f>建筑各项能耗拆分!$B$18*建筑各项能耗拆分!X252</f>
        <v>0</v>
      </c>
      <c r="Y11" s="1">
        <f>建筑各项能耗拆分!$B$18*建筑各项能耗拆分!Y252</f>
        <v>0</v>
      </c>
      <c r="Z11" s="1">
        <f>建筑各项能耗拆分!$B$18*建筑各项能耗拆分!Z252</f>
        <v>0</v>
      </c>
      <c r="AA11" s="1">
        <f>建筑各项能耗拆分!$B$18*建筑各项能耗拆分!AA252</f>
        <v>0</v>
      </c>
      <c r="AB11" s="1">
        <f>建筑各项能耗拆分!$B$18*建筑各项能耗拆分!AB252</f>
        <v>0</v>
      </c>
      <c r="AC11" s="1">
        <f>建筑各项能耗拆分!$B$18*建筑各项能耗拆分!AC252</f>
        <v>0</v>
      </c>
      <c r="AD11" s="1">
        <f>建筑各项能耗拆分!$B$18*建筑各项能耗拆分!AD252</f>
        <v>0</v>
      </c>
      <c r="AE11" s="1">
        <f>建筑各项能耗拆分!$B$18*建筑各项能耗拆分!AE252</f>
        <v>0</v>
      </c>
      <c r="AF11" s="1">
        <f>建筑各项能耗拆分!$B$18*建筑各项能耗拆分!AF252</f>
        <v>0</v>
      </c>
      <c r="AG11" s="1">
        <f>建筑各项能耗拆分!$B$18*建筑各项能耗拆分!AG252</f>
        <v>0</v>
      </c>
      <c r="AH11" s="1">
        <f>建筑各项能耗拆分!$B$18*建筑各项能耗拆分!AH252</f>
        <v>0</v>
      </c>
      <c r="AI11" s="1">
        <f>建筑各项能耗拆分!$B$18*建筑各项能耗拆分!AI252</f>
        <v>0</v>
      </c>
      <c r="AJ11" s="1">
        <f>建筑各项能耗拆分!$B$18*建筑各项能耗拆分!AJ252</f>
        <v>0</v>
      </c>
      <c r="AK11" s="1">
        <f>建筑各项能耗拆分!$B$18*建筑各项能耗拆分!AK252</f>
        <v>0</v>
      </c>
      <c r="AL11" s="1">
        <f>建筑各项能耗拆分!$B$18*建筑各项能耗拆分!AL252</f>
        <v>0</v>
      </c>
      <c r="AM11" s="1">
        <f>建筑各项能耗拆分!$B$18*建筑各项能耗拆分!AM252</f>
        <v>0</v>
      </c>
      <c r="AN11" s="1">
        <f>建筑各项能耗拆分!$B$18*建筑各项能耗拆分!AN252</f>
        <v>0</v>
      </c>
      <c r="AO11" s="1">
        <f>建筑各项能耗拆分!$B$18*建筑各项能耗拆分!AO252</f>
        <v>0</v>
      </c>
      <c r="AP11" s="1">
        <f>建筑各项能耗拆分!$B$18*建筑各项能耗拆分!AP252</f>
        <v>0</v>
      </c>
      <c r="AQ11" s="1">
        <f>建筑各项能耗拆分!$B$18*建筑各项能耗拆分!AQ252</f>
        <v>0</v>
      </c>
      <c r="AR11" s="1">
        <f>建筑各项能耗拆分!$B$18*建筑各项能耗拆分!AR252</f>
        <v>0</v>
      </c>
    </row>
    <row r="12" spans="1:44">
      <c r="A12" t="s">
        <v>1119</v>
      </c>
      <c r="B12" s="1">
        <f>SUM(B2:B11)</f>
        <v>399780400503732</v>
      </c>
      <c r="C12" s="1">
        <f t="shared" ref="C12:AR12" si="0">SUM(C2:C11)</f>
        <v>1018111377383650</v>
      </c>
      <c r="D12" s="1">
        <f t="shared" si="0"/>
        <v>1035843208489290</v>
      </c>
      <c r="E12" s="1">
        <f t="shared" si="0"/>
        <v>1231137723946410</v>
      </c>
      <c r="F12" s="1">
        <f t="shared" si="0"/>
        <v>1262673199406180</v>
      </c>
      <c r="G12" s="1">
        <f t="shared" si="0"/>
        <v>1468572862632420</v>
      </c>
      <c r="H12" s="1">
        <f t="shared" si="0"/>
        <v>1198858495002010</v>
      </c>
      <c r="I12" s="1">
        <f t="shared" si="0"/>
        <v>1172692794015880</v>
      </c>
      <c r="J12" s="1">
        <f t="shared" si="0"/>
        <v>1213704626334050</v>
      </c>
      <c r="K12" s="1">
        <f t="shared" si="0"/>
        <v>1253607392891040</v>
      </c>
      <c r="L12" s="1">
        <f t="shared" si="0"/>
        <v>1292525251029290</v>
      </c>
      <c r="M12" s="1">
        <f t="shared" si="0"/>
        <v>1328950418304450</v>
      </c>
      <c r="N12" s="1">
        <f t="shared" si="0"/>
        <v>1363297392951300</v>
      </c>
      <c r="O12" s="1">
        <f t="shared" si="0"/>
        <v>1394279645588630</v>
      </c>
      <c r="P12" s="1">
        <f t="shared" si="0"/>
        <v>1421618366085130</v>
      </c>
      <c r="Q12" s="1">
        <f t="shared" si="0"/>
        <v>1446050823277310</v>
      </c>
      <c r="R12" s="1">
        <f t="shared" si="0"/>
        <v>1467227018444190</v>
      </c>
      <c r="S12" s="1">
        <f t="shared" si="0"/>
        <v>1594242312355620</v>
      </c>
      <c r="T12" s="1">
        <f t="shared" si="0"/>
        <v>1632451169996700</v>
      </c>
      <c r="U12" s="1">
        <f t="shared" si="0"/>
        <v>1668555790102950</v>
      </c>
      <c r="V12" s="1">
        <f t="shared" si="0"/>
        <v>1717436910999040</v>
      </c>
      <c r="W12" s="1">
        <f t="shared" si="0"/>
        <v>1767047870741170</v>
      </c>
      <c r="X12" s="1">
        <f t="shared" si="0"/>
        <v>1814747927211090</v>
      </c>
      <c r="Y12" s="1">
        <f t="shared" si="0"/>
        <v>1858838945687220</v>
      </c>
      <c r="Z12" s="1">
        <f t="shared" si="0"/>
        <v>1901073662417250</v>
      </c>
      <c r="AA12" s="1">
        <f t="shared" si="0"/>
        <v>1941528504085120</v>
      </c>
      <c r="AB12" s="1">
        <f t="shared" si="0"/>
        <v>1980202886393210</v>
      </c>
      <c r="AC12" s="1">
        <f t="shared" si="0"/>
        <v>2017377714067460</v>
      </c>
      <c r="AD12" s="1">
        <f t="shared" si="0"/>
        <v>2051211211411680</v>
      </c>
      <c r="AE12" s="1">
        <f t="shared" si="0"/>
        <v>2083418877815170</v>
      </c>
      <c r="AF12" s="1">
        <f t="shared" si="0"/>
        <v>2114186165460300</v>
      </c>
      <c r="AG12" s="1">
        <f t="shared" si="0"/>
        <v>2143759805810170</v>
      </c>
      <c r="AH12" s="1">
        <f t="shared" si="0"/>
        <v>2171887222453360</v>
      </c>
      <c r="AI12" s="1">
        <f t="shared" si="0"/>
        <v>2192686589292880</v>
      </c>
      <c r="AJ12" s="1">
        <f t="shared" si="0"/>
        <v>2212036811311980</v>
      </c>
      <c r="AK12" s="1">
        <f t="shared" si="0"/>
        <v>2229764323909170</v>
      </c>
      <c r="AL12" s="1">
        <f t="shared" si="0"/>
        <v>2245850070673780</v>
      </c>
      <c r="AM12" s="1">
        <f t="shared" si="0"/>
        <v>2260143478759350</v>
      </c>
      <c r="AN12" s="1">
        <f t="shared" si="0"/>
        <v>2269846844908790</v>
      </c>
      <c r="AO12" s="1">
        <f t="shared" si="0"/>
        <v>2277188954450330</v>
      </c>
      <c r="AP12" s="1">
        <f t="shared" si="0"/>
        <v>2282135878913530</v>
      </c>
      <c r="AQ12" s="1">
        <f t="shared" si="0"/>
        <v>2284713760577820</v>
      </c>
      <c r="AR12" s="1">
        <f t="shared" si="0"/>
        <v>2284923030381110</v>
      </c>
    </row>
  </sheetData>
  <pageMargins left="0.7" right="0.7" top="0.75" bottom="0.75" header="0.3" footer="0.3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AR12"/>
  <sheetViews>
    <sheetView workbookViewId="0">
      <selection activeCell="A1" sqref="$A1:$XFD1048576"/>
    </sheetView>
  </sheetViews>
  <sheetFormatPr defaultColWidth="9" defaultRowHeight="13.5"/>
  <cols>
    <col min="1" max="1" width="37.25" customWidth="1"/>
    <col min="2" max="44" width="13.6333333333333" customWidth="1"/>
  </cols>
  <sheetData>
    <row r="1" spans="1:44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>
      <c r="A2" t="s">
        <v>1109</v>
      </c>
      <c r="B2" s="1">
        <f>建筑各项能耗拆分!$B$18*建筑各项能耗拆分!B22</f>
        <v>219861274754135</v>
      </c>
      <c r="C2" s="1">
        <f>建筑各项能耗拆分!$B$18*建筑各项能耗拆分!C22</f>
        <v>64435711730313.3</v>
      </c>
      <c r="D2" s="1">
        <f>建筑各项能耗拆分!$B$18*建筑各项能耗拆分!D22</f>
        <v>67823177282773.2</v>
      </c>
      <c r="E2" s="1">
        <f>建筑各项能耗拆分!$B$18*建筑各项能耗拆分!E22</f>
        <v>73019630077994.5</v>
      </c>
      <c r="F2" s="1">
        <f>建筑各项能耗拆分!$B$18*建筑各项能耗拆分!F22</f>
        <v>80413608529158.9</v>
      </c>
      <c r="G2" s="1">
        <f>建筑各项能耗拆分!$B$18*建筑各项能耗拆分!G22</f>
        <v>81139388238467.7</v>
      </c>
      <c r="H2" s="1">
        <f>建筑各项能耗拆分!$B$18*建筑各项能耗拆分!H22</f>
        <v>87017634929644.2</v>
      </c>
      <c r="I2" s="1">
        <f>建筑各项能耗拆分!$B$18*建筑各项能耗拆分!I22</f>
        <v>93284261301097.9</v>
      </c>
      <c r="J2" s="1">
        <f>建筑各项能耗拆分!$B$18*建筑各项能耗拆分!J22</f>
        <v>97886029170809.3</v>
      </c>
      <c r="K2" s="1">
        <f>建筑各项能耗拆分!$B$18*建筑各项能耗拆分!K22</f>
        <v>102620834805566</v>
      </c>
      <c r="L2" s="1">
        <f>建筑各项能耗拆分!$B$18*建筑各项能耗拆分!L22</f>
        <v>107144133642644</v>
      </c>
      <c r="M2" s="1">
        <f>建筑各项能耗拆分!$B$18*建筑各项能耗拆分!M22</f>
        <v>111706480946997</v>
      </c>
      <c r="N2" s="1">
        <f>建筑各项能耗拆分!$B$18*建筑各项能耗拆分!N22</f>
        <v>116229224887038</v>
      </c>
      <c r="O2" s="1">
        <f>建筑各项能耗拆分!$B$18*建筑各项能耗拆分!O22</f>
        <v>120705779668088</v>
      </c>
      <c r="P2" s="1">
        <f>建筑各项能耗拆分!$B$18*建筑各项能耗拆分!P22</f>
        <v>125085856905463</v>
      </c>
      <c r="Q2" s="1">
        <f>建筑各项能耗拆分!$B$18*建筑各项能耗拆分!Q22</f>
        <v>129434706090705</v>
      </c>
      <c r="R2" s="1">
        <f>建筑各项能耗拆分!$B$18*建筑各项能耗拆分!R22</f>
        <v>133666568999816</v>
      </c>
      <c r="S2" s="1">
        <f>建筑各项能耗拆分!$B$18*建筑各项能耗拆分!S22</f>
        <v>138112897929932</v>
      </c>
      <c r="T2" s="1">
        <f>建筑各项能耗拆分!$B$18*建筑各项能耗拆分!T22</f>
        <v>141940276922226</v>
      </c>
      <c r="U2" s="1">
        <f>建筑各项能耗拆分!$B$18*建筑各项能耗拆分!U22</f>
        <v>145658923280259</v>
      </c>
      <c r="V2" s="1">
        <f>建筑各项能耗拆分!$B$18*建筑各项能耗拆分!V22</f>
        <v>149750650995414</v>
      </c>
      <c r="W2" s="1">
        <f>建筑各项能耗拆分!$B$18*建筑各项能耗拆分!W22</f>
        <v>153863200315092</v>
      </c>
      <c r="X2" s="1">
        <f>建筑各项能耗拆分!$B$18*建筑各项能耗拆分!X22</f>
        <v>157915552152166</v>
      </c>
      <c r="Y2" s="1">
        <f>建筑各项能耗拆分!$B$18*建筑各项能耗拆分!Y22</f>
        <v>161541521636219</v>
      </c>
      <c r="Z2" s="1">
        <f>建筑各项能耗拆分!$B$18*建筑各项能耗拆分!Z22</f>
        <v>165098526139722</v>
      </c>
      <c r="AA2" s="1">
        <f>建筑各项能耗拆分!$B$18*建筑各项能耗拆分!AA22</f>
        <v>168592163373916</v>
      </c>
      <c r="AB2" s="1">
        <f>建筑各项能耗拆分!$B$18*建筑各项能耗拆分!AB22</f>
        <v>172024095400082</v>
      </c>
      <c r="AC2" s="1">
        <f>建筑各项能耗拆分!$B$18*建筑各项能耗拆分!AC22</f>
        <v>175397847798251</v>
      </c>
      <c r="AD2" s="1">
        <f>建筑各项能耗拆分!$B$18*建筑各项能耗拆分!AD22</f>
        <v>178558905340574</v>
      </c>
      <c r="AE2" s="1">
        <f>建筑各项能耗拆分!$B$18*建筑各项能耗拆分!AE22</f>
        <v>181649385451822</v>
      </c>
      <c r="AF2" s="1">
        <f>建筑各项能耗拆分!$B$18*建筑各项能耗拆分!AF22</f>
        <v>184672232485647</v>
      </c>
      <c r="AG2" s="1">
        <f>建筑各项能耗拆分!$B$18*建筑各项能耗拆分!AG22</f>
        <v>187643827997650</v>
      </c>
      <c r="AH2" s="1">
        <f>建筑各项能耗拆分!$B$18*建筑各项能耗拆分!AH22</f>
        <v>190549095165342</v>
      </c>
      <c r="AI2" s="1">
        <f>建筑各项能耗拆分!$B$18*建筑各项能耗拆分!AI22</f>
        <v>193148819453159</v>
      </c>
      <c r="AJ2" s="1">
        <f>建筑各项能耗拆分!$B$18*建筑各项能耗拆分!AJ22</f>
        <v>195674473662286</v>
      </c>
      <c r="AK2" s="1">
        <f>建筑各项能耗拆分!$B$18*建筑各项能耗拆分!AK22</f>
        <v>198126510658940</v>
      </c>
      <c r="AL2" s="1">
        <f>建筑各项能耗拆分!$B$18*建筑各项能耗拆分!AL22</f>
        <v>200510162435301</v>
      </c>
      <c r="AM2" s="1">
        <f>建筑各项能耗拆分!$B$18*建筑各项能耗拆分!AM22</f>
        <v>202822816014146</v>
      </c>
      <c r="AN2" s="1">
        <f>建筑各项能耗拆分!$B$18*建筑各项能耗拆分!AN22</f>
        <v>204836523746262</v>
      </c>
      <c r="AO2" s="1">
        <f>建筑各项能耗拆分!$B$18*建筑各项能耗拆分!AO22</f>
        <v>206768805935714</v>
      </c>
      <c r="AP2" s="1">
        <f>建筑各项能耗拆分!$B$18*建筑各项能耗拆分!AP22</f>
        <v>208623462344349</v>
      </c>
      <c r="AQ2" s="1">
        <f>建筑各项能耗拆分!$B$18*建筑各项能耗拆分!AQ22</f>
        <v>210402473942878</v>
      </c>
      <c r="AR2" s="1">
        <f>建筑各项能耗拆分!$B$18*建筑各项能耗拆分!AR22</f>
        <v>212103105109024</v>
      </c>
    </row>
    <row r="3" spans="1:44">
      <c r="A3" t="s">
        <v>1110</v>
      </c>
      <c r="B3" s="1">
        <f>建筑各项能耗拆分!$B$18*建筑各项能耗拆分!B23</f>
        <v>173065198640225</v>
      </c>
      <c r="C3" s="1">
        <f>建筑各项能耗拆分!$B$18*建筑各项能耗拆分!C23</f>
        <v>143212711225797</v>
      </c>
      <c r="D3" s="1">
        <f>建筑各项能耗拆分!$B$18*建筑各项能耗拆分!D23</f>
        <v>109223411515947</v>
      </c>
      <c r="E3" s="1">
        <f>建筑各项能耗拆分!$B$18*建筑各项能耗拆分!E23</f>
        <v>97432730591605.7</v>
      </c>
      <c r="F3" s="1">
        <f>建筑各项能耗拆分!$B$18*建筑各项能耗拆分!F23</f>
        <v>86579485556997</v>
      </c>
      <c r="G3" s="1">
        <f>建筑各项能耗拆分!$B$18*建筑各项能耗拆分!G23</f>
        <v>74778795317766.9</v>
      </c>
      <c r="H3" s="1">
        <f>建筑各项能耗拆分!$B$18*建筑各项能耗拆分!H23</f>
        <v>72219789121411.5</v>
      </c>
      <c r="I3" s="1">
        <f>建筑各项能耗拆分!$B$18*建筑各项能耗拆分!I23</f>
        <v>74085268435305.9</v>
      </c>
      <c r="J3" s="1">
        <f>建筑各项能耗拆分!$B$18*建筑各项能耗拆分!J23</f>
        <v>75605504456095.4</v>
      </c>
      <c r="K3" s="1">
        <f>建筑各项能耗拆分!$B$18*建筑各项能耗拆分!K23</f>
        <v>77151240280839.2</v>
      </c>
      <c r="L3" s="1">
        <f>建筑各项能耗拆分!$B$18*建筑各项能耗拆分!L23</f>
        <v>78723182361654.5</v>
      </c>
      <c r="M3" s="1">
        <f>建筑各项能耗拆分!$B$18*建筑各项能耗拆分!M23</f>
        <v>80321780432411.8</v>
      </c>
      <c r="N3" s="1">
        <f>建筑各项能耗拆分!$B$18*建筑各项能耗拆分!N23</f>
        <v>81947082495442.8</v>
      </c>
      <c r="O3" s="1">
        <f>建筑各项能耗拆分!$B$18*建筑各项能耗拆分!O23</f>
        <v>83546743358121.1</v>
      </c>
      <c r="P3" s="1">
        <f>建筑各项能耗拆分!$B$18*建筑各项能耗拆分!P23</f>
        <v>85171298786196.8</v>
      </c>
      <c r="Q3" s="1">
        <f>建筑各项能耗拆分!$B$18*建筑各项能耗拆分!Q23</f>
        <v>86821477920922.5</v>
      </c>
      <c r="R3" s="1">
        <f>建筑各项能耗拆分!$B$18*建筑各项能耗拆分!R23</f>
        <v>88497592603850.5</v>
      </c>
      <c r="S3" s="1">
        <f>建筑各项能耗拆分!$B$18*建筑各项能耗拆分!S23</f>
        <v>90199669378272.4</v>
      </c>
      <c r="T3" s="1">
        <f>建筑各项能耗拆分!$B$18*建筑各项能耗拆分!T23</f>
        <v>90965850840259.2</v>
      </c>
      <c r="U3" s="1">
        <f>建筑各项能耗拆分!$B$18*建筑各项能耗拆分!U23</f>
        <v>91732215979497.8</v>
      </c>
      <c r="V3" s="1">
        <f>建筑各项能耗拆分!$B$18*建筑各项能耗拆分!V23</f>
        <v>92498159563825.6</v>
      </c>
      <c r="W3" s="1">
        <f>建筑各项能耗拆分!$B$18*建筑各项能耗拆分!W23</f>
        <v>93264102581741.9</v>
      </c>
      <c r="X3" s="1">
        <f>建筑各项能耗拆分!$B$18*建筑各项能耗拆分!X23</f>
        <v>94029893642992.2</v>
      </c>
      <c r="Y3" s="1">
        <f>建筑各项能耗拆分!$B$18*建筑各项能耗拆分!Y23</f>
        <v>94258329465900.7</v>
      </c>
      <c r="Z3" s="1">
        <f>建筑各项能耗拆分!$B$18*建筑各项能耗拆分!Z23</f>
        <v>94482900396425.6</v>
      </c>
      <c r="AA3" s="1">
        <f>建筑各项能耗拆分!$B$18*建筑各项能耗拆分!AA23</f>
        <v>94703532259775.3</v>
      </c>
      <c r="AB3" s="1">
        <f>建筑各项能耗拆分!$B$18*建筑各项能耗拆分!AB23</f>
        <v>94920293531732.8</v>
      </c>
      <c r="AC3" s="1">
        <f>建筑各项能耗拆分!$B$18*建筑各项能耗拆分!AC23</f>
        <v>95133263121649</v>
      </c>
      <c r="AD3" s="1">
        <f>建筑各项能耗拆分!$B$18*建筑各项能耗拆分!AD23</f>
        <v>95194459165343.7</v>
      </c>
      <c r="AE3" s="1">
        <f>建筑各项能耗拆分!$B$18*建筑各项能耗拆分!AE23</f>
        <v>95249695974775.6</v>
      </c>
      <c r="AF3" s="1">
        <f>建筑各项能耗拆分!$B$18*建筑各项能耗拆分!AF23</f>
        <v>95299921338938.8</v>
      </c>
      <c r="AG3" s="1">
        <f>建筑各项能耗拆分!$B$18*建筑各项能耗拆分!AG23</f>
        <v>95344363349016.5</v>
      </c>
      <c r="AH3" s="1">
        <f>建筑各项能耗拆分!$B$18*建筑各项能耗拆分!AH23</f>
        <v>95382769056697.9</v>
      </c>
      <c r="AI3" s="1">
        <f>建筑各项能耗拆分!$B$18*建筑各项能耗拆分!AI23</f>
        <v>94719500619277.4</v>
      </c>
      <c r="AJ3" s="1">
        <f>建筑各项能耗拆分!$B$18*建筑各项能耗拆分!AJ23</f>
        <v>94056325119538.2</v>
      </c>
      <c r="AK3" s="1">
        <f>建筑各项能耗拆分!$B$18*建筑各项能耗拆分!AK23</f>
        <v>93392405153901.6</v>
      </c>
      <c r="AL3" s="1">
        <f>建筑各项能耗拆分!$B$18*建筑各项能耗拆分!AL23</f>
        <v>92728550858381.5</v>
      </c>
      <c r="AM3" s="1">
        <f>建筑各项能耗拆分!$B$18*建筑各项能耗拆分!AM23</f>
        <v>92064332790748.1</v>
      </c>
      <c r="AN3" s="1">
        <f>建筑各项能耗拆分!$B$18*建筑各项能耗拆分!AN23</f>
        <v>91265349473977.5</v>
      </c>
      <c r="AO3" s="1">
        <f>建筑各项能耗拆分!$B$18*建筑各项能耗拆分!AO23</f>
        <v>90466254368958.3</v>
      </c>
      <c r="AP3" s="1">
        <f>建筑各项能耗拆分!$B$18*建筑各项能耗拆分!AP23</f>
        <v>89666757089275.1</v>
      </c>
      <c r="AQ3" s="1">
        <f>建筑各项能耗拆分!$B$18*建筑各项能耗拆分!AQ23</f>
        <v>88866903577706.1</v>
      </c>
      <c r="AR3" s="1">
        <f>建筑各项能耗拆分!$B$18*建筑各项能耗拆分!AR23</f>
        <v>88066716805640.8</v>
      </c>
    </row>
    <row r="4" spans="1:44">
      <c r="A4" t="s">
        <v>1111</v>
      </c>
      <c r="B4" s="1">
        <f>建筑各项能耗拆分!$B$18*建筑各项能耗拆分!B24</f>
        <v>409097731481957</v>
      </c>
      <c r="C4" s="1">
        <f>建筑各项能耗拆分!$B$18*建筑各项能耗拆分!C24</f>
        <v>362820667861240</v>
      </c>
      <c r="D4" s="1">
        <f>建筑各项能耗拆分!$B$18*建筑各项能耗拆分!D24</f>
        <v>403865941243936</v>
      </c>
      <c r="E4" s="1">
        <f>建筑各项能耗拆分!$B$18*建筑各项能耗拆分!E24</f>
        <v>425792739144837</v>
      </c>
      <c r="F4" s="1">
        <f>建筑各项能耗拆分!$B$18*建筑各项能耗拆分!F24</f>
        <v>422721820343680</v>
      </c>
      <c r="G4" s="1">
        <f>建筑各项能耗拆分!$B$18*建筑各项能耗拆分!G24</f>
        <v>451178679731183</v>
      </c>
      <c r="H4" s="1">
        <f>建筑各项能耗拆分!$B$18*建筑各项能耗拆分!H24</f>
        <v>462886238911565</v>
      </c>
      <c r="I4" s="1">
        <f>建筑各项能耗拆分!$B$18*建筑各项能耗拆分!I24</f>
        <v>474842860689070</v>
      </c>
      <c r="J4" s="1">
        <f>建筑各项能耗拆分!$B$18*建筑各项能耗拆分!J24</f>
        <v>484586676649790</v>
      </c>
      <c r="K4" s="1">
        <f>建筑各项能耗拆分!$B$18*建筑各项能耗拆分!K24</f>
        <v>494493931309087</v>
      </c>
      <c r="L4" s="1">
        <f>建筑各项能耗拆分!$B$18*建筑各项能耗拆分!L24</f>
        <v>504569152608228</v>
      </c>
      <c r="M4" s="1">
        <f>建筑各项能耗拆分!$B$18*建筑各项能耗拆分!M24</f>
        <v>514815223075978</v>
      </c>
      <c r="N4" s="1">
        <f>建筑各项能耗拆分!$B$18*建筑各项能耗拆分!N24</f>
        <v>525232450378967</v>
      </c>
      <c r="O4" s="1">
        <f>建筑各项能耗拆分!$B$18*建筑各项能耗拆分!O24</f>
        <v>535485332715890</v>
      </c>
      <c r="P4" s="1">
        <f>建筑各项能耗拆分!$B$18*建筑各项能耗拆分!P24</f>
        <v>545897774529327</v>
      </c>
      <c r="Q4" s="1">
        <f>建筑各项能耗拆分!$B$18*建筑各项能耗拆分!Q24</f>
        <v>556474449184514</v>
      </c>
      <c r="R4" s="1">
        <f>建筑各项能耗拆分!$B$18*建筑各项能耗拆分!R24</f>
        <v>567217355401821</v>
      </c>
      <c r="S4" s="1">
        <f>建筑各项能耗拆分!$B$18*建筑各项能耗拆分!S24</f>
        <v>578126663308084</v>
      </c>
      <c r="T4" s="1">
        <f>建筑各项能耗拆分!$B$18*建筑各项能耗拆分!T24</f>
        <v>583037434435742</v>
      </c>
      <c r="U4" s="1">
        <f>建筑各项能耗拆分!$B$18*建筑各项能耗拆分!U24</f>
        <v>587949382826212</v>
      </c>
      <c r="V4" s="1">
        <f>建筑各项能耗拆分!$B$18*建筑各项能耗拆分!V24</f>
        <v>592858629298419</v>
      </c>
      <c r="W4" s="1">
        <f>建筑各项能耗拆分!$B$18*建筑各项能耗拆分!W24</f>
        <v>597767872140268</v>
      </c>
      <c r="X4" s="1">
        <f>建筑各项能耗拆分!$B$18*建筑各项能耗拆分!X24</f>
        <v>602676141029535</v>
      </c>
      <c r="Y4" s="1">
        <f>建筑各项能耗拆分!$B$18*建筑各项能耗拆分!Y24</f>
        <v>604140279878252</v>
      </c>
      <c r="Z4" s="1">
        <f>建筑各项能耗拆分!$B$18*建筑各项能耗拆分!Z24</f>
        <v>605579647047059</v>
      </c>
      <c r="AA4" s="1">
        <f>建筑各项能耗拆分!$B$18*建筑各项能耗拆分!AA24</f>
        <v>606993767119305</v>
      </c>
      <c r="AB4" s="1">
        <f>建筑各项能耗拆分!$B$18*建筑各项能耗拆分!AB24</f>
        <v>608383078984359</v>
      </c>
      <c r="AC4" s="1">
        <f>建筑各项能耗拆分!$B$18*建筑各项能耗拆分!AC24</f>
        <v>609748088404607</v>
      </c>
      <c r="AD4" s="1">
        <f>建筑各项能耗拆分!$B$18*建筑各项能耗拆分!AD24</f>
        <v>610140318939294</v>
      </c>
      <c r="AE4" s="1">
        <f>建筑各项能耗拆分!$B$18*建筑各项能耗拆分!AE24</f>
        <v>610494354298277</v>
      </c>
      <c r="AF4" s="1">
        <f>建筑各项能耗拆分!$B$18*建筑各项能耗拆分!AF24</f>
        <v>610816269249820</v>
      </c>
      <c r="AG4" s="1">
        <f>建筑各项能耗拆分!$B$18*建筑各项能耗拆分!AG24</f>
        <v>611101116313829</v>
      </c>
      <c r="AH4" s="1">
        <f>建筑各项能耗拆分!$B$18*建筑各项能耗拆分!AH24</f>
        <v>611347274240870</v>
      </c>
      <c r="AI4" s="1">
        <f>建筑各项能耗拆分!$B$18*建筑各项能耗拆分!AI24</f>
        <v>607096114882454</v>
      </c>
      <c r="AJ4" s="1">
        <f>建筑各项能耗拆分!$B$18*建筑各项能耗拆分!AJ24</f>
        <v>602845551199740</v>
      </c>
      <c r="AK4" s="1">
        <f>建筑各项能耗拆分!$B$18*建筑各项能耗拆分!AK24</f>
        <v>598590215929859</v>
      </c>
      <c r="AL4" s="1">
        <f>建筑各项能耗拆分!$B$18*建筑各项能耗拆分!AL24</f>
        <v>594335301566677</v>
      </c>
      <c r="AM4" s="1">
        <f>建筑各项能耗拆分!$B$18*建筑各项能耗拆分!AM24</f>
        <v>590078055638874</v>
      </c>
      <c r="AN4" s="1">
        <f>建筑各项能耗拆分!$B$18*建筑各项能耗拆分!AN24</f>
        <v>584957043975004</v>
      </c>
      <c r="AO4" s="1">
        <f>建筑各项能耗拆分!$B$18*建筑各项能耗拆分!AO24</f>
        <v>579835315814416</v>
      </c>
      <c r="AP4" s="1">
        <f>建筑各项能耗拆分!$B$18*建筑各项能耗拆分!AP24</f>
        <v>574711009951510</v>
      </c>
      <c r="AQ4" s="1">
        <f>建筑各项能耗拆分!$B$18*建筑各项能耗拆分!AQ24</f>
        <v>569584420852391</v>
      </c>
      <c r="AR4" s="1">
        <f>建筑各项能耗拆分!$B$18*建筑各项能耗拆分!AR24</f>
        <v>564455695750115</v>
      </c>
    </row>
    <row r="5" spans="1:44">
      <c r="A5" t="s">
        <v>1112</v>
      </c>
      <c r="B5" s="1">
        <f>建筑各项能耗拆分!$B$18*建筑各项能耗拆分!B25</f>
        <v>3226699481806.69</v>
      </c>
      <c r="C5" s="1">
        <f>建筑各项能耗拆分!$B$18*建筑各项能耗拆分!C25</f>
        <v>0</v>
      </c>
      <c r="D5" s="1">
        <f>建筑各项能耗拆分!$B$18*建筑各项能耗拆分!D25</f>
        <v>0</v>
      </c>
      <c r="E5" s="1">
        <f>建筑各项能耗拆分!$B$18*建筑各项能耗拆分!E25</f>
        <v>0</v>
      </c>
      <c r="F5" s="1">
        <f>建筑各项能耗拆分!$B$18*建筑各项能耗拆分!F25</f>
        <v>0</v>
      </c>
      <c r="G5" s="1">
        <f>建筑各项能耗拆分!$B$18*建筑各项能耗拆分!G25</f>
        <v>0</v>
      </c>
      <c r="H5" s="1">
        <f>建筑各项能耗拆分!$B$18*建筑各项能耗拆分!H25</f>
        <v>0</v>
      </c>
      <c r="I5" s="1">
        <f>建筑各项能耗拆分!$B$18*建筑各项能耗拆分!I25</f>
        <v>0</v>
      </c>
      <c r="J5" s="1">
        <f>建筑各项能耗拆分!$B$18*建筑各项能耗拆分!J25</f>
        <v>0</v>
      </c>
      <c r="K5" s="1">
        <f>建筑各项能耗拆分!$B$18*建筑各项能耗拆分!K25</f>
        <v>0</v>
      </c>
      <c r="L5" s="1">
        <f>建筑各项能耗拆分!$B$18*建筑各项能耗拆分!L25</f>
        <v>0</v>
      </c>
      <c r="M5" s="1">
        <f>建筑各项能耗拆分!$B$18*建筑各项能耗拆分!M25</f>
        <v>0</v>
      </c>
      <c r="N5" s="1">
        <f>建筑各项能耗拆分!$B$18*建筑各项能耗拆分!N25</f>
        <v>0</v>
      </c>
      <c r="O5" s="1">
        <f>建筑各项能耗拆分!$B$18*建筑各项能耗拆分!O25</f>
        <v>0</v>
      </c>
      <c r="P5" s="1">
        <f>建筑各项能耗拆分!$B$18*建筑各项能耗拆分!P25</f>
        <v>0</v>
      </c>
      <c r="Q5" s="1">
        <f>建筑各项能耗拆分!$B$18*建筑各项能耗拆分!Q25</f>
        <v>0</v>
      </c>
      <c r="R5" s="1">
        <f>建筑各项能耗拆分!$B$18*建筑各项能耗拆分!R25</f>
        <v>0</v>
      </c>
      <c r="S5" s="1">
        <f>建筑各项能耗拆分!$B$18*建筑各项能耗拆分!S25</f>
        <v>0</v>
      </c>
      <c r="T5" s="1">
        <f>建筑各项能耗拆分!$B$18*建筑各项能耗拆分!T25</f>
        <v>0</v>
      </c>
      <c r="U5" s="1">
        <f>建筑各项能耗拆分!$B$18*建筑各项能耗拆分!U25</f>
        <v>0</v>
      </c>
      <c r="V5" s="1">
        <f>建筑各项能耗拆分!$B$18*建筑各项能耗拆分!V25</f>
        <v>0</v>
      </c>
      <c r="W5" s="1">
        <f>建筑各项能耗拆分!$B$18*建筑各项能耗拆分!W25</f>
        <v>0</v>
      </c>
      <c r="X5" s="1">
        <f>建筑各项能耗拆分!$B$18*建筑各项能耗拆分!X25</f>
        <v>0</v>
      </c>
      <c r="Y5" s="1">
        <f>建筑各项能耗拆分!$B$18*建筑各项能耗拆分!Y25</f>
        <v>0</v>
      </c>
      <c r="Z5" s="1">
        <f>建筑各项能耗拆分!$B$18*建筑各项能耗拆分!Z25</f>
        <v>0</v>
      </c>
      <c r="AA5" s="1">
        <f>建筑各项能耗拆分!$B$18*建筑各项能耗拆分!AA25</f>
        <v>0</v>
      </c>
      <c r="AB5" s="1">
        <f>建筑各项能耗拆分!$B$18*建筑各项能耗拆分!AB25</f>
        <v>0</v>
      </c>
      <c r="AC5" s="1">
        <f>建筑各项能耗拆分!$B$18*建筑各项能耗拆分!AC25</f>
        <v>0</v>
      </c>
      <c r="AD5" s="1">
        <f>建筑各项能耗拆分!$B$18*建筑各项能耗拆分!AD25</f>
        <v>0</v>
      </c>
      <c r="AE5" s="1">
        <f>建筑各项能耗拆分!$B$18*建筑各项能耗拆分!AE25</f>
        <v>0</v>
      </c>
      <c r="AF5" s="1">
        <f>建筑各项能耗拆分!$B$18*建筑各项能耗拆分!AF25</f>
        <v>0</v>
      </c>
      <c r="AG5" s="1">
        <f>建筑各项能耗拆分!$B$18*建筑各项能耗拆分!AG25</f>
        <v>0</v>
      </c>
      <c r="AH5" s="1">
        <f>建筑各项能耗拆分!$B$18*建筑各项能耗拆分!AH25</f>
        <v>0</v>
      </c>
      <c r="AI5" s="1">
        <f>建筑各项能耗拆分!$B$18*建筑各项能耗拆分!AI25</f>
        <v>0</v>
      </c>
      <c r="AJ5" s="1">
        <f>建筑各项能耗拆分!$B$18*建筑各项能耗拆分!AJ25</f>
        <v>0</v>
      </c>
      <c r="AK5" s="1">
        <f>建筑各项能耗拆分!$B$18*建筑各项能耗拆分!AK25</f>
        <v>0</v>
      </c>
      <c r="AL5" s="1">
        <f>建筑各项能耗拆分!$B$18*建筑各项能耗拆分!AL25</f>
        <v>0</v>
      </c>
      <c r="AM5" s="1">
        <f>建筑各项能耗拆分!$B$18*建筑各项能耗拆分!AM25</f>
        <v>0</v>
      </c>
      <c r="AN5" s="1">
        <f>建筑各项能耗拆分!$B$18*建筑各项能耗拆分!AN25</f>
        <v>0</v>
      </c>
      <c r="AO5" s="1">
        <f>建筑各项能耗拆分!$B$18*建筑各项能耗拆分!AO25</f>
        <v>0</v>
      </c>
      <c r="AP5" s="1">
        <f>建筑各项能耗拆分!$B$18*建筑各项能耗拆分!AP25</f>
        <v>0</v>
      </c>
      <c r="AQ5" s="1">
        <f>建筑各项能耗拆分!$B$18*建筑各项能耗拆分!AQ25</f>
        <v>0</v>
      </c>
      <c r="AR5" s="1">
        <f>建筑各项能耗拆分!$B$18*建筑各项能耗拆分!AR25</f>
        <v>0</v>
      </c>
    </row>
    <row r="6" spans="1:44">
      <c r="A6" t="s">
        <v>1113</v>
      </c>
      <c r="B6" s="1">
        <f>建筑各项能耗拆分!$B$18*建筑各项能耗拆分!B26</f>
        <v>1602397444759630</v>
      </c>
      <c r="C6" s="1">
        <f>建筑各项能耗拆分!$B$18*建筑各项能耗拆分!C26</f>
        <v>2735077643139930</v>
      </c>
      <c r="D6" s="1">
        <f>建筑各项能耗拆分!$B$18*建筑各项能耗拆分!D26</f>
        <v>2870880676587030</v>
      </c>
      <c r="E6" s="1">
        <f>建筑各项能耗拆分!$B$18*建筑各项能耗拆分!E26</f>
        <v>2986631948567920</v>
      </c>
      <c r="F6" s="1">
        <f>建筑各项能耗拆分!$B$18*建筑各项能耗拆分!F26</f>
        <v>2994951021745380</v>
      </c>
      <c r="G6" s="1">
        <f>建筑各项能耗拆分!$B$18*建筑各项能耗拆分!G26</f>
        <v>3019069765597270</v>
      </c>
      <c r="H6" s="1">
        <f>建筑各项能耗拆分!$B$18*建筑各项能耗拆分!H26</f>
        <v>3082881515340280</v>
      </c>
      <c r="I6" s="1">
        <f>建筑各项能耗拆分!$B$18*建筑各项能耗拆分!I26</f>
        <v>3155605119970300</v>
      </c>
      <c r="J6" s="1">
        <f>建筑各项能耗拆分!$B$18*建筑各项能耗拆分!J26</f>
        <v>3216402042784950</v>
      </c>
      <c r="K6" s="1">
        <f>建筑各项能耗拆分!$B$18*建筑各项能耗拆分!K26</f>
        <v>3278197290227240</v>
      </c>
      <c r="L6" s="1">
        <f>建筑各项能耗拆分!$B$18*建筑各项能耗拆分!L26</f>
        <v>3341041308401720</v>
      </c>
      <c r="M6" s="1">
        <f>建筑各项能耗拆分!$B$18*建筑各项能耗拆分!M26</f>
        <v>3404937923736970</v>
      </c>
      <c r="N6" s="1">
        <f>建筑各项能耗拆分!$B$18*建筑各项能耗拆分!N26</f>
        <v>3469900940075620</v>
      </c>
      <c r="O6" s="1">
        <f>建筑各项能耗拆分!$B$18*建筑各项能耗拆分!O26</f>
        <v>3532549118119670</v>
      </c>
      <c r="P6" s="1">
        <f>建筑各项能耗拆分!$B$18*建筑各项能耗拆分!P26</f>
        <v>3596137646997060</v>
      </c>
      <c r="Q6" s="1">
        <f>建筑各项能耗拆分!$B$18*建筑各项能耗拆分!Q26</f>
        <v>3660682230641150</v>
      </c>
      <c r="R6" s="1">
        <f>建筑各项能耗拆分!$B$18*建筑各项能耗拆分!R26</f>
        <v>3726209139573660</v>
      </c>
      <c r="S6" s="1">
        <f>建筑各项能耗拆分!$B$18*建筑各项能耗拆分!S26</f>
        <v>3792694309846130</v>
      </c>
      <c r="T6" s="1">
        <f>建筑各项能耗拆分!$B$18*建筑各项能耗拆分!T26</f>
        <v>3819836714675790</v>
      </c>
      <c r="U6" s="1">
        <f>建筑各项能耗拆分!$B$18*建筑各项能耗拆分!U26</f>
        <v>3846855026242170</v>
      </c>
      <c r="V6" s="1">
        <f>建筑各项能耗拆分!$B$18*建筑各项能耗拆分!V26</f>
        <v>3873746822178290</v>
      </c>
      <c r="W6" s="1">
        <f>建筑各项能耗拆分!$B$18*建筑各项能耗拆分!W26</f>
        <v>3900517728774860</v>
      </c>
      <c r="X6" s="1">
        <f>建筑各项能耗拆分!$B$18*建筑各项能耗拆分!X26</f>
        <v>3927149226141890</v>
      </c>
      <c r="Y6" s="1">
        <f>建筑各项能耗拆分!$B$18*建筑各项能耗拆分!Y26</f>
        <v>3929485552520290</v>
      </c>
      <c r="Z6" s="1">
        <f>建筑各项能耗拆分!$B$18*建筑各项能耗拆分!Z26</f>
        <v>3931579566880480</v>
      </c>
      <c r="AA6" s="1">
        <f>建筑各项能耗拆分!$B$18*建筑各项能耗拆分!AA26</f>
        <v>3933409792844050</v>
      </c>
      <c r="AB6" s="1">
        <f>建筑各项能耗拆分!$B$18*建筑各项能耗拆分!AB26</f>
        <v>3935007354293440</v>
      </c>
      <c r="AC6" s="1">
        <f>建筑各项能耗拆分!$B$18*建筑各项能耗拆分!AC26</f>
        <v>3936369518893610</v>
      </c>
      <c r="AD6" s="1">
        <f>建筑各项能耗拆分!$B$18*建筑各项能耗拆分!AD26</f>
        <v>3931216987143160</v>
      </c>
      <c r="AE6" s="1">
        <f>建筑各项能耗拆分!$B$18*建筑各项能耗拆分!AE26</f>
        <v>3925721429279550</v>
      </c>
      <c r="AF6" s="1">
        <f>建筑各项能耗拆分!$B$18*建筑各项能耗拆分!AF26</f>
        <v>3919951895794770</v>
      </c>
      <c r="AG6" s="1">
        <f>建筑各项能耗拆分!$B$18*建筑各项能耗拆分!AG26</f>
        <v>3913848207852600</v>
      </c>
      <c r="AH6" s="1">
        <f>建筑各项能耗拆分!$B$18*建筑各项能耗拆分!AH26</f>
        <v>3907413783682880</v>
      </c>
      <c r="AI6" s="1">
        <f>建筑各项能耗拆分!$B$18*建筑各项能耗拆分!AI26</f>
        <v>3872550807549480</v>
      </c>
      <c r="AJ6" s="1">
        <f>建筑各项能耗拆分!$B$18*建筑各项能耗拆分!AJ26</f>
        <v>3837698996884000</v>
      </c>
      <c r="AK6" s="1">
        <f>建筑各项能耗拆分!$B$18*建筑各项能耗拆分!AK26</f>
        <v>3802809338318160</v>
      </c>
      <c r="AL6" s="1">
        <f>建筑各项能耗拆分!$B$18*建筑各项能耗拆分!AL26</f>
        <v>3767905073566170</v>
      </c>
      <c r="AM6" s="1">
        <f>建筑各项能耗拆分!$B$18*建筑各项能耗拆分!AM26</f>
        <v>3733004406950840</v>
      </c>
      <c r="AN6" s="1">
        <f>建筑各项能耗拆分!$B$18*建筑各项能耗拆分!AN26</f>
        <v>3692969457884650</v>
      </c>
      <c r="AO6" s="1">
        <f>建筑各项能耗拆分!$B$18*建筑各项能耗拆分!AO26</f>
        <v>3652946618797300</v>
      </c>
      <c r="AP6" s="1">
        <f>建筑各项能耗拆分!$B$18*建筑各项能耗拆分!AP26</f>
        <v>3612885223426390</v>
      </c>
      <c r="AQ6" s="1">
        <f>建筑各项能耗拆分!$B$18*建筑各项能耗拆分!AQ26</f>
        <v>3572820848348540</v>
      </c>
      <c r="AR6" s="1">
        <f>建筑各项能耗拆分!$B$18*建筑各项能耗拆分!AR26</f>
        <v>3532735649054540</v>
      </c>
    </row>
    <row r="7" spans="1:44">
      <c r="A7" t="s">
        <v>1114</v>
      </c>
      <c r="B7" s="1">
        <f>建筑各项能耗拆分!$B$18*建筑各项能耗拆分!B27</f>
        <v>14770350673161.4</v>
      </c>
      <c r="C7" s="1">
        <f>建筑各项能耗拆分!$B$18*建筑各项能耗拆分!C27</f>
        <v>67211435435093.9</v>
      </c>
      <c r="D7" s="1">
        <f>建筑各项能耗拆分!$B$18*建筑各项能耗拆分!D27</f>
        <v>66029561766500.2</v>
      </c>
      <c r="E7" s="1">
        <f>建筑各项能耗拆分!$B$18*建筑各项能耗拆分!E27</f>
        <v>45033270865287</v>
      </c>
      <c r="F7" s="1">
        <f>建筑各项能耗拆分!$B$18*建筑各项能耗拆分!F27</f>
        <v>41071497159297</v>
      </c>
      <c r="G7" s="1">
        <f>建筑各项能耗拆分!$B$18*建筑各项能耗拆分!G27</f>
        <v>31106297100000</v>
      </c>
      <c r="H7" s="1">
        <f>建筑各项能耗拆分!$B$18*建筑各项能耗拆分!H27</f>
        <v>31913469137468.1</v>
      </c>
      <c r="I7" s="1">
        <f>建筑各项能耗拆分!$B$18*建筑各项能耗拆分!I27</f>
        <v>32737812675919.6</v>
      </c>
      <c r="J7" s="1">
        <f>建筑各项能耗拆分!$B$18*建筑各项能耗拆分!J27</f>
        <v>33409595381482</v>
      </c>
      <c r="K7" s="1">
        <f>建筑各项能耗拆分!$B$18*建筑各项能耗拆分!K27</f>
        <v>34092646289519.4</v>
      </c>
      <c r="L7" s="1">
        <f>建筑各项能耗拆分!$B$18*建筑各项能耗拆分!L27</f>
        <v>34787277576764.6</v>
      </c>
      <c r="M7" s="1">
        <f>建筑各项能耗拆分!$B$18*建筑各项能耗拆分!M27</f>
        <v>35493687977777.4</v>
      </c>
      <c r="N7" s="1">
        <f>建筑各项能耗拆分!$B$18*建筑各项能耗拆分!N27</f>
        <v>36211898704485.8</v>
      </c>
      <c r="O7" s="1">
        <f>建筑各项能耗拆分!$B$18*建筑各项能耗拆分!O27</f>
        <v>36918778746542.7</v>
      </c>
      <c r="P7" s="1">
        <f>建筑各项能耗拆分!$B$18*建筑各项能耗拆分!P27</f>
        <v>37636659539975.3</v>
      </c>
      <c r="Q7" s="1">
        <f>建筑各项能耗拆分!$B$18*建筑各项能耗拆分!Q27</f>
        <v>38365863287702</v>
      </c>
      <c r="R7" s="1">
        <f>建筑各项能耗拆分!$B$18*建筑各项能耗拆分!R27</f>
        <v>39106527790537.1</v>
      </c>
      <c r="S7" s="1">
        <f>建筑各项能耗拆分!$B$18*建筑各项能耗拆分!S27</f>
        <v>39858664777794.3</v>
      </c>
      <c r="T7" s="1">
        <f>建筑各项能耗拆分!$B$18*建筑各项能耗拆分!T27</f>
        <v>40197235531576.4</v>
      </c>
      <c r="U7" s="1">
        <f>建筑各项能耗拆分!$B$18*建筑各项能耗拆分!U27</f>
        <v>40535887451176.9</v>
      </c>
      <c r="V7" s="1">
        <f>建筑各项能耗拆分!$B$18*建筑各项能耗拆分!V27</f>
        <v>40874353088322.3</v>
      </c>
      <c r="W7" s="1">
        <f>建筑各项能耗拆分!$B$18*建筑各项能耗拆分!W27</f>
        <v>41212818475174.1</v>
      </c>
      <c r="X7" s="1">
        <f>建筑各项能耗拆分!$B$18*建筑各项能耗拆分!X27</f>
        <v>41551216713333.8</v>
      </c>
      <c r="Y7" s="1">
        <f>建筑各项能耗拆分!$B$18*建筑各项能耗拆分!Y27</f>
        <v>41652161062147</v>
      </c>
      <c r="Z7" s="1">
        <f>建筑各项能耗拆分!$B$18*建筑各项能耗拆分!Z27</f>
        <v>41751397539401.7</v>
      </c>
      <c r="AA7" s="1">
        <f>建筑各项能耗拆分!$B$18*建筑各项能耗拆分!AA27</f>
        <v>41848893367725.3</v>
      </c>
      <c r="AB7" s="1">
        <f>建筑各项能耗拆分!$B$18*建筑各项能耗拆分!AB27</f>
        <v>41944678806134.5</v>
      </c>
      <c r="AC7" s="1">
        <f>建筑各项能耗拆分!$B$18*建筑各项能耗拆分!AC27</f>
        <v>42038788724173.6</v>
      </c>
      <c r="AD7" s="1">
        <f>建筑各项能耗拆分!$B$18*建筑各项能耗拆分!AD27</f>
        <v>42065830869761.9</v>
      </c>
      <c r="AE7" s="1">
        <f>建筑各项能耗拆分!$B$18*建筑各项能耗拆分!AE27</f>
        <v>42090239667329.8</v>
      </c>
      <c r="AF7" s="1">
        <f>建筑各项能耗拆分!$B$18*建筑各项能耗拆分!AF27</f>
        <v>42112433938853.4</v>
      </c>
      <c r="AG7" s="1">
        <f>建筑各项能耗拆分!$B$18*建筑各项能耗拆分!AG27</f>
        <v>42132072582697.3</v>
      </c>
      <c r="AH7" s="1">
        <f>建筑各项能耗拆分!$B$18*建筑各项能耗拆分!AH27</f>
        <v>42149043822598.3</v>
      </c>
      <c r="AI7" s="1">
        <f>建筑各项能耗拆分!$B$18*建筑各项能耗拆分!AI27</f>
        <v>41855949685035.9</v>
      </c>
      <c r="AJ7" s="1">
        <f>建筑各项能耗拆分!$B$18*建筑各项能耗拆分!AJ27</f>
        <v>41562896616048.7</v>
      </c>
      <c r="AK7" s="1">
        <f>建筑各项能耗拆分!$B$18*建筑各项能耗拆分!AK27</f>
        <v>41269514572278.4</v>
      </c>
      <c r="AL7" s="1">
        <f>建筑各项能耗拆分!$B$18*建筑各项能耗拆分!AL27</f>
        <v>40976161547718.3</v>
      </c>
      <c r="AM7" s="1">
        <f>建筑各项能耗拆分!$B$18*建筑各项能耗拆分!AM27</f>
        <v>40682647774556.7</v>
      </c>
      <c r="AN7" s="1">
        <f>建筑各项能耗拆分!$B$18*建筑各项能耗拆分!AN27</f>
        <v>40329582088110.8</v>
      </c>
      <c r="AO7" s="1">
        <f>建筑各项能耗拆分!$B$18*建筑各项能耗拆分!AO27</f>
        <v>39976467003143.6</v>
      </c>
      <c r="AP7" s="1">
        <f>建筑各项能耗拆分!$B$18*建筑各项能耗拆分!AP27</f>
        <v>39623174199729.8</v>
      </c>
      <c r="AQ7" s="1">
        <f>建筑各项能耗拆分!$B$18*建筑各项能耗拆分!AQ27</f>
        <v>39269723979693.3</v>
      </c>
      <c r="AR7" s="1">
        <f>建筑各项能耗拆分!$B$18*建筑各项能耗拆分!AR27</f>
        <v>38916126493946.2</v>
      </c>
    </row>
    <row r="8" spans="1:44">
      <c r="A8" t="s">
        <v>1115</v>
      </c>
      <c r="B8" s="1">
        <f>建筑各项能耗拆分!$B$18*建筑各项能耗拆分!B28</f>
        <v>93678544300.7999</v>
      </c>
      <c r="C8" s="1">
        <f>建筑各项能耗拆分!$B$18*建筑各项能耗拆分!C28</f>
        <v>146960719832.772</v>
      </c>
      <c r="D8" s="1">
        <f>建筑各项能耗拆分!$B$18*建筑各项能耗拆分!D28</f>
        <v>146960719832.772</v>
      </c>
      <c r="E8" s="1">
        <f>建筑各项能耗拆分!$B$18*建筑各项能耗拆分!E28</f>
        <v>155125204267.926</v>
      </c>
      <c r="F8" s="1">
        <f>建筑各项能耗拆分!$B$18*建筑各项能耗拆分!F28</f>
        <v>126549508744.887</v>
      </c>
      <c r="G8" s="1">
        <f>建筑各项能耗拆分!$B$18*建筑各项能耗拆分!G28</f>
        <v>136077900000</v>
      </c>
      <c r="H8" s="1">
        <f>建筑各项能耗拆分!$B$18*建筑各项能耗拆分!H28</f>
        <v>139608962390.495</v>
      </c>
      <c r="I8" s="1">
        <f>建筑各项能耗拆分!$B$18*建筑各项能耗拆分!I28</f>
        <v>143215143390.774</v>
      </c>
      <c r="J8" s="1">
        <f>建筑各项能耗拆分!$B$18*建筑各项能耗拆分!J28</f>
        <v>146153930335.918</v>
      </c>
      <c r="K8" s="1">
        <f>建筑各项能耗拆分!$B$18*建筑各项能耗拆分!K28</f>
        <v>149142011265.641</v>
      </c>
      <c r="L8" s="1">
        <f>建筑各项能耗拆分!$B$18*建筑各项能耗拆分!L28</f>
        <v>152180751831.217</v>
      </c>
      <c r="M8" s="1">
        <f>建筑各项能耗拆分!$B$18*建筑各项能耗拆分!M28</f>
        <v>155271021418.721</v>
      </c>
      <c r="N8" s="1">
        <f>建筑各项能耗拆分!$B$18*建筑各项能耗拆分!N28</f>
        <v>158412912822.052</v>
      </c>
      <c r="O8" s="1">
        <f>建筑各项能耗拆分!$B$18*建筑各项能耗拆分!O28</f>
        <v>161505236905.687</v>
      </c>
      <c r="P8" s="1">
        <f>建筑各项能耗拆分!$B$18*建筑各项能耗拆分!P28</f>
        <v>164645684979.804</v>
      </c>
      <c r="Q8" s="1">
        <f>建筑各项能耗拆分!$B$18*建筑各项能耗拆分!Q28</f>
        <v>167835666556.325</v>
      </c>
      <c r="R8" s="1">
        <f>建筑各项能耗拆分!$B$18*建筑各项能耗拆分!R28</f>
        <v>171075784459.988</v>
      </c>
      <c r="S8" s="1">
        <f>建筑各项能耗拆分!$B$18*建筑各项能耗拆分!S28</f>
        <v>174366090001.957</v>
      </c>
      <c r="T8" s="1">
        <f>建筑各项能耗拆分!$B$18*建筑各项能耗拆分!T28</f>
        <v>175847204807.36</v>
      </c>
      <c r="U8" s="1">
        <f>建筑各项能耗拆分!$B$18*建筑各项能耗拆分!U28</f>
        <v>177328674681.516</v>
      </c>
      <c r="V8" s="1">
        <f>建筑各项能耗拆分!$B$18*建筑各项能耗拆分!V28</f>
        <v>178809329642.692</v>
      </c>
      <c r="W8" s="1">
        <f>建筑各项能耗拆分!$B$18*建筑各项能耗拆分!W28</f>
        <v>180289983508.931</v>
      </c>
      <c r="X8" s="1">
        <f>建筑各项能耗拆分!$B$18*建筑各项能耗拆分!X28</f>
        <v>181770343625.869</v>
      </c>
      <c r="Y8" s="1">
        <f>建筑各项能耗拆分!$B$18*建筑各项能耗拆分!Y28</f>
        <v>182211935724.061</v>
      </c>
      <c r="Z8" s="1">
        <f>建筑各项能耗拆分!$B$18*建筑各项能耗拆分!Z28</f>
        <v>182646056551.262</v>
      </c>
      <c r="AA8" s="1">
        <f>建筑各项能耗拆分!$B$18*建筑各项能耗拆分!AA28</f>
        <v>183072562719.27</v>
      </c>
      <c r="AB8" s="1">
        <f>建筑各项能耗拆分!$B$18*建筑各项能耗拆分!AB28</f>
        <v>183491586599.463</v>
      </c>
      <c r="AC8" s="1">
        <f>建筑各项能耗拆分!$B$18*建筑各项能耗拆分!AC28</f>
        <v>183903280732.48</v>
      </c>
      <c r="AD8" s="1">
        <f>建筑各项能耗拆分!$B$18*建筑各项能耗拆分!AD28</f>
        <v>184021579557.034</v>
      </c>
      <c r="AE8" s="1">
        <f>建筑各项能耗拆分!$B$18*建筑各项能耗拆分!AE28</f>
        <v>184128358512.558</v>
      </c>
      <c r="AF8" s="1">
        <f>建筑各项能耗拆分!$B$18*建筑各项能耗拆分!AF28</f>
        <v>184225449781.61</v>
      </c>
      <c r="AG8" s="1">
        <f>建筑各项能耗拆分!$B$18*建筑各项能耗拆分!AG28</f>
        <v>184311361177.766</v>
      </c>
      <c r="AH8" s="1">
        <f>建筑各项能耗拆分!$B$18*建筑各项能耗拆分!AH28</f>
        <v>184385603723.535</v>
      </c>
      <c r="AI8" s="1">
        <f>建筑各项能耗拆分!$B$18*建筑各项能耗拆分!AI28</f>
        <v>183103431351.376</v>
      </c>
      <c r="AJ8" s="1">
        <f>建筑各项能耗拆分!$B$18*建筑各项能耗拆分!AJ28</f>
        <v>181821438638.191</v>
      </c>
      <c r="AK8" s="1">
        <f>建筑各项能耗拆分!$B$18*建筑各项能耗拆分!AK28</f>
        <v>180538006788.826</v>
      </c>
      <c r="AL8" s="1">
        <f>建筑各项能耗拆分!$B$18*建筑各项能耗拆分!AL28</f>
        <v>179254701887.17</v>
      </c>
      <c r="AM8" s="1">
        <f>建筑各项能耗拆分!$B$18*建筑各项能耗拆分!AM28</f>
        <v>177970693773.17</v>
      </c>
      <c r="AN8" s="1">
        <f>建筑各项能耗拆分!$B$18*建筑各项能耗拆分!AN28</f>
        <v>176426169298.941</v>
      </c>
      <c r="AO8" s="1">
        <f>建筑各项能耗拆分!$B$18*建筑各项能耗拆分!AO28</f>
        <v>174881428725.474</v>
      </c>
      <c r="AP8" s="1">
        <f>建筑各项能耗拆分!$B$18*建筑各项能耗拆分!AP28</f>
        <v>173335910703.219</v>
      </c>
      <c r="AQ8" s="1">
        <f>建筑各项能耗拆分!$B$18*建筑各项能耗拆分!AQ28</f>
        <v>171789704044.725</v>
      </c>
      <c r="AR8" s="1">
        <f>建筑各项能耗拆分!$B$18*建筑各项能耗拆分!AR28</f>
        <v>170242853156.268</v>
      </c>
    </row>
    <row r="9" spans="1:44">
      <c r="A9" t="s">
        <v>1116</v>
      </c>
      <c r="B9" s="1">
        <f>建筑各项能耗拆分!$B$18*建筑各项能耗拆分!B29</f>
        <v>0</v>
      </c>
      <c r="C9" s="1">
        <f>建筑各项能耗拆分!$B$18*建筑各项能耗拆分!C29</f>
        <v>0</v>
      </c>
      <c r="D9" s="1">
        <f>建筑各项能耗拆分!$B$18*建筑各项能耗拆分!D29</f>
        <v>0</v>
      </c>
      <c r="E9" s="1">
        <f>建筑各项能耗拆分!$B$18*建筑各项能耗拆分!E29</f>
        <v>0</v>
      </c>
      <c r="F9" s="1">
        <f>建筑各项能耗拆分!$B$18*建筑各项能耗拆分!F29</f>
        <v>0</v>
      </c>
      <c r="G9" s="1">
        <f>建筑各项能耗拆分!$B$18*建筑各项能耗拆分!G29</f>
        <v>0</v>
      </c>
      <c r="H9" s="1">
        <f>建筑各项能耗拆分!$B$18*建筑各项能耗拆分!H29</f>
        <v>0</v>
      </c>
      <c r="I9" s="1">
        <f>建筑各项能耗拆分!$B$18*建筑各项能耗拆分!I29</f>
        <v>0</v>
      </c>
      <c r="J9" s="1">
        <f>建筑各项能耗拆分!$B$18*建筑各项能耗拆分!J29</f>
        <v>0</v>
      </c>
      <c r="K9" s="1">
        <f>建筑各项能耗拆分!$B$18*建筑各项能耗拆分!K29</f>
        <v>0</v>
      </c>
      <c r="L9" s="1">
        <f>建筑各项能耗拆分!$B$18*建筑各项能耗拆分!L29</f>
        <v>0</v>
      </c>
      <c r="M9" s="1">
        <f>建筑各项能耗拆分!$B$18*建筑各项能耗拆分!M29</f>
        <v>0</v>
      </c>
      <c r="N9" s="1">
        <f>建筑各项能耗拆分!$B$18*建筑各项能耗拆分!N29</f>
        <v>0</v>
      </c>
      <c r="O9" s="1">
        <f>建筑各项能耗拆分!$B$18*建筑各项能耗拆分!O29</f>
        <v>0</v>
      </c>
      <c r="P9" s="1">
        <f>建筑各项能耗拆分!$B$18*建筑各项能耗拆分!P29</f>
        <v>0</v>
      </c>
      <c r="Q9" s="1">
        <f>建筑各项能耗拆分!$B$18*建筑各项能耗拆分!Q29</f>
        <v>0</v>
      </c>
      <c r="R9" s="1">
        <f>建筑各项能耗拆分!$B$18*建筑各项能耗拆分!R29</f>
        <v>0</v>
      </c>
      <c r="S9" s="1">
        <f>建筑各项能耗拆分!$B$18*建筑各项能耗拆分!S29</f>
        <v>0</v>
      </c>
      <c r="T9" s="1">
        <f>建筑各项能耗拆分!$B$18*建筑各项能耗拆分!T29</f>
        <v>0</v>
      </c>
      <c r="U9" s="1">
        <f>建筑各项能耗拆分!$B$18*建筑各项能耗拆分!U29</f>
        <v>0</v>
      </c>
      <c r="V9" s="1">
        <f>建筑各项能耗拆分!$B$18*建筑各项能耗拆分!V29</f>
        <v>0</v>
      </c>
      <c r="W9" s="1">
        <f>建筑各项能耗拆分!$B$18*建筑各项能耗拆分!W29</f>
        <v>0</v>
      </c>
      <c r="X9" s="1">
        <f>建筑各项能耗拆分!$B$18*建筑各项能耗拆分!X29</f>
        <v>0</v>
      </c>
      <c r="Y9" s="1">
        <f>建筑各项能耗拆分!$B$18*建筑各项能耗拆分!Y29</f>
        <v>0</v>
      </c>
      <c r="Z9" s="1">
        <f>建筑各项能耗拆分!$B$18*建筑各项能耗拆分!Z29</f>
        <v>0</v>
      </c>
      <c r="AA9" s="1">
        <f>建筑各项能耗拆分!$B$18*建筑各项能耗拆分!AA29</f>
        <v>0</v>
      </c>
      <c r="AB9" s="1">
        <f>建筑各项能耗拆分!$B$18*建筑各项能耗拆分!AB29</f>
        <v>0</v>
      </c>
      <c r="AC9" s="1">
        <f>建筑各项能耗拆分!$B$18*建筑各项能耗拆分!AC29</f>
        <v>0</v>
      </c>
      <c r="AD9" s="1">
        <f>建筑各项能耗拆分!$B$18*建筑各项能耗拆分!AD29</f>
        <v>0</v>
      </c>
      <c r="AE9" s="1">
        <f>建筑各项能耗拆分!$B$18*建筑各项能耗拆分!AE29</f>
        <v>0</v>
      </c>
      <c r="AF9" s="1">
        <f>建筑各项能耗拆分!$B$18*建筑各项能耗拆分!AF29</f>
        <v>0</v>
      </c>
      <c r="AG9" s="1">
        <f>建筑各项能耗拆分!$B$18*建筑各项能耗拆分!AG29</f>
        <v>0</v>
      </c>
      <c r="AH9" s="1">
        <f>建筑各项能耗拆分!$B$18*建筑各项能耗拆分!AH29</f>
        <v>0</v>
      </c>
      <c r="AI9" s="1">
        <f>建筑各项能耗拆分!$B$18*建筑各项能耗拆分!AI29</f>
        <v>0</v>
      </c>
      <c r="AJ9" s="1">
        <f>建筑各项能耗拆分!$B$18*建筑各项能耗拆分!AJ29</f>
        <v>0</v>
      </c>
      <c r="AK9" s="1">
        <f>建筑各项能耗拆分!$B$18*建筑各项能耗拆分!AK29</f>
        <v>0</v>
      </c>
      <c r="AL9" s="1">
        <f>建筑各项能耗拆分!$B$18*建筑各项能耗拆分!AL29</f>
        <v>0</v>
      </c>
      <c r="AM9" s="1">
        <f>建筑各项能耗拆分!$B$18*建筑各项能耗拆分!AM29</f>
        <v>0</v>
      </c>
      <c r="AN9" s="1">
        <f>建筑各项能耗拆分!$B$18*建筑各项能耗拆分!AN29</f>
        <v>0</v>
      </c>
      <c r="AO9" s="1">
        <f>建筑各项能耗拆分!$B$18*建筑各项能耗拆分!AO29</f>
        <v>0</v>
      </c>
      <c r="AP9" s="1">
        <f>建筑各项能耗拆分!$B$18*建筑各项能耗拆分!AP29</f>
        <v>0</v>
      </c>
      <c r="AQ9" s="1">
        <f>建筑各项能耗拆分!$B$18*建筑各项能耗拆分!AQ29</f>
        <v>0</v>
      </c>
      <c r="AR9" s="1">
        <f>建筑各项能耗拆分!$B$18*建筑各项能耗拆分!AR29</f>
        <v>0</v>
      </c>
    </row>
    <row r="10" spans="1:44">
      <c r="A10" t="s">
        <v>1117</v>
      </c>
      <c r="B10" s="1">
        <f>建筑各项能耗拆分!$B$18*建筑各项能耗拆分!B30</f>
        <v>91291436048641.2</v>
      </c>
      <c r="C10" s="1">
        <f>建筑各项能耗拆分!$B$18*建筑各项能耗拆分!C30</f>
        <v>0</v>
      </c>
      <c r="D10" s="1">
        <f>建筑各项能耗拆分!$B$18*建筑各项能耗拆分!D30</f>
        <v>0</v>
      </c>
      <c r="E10" s="1">
        <f>建筑各项能耗拆分!$B$18*建筑各项能耗拆分!E30</f>
        <v>0</v>
      </c>
      <c r="F10" s="1">
        <f>建筑各项能耗拆分!$B$18*建筑各项能耗拆分!F30</f>
        <v>0</v>
      </c>
      <c r="G10" s="1">
        <f>建筑各项能耗拆分!$B$18*建筑各项能耗拆分!G30</f>
        <v>0</v>
      </c>
      <c r="H10" s="1">
        <f>建筑各项能耗拆分!$B$18*建筑各项能耗拆分!H30</f>
        <v>0</v>
      </c>
      <c r="I10" s="1">
        <f>建筑各项能耗拆分!$B$18*建筑各项能耗拆分!I30</f>
        <v>0</v>
      </c>
      <c r="J10" s="1">
        <f>建筑各项能耗拆分!$B$18*建筑各项能耗拆分!J30</f>
        <v>0</v>
      </c>
      <c r="K10" s="1">
        <f>建筑各项能耗拆分!$B$18*建筑各项能耗拆分!K30</f>
        <v>0</v>
      </c>
      <c r="L10" s="1">
        <f>建筑各项能耗拆分!$B$18*建筑各项能耗拆分!L30</f>
        <v>0</v>
      </c>
      <c r="M10" s="1">
        <f>建筑各项能耗拆分!$B$18*建筑各项能耗拆分!M30</f>
        <v>0</v>
      </c>
      <c r="N10" s="1">
        <f>建筑各项能耗拆分!$B$18*建筑各项能耗拆分!N30</f>
        <v>0</v>
      </c>
      <c r="O10" s="1">
        <f>建筑各项能耗拆分!$B$18*建筑各项能耗拆分!O30</f>
        <v>0</v>
      </c>
      <c r="P10" s="1">
        <f>建筑各项能耗拆分!$B$18*建筑各项能耗拆分!P30</f>
        <v>0</v>
      </c>
      <c r="Q10" s="1">
        <f>建筑各项能耗拆分!$B$18*建筑各项能耗拆分!Q30</f>
        <v>0</v>
      </c>
      <c r="R10" s="1">
        <f>建筑各项能耗拆分!$B$18*建筑各项能耗拆分!R30</f>
        <v>0</v>
      </c>
      <c r="S10" s="1">
        <f>建筑各项能耗拆分!$B$18*建筑各项能耗拆分!S30</f>
        <v>0</v>
      </c>
      <c r="T10" s="1">
        <f>建筑各项能耗拆分!$B$18*建筑各项能耗拆分!T30</f>
        <v>0</v>
      </c>
      <c r="U10" s="1">
        <f>建筑各项能耗拆分!$B$18*建筑各项能耗拆分!U30</f>
        <v>0</v>
      </c>
      <c r="V10" s="1">
        <f>建筑各项能耗拆分!$B$18*建筑各项能耗拆分!V30</f>
        <v>0</v>
      </c>
      <c r="W10" s="1">
        <f>建筑各项能耗拆分!$B$18*建筑各项能耗拆分!W30</f>
        <v>0</v>
      </c>
      <c r="X10" s="1">
        <f>建筑各项能耗拆分!$B$18*建筑各项能耗拆分!X30</f>
        <v>0</v>
      </c>
      <c r="Y10" s="1">
        <f>建筑各项能耗拆分!$B$18*建筑各项能耗拆分!Y30</f>
        <v>0</v>
      </c>
      <c r="Z10" s="1">
        <f>建筑各项能耗拆分!$B$18*建筑各项能耗拆分!Z30</f>
        <v>0</v>
      </c>
      <c r="AA10" s="1">
        <f>建筑各项能耗拆分!$B$18*建筑各项能耗拆分!AA30</f>
        <v>0</v>
      </c>
      <c r="AB10" s="1">
        <f>建筑各项能耗拆分!$B$18*建筑各项能耗拆分!AB30</f>
        <v>0</v>
      </c>
      <c r="AC10" s="1">
        <f>建筑各项能耗拆分!$B$18*建筑各项能耗拆分!AC30</f>
        <v>0</v>
      </c>
      <c r="AD10" s="1">
        <f>建筑各项能耗拆分!$B$18*建筑各项能耗拆分!AD30</f>
        <v>0</v>
      </c>
      <c r="AE10" s="1">
        <f>建筑各项能耗拆分!$B$18*建筑各项能耗拆分!AE30</f>
        <v>0</v>
      </c>
      <c r="AF10" s="1">
        <f>建筑各项能耗拆分!$B$18*建筑各项能耗拆分!AF30</f>
        <v>0</v>
      </c>
      <c r="AG10" s="1">
        <f>建筑各项能耗拆分!$B$18*建筑各项能耗拆分!AG30</f>
        <v>0</v>
      </c>
      <c r="AH10" s="1">
        <f>建筑各项能耗拆分!$B$18*建筑各项能耗拆分!AH30</f>
        <v>0</v>
      </c>
      <c r="AI10" s="1">
        <f>建筑各项能耗拆分!$B$18*建筑各项能耗拆分!AI30</f>
        <v>0</v>
      </c>
      <c r="AJ10" s="1">
        <f>建筑各项能耗拆分!$B$18*建筑各项能耗拆分!AJ30</f>
        <v>0</v>
      </c>
      <c r="AK10" s="1">
        <f>建筑各项能耗拆分!$B$18*建筑各项能耗拆分!AK30</f>
        <v>0</v>
      </c>
      <c r="AL10" s="1">
        <f>建筑各项能耗拆分!$B$18*建筑各项能耗拆分!AL30</f>
        <v>0</v>
      </c>
      <c r="AM10" s="1">
        <f>建筑各项能耗拆分!$B$18*建筑各项能耗拆分!AM30</f>
        <v>0</v>
      </c>
      <c r="AN10" s="1">
        <f>建筑各项能耗拆分!$B$18*建筑各项能耗拆分!AN30</f>
        <v>0</v>
      </c>
      <c r="AO10" s="1">
        <f>建筑各项能耗拆分!$B$18*建筑各项能耗拆分!AO30</f>
        <v>0</v>
      </c>
      <c r="AP10" s="1">
        <f>建筑各项能耗拆分!$B$18*建筑各项能耗拆分!AP30</f>
        <v>0</v>
      </c>
      <c r="AQ10" s="1">
        <f>建筑各项能耗拆分!$B$18*建筑各项能耗拆分!AQ30</f>
        <v>0</v>
      </c>
      <c r="AR10" s="1">
        <f>建筑各项能耗拆分!$B$18*建筑各项能耗拆分!AR30</f>
        <v>0</v>
      </c>
    </row>
    <row r="11" spans="1:44">
      <c r="A11" t="s">
        <v>1118</v>
      </c>
      <c r="B11" s="1">
        <f>建筑各项能耗拆分!$B$18*建筑各项能耗拆分!B31</f>
        <v>0</v>
      </c>
      <c r="C11" s="1">
        <f>建筑各项能耗拆分!$B$18*建筑各项能耗拆分!C31</f>
        <v>0</v>
      </c>
      <c r="D11" s="1">
        <f>建筑各项能耗拆分!$B$18*建筑各项能耗拆分!D31</f>
        <v>0</v>
      </c>
      <c r="E11" s="1">
        <f>建筑各项能耗拆分!$B$18*建筑各项能耗拆分!E31</f>
        <v>0</v>
      </c>
      <c r="F11" s="1">
        <f>建筑各项能耗拆分!$B$18*建筑各项能耗拆分!F31</f>
        <v>0</v>
      </c>
      <c r="G11" s="1">
        <f>建筑各项能耗拆分!$B$18*建筑各项能耗拆分!G31</f>
        <v>0</v>
      </c>
      <c r="H11" s="1">
        <f>建筑各项能耗拆分!$B$18*建筑各项能耗拆分!H31</f>
        <v>0</v>
      </c>
      <c r="I11" s="1">
        <f>建筑各项能耗拆分!$B$18*建筑各项能耗拆分!I31</f>
        <v>0</v>
      </c>
      <c r="J11" s="1">
        <f>建筑各项能耗拆分!$B$18*建筑各项能耗拆分!J31</f>
        <v>0</v>
      </c>
      <c r="K11" s="1">
        <f>建筑各项能耗拆分!$B$18*建筑各项能耗拆分!K31</f>
        <v>0</v>
      </c>
      <c r="L11" s="1">
        <f>建筑各项能耗拆分!$B$18*建筑各项能耗拆分!L31</f>
        <v>0</v>
      </c>
      <c r="M11" s="1">
        <f>建筑各项能耗拆分!$B$18*建筑各项能耗拆分!M31</f>
        <v>0</v>
      </c>
      <c r="N11" s="1">
        <f>建筑各项能耗拆分!$B$18*建筑各项能耗拆分!N31</f>
        <v>0</v>
      </c>
      <c r="O11" s="1">
        <f>建筑各项能耗拆分!$B$18*建筑各项能耗拆分!O31</f>
        <v>0</v>
      </c>
      <c r="P11" s="1">
        <f>建筑各项能耗拆分!$B$18*建筑各项能耗拆分!P31</f>
        <v>0</v>
      </c>
      <c r="Q11" s="1">
        <f>建筑各项能耗拆分!$B$18*建筑各项能耗拆分!Q31</f>
        <v>0</v>
      </c>
      <c r="R11" s="1">
        <f>建筑各项能耗拆分!$B$18*建筑各项能耗拆分!R31</f>
        <v>0</v>
      </c>
      <c r="S11" s="1">
        <f>建筑各项能耗拆分!$B$18*建筑各项能耗拆分!S31</f>
        <v>0</v>
      </c>
      <c r="T11" s="1">
        <f>建筑各项能耗拆分!$B$18*建筑各项能耗拆分!T31</f>
        <v>0</v>
      </c>
      <c r="U11" s="1">
        <f>建筑各项能耗拆分!$B$18*建筑各项能耗拆分!U31</f>
        <v>0</v>
      </c>
      <c r="V11" s="1">
        <f>建筑各项能耗拆分!$B$18*建筑各项能耗拆分!V31</f>
        <v>0</v>
      </c>
      <c r="W11" s="1">
        <f>建筑各项能耗拆分!$B$18*建筑各项能耗拆分!W31</f>
        <v>0</v>
      </c>
      <c r="X11" s="1">
        <f>建筑各项能耗拆分!$B$18*建筑各项能耗拆分!X31</f>
        <v>0</v>
      </c>
      <c r="Y11" s="1">
        <f>建筑各项能耗拆分!$B$18*建筑各项能耗拆分!Y31</f>
        <v>0</v>
      </c>
      <c r="Z11" s="1">
        <f>建筑各项能耗拆分!$B$18*建筑各项能耗拆分!Z31</f>
        <v>0</v>
      </c>
      <c r="AA11" s="1">
        <f>建筑各项能耗拆分!$B$18*建筑各项能耗拆分!AA31</f>
        <v>0</v>
      </c>
      <c r="AB11" s="1">
        <f>建筑各项能耗拆分!$B$18*建筑各项能耗拆分!AB31</f>
        <v>0</v>
      </c>
      <c r="AC11" s="1">
        <f>建筑各项能耗拆分!$B$18*建筑各项能耗拆分!AC31</f>
        <v>0</v>
      </c>
      <c r="AD11" s="1">
        <f>建筑各项能耗拆分!$B$18*建筑各项能耗拆分!AD31</f>
        <v>0</v>
      </c>
      <c r="AE11" s="1">
        <f>建筑各项能耗拆分!$B$18*建筑各项能耗拆分!AE31</f>
        <v>0</v>
      </c>
      <c r="AF11" s="1">
        <f>建筑各项能耗拆分!$B$18*建筑各项能耗拆分!AF31</f>
        <v>0</v>
      </c>
      <c r="AG11" s="1">
        <f>建筑各项能耗拆分!$B$18*建筑各项能耗拆分!AG31</f>
        <v>0</v>
      </c>
      <c r="AH11" s="1">
        <f>建筑各项能耗拆分!$B$18*建筑各项能耗拆分!AH31</f>
        <v>0</v>
      </c>
      <c r="AI11" s="1">
        <f>建筑各项能耗拆分!$B$18*建筑各项能耗拆分!AI31</f>
        <v>0</v>
      </c>
      <c r="AJ11" s="1">
        <f>建筑各项能耗拆分!$B$18*建筑各项能耗拆分!AJ31</f>
        <v>0</v>
      </c>
      <c r="AK11" s="1">
        <f>建筑各项能耗拆分!$B$18*建筑各项能耗拆分!AK31</f>
        <v>0</v>
      </c>
      <c r="AL11" s="1">
        <f>建筑各项能耗拆分!$B$18*建筑各项能耗拆分!AL31</f>
        <v>0</v>
      </c>
      <c r="AM11" s="1">
        <f>建筑各项能耗拆分!$B$18*建筑各项能耗拆分!AM31</f>
        <v>0</v>
      </c>
      <c r="AN11" s="1">
        <f>建筑各项能耗拆分!$B$18*建筑各项能耗拆分!AN31</f>
        <v>0</v>
      </c>
      <c r="AO11" s="1">
        <f>建筑各项能耗拆分!$B$18*建筑各项能耗拆分!AO31</f>
        <v>0</v>
      </c>
      <c r="AP11" s="1">
        <f>建筑各项能耗拆分!$B$18*建筑各项能耗拆分!AP31</f>
        <v>0</v>
      </c>
      <c r="AQ11" s="1">
        <f>建筑各项能耗拆分!$B$18*建筑各项能耗拆分!AQ31</f>
        <v>0</v>
      </c>
      <c r="AR11" s="1">
        <f>建筑各项能耗拆分!$B$18*建筑各项能耗拆分!AR31</f>
        <v>0</v>
      </c>
    </row>
    <row r="12" spans="1:44">
      <c r="A12" t="s">
        <v>1119</v>
      </c>
      <c r="B12" s="1">
        <f>SUM(B2:B11)</f>
        <v>2513803814383860</v>
      </c>
      <c r="C12" s="1">
        <f t="shared" ref="C12:AR12" si="0">SUM(C2:C11)</f>
        <v>3372905130112210</v>
      </c>
      <c r="D12" s="1">
        <f t="shared" si="0"/>
        <v>3517969729116020</v>
      </c>
      <c r="E12" s="1">
        <f t="shared" si="0"/>
        <v>3628065444451910</v>
      </c>
      <c r="F12" s="1">
        <f t="shared" si="0"/>
        <v>3625863982843260</v>
      </c>
      <c r="G12" s="1">
        <f t="shared" si="0"/>
        <v>3657409003884680</v>
      </c>
      <c r="H12" s="1">
        <f t="shared" si="0"/>
        <v>3737058256402760</v>
      </c>
      <c r="I12" s="1">
        <f t="shared" si="0"/>
        <v>3830698538215080</v>
      </c>
      <c r="J12" s="1">
        <f t="shared" si="0"/>
        <v>3908036002373460</v>
      </c>
      <c r="K12" s="1">
        <f t="shared" si="0"/>
        <v>3986705084923520</v>
      </c>
      <c r="L12" s="1">
        <f t="shared" si="0"/>
        <v>4066417235342840</v>
      </c>
      <c r="M12" s="1">
        <f t="shared" si="0"/>
        <v>4147430367191550</v>
      </c>
      <c r="N12" s="1">
        <f t="shared" si="0"/>
        <v>4229680009454380</v>
      </c>
      <c r="O12" s="1">
        <f t="shared" si="0"/>
        <v>4309367257845220</v>
      </c>
      <c r="P12" s="1">
        <f t="shared" si="0"/>
        <v>4390093882443000</v>
      </c>
      <c r="Q12" s="1">
        <f t="shared" si="0"/>
        <v>4471946562791550</v>
      </c>
      <c r="R12" s="1">
        <f t="shared" si="0"/>
        <v>4554868260154140</v>
      </c>
      <c r="S12" s="1">
        <f t="shared" si="0"/>
        <v>4639166571330220</v>
      </c>
      <c r="T12" s="1">
        <f t="shared" si="0"/>
        <v>4676153359610400</v>
      </c>
      <c r="U12" s="1">
        <f t="shared" si="0"/>
        <v>4712908764454000</v>
      </c>
      <c r="V12" s="1">
        <f t="shared" si="0"/>
        <v>4749907424453920</v>
      </c>
      <c r="W12" s="1">
        <f t="shared" si="0"/>
        <v>4786806012270650</v>
      </c>
      <c r="X12" s="1">
        <f t="shared" si="0"/>
        <v>4823503800023550</v>
      </c>
      <c r="Y12" s="1">
        <f t="shared" si="0"/>
        <v>4831260056498530</v>
      </c>
      <c r="Z12" s="1">
        <f t="shared" si="0"/>
        <v>4838674684059640</v>
      </c>
      <c r="AA12" s="1">
        <f t="shared" si="0"/>
        <v>4845731221527490</v>
      </c>
      <c r="AB12" s="1">
        <f t="shared" si="0"/>
        <v>4852462992602350</v>
      </c>
      <c r="AC12" s="1">
        <f t="shared" si="0"/>
        <v>4858871410223020</v>
      </c>
      <c r="AD12" s="1">
        <f t="shared" si="0"/>
        <v>4857360523037690</v>
      </c>
      <c r="AE12" s="1">
        <f t="shared" si="0"/>
        <v>4855389233030260</v>
      </c>
      <c r="AF12" s="1">
        <f t="shared" si="0"/>
        <v>4853036978257810</v>
      </c>
      <c r="AG12" s="1">
        <f t="shared" si="0"/>
        <v>4850253899456970</v>
      </c>
      <c r="AH12" s="1">
        <f t="shared" si="0"/>
        <v>4847026351572120</v>
      </c>
      <c r="AI12" s="1">
        <f t="shared" si="0"/>
        <v>4809554295620750</v>
      </c>
      <c r="AJ12" s="1">
        <f t="shared" si="0"/>
        <v>4772020064920250</v>
      </c>
      <c r="AK12" s="1">
        <f t="shared" si="0"/>
        <v>4734368522639930</v>
      </c>
      <c r="AL12" s="1">
        <f t="shared" si="0"/>
        <v>4696634504676130</v>
      </c>
      <c r="AM12" s="1">
        <f t="shared" si="0"/>
        <v>4658830229862940</v>
      </c>
      <c r="AN12" s="1">
        <f t="shared" si="0"/>
        <v>4614534383337310</v>
      </c>
      <c r="AO12" s="1">
        <f t="shared" si="0"/>
        <v>4570168343348260</v>
      </c>
      <c r="AP12" s="1">
        <f t="shared" si="0"/>
        <v>4525682962921960</v>
      </c>
      <c r="AQ12" s="1">
        <f t="shared" si="0"/>
        <v>4481116160405260</v>
      </c>
      <c r="AR12" s="1">
        <f t="shared" si="0"/>
        <v>4436447536066430</v>
      </c>
    </row>
  </sheetData>
  <pageMargins left="0.7" right="0.7" top="0.75" bottom="0.75" header="0.3" footer="0.3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AR11"/>
  <sheetViews>
    <sheetView workbookViewId="0">
      <selection activeCell="A1" sqref="$A1:$XFD1048576"/>
    </sheetView>
  </sheetViews>
  <sheetFormatPr defaultColWidth="9" defaultRowHeight="13.5"/>
  <cols>
    <col min="1" max="1" width="37.25" customWidth="1"/>
    <col min="2" max="44" width="13.6333333333333" customWidth="1"/>
  </cols>
  <sheetData>
    <row r="1" spans="1:44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>
      <c r="A2" t="s">
        <v>1109</v>
      </c>
      <c r="B2" s="1">
        <f>建筑各项能耗拆分!$B$18*建筑各项能耗拆分!B35</f>
        <v>384876300278201</v>
      </c>
      <c r="C2" s="1">
        <f>建筑各项能耗拆分!$B$18*建筑各项能耗拆分!C35</f>
        <v>906082001867968</v>
      </c>
      <c r="D2" s="1">
        <f>建筑各项能耗拆分!$B$18*建筑各项能耗拆分!D35</f>
        <v>953715860276762</v>
      </c>
      <c r="E2" s="1">
        <f>建筑各项能耗拆分!$B$18*建筑各项能耗拆分!E35</f>
        <v>1026787332987620</v>
      </c>
      <c r="F2" s="1">
        <f>建筑各项能耗拆分!$B$18*建筑各项能耗拆分!F35</f>
        <v>1130759968920310</v>
      </c>
      <c r="G2" s="1">
        <f>建筑各项能耗拆分!$B$18*建筑各项能耗拆分!G35</f>
        <v>1140965737030360</v>
      </c>
      <c r="H2" s="1">
        <f>建筑各项能耗拆分!$B$18*建筑各项能耗拆分!H35</f>
        <v>1223624458202050</v>
      </c>
      <c r="I2" s="1">
        <f>建筑各项能耗拆分!$B$18*建筑各项能耗拆分!I35</f>
        <v>1311744496223360</v>
      </c>
      <c r="J2" s="1">
        <f>建筑各项能耗拆分!$B$18*建筑各项能耗拆分!J35</f>
        <v>1376453629273230</v>
      </c>
      <c r="K2" s="1">
        <f>建筑各项能耗拆分!$B$18*建筑各项能耗拆分!K35</f>
        <v>1443033512583150</v>
      </c>
      <c r="L2" s="1">
        <f>建筑各项能耗拆分!$B$18*建筑各项能耗拆分!L35</f>
        <v>1506639229898730</v>
      </c>
      <c r="M2" s="1">
        <f>建筑各项能耗拆分!$B$18*建筑各项能耗拆分!M35</f>
        <v>1570794038897300</v>
      </c>
      <c r="N2" s="1">
        <f>建筑各项能耗拆分!$B$18*建筑各项能耗拆分!N35</f>
        <v>1634391953362490</v>
      </c>
      <c r="O2" s="1">
        <f>建筑各项能耗拆分!$B$18*建筑各项能耗拆分!O35</f>
        <v>1697340365175830</v>
      </c>
      <c r="P2" s="1">
        <f>建筑各项能耗拆分!$B$18*建筑各项能耗拆分!P35</f>
        <v>1758932129199300</v>
      </c>
      <c r="Q2" s="1">
        <f>建筑各项能耗拆分!$B$18*建筑各项能耗拆分!Q35</f>
        <v>1820084770642560</v>
      </c>
      <c r="R2" s="1">
        <f>建筑各项能耗拆分!$B$18*建筑各项能耗拆分!R35</f>
        <v>1879592374630340</v>
      </c>
      <c r="S2" s="1">
        <f>建筑各项能耗拆分!$B$18*建筑各项能耗拆分!S35</f>
        <v>1942115756614940</v>
      </c>
      <c r="T2" s="1">
        <f>建筑各项能耗拆分!$B$18*建筑各项能耗拆分!T35</f>
        <v>1995935589222040</v>
      </c>
      <c r="U2" s="1">
        <f>建筑各项能耗拆分!$B$18*建筑各项能耗拆分!U35</f>
        <v>2048226445423460</v>
      </c>
      <c r="V2" s="1">
        <f>建筑各项能耗拆分!$B$18*建筑各项能耗拆分!V35</f>
        <v>2105763496535160</v>
      </c>
      <c r="W2" s="1">
        <f>建筑各项能耗拆分!$B$18*建筑各项能耗拆分!W35</f>
        <v>2163593336856480</v>
      </c>
      <c r="X2" s="1">
        <f>建筑各项能耗拆分!$B$18*建筑各项能耗拆分!X35</f>
        <v>2220576692300390</v>
      </c>
      <c r="Y2" s="1">
        <f>建筑各项能耗拆分!$B$18*建筑各项能耗拆分!Y35</f>
        <v>2271564344963760</v>
      </c>
      <c r="Z2" s="1">
        <f>建筑各项能耗拆分!$B$18*建筑各项能耗拆分!Z35</f>
        <v>2321582225959270</v>
      </c>
      <c r="AA2" s="1">
        <f>建筑各项能耗拆分!$B$18*建筑各项能耗拆分!AA35</f>
        <v>2370709049175070</v>
      </c>
      <c r="AB2" s="1">
        <f>建筑各项能耗拆分!$B$18*建筑各项能耗拆分!AB35</f>
        <v>2418968186182160</v>
      </c>
      <c r="AC2" s="1">
        <f>建筑各项能耗拆分!$B$18*建筑各项能耗拆分!AC35</f>
        <v>2466409212976970</v>
      </c>
      <c r="AD2" s="1">
        <f>建筑各项能耗拆分!$B$18*建筑各项能耗拆分!AD35</f>
        <v>2510859367542740</v>
      </c>
      <c r="AE2" s="1">
        <f>建筑各项能耗拆分!$B$18*建筑各项能耗拆分!AE35</f>
        <v>2554317076486060</v>
      </c>
      <c r="AF2" s="1">
        <f>建筑各项能耗拆分!$B$18*建筑各项能耗拆分!AF35</f>
        <v>2596823742715070</v>
      </c>
      <c r="AG2" s="1">
        <f>建筑各项能耗拆分!$B$18*建筑各项能耗拆分!AG35</f>
        <v>2638609720365580</v>
      </c>
      <c r="AH2" s="1">
        <f>建筑各项能耗拆分!$B$18*建筑各项能耗拆分!AH35</f>
        <v>2679463002196020</v>
      </c>
      <c r="AI2" s="1">
        <f>建筑各项能耗拆分!$B$18*建筑各项能耗拆分!AI35</f>
        <v>2716019801581880</v>
      </c>
      <c r="AJ2" s="1">
        <f>建筑各项能耗拆分!$B$18*建筑各项能耗拆分!AJ35</f>
        <v>2751535042437920</v>
      </c>
      <c r="AK2" s="1">
        <f>建筑各项能耗拆分!$B$18*建筑各项能耗拆分!AK35</f>
        <v>2786015092877670</v>
      </c>
      <c r="AL2" s="1">
        <f>建筑各项能耗拆分!$B$18*建筑各项能耗拆分!AL35</f>
        <v>2819533524121520</v>
      </c>
      <c r="AM2" s="1">
        <f>建筑各项能耗拆分!$B$18*建筑各项能耗拆分!AM35</f>
        <v>2852053593009990</v>
      </c>
      <c r="AN2" s="1">
        <f>建筑各项能耗拆分!$B$18*建筑各项能耗拆分!AN35</f>
        <v>2880369945605410</v>
      </c>
      <c r="AO2" s="1">
        <f>建筑各项能耗拆分!$B$18*建筑各项能耗拆分!AO35</f>
        <v>2907541308617900</v>
      </c>
      <c r="AP2" s="1">
        <f>建筑各项能耗拆分!$B$18*建筑各项能耗拆分!AP35</f>
        <v>2933621113533330</v>
      </c>
      <c r="AQ2" s="1">
        <f>建筑各项能耗拆分!$B$18*建筑各项能耗拆分!AQ35</f>
        <v>2958637216362890</v>
      </c>
      <c r="AR2" s="1">
        <f>建筑各项能耗拆分!$B$18*建筑各项能耗拆分!AR35</f>
        <v>2982551149337040</v>
      </c>
    </row>
    <row r="3" spans="1:44">
      <c r="A3" t="s">
        <v>1110</v>
      </c>
      <c r="B3" s="1">
        <f>建筑各项能耗拆分!$B$18*建筑各项能耗拆分!B36</f>
        <v>0</v>
      </c>
      <c r="C3" s="1">
        <f>建筑各项能耗拆分!$B$18*建筑各项能耗拆分!C36</f>
        <v>0</v>
      </c>
      <c r="D3" s="1">
        <f>建筑各项能耗拆分!$B$18*建筑各项能耗拆分!D36</f>
        <v>0</v>
      </c>
      <c r="E3" s="1">
        <f>建筑各项能耗拆分!$B$18*建筑各项能耗拆分!E36</f>
        <v>0</v>
      </c>
      <c r="F3" s="1">
        <f>建筑各项能耗拆分!$B$18*建筑各项能耗拆分!F36</f>
        <v>0</v>
      </c>
      <c r="G3" s="1">
        <f>建筑各项能耗拆分!$B$18*建筑各项能耗拆分!G36</f>
        <v>0</v>
      </c>
      <c r="H3" s="1">
        <f>建筑各项能耗拆分!$B$18*建筑各项能耗拆分!H36</f>
        <v>0</v>
      </c>
      <c r="I3" s="1">
        <f>建筑各项能耗拆分!$B$18*建筑各项能耗拆分!I36</f>
        <v>0</v>
      </c>
      <c r="J3" s="1">
        <f>建筑各项能耗拆分!$B$18*建筑各项能耗拆分!J36</f>
        <v>0</v>
      </c>
      <c r="K3" s="1">
        <f>建筑各项能耗拆分!$B$18*建筑各项能耗拆分!K36</f>
        <v>0</v>
      </c>
      <c r="L3" s="1">
        <f>建筑各项能耗拆分!$B$18*建筑各项能耗拆分!L36</f>
        <v>0</v>
      </c>
      <c r="M3" s="1">
        <f>建筑各项能耗拆分!$B$18*建筑各项能耗拆分!M36</f>
        <v>0</v>
      </c>
      <c r="N3" s="1">
        <f>建筑各项能耗拆分!$B$18*建筑各项能耗拆分!N36</f>
        <v>0</v>
      </c>
      <c r="O3" s="1">
        <f>建筑各项能耗拆分!$B$18*建筑各项能耗拆分!O36</f>
        <v>0</v>
      </c>
      <c r="P3" s="1">
        <f>建筑各项能耗拆分!$B$18*建筑各项能耗拆分!P36</f>
        <v>0</v>
      </c>
      <c r="Q3" s="1">
        <f>建筑各项能耗拆分!$B$18*建筑各项能耗拆分!Q36</f>
        <v>0</v>
      </c>
      <c r="R3" s="1">
        <f>建筑各项能耗拆分!$B$18*建筑各项能耗拆分!R36</f>
        <v>0</v>
      </c>
      <c r="S3" s="1">
        <f>建筑各项能耗拆分!$B$18*建筑各项能耗拆分!S36</f>
        <v>0</v>
      </c>
      <c r="T3" s="1">
        <f>建筑各项能耗拆分!$B$18*建筑各项能耗拆分!T36</f>
        <v>0</v>
      </c>
      <c r="U3" s="1">
        <f>建筑各项能耗拆分!$B$18*建筑各项能耗拆分!U36</f>
        <v>0</v>
      </c>
      <c r="V3" s="1">
        <f>建筑各项能耗拆分!$B$18*建筑各项能耗拆分!V36</f>
        <v>0</v>
      </c>
      <c r="W3" s="1">
        <f>建筑各项能耗拆分!$B$18*建筑各项能耗拆分!W36</f>
        <v>0</v>
      </c>
      <c r="X3" s="1">
        <f>建筑各项能耗拆分!$B$18*建筑各项能耗拆分!X36</f>
        <v>0</v>
      </c>
      <c r="Y3" s="1">
        <f>建筑各项能耗拆分!$B$18*建筑各项能耗拆分!Y36</f>
        <v>0</v>
      </c>
      <c r="Z3" s="1">
        <f>建筑各项能耗拆分!$B$18*建筑各项能耗拆分!Z36</f>
        <v>0</v>
      </c>
      <c r="AA3" s="1">
        <f>建筑各项能耗拆分!$B$18*建筑各项能耗拆分!AA36</f>
        <v>0</v>
      </c>
      <c r="AB3" s="1">
        <f>建筑各项能耗拆分!$B$18*建筑各项能耗拆分!AB36</f>
        <v>0</v>
      </c>
      <c r="AC3" s="1">
        <f>建筑各项能耗拆分!$B$18*建筑各项能耗拆分!AC36</f>
        <v>0</v>
      </c>
      <c r="AD3" s="1">
        <f>建筑各项能耗拆分!$B$18*建筑各项能耗拆分!AD36</f>
        <v>0</v>
      </c>
      <c r="AE3" s="1">
        <f>建筑各项能耗拆分!$B$18*建筑各项能耗拆分!AE36</f>
        <v>0</v>
      </c>
      <c r="AF3" s="1">
        <f>建筑各项能耗拆分!$B$18*建筑各项能耗拆分!AF36</f>
        <v>0</v>
      </c>
      <c r="AG3" s="1">
        <f>建筑各项能耗拆分!$B$18*建筑各项能耗拆分!AG36</f>
        <v>0</v>
      </c>
      <c r="AH3" s="1">
        <f>建筑各项能耗拆分!$B$18*建筑各项能耗拆分!AH36</f>
        <v>0</v>
      </c>
      <c r="AI3" s="1">
        <f>建筑各项能耗拆分!$B$18*建筑各项能耗拆分!AI36</f>
        <v>0</v>
      </c>
      <c r="AJ3" s="1">
        <f>建筑各项能耗拆分!$B$18*建筑各项能耗拆分!AJ36</f>
        <v>0</v>
      </c>
      <c r="AK3" s="1">
        <f>建筑各项能耗拆分!$B$18*建筑各项能耗拆分!AK36</f>
        <v>0</v>
      </c>
      <c r="AL3" s="1">
        <f>建筑各项能耗拆分!$B$18*建筑各项能耗拆分!AL36</f>
        <v>0</v>
      </c>
      <c r="AM3" s="1">
        <f>建筑各项能耗拆分!$B$18*建筑各项能耗拆分!AM36</f>
        <v>0</v>
      </c>
      <c r="AN3" s="1">
        <f>建筑各项能耗拆分!$B$18*建筑各项能耗拆分!AN36</f>
        <v>0</v>
      </c>
      <c r="AO3" s="1">
        <f>建筑各项能耗拆分!$B$18*建筑各项能耗拆分!AO36</f>
        <v>0</v>
      </c>
      <c r="AP3" s="1">
        <f>建筑各项能耗拆分!$B$18*建筑各项能耗拆分!AP36</f>
        <v>0</v>
      </c>
      <c r="AQ3" s="1">
        <f>建筑各项能耗拆分!$B$18*建筑各项能耗拆分!AQ36</f>
        <v>0</v>
      </c>
      <c r="AR3" s="1">
        <f>建筑各项能耗拆分!$B$18*建筑各项能耗拆分!AR36</f>
        <v>0</v>
      </c>
    </row>
    <row r="4" spans="1:44">
      <c r="A4" t="s">
        <v>1111</v>
      </c>
      <c r="B4" s="1">
        <f>建筑各项能耗拆分!$B$18*建筑各项能耗拆分!B37</f>
        <v>0</v>
      </c>
      <c r="C4" s="1">
        <f>建筑各项能耗拆分!$B$18*建筑各项能耗拆分!C37</f>
        <v>0</v>
      </c>
      <c r="D4" s="1">
        <f>建筑各项能耗拆分!$B$18*建筑各项能耗拆分!D37</f>
        <v>0</v>
      </c>
      <c r="E4" s="1">
        <f>建筑各项能耗拆分!$B$18*建筑各项能耗拆分!E37</f>
        <v>0</v>
      </c>
      <c r="F4" s="1">
        <f>建筑各项能耗拆分!$B$18*建筑各项能耗拆分!F37</f>
        <v>0</v>
      </c>
      <c r="G4" s="1">
        <f>建筑各项能耗拆分!$B$18*建筑各项能耗拆分!G37</f>
        <v>0</v>
      </c>
      <c r="H4" s="1">
        <f>建筑各项能耗拆分!$B$18*建筑各项能耗拆分!H37</f>
        <v>0</v>
      </c>
      <c r="I4" s="1">
        <f>建筑各项能耗拆分!$B$18*建筑各项能耗拆分!I37</f>
        <v>0</v>
      </c>
      <c r="J4" s="1">
        <f>建筑各项能耗拆分!$B$18*建筑各项能耗拆分!J37</f>
        <v>0</v>
      </c>
      <c r="K4" s="1">
        <f>建筑各项能耗拆分!$B$18*建筑各项能耗拆分!K37</f>
        <v>0</v>
      </c>
      <c r="L4" s="1">
        <f>建筑各项能耗拆分!$B$18*建筑各项能耗拆分!L37</f>
        <v>0</v>
      </c>
      <c r="M4" s="1">
        <f>建筑各项能耗拆分!$B$18*建筑各项能耗拆分!M37</f>
        <v>0</v>
      </c>
      <c r="N4" s="1">
        <f>建筑各项能耗拆分!$B$18*建筑各项能耗拆分!N37</f>
        <v>0</v>
      </c>
      <c r="O4" s="1">
        <f>建筑各项能耗拆分!$B$18*建筑各项能耗拆分!O37</f>
        <v>0</v>
      </c>
      <c r="P4" s="1">
        <f>建筑各项能耗拆分!$B$18*建筑各项能耗拆分!P37</f>
        <v>0</v>
      </c>
      <c r="Q4" s="1">
        <f>建筑各项能耗拆分!$B$18*建筑各项能耗拆分!Q37</f>
        <v>0</v>
      </c>
      <c r="R4" s="1">
        <f>建筑各项能耗拆分!$B$18*建筑各项能耗拆分!R37</f>
        <v>0</v>
      </c>
      <c r="S4" s="1">
        <f>建筑各项能耗拆分!$B$18*建筑各项能耗拆分!S37</f>
        <v>0</v>
      </c>
      <c r="T4" s="1">
        <f>建筑各项能耗拆分!$B$18*建筑各项能耗拆分!T37</f>
        <v>0</v>
      </c>
      <c r="U4" s="1">
        <f>建筑各项能耗拆分!$B$18*建筑各项能耗拆分!U37</f>
        <v>0</v>
      </c>
      <c r="V4" s="1">
        <f>建筑各项能耗拆分!$B$18*建筑各项能耗拆分!V37</f>
        <v>0</v>
      </c>
      <c r="W4" s="1">
        <f>建筑各项能耗拆分!$B$18*建筑各项能耗拆分!W37</f>
        <v>0</v>
      </c>
      <c r="X4" s="1">
        <f>建筑各项能耗拆分!$B$18*建筑各项能耗拆分!X37</f>
        <v>0</v>
      </c>
      <c r="Y4" s="1">
        <f>建筑各项能耗拆分!$B$18*建筑各项能耗拆分!Y37</f>
        <v>0</v>
      </c>
      <c r="Z4" s="1">
        <f>建筑各项能耗拆分!$B$18*建筑各项能耗拆分!Z37</f>
        <v>0</v>
      </c>
      <c r="AA4" s="1">
        <f>建筑各项能耗拆分!$B$18*建筑各项能耗拆分!AA37</f>
        <v>0</v>
      </c>
      <c r="AB4" s="1">
        <f>建筑各项能耗拆分!$B$18*建筑各项能耗拆分!AB37</f>
        <v>0</v>
      </c>
      <c r="AC4" s="1">
        <f>建筑各项能耗拆分!$B$18*建筑各项能耗拆分!AC37</f>
        <v>0</v>
      </c>
      <c r="AD4" s="1">
        <f>建筑各项能耗拆分!$B$18*建筑各项能耗拆分!AD37</f>
        <v>0</v>
      </c>
      <c r="AE4" s="1">
        <f>建筑各项能耗拆分!$B$18*建筑各项能耗拆分!AE37</f>
        <v>0</v>
      </c>
      <c r="AF4" s="1">
        <f>建筑各项能耗拆分!$B$18*建筑各项能耗拆分!AF37</f>
        <v>0</v>
      </c>
      <c r="AG4" s="1">
        <f>建筑各项能耗拆分!$B$18*建筑各项能耗拆分!AG37</f>
        <v>0</v>
      </c>
      <c r="AH4" s="1">
        <f>建筑各项能耗拆分!$B$18*建筑各项能耗拆分!AH37</f>
        <v>0</v>
      </c>
      <c r="AI4" s="1">
        <f>建筑各项能耗拆分!$B$18*建筑各项能耗拆分!AI37</f>
        <v>0</v>
      </c>
      <c r="AJ4" s="1">
        <f>建筑各项能耗拆分!$B$18*建筑各项能耗拆分!AJ37</f>
        <v>0</v>
      </c>
      <c r="AK4" s="1">
        <f>建筑各项能耗拆分!$B$18*建筑各项能耗拆分!AK37</f>
        <v>0</v>
      </c>
      <c r="AL4" s="1">
        <f>建筑各项能耗拆分!$B$18*建筑各项能耗拆分!AL37</f>
        <v>0</v>
      </c>
      <c r="AM4" s="1">
        <f>建筑各项能耗拆分!$B$18*建筑各项能耗拆分!AM37</f>
        <v>0</v>
      </c>
      <c r="AN4" s="1">
        <f>建筑各项能耗拆分!$B$18*建筑各项能耗拆分!AN37</f>
        <v>0</v>
      </c>
      <c r="AO4" s="1">
        <f>建筑各项能耗拆分!$B$18*建筑各项能耗拆分!AO37</f>
        <v>0</v>
      </c>
      <c r="AP4" s="1">
        <f>建筑各项能耗拆分!$B$18*建筑各项能耗拆分!AP37</f>
        <v>0</v>
      </c>
      <c r="AQ4" s="1">
        <f>建筑各项能耗拆分!$B$18*建筑各项能耗拆分!AQ37</f>
        <v>0</v>
      </c>
      <c r="AR4" s="1">
        <f>建筑各项能耗拆分!$B$18*建筑各项能耗拆分!AR37</f>
        <v>0</v>
      </c>
    </row>
    <row r="5" spans="1:44">
      <c r="A5" t="s">
        <v>1112</v>
      </c>
      <c r="B5" s="1">
        <f>建筑各项能耗拆分!$B$18*建筑各项能耗拆分!B38</f>
        <v>0</v>
      </c>
      <c r="C5" s="1">
        <f>建筑各项能耗拆分!$B$18*建筑各项能耗拆分!C38</f>
        <v>0</v>
      </c>
      <c r="D5" s="1">
        <f>建筑各项能耗拆分!$B$18*建筑各项能耗拆分!D38</f>
        <v>0</v>
      </c>
      <c r="E5" s="1">
        <f>建筑各项能耗拆分!$B$18*建筑各项能耗拆分!E38</f>
        <v>0</v>
      </c>
      <c r="F5" s="1">
        <f>建筑各项能耗拆分!$B$18*建筑各项能耗拆分!F38</f>
        <v>0</v>
      </c>
      <c r="G5" s="1">
        <f>建筑各项能耗拆分!$B$18*建筑各项能耗拆分!G38</f>
        <v>0</v>
      </c>
      <c r="H5" s="1">
        <f>建筑各项能耗拆分!$B$18*建筑各项能耗拆分!H38</f>
        <v>0</v>
      </c>
      <c r="I5" s="1">
        <f>建筑各项能耗拆分!$B$18*建筑各项能耗拆分!I38</f>
        <v>0</v>
      </c>
      <c r="J5" s="1">
        <f>建筑各项能耗拆分!$B$18*建筑各项能耗拆分!J38</f>
        <v>0</v>
      </c>
      <c r="K5" s="1">
        <f>建筑各项能耗拆分!$B$18*建筑各项能耗拆分!K38</f>
        <v>0</v>
      </c>
      <c r="L5" s="1">
        <f>建筑各项能耗拆分!$B$18*建筑各项能耗拆分!L38</f>
        <v>0</v>
      </c>
      <c r="M5" s="1">
        <f>建筑各项能耗拆分!$B$18*建筑各项能耗拆分!M38</f>
        <v>0</v>
      </c>
      <c r="N5" s="1">
        <f>建筑各项能耗拆分!$B$18*建筑各项能耗拆分!N38</f>
        <v>0</v>
      </c>
      <c r="O5" s="1">
        <f>建筑各项能耗拆分!$B$18*建筑各项能耗拆分!O38</f>
        <v>0</v>
      </c>
      <c r="P5" s="1">
        <f>建筑各项能耗拆分!$B$18*建筑各项能耗拆分!P38</f>
        <v>0</v>
      </c>
      <c r="Q5" s="1">
        <f>建筑各项能耗拆分!$B$18*建筑各项能耗拆分!Q38</f>
        <v>0</v>
      </c>
      <c r="R5" s="1">
        <f>建筑各项能耗拆分!$B$18*建筑各项能耗拆分!R38</f>
        <v>0</v>
      </c>
      <c r="S5" s="1">
        <f>建筑各项能耗拆分!$B$18*建筑各项能耗拆分!S38</f>
        <v>0</v>
      </c>
      <c r="T5" s="1">
        <f>建筑各项能耗拆分!$B$18*建筑各项能耗拆分!T38</f>
        <v>0</v>
      </c>
      <c r="U5" s="1">
        <f>建筑各项能耗拆分!$B$18*建筑各项能耗拆分!U38</f>
        <v>0</v>
      </c>
      <c r="V5" s="1">
        <f>建筑各项能耗拆分!$B$18*建筑各项能耗拆分!V38</f>
        <v>0</v>
      </c>
      <c r="W5" s="1">
        <f>建筑各项能耗拆分!$B$18*建筑各项能耗拆分!W38</f>
        <v>0</v>
      </c>
      <c r="X5" s="1">
        <f>建筑各项能耗拆分!$B$18*建筑各项能耗拆分!X38</f>
        <v>0</v>
      </c>
      <c r="Y5" s="1">
        <f>建筑各项能耗拆分!$B$18*建筑各项能耗拆分!Y38</f>
        <v>0</v>
      </c>
      <c r="Z5" s="1">
        <f>建筑各项能耗拆分!$B$18*建筑各项能耗拆分!Z38</f>
        <v>0</v>
      </c>
      <c r="AA5" s="1">
        <f>建筑各项能耗拆分!$B$18*建筑各项能耗拆分!AA38</f>
        <v>0</v>
      </c>
      <c r="AB5" s="1">
        <f>建筑各项能耗拆分!$B$18*建筑各项能耗拆分!AB38</f>
        <v>0</v>
      </c>
      <c r="AC5" s="1">
        <f>建筑各项能耗拆分!$B$18*建筑各项能耗拆分!AC38</f>
        <v>0</v>
      </c>
      <c r="AD5" s="1">
        <f>建筑各项能耗拆分!$B$18*建筑各项能耗拆分!AD38</f>
        <v>0</v>
      </c>
      <c r="AE5" s="1">
        <f>建筑各项能耗拆分!$B$18*建筑各项能耗拆分!AE38</f>
        <v>0</v>
      </c>
      <c r="AF5" s="1">
        <f>建筑各项能耗拆分!$B$18*建筑各项能耗拆分!AF38</f>
        <v>0</v>
      </c>
      <c r="AG5" s="1">
        <f>建筑各项能耗拆分!$B$18*建筑各项能耗拆分!AG38</f>
        <v>0</v>
      </c>
      <c r="AH5" s="1">
        <f>建筑各项能耗拆分!$B$18*建筑各项能耗拆分!AH38</f>
        <v>0</v>
      </c>
      <c r="AI5" s="1">
        <f>建筑各项能耗拆分!$B$18*建筑各项能耗拆分!AI38</f>
        <v>0</v>
      </c>
      <c r="AJ5" s="1">
        <f>建筑各项能耗拆分!$B$18*建筑各项能耗拆分!AJ38</f>
        <v>0</v>
      </c>
      <c r="AK5" s="1">
        <f>建筑各项能耗拆分!$B$18*建筑各项能耗拆分!AK38</f>
        <v>0</v>
      </c>
      <c r="AL5" s="1">
        <f>建筑各项能耗拆分!$B$18*建筑各项能耗拆分!AL38</f>
        <v>0</v>
      </c>
      <c r="AM5" s="1">
        <f>建筑各项能耗拆分!$B$18*建筑各项能耗拆分!AM38</f>
        <v>0</v>
      </c>
      <c r="AN5" s="1">
        <f>建筑各项能耗拆分!$B$18*建筑各项能耗拆分!AN38</f>
        <v>0</v>
      </c>
      <c r="AO5" s="1">
        <f>建筑各项能耗拆分!$B$18*建筑各项能耗拆分!AO38</f>
        <v>0</v>
      </c>
      <c r="AP5" s="1">
        <f>建筑各项能耗拆分!$B$18*建筑各项能耗拆分!AP38</f>
        <v>0</v>
      </c>
      <c r="AQ5" s="1">
        <f>建筑各项能耗拆分!$B$18*建筑各项能耗拆分!AQ38</f>
        <v>0</v>
      </c>
      <c r="AR5" s="1">
        <f>建筑各项能耗拆分!$B$18*建筑各项能耗拆分!AR38</f>
        <v>0</v>
      </c>
    </row>
    <row r="6" spans="1:44">
      <c r="A6" t="s">
        <v>1113</v>
      </c>
      <c r="B6" s="1">
        <f>建筑各项能耗拆分!$B$18*建筑各项能耗拆分!B39</f>
        <v>0</v>
      </c>
      <c r="C6" s="1">
        <f>建筑各项能耗拆分!$B$18*建筑各项能耗拆分!C39</f>
        <v>0</v>
      </c>
      <c r="D6" s="1">
        <f>建筑各项能耗拆分!$B$18*建筑各项能耗拆分!D39</f>
        <v>0</v>
      </c>
      <c r="E6" s="1">
        <f>建筑各项能耗拆分!$B$18*建筑各项能耗拆分!E39</f>
        <v>0</v>
      </c>
      <c r="F6" s="1">
        <f>建筑各项能耗拆分!$B$18*建筑各项能耗拆分!F39</f>
        <v>0</v>
      </c>
      <c r="G6" s="1">
        <f>建筑各项能耗拆分!$B$18*建筑各项能耗拆分!G39</f>
        <v>0</v>
      </c>
      <c r="H6" s="1">
        <f>建筑各项能耗拆分!$B$18*建筑各项能耗拆分!H39</f>
        <v>0</v>
      </c>
      <c r="I6" s="1">
        <f>建筑各项能耗拆分!$B$18*建筑各项能耗拆分!I39</f>
        <v>0</v>
      </c>
      <c r="J6" s="1">
        <f>建筑各项能耗拆分!$B$18*建筑各项能耗拆分!J39</f>
        <v>0</v>
      </c>
      <c r="K6" s="1">
        <f>建筑各项能耗拆分!$B$18*建筑各项能耗拆分!K39</f>
        <v>0</v>
      </c>
      <c r="L6" s="1">
        <f>建筑各项能耗拆分!$B$18*建筑各项能耗拆分!L39</f>
        <v>0</v>
      </c>
      <c r="M6" s="1">
        <f>建筑各项能耗拆分!$B$18*建筑各项能耗拆分!M39</f>
        <v>0</v>
      </c>
      <c r="N6" s="1">
        <f>建筑各项能耗拆分!$B$18*建筑各项能耗拆分!N39</f>
        <v>0</v>
      </c>
      <c r="O6" s="1">
        <f>建筑各项能耗拆分!$B$18*建筑各项能耗拆分!O39</f>
        <v>0</v>
      </c>
      <c r="P6" s="1">
        <f>建筑各项能耗拆分!$B$18*建筑各项能耗拆分!P39</f>
        <v>0</v>
      </c>
      <c r="Q6" s="1">
        <f>建筑各项能耗拆分!$B$18*建筑各项能耗拆分!Q39</f>
        <v>0</v>
      </c>
      <c r="R6" s="1">
        <f>建筑各项能耗拆分!$B$18*建筑各项能耗拆分!R39</f>
        <v>0</v>
      </c>
      <c r="S6" s="1">
        <f>建筑各项能耗拆分!$B$18*建筑各项能耗拆分!S39</f>
        <v>0</v>
      </c>
      <c r="T6" s="1">
        <f>建筑各项能耗拆分!$B$18*建筑各项能耗拆分!T39</f>
        <v>0</v>
      </c>
      <c r="U6" s="1">
        <f>建筑各项能耗拆分!$B$18*建筑各项能耗拆分!U39</f>
        <v>0</v>
      </c>
      <c r="V6" s="1">
        <f>建筑各项能耗拆分!$B$18*建筑各项能耗拆分!V39</f>
        <v>0</v>
      </c>
      <c r="W6" s="1">
        <f>建筑各项能耗拆分!$B$18*建筑各项能耗拆分!W39</f>
        <v>0</v>
      </c>
      <c r="X6" s="1">
        <f>建筑各项能耗拆分!$B$18*建筑各项能耗拆分!X39</f>
        <v>0</v>
      </c>
      <c r="Y6" s="1">
        <f>建筑各项能耗拆分!$B$18*建筑各项能耗拆分!Y39</f>
        <v>0</v>
      </c>
      <c r="Z6" s="1">
        <f>建筑各项能耗拆分!$B$18*建筑各项能耗拆分!Z39</f>
        <v>0</v>
      </c>
      <c r="AA6" s="1">
        <f>建筑各项能耗拆分!$B$18*建筑各项能耗拆分!AA39</f>
        <v>0</v>
      </c>
      <c r="AB6" s="1">
        <f>建筑各项能耗拆分!$B$18*建筑各项能耗拆分!AB39</f>
        <v>0</v>
      </c>
      <c r="AC6" s="1">
        <f>建筑各项能耗拆分!$B$18*建筑各项能耗拆分!AC39</f>
        <v>0</v>
      </c>
      <c r="AD6" s="1">
        <f>建筑各项能耗拆分!$B$18*建筑各项能耗拆分!AD39</f>
        <v>0</v>
      </c>
      <c r="AE6" s="1">
        <f>建筑各项能耗拆分!$B$18*建筑各项能耗拆分!AE39</f>
        <v>0</v>
      </c>
      <c r="AF6" s="1">
        <f>建筑各项能耗拆分!$B$18*建筑各项能耗拆分!AF39</f>
        <v>0</v>
      </c>
      <c r="AG6" s="1">
        <f>建筑各项能耗拆分!$B$18*建筑各项能耗拆分!AG39</f>
        <v>0</v>
      </c>
      <c r="AH6" s="1">
        <f>建筑各项能耗拆分!$B$18*建筑各项能耗拆分!AH39</f>
        <v>0</v>
      </c>
      <c r="AI6" s="1">
        <f>建筑各项能耗拆分!$B$18*建筑各项能耗拆分!AI39</f>
        <v>0</v>
      </c>
      <c r="AJ6" s="1">
        <f>建筑各项能耗拆分!$B$18*建筑各项能耗拆分!AJ39</f>
        <v>0</v>
      </c>
      <c r="AK6" s="1">
        <f>建筑各项能耗拆分!$B$18*建筑各项能耗拆分!AK39</f>
        <v>0</v>
      </c>
      <c r="AL6" s="1">
        <f>建筑各项能耗拆分!$B$18*建筑各项能耗拆分!AL39</f>
        <v>0</v>
      </c>
      <c r="AM6" s="1">
        <f>建筑各项能耗拆分!$B$18*建筑各项能耗拆分!AM39</f>
        <v>0</v>
      </c>
      <c r="AN6" s="1">
        <f>建筑各项能耗拆分!$B$18*建筑各项能耗拆分!AN39</f>
        <v>0</v>
      </c>
      <c r="AO6" s="1">
        <f>建筑各项能耗拆分!$B$18*建筑各项能耗拆分!AO39</f>
        <v>0</v>
      </c>
      <c r="AP6" s="1">
        <f>建筑各项能耗拆分!$B$18*建筑各项能耗拆分!AP39</f>
        <v>0</v>
      </c>
      <c r="AQ6" s="1">
        <f>建筑各项能耗拆分!$B$18*建筑各项能耗拆分!AQ39</f>
        <v>0</v>
      </c>
      <c r="AR6" s="1">
        <f>建筑各项能耗拆分!$B$18*建筑各项能耗拆分!AR39</f>
        <v>0</v>
      </c>
    </row>
    <row r="7" spans="1:44">
      <c r="A7" t="s">
        <v>1114</v>
      </c>
      <c r="B7" s="1">
        <f>建筑各项能耗拆分!$B$18*建筑各项能耗拆分!B40</f>
        <v>0</v>
      </c>
      <c r="C7" s="1">
        <f>建筑各项能耗拆分!$B$18*建筑各项能耗拆分!C40</f>
        <v>0</v>
      </c>
      <c r="D7" s="1">
        <f>建筑各项能耗拆分!$B$18*建筑各项能耗拆分!D40</f>
        <v>0</v>
      </c>
      <c r="E7" s="1">
        <f>建筑各项能耗拆分!$B$18*建筑各项能耗拆分!E40</f>
        <v>0</v>
      </c>
      <c r="F7" s="1">
        <f>建筑各项能耗拆分!$B$18*建筑各项能耗拆分!F40</f>
        <v>0</v>
      </c>
      <c r="G7" s="1">
        <f>建筑各项能耗拆分!$B$18*建筑各项能耗拆分!G40</f>
        <v>0</v>
      </c>
      <c r="H7" s="1">
        <f>建筑各项能耗拆分!$B$18*建筑各项能耗拆分!H40</f>
        <v>0</v>
      </c>
      <c r="I7" s="1">
        <f>建筑各项能耗拆分!$B$18*建筑各项能耗拆分!I40</f>
        <v>0</v>
      </c>
      <c r="J7" s="1">
        <f>建筑各项能耗拆分!$B$18*建筑各项能耗拆分!J40</f>
        <v>0</v>
      </c>
      <c r="K7" s="1">
        <f>建筑各项能耗拆分!$B$18*建筑各项能耗拆分!K40</f>
        <v>0</v>
      </c>
      <c r="L7" s="1">
        <f>建筑各项能耗拆分!$B$18*建筑各项能耗拆分!L40</f>
        <v>0</v>
      </c>
      <c r="M7" s="1">
        <f>建筑各项能耗拆分!$B$18*建筑各项能耗拆分!M40</f>
        <v>0</v>
      </c>
      <c r="N7" s="1">
        <f>建筑各项能耗拆分!$B$18*建筑各项能耗拆分!N40</f>
        <v>0</v>
      </c>
      <c r="O7" s="1">
        <f>建筑各项能耗拆分!$B$18*建筑各项能耗拆分!O40</f>
        <v>0</v>
      </c>
      <c r="P7" s="1">
        <f>建筑各项能耗拆分!$B$18*建筑各项能耗拆分!P40</f>
        <v>0</v>
      </c>
      <c r="Q7" s="1">
        <f>建筑各项能耗拆分!$B$18*建筑各项能耗拆分!Q40</f>
        <v>0</v>
      </c>
      <c r="R7" s="1">
        <f>建筑各项能耗拆分!$B$18*建筑各项能耗拆分!R40</f>
        <v>0</v>
      </c>
      <c r="S7" s="1">
        <f>建筑各项能耗拆分!$B$18*建筑各项能耗拆分!S40</f>
        <v>0</v>
      </c>
      <c r="T7" s="1">
        <f>建筑各项能耗拆分!$B$18*建筑各项能耗拆分!T40</f>
        <v>0</v>
      </c>
      <c r="U7" s="1">
        <f>建筑各项能耗拆分!$B$18*建筑各项能耗拆分!U40</f>
        <v>0</v>
      </c>
      <c r="V7" s="1">
        <f>建筑各项能耗拆分!$B$18*建筑各项能耗拆分!V40</f>
        <v>0</v>
      </c>
      <c r="W7" s="1">
        <f>建筑各项能耗拆分!$B$18*建筑各项能耗拆分!W40</f>
        <v>0</v>
      </c>
      <c r="X7" s="1">
        <f>建筑各项能耗拆分!$B$18*建筑各项能耗拆分!X40</f>
        <v>0</v>
      </c>
      <c r="Y7" s="1">
        <f>建筑各项能耗拆分!$B$18*建筑各项能耗拆分!Y40</f>
        <v>0</v>
      </c>
      <c r="Z7" s="1">
        <f>建筑各项能耗拆分!$B$18*建筑各项能耗拆分!Z40</f>
        <v>0</v>
      </c>
      <c r="AA7" s="1">
        <f>建筑各项能耗拆分!$B$18*建筑各项能耗拆分!AA40</f>
        <v>0</v>
      </c>
      <c r="AB7" s="1">
        <f>建筑各项能耗拆分!$B$18*建筑各项能耗拆分!AB40</f>
        <v>0</v>
      </c>
      <c r="AC7" s="1">
        <f>建筑各项能耗拆分!$B$18*建筑各项能耗拆分!AC40</f>
        <v>0</v>
      </c>
      <c r="AD7" s="1">
        <f>建筑各项能耗拆分!$B$18*建筑各项能耗拆分!AD40</f>
        <v>0</v>
      </c>
      <c r="AE7" s="1">
        <f>建筑各项能耗拆分!$B$18*建筑各项能耗拆分!AE40</f>
        <v>0</v>
      </c>
      <c r="AF7" s="1">
        <f>建筑各项能耗拆分!$B$18*建筑各项能耗拆分!AF40</f>
        <v>0</v>
      </c>
      <c r="AG7" s="1">
        <f>建筑各项能耗拆分!$B$18*建筑各项能耗拆分!AG40</f>
        <v>0</v>
      </c>
      <c r="AH7" s="1">
        <f>建筑各项能耗拆分!$B$18*建筑各项能耗拆分!AH40</f>
        <v>0</v>
      </c>
      <c r="AI7" s="1">
        <f>建筑各项能耗拆分!$B$18*建筑各项能耗拆分!AI40</f>
        <v>0</v>
      </c>
      <c r="AJ7" s="1">
        <f>建筑各项能耗拆分!$B$18*建筑各项能耗拆分!AJ40</f>
        <v>0</v>
      </c>
      <c r="AK7" s="1">
        <f>建筑各项能耗拆分!$B$18*建筑各项能耗拆分!AK40</f>
        <v>0</v>
      </c>
      <c r="AL7" s="1">
        <f>建筑各项能耗拆分!$B$18*建筑各项能耗拆分!AL40</f>
        <v>0</v>
      </c>
      <c r="AM7" s="1">
        <f>建筑各项能耗拆分!$B$18*建筑各项能耗拆分!AM40</f>
        <v>0</v>
      </c>
      <c r="AN7" s="1">
        <f>建筑各项能耗拆分!$B$18*建筑各项能耗拆分!AN40</f>
        <v>0</v>
      </c>
      <c r="AO7" s="1">
        <f>建筑各项能耗拆分!$B$18*建筑各项能耗拆分!AO40</f>
        <v>0</v>
      </c>
      <c r="AP7" s="1">
        <f>建筑各项能耗拆分!$B$18*建筑各项能耗拆分!AP40</f>
        <v>0</v>
      </c>
      <c r="AQ7" s="1">
        <f>建筑各项能耗拆分!$B$18*建筑各项能耗拆分!AQ40</f>
        <v>0</v>
      </c>
      <c r="AR7" s="1">
        <f>建筑各项能耗拆分!$B$18*建筑各项能耗拆分!AR40</f>
        <v>0</v>
      </c>
    </row>
    <row r="8" spans="1:44">
      <c r="A8" t="s">
        <v>1115</v>
      </c>
      <c r="B8" s="1">
        <f>建筑各项能耗拆分!$B$18*建筑各项能耗拆分!B41</f>
        <v>0</v>
      </c>
      <c r="C8" s="1">
        <f>建筑各项能耗拆分!$B$18*建筑各项能耗拆分!C41</f>
        <v>0</v>
      </c>
      <c r="D8" s="1">
        <f>建筑各项能耗拆分!$B$18*建筑各项能耗拆分!D41</f>
        <v>0</v>
      </c>
      <c r="E8" s="1">
        <f>建筑各项能耗拆分!$B$18*建筑各项能耗拆分!E41</f>
        <v>0</v>
      </c>
      <c r="F8" s="1">
        <f>建筑各项能耗拆分!$B$18*建筑各项能耗拆分!F41</f>
        <v>0</v>
      </c>
      <c r="G8" s="1">
        <f>建筑各项能耗拆分!$B$18*建筑各项能耗拆分!G41</f>
        <v>0</v>
      </c>
      <c r="H8" s="1">
        <f>建筑各项能耗拆分!$B$18*建筑各项能耗拆分!H41</f>
        <v>0</v>
      </c>
      <c r="I8" s="1">
        <f>建筑各项能耗拆分!$B$18*建筑各项能耗拆分!I41</f>
        <v>0</v>
      </c>
      <c r="J8" s="1">
        <f>建筑各项能耗拆分!$B$18*建筑各项能耗拆分!J41</f>
        <v>0</v>
      </c>
      <c r="K8" s="1">
        <f>建筑各项能耗拆分!$B$18*建筑各项能耗拆分!K41</f>
        <v>0</v>
      </c>
      <c r="L8" s="1">
        <f>建筑各项能耗拆分!$B$18*建筑各项能耗拆分!L41</f>
        <v>0</v>
      </c>
      <c r="M8" s="1">
        <f>建筑各项能耗拆分!$B$18*建筑各项能耗拆分!M41</f>
        <v>0</v>
      </c>
      <c r="N8" s="1">
        <f>建筑各项能耗拆分!$B$18*建筑各项能耗拆分!N41</f>
        <v>0</v>
      </c>
      <c r="O8" s="1">
        <f>建筑各项能耗拆分!$B$18*建筑各项能耗拆分!O41</f>
        <v>0</v>
      </c>
      <c r="P8" s="1">
        <f>建筑各项能耗拆分!$B$18*建筑各项能耗拆分!P41</f>
        <v>0</v>
      </c>
      <c r="Q8" s="1">
        <f>建筑各项能耗拆分!$B$18*建筑各项能耗拆分!Q41</f>
        <v>0</v>
      </c>
      <c r="R8" s="1">
        <f>建筑各项能耗拆分!$B$18*建筑各项能耗拆分!R41</f>
        <v>0</v>
      </c>
      <c r="S8" s="1">
        <f>建筑各项能耗拆分!$B$18*建筑各项能耗拆分!S41</f>
        <v>0</v>
      </c>
      <c r="T8" s="1">
        <f>建筑各项能耗拆分!$B$18*建筑各项能耗拆分!T41</f>
        <v>0</v>
      </c>
      <c r="U8" s="1">
        <f>建筑各项能耗拆分!$B$18*建筑各项能耗拆分!U41</f>
        <v>0</v>
      </c>
      <c r="V8" s="1">
        <f>建筑各项能耗拆分!$B$18*建筑各项能耗拆分!V41</f>
        <v>0</v>
      </c>
      <c r="W8" s="1">
        <f>建筑各项能耗拆分!$B$18*建筑各项能耗拆分!W41</f>
        <v>0</v>
      </c>
      <c r="X8" s="1">
        <f>建筑各项能耗拆分!$B$18*建筑各项能耗拆分!X41</f>
        <v>0</v>
      </c>
      <c r="Y8" s="1">
        <f>建筑各项能耗拆分!$B$18*建筑各项能耗拆分!Y41</f>
        <v>0</v>
      </c>
      <c r="Z8" s="1">
        <f>建筑各项能耗拆分!$B$18*建筑各项能耗拆分!Z41</f>
        <v>0</v>
      </c>
      <c r="AA8" s="1">
        <f>建筑各项能耗拆分!$B$18*建筑各项能耗拆分!AA41</f>
        <v>0</v>
      </c>
      <c r="AB8" s="1">
        <f>建筑各项能耗拆分!$B$18*建筑各项能耗拆分!AB41</f>
        <v>0</v>
      </c>
      <c r="AC8" s="1">
        <f>建筑各项能耗拆分!$B$18*建筑各项能耗拆分!AC41</f>
        <v>0</v>
      </c>
      <c r="AD8" s="1">
        <f>建筑各项能耗拆分!$B$18*建筑各项能耗拆分!AD41</f>
        <v>0</v>
      </c>
      <c r="AE8" s="1">
        <f>建筑各项能耗拆分!$B$18*建筑各项能耗拆分!AE41</f>
        <v>0</v>
      </c>
      <c r="AF8" s="1">
        <f>建筑各项能耗拆分!$B$18*建筑各项能耗拆分!AF41</f>
        <v>0</v>
      </c>
      <c r="AG8" s="1">
        <f>建筑各项能耗拆分!$B$18*建筑各项能耗拆分!AG41</f>
        <v>0</v>
      </c>
      <c r="AH8" s="1">
        <f>建筑各项能耗拆分!$B$18*建筑各项能耗拆分!AH41</f>
        <v>0</v>
      </c>
      <c r="AI8" s="1">
        <f>建筑各项能耗拆分!$B$18*建筑各项能耗拆分!AI41</f>
        <v>0</v>
      </c>
      <c r="AJ8" s="1">
        <f>建筑各项能耗拆分!$B$18*建筑各项能耗拆分!AJ41</f>
        <v>0</v>
      </c>
      <c r="AK8" s="1">
        <f>建筑各项能耗拆分!$B$18*建筑各项能耗拆分!AK41</f>
        <v>0</v>
      </c>
      <c r="AL8" s="1">
        <f>建筑各项能耗拆分!$B$18*建筑各项能耗拆分!AL41</f>
        <v>0</v>
      </c>
      <c r="AM8" s="1">
        <f>建筑各项能耗拆分!$B$18*建筑各项能耗拆分!AM41</f>
        <v>0</v>
      </c>
      <c r="AN8" s="1">
        <f>建筑各项能耗拆分!$B$18*建筑各项能耗拆分!AN41</f>
        <v>0</v>
      </c>
      <c r="AO8" s="1">
        <f>建筑各项能耗拆分!$B$18*建筑各项能耗拆分!AO41</f>
        <v>0</v>
      </c>
      <c r="AP8" s="1">
        <f>建筑各项能耗拆分!$B$18*建筑各项能耗拆分!AP41</f>
        <v>0</v>
      </c>
      <c r="AQ8" s="1">
        <f>建筑各项能耗拆分!$B$18*建筑各项能耗拆分!AQ41</f>
        <v>0</v>
      </c>
      <c r="AR8" s="1">
        <f>建筑各项能耗拆分!$B$18*建筑各项能耗拆分!AR41</f>
        <v>0</v>
      </c>
    </row>
    <row r="9" spans="1:44">
      <c r="A9" t="s">
        <v>1116</v>
      </c>
      <c r="B9" s="1">
        <f>建筑各项能耗拆分!$B$18*建筑各项能耗拆分!B42</f>
        <v>0</v>
      </c>
      <c r="C9" s="1">
        <f>建筑各项能耗拆分!$B$18*建筑各项能耗拆分!C42</f>
        <v>0</v>
      </c>
      <c r="D9" s="1">
        <f>建筑各项能耗拆分!$B$18*建筑各项能耗拆分!D42</f>
        <v>0</v>
      </c>
      <c r="E9" s="1">
        <f>建筑各项能耗拆分!$B$18*建筑各项能耗拆分!E42</f>
        <v>0</v>
      </c>
      <c r="F9" s="1">
        <f>建筑各项能耗拆分!$B$18*建筑各项能耗拆分!F42</f>
        <v>0</v>
      </c>
      <c r="G9" s="1">
        <f>建筑各项能耗拆分!$B$18*建筑各项能耗拆分!G42</f>
        <v>0</v>
      </c>
      <c r="H9" s="1">
        <f>建筑各项能耗拆分!$B$18*建筑各项能耗拆分!H42</f>
        <v>0</v>
      </c>
      <c r="I9" s="1">
        <f>建筑各项能耗拆分!$B$18*建筑各项能耗拆分!I42</f>
        <v>0</v>
      </c>
      <c r="J9" s="1">
        <f>建筑各项能耗拆分!$B$18*建筑各项能耗拆分!J42</f>
        <v>0</v>
      </c>
      <c r="K9" s="1">
        <f>建筑各项能耗拆分!$B$18*建筑各项能耗拆分!K42</f>
        <v>0</v>
      </c>
      <c r="L9" s="1">
        <f>建筑各项能耗拆分!$B$18*建筑各项能耗拆分!L42</f>
        <v>0</v>
      </c>
      <c r="M9" s="1">
        <f>建筑各项能耗拆分!$B$18*建筑各项能耗拆分!M42</f>
        <v>0</v>
      </c>
      <c r="N9" s="1">
        <f>建筑各项能耗拆分!$B$18*建筑各项能耗拆分!N42</f>
        <v>0</v>
      </c>
      <c r="O9" s="1">
        <f>建筑各项能耗拆分!$B$18*建筑各项能耗拆分!O42</f>
        <v>0</v>
      </c>
      <c r="P9" s="1">
        <f>建筑各项能耗拆分!$B$18*建筑各项能耗拆分!P42</f>
        <v>0</v>
      </c>
      <c r="Q9" s="1">
        <f>建筑各项能耗拆分!$B$18*建筑各项能耗拆分!Q42</f>
        <v>0</v>
      </c>
      <c r="R9" s="1">
        <f>建筑各项能耗拆分!$B$18*建筑各项能耗拆分!R42</f>
        <v>0</v>
      </c>
      <c r="S9" s="1">
        <f>建筑各项能耗拆分!$B$18*建筑各项能耗拆分!S42</f>
        <v>0</v>
      </c>
      <c r="T9" s="1">
        <f>建筑各项能耗拆分!$B$18*建筑各项能耗拆分!T42</f>
        <v>0</v>
      </c>
      <c r="U9" s="1">
        <f>建筑各项能耗拆分!$B$18*建筑各项能耗拆分!U42</f>
        <v>0</v>
      </c>
      <c r="V9" s="1">
        <f>建筑各项能耗拆分!$B$18*建筑各项能耗拆分!V42</f>
        <v>0</v>
      </c>
      <c r="W9" s="1">
        <f>建筑各项能耗拆分!$B$18*建筑各项能耗拆分!W42</f>
        <v>0</v>
      </c>
      <c r="X9" s="1">
        <f>建筑各项能耗拆分!$B$18*建筑各项能耗拆分!X42</f>
        <v>0</v>
      </c>
      <c r="Y9" s="1">
        <f>建筑各项能耗拆分!$B$18*建筑各项能耗拆分!Y42</f>
        <v>0</v>
      </c>
      <c r="Z9" s="1">
        <f>建筑各项能耗拆分!$B$18*建筑各项能耗拆分!Z42</f>
        <v>0</v>
      </c>
      <c r="AA9" s="1">
        <f>建筑各项能耗拆分!$B$18*建筑各项能耗拆分!AA42</f>
        <v>0</v>
      </c>
      <c r="AB9" s="1">
        <f>建筑各项能耗拆分!$B$18*建筑各项能耗拆分!AB42</f>
        <v>0</v>
      </c>
      <c r="AC9" s="1">
        <f>建筑各项能耗拆分!$B$18*建筑各项能耗拆分!AC42</f>
        <v>0</v>
      </c>
      <c r="AD9" s="1">
        <f>建筑各项能耗拆分!$B$18*建筑各项能耗拆分!AD42</f>
        <v>0</v>
      </c>
      <c r="AE9" s="1">
        <f>建筑各项能耗拆分!$B$18*建筑各项能耗拆分!AE42</f>
        <v>0</v>
      </c>
      <c r="AF9" s="1">
        <f>建筑各项能耗拆分!$B$18*建筑各项能耗拆分!AF42</f>
        <v>0</v>
      </c>
      <c r="AG9" s="1">
        <f>建筑各项能耗拆分!$B$18*建筑各项能耗拆分!AG42</f>
        <v>0</v>
      </c>
      <c r="AH9" s="1">
        <f>建筑各项能耗拆分!$B$18*建筑各项能耗拆分!AH42</f>
        <v>0</v>
      </c>
      <c r="AI9" s="1">
        <f>建筑各项能耗拆分!$B$18*建筑各项能耗拆分!AI42</f>
        <v>0</v>
      </c>
      <c r="AJ9" s="1">
        <f>建筑各项能耗拆分!$B$18*建筑各项能耗拆分!AJ42</f>
        <v>0</v>
      </c>
      <c r="AK9" s="1">
        <f>建筑各项能耗拆分!$B$18*建筑各项能耗拆分!AK42</f>
        <v>0</v>
      </c>
      <c r="AL9" s="1">
        <f>建筑各项能耗拆分!$B$18*建筑各项能耗拆分!AL42</f>
        <v>0</v>
      </c>
      <c r="AM9" s="1">
        <f>建筑各项能耗拆分!$B$18*建筑各项能耗拆分!AM42</f>
        <v>0</v>
      </c>
      <c r="AN9" s="1">
        <f>建筑各项能耗拆分!$B$18*建筑各项能耗拆分!AN42</f>
        <v>0</v>
      </c>
      <c r="AO9" s="1">
        <f>建筑各项能耗拆分!$B$18*建筑各项能耗拆分!AO42</f>
        <v>0</v>
      </c>
      <c r="AP9" s="1">
        <f>建筑各项能耗拆分!$B$18*建筑各项能耗拆分!AP42</f>
        <v>0</v>
      </c>
      <c r="AQ9" s="1">
        <f>建筑各项能耗拆分!$B$18*建筑各项能耗拆分!AQ42</f>
        <v>0</v>
      </c>
      <c r="AR9" s="1">
        <f>建筑各项能耗拆分!$B$18*建筑各项能耗拆分!AR42</f>
        <v>0</v>
      </c>
    </row>
    <row r="10" spans="1:44">
      <c r="A10" t="s">
        <v>1117</v>
      </c>
      <c r="B10" s="1">
        <f>建筑各项能耗拆分!$B$18*建筑各项能耗拆分!B43</f>
        <v>0</v>
      </c>
      <c r="C10" s="1">
        <f>建筑各项能耗拆分!$B$18*建筑各项能耗拆分!C43</f>
        <v>0</v>
      </c>
      <c r="D10" s="1">
        <f>建筑各项能耗拆分!$B$18*建筑各项能耗拆分!D43</f>
        <v>0</v>
      </c>
      <c r="E10" s="1">
        <f>建筑各项能耗拆分!$B$18*建筑各项能耗拆分!E43</f>
        <v>0</v>
      </c>
      <c r="F10" s="1">
        <f>建筑各项能耗拆分!$B$18*建筑各项能耗拆分!F43</f>
        <v>0</v>
      </c>
      <c r="G10" s="1">
        <f>建筑各项能耗拆分!$B$18*建筑各项能耗拆分!G43</f>
        <v>0</v>
      </c>
      <c r="H10" s="1">
        <f>建筑各项能耗拆分!$B$18*建筑各项能耗拆分!H43</f>
        <v>0</v>
      </c>
      <c r="I10" s="1">
        <f>建筑各项能耗拆分!$B$18*建筑各项能耗拆分!I43</f>
        <v>0</v>
      </c>
      <c r="J10" s="1">
        <f>建筑各项能耗拆分!$B$18*建筑各项能耗拆分!J43</f>
        <v>0</v>
      </c>
      <c r="K10" s="1">
        <f>建筑各项能耗拆分!$B$18*建筑各项能耗拆分!K43</f>
        <v>0</v>
      </c>
      <c r="L10" s="1">
        <f>建筑各项能耗拆分!$B$18*建筑各项能耗拆分!L43</f>
        <v>0</v>
      </c>
      <c r="M10" s="1">
        <f>建筑各项能耗拆分!$B$18*建筑各项能耗拆分!M43</f>
        <v>0</v>
      </c>
      <c r="N10" s="1">
        <f>建筑各项能耗拆分!$B$18*建筑各项能耗拆分!N43</f>
        <v>0</v>
      </c>
      <c r="O10" s="1">
        <f>建筑各项能耗拆分!$B$18*建筑各项能耗拆分!O43</f>
        <v>0</v>
      </c>
      <c r="P10" s="1">
        <f>建筑各项能耗拆分!$B$18*建筑各项能耗拆分!P43</f>
        <v>0</v>
      </c>
      <c r="Q10" s="1">
        <f>建筑各项能耗拆分!$B$18*建筑各项能耗拆分!Q43</f>
        <v>0</v>
      </c>
      <c r="R10" s="1">
        <f>建筑各项能耗拆分!$B$18*建筑各项能耗拆分!R43</f>
        <v>0</v>
      </c>
      <c r="S10" s="1">
        <f>建筑各项能耗拆分!$B$18*建筑各项能耗拆分!S43</f>
        <v>0</v>
      </c>
      <c r="T10" s="1">
        <f>建筑各项能耗拆分!$B$18*建筑各项能耗拆分!T43</f>
        <v>0</v>
      </c>
      <c r="U10" s="1">
        <f>建筑各项能耗拆分!$B$18*建筑各项能耗拆分!U43</f>
        <v>0</v>
      </c>
      <c r="V10" s="1">
        <f>建筑各项能耗拆分!$B$18*建筑各项能耗拆分!V43</f>
        <v>0</v>
      </c>
      <c r="W10" s="1">
        <f>建筑各项能耗拆分!$B$18*建筑各项能耗拆分!W43</f>
        <v>0</v>
      </c>
      <c r="X10" s="1">
        <f>建筑各项能耗拆分!$B$18*建筑各项能耗拆分!X43</f>
        <v>0</v>
      </c>
      <c r="Y10" s="1">
        <f>建筑各项能耗拆分!$B$18*建筑各项能耗拆分!Y43</f>
        <v>0</v>
      </c>
      <c r="Z10" s="1">
        <f>建筑各项能耗拆分!$B$18*建筑各项能耗拆分!Z43</f>
        <v>0</v>
      </c>
      <c r="AA10" s="1">
        <f>建筑各项能耗拆分!$B$18*建筑各项能耗拆分!AA43</f>
        <v>0</v>
      </c>
      <c r="AB10" s="1">
        <f>建筑各项能耗拆分!$B$18*建筑各项能耗拆分!AB43</f>
        <v>0</v>
      </c>
      <c r="AC10" s="1">
        <f>建筑各项能耗拆分!$B$18*建筑各项能耗拆分!AC43</f>
        <v>0</v>
      </c>
      <c r="AD10" s="1">
        <f>建筑各项能耗拆分!$B$18*建筑各项能耗拆分!AD43</f>
        <v>0</v>
      </c>
      <c r="AE10" s="1">
        <f>建筑各项能耗拆分!$B$18*建筑各项能耗拆分!AE43</f>
        <v>0</v>
      </c>
      <c r="AF10" s="1">
        <f>建筑各项能耗拆分!$B$18*建筑各项能耗拆分!AF43</f>
        <v>0</v>
      </c>
      <c r="AG10" s="1">
        <f>建筑各项能耗拆分!$B$18*建筑各项能耗拆分!AG43</f>
        <v>0</v>
      </c>
      <c r="AH10" s="1">
        <f>建筑各项能耗拆分!$B$18*建筑各项能耗拆分!AH43</f>
        <v>0</v>
      </c>
      <c r="AI10" s="1">
        <f>建筑各项能耗拆分!$B$18*建筑各项能耗拆分!AI43</f>
        <v>0</v>
      </c>
      <c r="AJ10" s="1">
        <f>建筑各项能耗拆分!$B$18*建筑各项能耗拆分!AJ43</f>
        <v>0</v>
      </c>
      <c r="AK10" s="1">
        <f>建筑各项能耗拆分!$B$18*建筑各项能耗拆分!AK43</f>
        <v>0</v>
      </c>
      <c r="AL10" s="1">
        <f>建筑各项能耗拆分!$B$18*建筑各项能耗拆分!AL43</f>
        <v>0</v>
      </c>
      <c r="AM10" s="1">
        <f>建筑各项能耗拆分!$B$18*建筑各项能耗拆分!AM43</f>
        <v>0</v>
      </c>
      <c r="AN10" s="1">
        <f>建筑各项能耗拆分!$B$18*建筑各项能耗拆分!AN43</f>
        <v>0</v>
      </c>
      <c r="AO10" s="1">
        <f>建筑各项能耗拆分!$B$18*建筑各项能耗拆分!AO43</f>
        <v>0</v>
      </c>
      <c r="AP10" s="1">
        <f>建筑各项能耗拆分!$B$18*建筑各项能耗拆分!AP43</f>
        <v>0</v>
      </c>
      <c r="AQ10" s="1">
        <f>建筑各项能耗拆分!$B$18*建筑各项能耗拆分!AQ43</f>
        <v>0</v>
      </c>
      <c r="AR10" s="1">
        <f>建筑各项能耗拆分!$B$18*建筑各项能耗拆分!AR43</f>
        <v>0</v>
      </c>
    </row>
    <row r="11" spans="1:44">
      <c r="A11" t="s">
        <v>1118</v>
      </c>
      <c r="B11" s="1">
        <f>建筑各项能耗拆分!$B$18*建筑各项能耗拆分!B44</f>
        <v>0</v>
      </c>
      <c r="C11" s="1">
        <f>建筑各项能耗拆分!$B$18*建筑各项能耗拆分!C44</f>
        <v>0</v>
      </c>
      <c r="D11" s="1">
        <f>建筑各项能耗拆分!$B$18*建筑各项能耗拆分!D44</f>
        <v>0</v>
      </c>
      <c r="E11" s="1">
        <f>建筑各项能耗拆分!$B$18*建筑各项能耗拆分!E44</f>
        <v>0</v>
      </c>
      <c r="F11" s="1">
        <f>建筑各项能耗拆分!$B$18*建筑各项能耗拆分!F44</f>
        <v>0</v>
      </c>
      <c r="G11" s="1">
        <f>建筑各项能耗拆分!$B$18*建筑各项能耗拆分!G44</f>
        <v>0</v>
      </c>
      <c r="H11" s="1">
        <f>建筑各项能耗拆分!$B$18*建筑各项能耗拆分!H44</f>
        <v>0</v>
      </c>
      <c r="I11" s="1">
        <f>建筑各项能耗拆分!$B$18*建筑各项能耗拆分!I44</f>
        <v>0</v>
      </c>
      <c r="J11" s="1">
        <f>建筑各项能耗拆分!$B$18*建筑各项能耗拆分!J44</f>
        <v>0</v>
      </c>
      <c r="K11" s="1">
        <f>建筑各项能耗拆分!$B$18*建筑各项能耗拆分!K44</f>
        <v>0</v>
      </c>
      <c r="L11" s="1">
        <f>建筑各项能耗拆分!$B$18*建筑各项能耗拆分!L44</f>
        <v>0</v>
      </c>
      <c r="M11" s="1">
        <f>建筑各项能耗拆分!$B$18*建筑各项能耗拆分!M44</f>
        <v>0</v>
      </c>
      <c r="N11" s="1">
        <f>建筑各项能耗拆分!$B$18*建筑各项能耗拆分!N44</f>
        <v>0</v>
      </c>
      <c r="O11" s="1">
        <f>建筑各项能耗拆分!$B$18*建筑各项能耗拆分!O44</f>
        <v>0</v>
      </c>
      <c r="P11" s="1">
        <f>建筑各项能耗拆分!$B$18*建筑各项能耗拆分!P44</f>
        <v>0</v>
      </c>
      <c r="Q11" s="1">
        <f>建筑各项能耗拆分!$B$18*建筑各项能耗拆分!Q44</f>
        <v>0</v>
      </c>
      <c r="R11" s="1">
        <f>建筑各项能耗拆分!$B$18*建筑各项能耗拆分!R44</f>
        <v>0</v>
      </c>
      <c r="S11" s="1">
        <f>建筑各项能耗拆分!$B$18*建筑各项能耗拆分!S44</f>
        <v>0</v>
      </c>
      <c r="T11" s="1">
        <f>建筑各项能耗拆分!$B$18*建筑各项能耗拆分!T44</f>
        <v>0</v>
      </c>
      <c r="U11" s="1">
        <f>建筑各项能耗拆分!$B$18*建筑各项能耗拆分!U44</f>
        <v>0</v>
      </c>
      <c r="V11" s="1">
        <f>建筑各项能耗拆分!$B$18*建筑各项能耗拆分!V44</f>
        <v>0</v>
      </c>
      <c r="W11" s="1">
        <f>建筑各项能耗拆分!$B$18*建筑各项能耗拆分!W44</f>
        <v>0</v>
      </c>
      <c r="X11" s="1">
        <f>建筑各项能耗拆分!$B$18*建筑各项能耗拆分!X44</f>
        <v>0</v>
      </c>
      <c r="Y11" s="1">
        <f>建筑各项能耗拆分!$B$18*建筑各项能耗拆分!Y44</f>
        <v>0</v>
      </c>
      <c r="Z11" s="1">
        <f>建筑各项能耗拆分!$B$18*建筑各项能耗拆分!Z44</f>
        <v>0</v>
      </c>
      <c r="AA11" s="1">
        <f>建筑各项能耗拆分!$B$18*建筑各项能耗拆分!AA44</f>
        <v>0</v>
      </c>
      <c r="AB11" s="1">
        <f>建筑各项能耗拆分!$B$18*建筑各项能耗拆分!AB44</f>
        <v>0</v>
      </c>
      <c r="AC11" s="1">
        <f>建筑各项能耗拆分!$B$18*建筑各项能耗拆分!AC44</f>
        <v>0</v>
      </c>
      <c r="AD11" s="1">
        <f>建筑各项能耗拆分!$B$18*建筑各项能耗拆分!AD44</f>
        <v>0</v>
      </c>
      <c r="AE11" s="1">
        <f>建筑各项能耗拆分!$B$18*建筑各项能耗拆分!AE44</f>
        <v>0</v>
      </c>
      <c r="AF11" s="1">
        <f>建筑各项能耗拆分!$B$18*建筑各项能耗拆分!AF44</f>
        <v>0</v>
      </c>
      <c r="AG11" s="1">
        <f>建筑各项能耗拆分!$B$18*建筑各项能耗拆分!AG44</f>
        <v>0</v>
      </c>
      <c r="AH11" s="1">
        <f>建筑各项能耗拆分!$B$18*建筑各项能耗拆分!AH44</f>
        <v>0</v>
      </c>
      <c r="AI11" s="1">
        <f>建筑各项能耗拆分!$B$18*建筑各项能耗拆分!AI44</f>
        <v>0</v>
      </c>
      <c r="AJ11" s="1">
        <f>建筑各项能耗拆分!$B$18*建筑各项能耗拆分!AJ44</f>
        <v>0</v>
      </c>
      <c r="AK11" s="1">
        <f>建筑各项能耗拆分!$B$18*建筑各项能耗拆分!AK44</f>
        <v>0</v>
      </c>
      <c r="AL11" s="1">
        <f>建筑各项能耗拆分!$B$18*建筑各项能耗拆分!AL44</f>
        <v>0</v>
      </c>
      <c r="AM11" s="1">
        <f>建筑各项能耗拆分!$B$18*建筑各项能耗拆分!AM44</f>
        <v>0</v>
      </c>
      <c r="AN11" s="1">
        <f>建筑各项能耗拆分!$B$18*建筑各项能耗拆分!AN44</f>
        <v>0</v>
      </c>
      <c r="AO11" s="1">
        <f>建筑各项能耗拆分!$B$18*建筑各项能耗拆分!AO44</f>
        <v>0</v>
      </c>
      <c r="AP11" s="1">
        <f>建筑各项能耗拆分!$B$18*建筑各项能耗拆分!AP44</f>
        <v>0</v>
      </c>
      <c r="AQ11" s="1">
        <f>建筑各项能耗拆分!$B$18*建筑各项能耗拆分!AQ44</f>
        <v>0</v>
      </c>
      <c r="AR11" s="1">
        <f>建筑各项能耗拆分!$B$18*建筑各项能耗拆分!AR44</f>
        <v>0</v>
      </c>
    </row>
  </sheetData>
  <pageMargins left="0.7" right="0.7" top="0.75" bottom="0.75" header="0.3" footer="0.3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AR11"/>
  <sheetViews>
    <sheetView workbookViewId="0">
      <selection activeCell="A1" sqref="$A1:$XFD1048576"/>
    </sheetView>
  </sheetViews>
  <sheetFormatPr defaultColWidth="9" defaultRowHeight="13.5"/>
  <cols>
    <col min="1" max="1" width="37.25" customWidth="1"/>
    <col min="2" max="44" width="13.6333333333333" customWidth="1"/>
  </cols>
  <sheetData>
    <row r="1" spans="1:44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>
      <c r="A2" t="s">
        <v>1109</v>
      </c>
      <c r="B2" s="1">
        <f>建筑各项能耗拆分!$B$18*建筑各项能耗拆分!B61</f>
        <v>278421153392741</v>
      </c>
      <c r="C2" s="1">
        <f>建筑各项能耗拆分!$B$18*建筑各项能耗拆分!C61</f>
        <v>399833755846334</v>
      </c>
      <c r="D2" s="1">
        <f>建筑各项能耗拆分!$B$18*建筑各项能耗拆分!D61</f>
        <v>420853513962902</v>
      </c>
      <c r="E2" s="1">
        <f>建筑各项能耗拆分!$B$18*建筑各项能耗拆分!E61</f>
        <v>453098323283664</v>
      </c>
      <c r="F2" s="1">
        <f>建筑各项能耗拆分!$B$18*建筑各项能耗拆分!F61</f>
        <v>498979125953298</v>
      </c>
      <c r="G2" s="1">
        <f>建筑各项能耗拆分!$B$18*建筑各项能耗拆分!G61</f>
        <v>503482703539350</v>
      </c>
      <c r="H2" s="1">
        <f>建筑各项能耗拆分!$B$18*建筑各项能耗拆分!H61</f>
        <v>539958151535662</v>
      </c>
      <c r="I2" s="1">
        <f>建筑各项能耗拆分!$B$18*建筑各项能耗拆分!I61</f>
        <v>578843556713941</v>
      </c>
      <c r="J2" s="1">
        <f>建筑各项能耗拆分!$B$18*建筑各项能耗拆分!J61</f>
        <v>607398252261971</v>
      </c>
      <c r="K2" s="1">
        <f>建筑各项能耗拆分!$B$18*建筑各项能耗拆分!K61</f>
        <v>636778468128454</v>
      </c>
      <c r="L2" s="1">
        <f>建筑各项能耗拆分!$B$18*建筑各项能耗拆分!L61</f>
        <v>664846250950714</v>
      </c>
      <c r="M2" s="1">
        <f>建筑各项能耗拆分!$B$18*建筑各项能耗拆分!M61</f>
        <v>693156335672210</v>
      </c>
      <c r="N2" s="1">
        <f>建筑各项能耗拆分!$B$18*建筑各项能耗拆分!N61</f>
        <v>721220675270819</v>
      </c>
      <c r="O2" s="1">
        <f>建筑各项能耗拆分!$B$18*建筑各项能耗拆分!O61</f>
        <v>748998403851677</v>
      </c>
      <c r="P2" s="1">
        <f>建筑各项能耗拆分!$B$18*建筑各项能耗拆分!P61</f>
        <v>776177474054966</v>
      </c>
      <c r="Q2" s="1">
        <f>建筑各项能耗拆分!$B$18*建筑各项能耗拆分!Q61</f>
        <v>803162769268617</v>
      </c>
      <c r="R2" s="1">
        <f>建筑各项能耗拆分!$B$18*建筑各项能耗拆分!R61</f>
        <v>829422146184613</v>
      </c>
      <c r="S2" s="1">
        <f>建筑各项能耗拆分!$B$18*建筑各项能耗拆分!S61</f>
        <v>857012318592383</v>
      </c>
      <c r="T2" s="1">
        <f>建筑各项能耗拆分!$B$18*建筑各项能耗拆分!T61</f>
        <v>880761808998279</v>
      </c>
      <c r="U2" s="1">
        <f>建筑各项能耗拆分!$B$18*建筑各项能耗拆分!U61</f>
        <v>903836596256309</v>
      </c>
      <c r="V2" s="1">
        <f>建筑各项能耗拆分!$B$18*建筑各项能耗拆分!V61</f>
        <v>929226412187855</v>
      </c>
      <c r="W2" s="1">
        <f>建筑各项能耗拆分!$B$18*建筑各项能耗拆分!W61</f>
        <v>954745429460020</v>
      </c>
      <c r="X2" s="1">
        <f>建筑各项能耗拆分!$B$18*建筑各项能耗拆分!X61</f>
        <v>979890911856640</v>
      </c>
      <c r="Y2" s="1">
        <f>建筑各项能耗拆分!$B$18*建筑各项能耗拆分!Y61</f>
        <v>1002390624492090</v>
      </c>
      <c r="Z2" s="1">
        <f>建筑各项能耗拆分!$B$18*建筑各项能耗拆分!Z61</f>
        <v>1024462398544200</v>
      </c>
      <c r="AA2" s="1">
        <f>建筑各项能耗拆分!$B$18*建筑各项能耗拆分!AA61</f>
        <v>1046140968694220</v>
      </c>
      <c r="AB2" s="1">
        <f>建筑各项能耗拆分!$B$18*建筑各项能耗拆分!AB61</f>
        <v>1067436648294600</v>
      </c>
      <c r="AC2" s="1">
        <f>建筑各项能耗拆分!$B$18*建筑各项能耗拆分!AC61</f>
        <v>1088371314125590</v>
      </c>
      <c r="AD2" s="1">
        <f>建筑各项能耗拆分!$B$18*建筑各项能耗拆分!AD61</f>
        <v>1107986174824000</v>
      </c>
      <c r="AE2" s="1">
        <f>建筑各项能耗拆分!$B$18*建筑各项能耗拆分!AE61</f>
        <v>1127163091429190</v>
      </c>
      <c r="AF2" s="1">
        <f>建筑各项能耗拆分!$B$18*建筑各项能耗拆分!AF61</f>
        <v>1145920334120040</v>
      </c>
      <c r="AG2" s="1">
        <f>建筑各项能耗拆分!$B$18*建筑各项能耗拆分!AG61</f>
        <v>1164359553033200</v>
      </c>
      <c r="AH2" s="1">
        <f>建筑各项能耗拆分!$B$18*建筑各项能耗拆分!AH61</f>
        <v>1182387194106790</v>
      </c>
      <c r="AI2" s="1">
        <f>建筑各项能耗拆分!$B$18*建筑各项能耗拆分!AI61</f>
        <v>1198518893412190</v>
      </c>
      <c r="AJ2" s="1">
        <f>建筑各项能耗拆分!$B$18*建筑各项能耗拆分!AJ61</f>
        <v>1214190976194960</v>
      </c>
      <c r="AK2" s="1">
        <f>建筑各项能耗拆分!$B$18*建筑各项能耗拆分!AK61</f>
        <v>1229406252561420</v>
      </c>
      <c r="AL2" s="1">
        <f>建筑各项能耗拆分!$B$18*建筑各项能耗拆分!AL61</f>
        <v>1244197187848380</v>
      </c>
      <c r="AM2" s="1">
        <f>建筑各项能耗拆分!$B$18*建筑各项能耗拆分!AM61</f>
        <v>1258547568119980</v>
      </c>
      <c r="AN2" s="1">
        <f>建筑各项能耗拆分!$B$18*建筑各项能耗拆分!AN61</f>
        <v>1271042942254720</v>
      </c>
      <c r="AO2" s="1">
        <f>建筑各项能耗拆分!$B$18*建筑各项能耗拆分!AO61</f>
        <v>1283033058052580</v>
      </c>
      <c r="AP2" s="1">
        <f>建筑各项能耗拆分!$B$18*建筑各项能耗拆分!AP61</f>
        <v>1294541493635200</v>
      </c>
      <c r="AQ2" s="1">
        <f>建筑各项能耗拆分!$B$18*建筑各项能耗拆分!AQ61</f>
        <v>1305580541238360</v>
      </c>
      <c r="AR2" s="1">
        <f>建筑各项能耗拆分!$B$18*建筑各项能耗拆分!AR61</f>
        <v>1316133225894270</v>
      </c>
    </row>
    <row r="3" spans="1:44">
      <c r="A3" t="s">
        <v>1110</v>
      </c>
      <c r="B3" s="1">
        <f>建筑各项能耗拆分!$B$18*建筑各项能耗拆分!B62</f>
        <v>0</v>
      </c>
      <c r="C3" s="1">
        <f>建筑各项能耗拆分!$B$18*建筑各项能耗拆分!C62</f>
        <v>0</v>
      </c>
      <c r="D3" s="1">
        <f>建筑各项能耗拆分!$B$18*建筑各项能耗拆分!D62</f>
        <v>0</v>
      </c>
      <c r="E3" s="1">
        <f>建筑各项能耗拆分!$B$18*建筑各项能耗拆分!E62</f>
        <v>0</v>
      </c>
      <c r="F3" s="1">
        <f>建筑各项能耗拆分!$B$18*建筑各项能耗拆分!F62</f>
        <v>0</v>
      </c>
      <c r="G3" s="1">
        <f>建筑各项能耗拆分!$B$18*建筑各项能耗拆分!G62</f>
        <v>0</v>
      </c>
      <c r="H3" s="1">
        <f>建筑各项能耗拆分!$B$18*建筑各项能耗拆分!H62</f>
        <v>0</v>
      </c>
      <c r="I3" s="1">
        <f>建筑各项能耗拆分!$B$18*建筑各项能耗拆分!I62</f>
        <v>0</v>
      </c>
      <c r="J3" s="1">
        <f>建筑各项能耗拆分!$B$18*建筑各项能耗拆分!J62</f>
        <v>0</v>
      </c>
      <c r="K3" s="1">
        <f>建筑各项能耗拆分!$B$18*建筑各项能耗拆分!K62</f>
        <v>0</v>
      </c>
      <c r="L3" s="1">
        <f>建筑各项能耗拆分!$B$18*建筑各项能耗拆分!L62</f>
        <v>0</v>
      </c>
      <c r="M3" s="1">
        <f>建筑各项能耗拆分!$B$18*建筑各项能耗拆分!M62</f>
        <v>0</v>
      </c>
      <c r="N3" s="1">
        <f>建筑各项能耗拆分!$B$18*建筑各项能耗拆分!N62</f>
        <v>0</v>
      </c>
      <c r="O3" s="1">
        <f>建筑各项能耗拆分!$B$18*建筑各项能耗拆分!O62</f>
        <v>0</v>
      </c>
      <c r="P3" s="1">
        <f>建筑各项能耗拆分!$B$18*建筑各项能耗拆分!P62</f>
        <v>0</v>
      </c>
      <c r="Q3" s="1">
        <f>建筑各项能耗拆分!$B$18*建筑各项能耗拆分!Q62</f>
        <v>0</v>
      </c>
      <c r="R3" s="1">
        <f>建筑各项能耗拆分!$B$18*建筑各项能耗拆分!R62</f>
        <v>0</v>
      </c>
      <c r="S3" s="1">
        <f>建筑各项能耗拆分!$B$18*建筑各项能耗拆分!S62</f>
        <v>0</v>
      </c>
      <c r="T3" s="1">
        <f>建筑各项能耗拆分!$B$18*建筑各项能耗拆分!T62</f>
        <v>0</v>
      </c>
      <c r="U3" s="1">
        <f>建筑各项能耗拆分!$B$18*建筑各项能耗拆分!U62</f>
        <v>0</v>
      </c>
      <c r="V3" s="1">
        <f>建筑各项能耗拆分!$B$18*建筑各项能耗拆分!V62</f>
        <v>0</v>
      </c>
      <c r="W3" s="1">
        <f>建筑各项能耗拆分!$B$18*建筑各项能耗拆分!W62</f>
        <v>0</v>
      </c>
      <c r="X3" s="1">
        <f>建筑各项能耗拆分!$B$18*建筑各项能耗拆分!X62</f>
        <v>0</v>
      </c>
      <c r="Y3" s="1">
        <f>建筑各项能耗拆分!$B$18*建筑各项能耗拆分!Y62</f>
        <v>0</v>
      </c>
      <c r="Z3" s="1">
        <f>建筑各项能耗拆分!$B$18*建筑各项能耗拆分!Z62</f>
        <v>0</v>
      </c>
      <c r="AA3" s="1">
        <f>建筑各项能耗拆分!$B$18*建筑各项能耗拆分!AA62</f>
        <v>0</v>
      </c>
      <c r="AB3" s="1">
        <f>建筑各项能耗拆分!$B$18*建筑各项能耗拆分!AB62</f>
        <v>0</v>
      </c>
      <c r="AC3" s="1">
        <f>建筑各项能耗拆分!$B$18*建筑各项能耗拆分!AC62</f>
        <v>0</v>
      </c>
      <c r="AD3" s="1">
        <f>建筑各项能耗拆分!$B$18*建筑各项能耗拆分!AD62</f>
        <v>0</v>
      </c>
      <c r="AE3" s="1">
        <f>建筑各项能耗拆分!$B$18*建筑各项能耗拆分!AE62</f>
        <v>0</v>
      </c>
      <c r="AF3" s="1">
        <f>建筑各项能耗拆分!$B$18*建筑各项能耗拆分!AF62</f>
        <v>0</v>
      </c>
      <c r="AG3" s="1">
        <f>建筑各项能耗拆分!$B$18*建筑各项能耗拆分!AG62</f>
        <v>0</v>
      </c>
      <c r="AH3" s="1">
        <f>建筑各项能耗拆分!$B$18*建筑各项能耗拆分!AH62</f>
        <v>0</v>
      </c>
      <c r="AI3" s="1">
        <f>建筑各项能耗拆分!$B$18*建筑各项能耗拆分!AI62</f>
        <v>0</v>
      </c>
      <c r="AJ3" s="1">
        <f>建筑各项能耗拆分!$B$18*建筑各项能耗拆分!AJ62</f>
        <v>0</v>
      </c>
      <c r="AK3" s="1">
        <f>建筑各项能耗拆分!$B$18*建筑各项能耗拆分!AK62</f>
        <v>0</v>
      </c>
      <c r="AL3" s="1">
        <f>建筑各项能耗拆分!$B$18*建筑各项能耗拆分!AL62</f>
        <v>0</v>
      </c>
      <c r="AM3" s="1">
        <f>建筑各项能耗拆分!$B$18*建筑各项能耗拆分!AM62</f>
        <v>0</v>
      </c>
      <c r="AN3" s="1">
        <f>建筑各项能耗拆分!$B$18*建筑各项能耗拆分!AN62</f>
        <v>0</v>
      </c>
      <c r="AO3" s="1">
        <f>建筑各项能耗拆分!$B$18*建筑各项能耗拆分!AO62</f>
        <v>0</v>
      </c>
      <c r="AP3" s="1">
        <f>建筑各项能耗拆分!$B$18*建筑各项能耗拆分!AP62</f>
        <v>0</v>
      </c>
      <c r="AQ3" s="1">
        <f>建筑各项能耗拆分!$B$18*建筑各项能耗拆分!AQ62</f>
        <v>0</v>
      </c>
      <c r="AR3" s="1">
        <f>建筑各项能耗拆分!$B$18*建筑各项能耗拆分!AR62</f>
        <v>0</v>
      </c>
    </row>
    <row r="4" spans="1:44">
      <c r="A4" t="s">
        <v>1111</v>
      </c>
      <c r="B4" s="1">
        <f>建筑各项能耗拆分!$B$18*建筑各项能耗拆分!B63</f>
        <v>0</v>
      </c>
      <c r="C4" s="1">
        <f>建筑各项能耗拆分!$B$18*建筑各项能耗拆分!C63</f>
        <v>0</v>
      </c>
      <c r="D4" s="1">
        <f>建筑各项能耗拆分!$B$18*建筑各项能耗拆分!D63</f>
        <v>0</v>
      </c>
      <c r="E4" s="1">
        <f>建筑各项能耗拆分!$B$18*建筑各项能耗拆分!E63</f>
        <v>0</v>
      </c>
      <c r="F4" s="1">
        <f>建筑各项能耗拆分!$B$18*建筑各项能耗拆分!F63</f>
        <v>0</v>
      </c>
      <c r="G4" s="1">
        <f>建筑各项能耗拆分!$B$18*建筑各项能耗拆分!G63</f>
        <v>0</v>
      </c>
      <c r="H4" s="1">
        <f>建筑各项能耗拆分!$B$18*建筑各项能耗拆分!H63</f>
        <v>0</v>
      </c>
      <c r="I4" s="1">
        <f>建筑各项能耗拆分!$B$18*建筑各项能耗拆分!I63</f>
        <v>0</v>
      </c>
      <c r="J4" s="1">
        <f>建筑各项能耗拆分!$B$18*建筑各项能耗拆分!J63</f>
        <v>0</v>
      </c>
      <c r="K4" s="1">
        <f>建筑各项能耗拆分!$B$18*建筑各项能耗拆分!K63</f>
        <v>0</v>
      </c>
      <c r="L4" s="1">
        <f>建筑各项能耗拆分!$B$18*建筑各项能耗拆分!L63</f>
        <v>0</v>
      </c>
      <c r="M4" s="1">
        <f>建筑各项能耗拆分!$B$18*建筑各项能耗拆分!M63</f>
        <v>0</v>
      </c>
      <c r="N4" s="1">
        <f>建筑各项能耗拆分!$B$18*建筑各项能耗拆分!N63</f>
        <v>0</v>
      </c>
      <c r="O4" s="1">
        <f>建筑各项能耗拆分!$B$18*建筑各项能耗拆分!O63</f>
        <v>0</v>
      </c>
      <c r="P4" s="1">
        <f>建筑各项能耗拆分!$B$18*建筑各项能耗拆分!P63</f>
        <v>0</v>
      </c>
      <c r="Q4" s="1">
        <f>建筑各项能耗拆分!$B$18*建筑各项能耗拆分!Q63</f>
        <v>0</v>
      </c>
      <c r="R4" s="1">
        <f>建筑各项能耗拆分!$B$18*建筑各项能耗拆分!R63</f>
        <v>0</v>
      </c>
      <c r="S4" s="1">
        <f>建筑各项能耗拆分!$B$18*建筑各项能耗拆分!S63</f>
        <v>0</v>
      </c>
      <c r="T4" s="1">
        <f>建筑各项能耗拆分!$B$18*建筑各项能耗拆分!T63</f>
        <v>0</v>
      </c>
      <c r="U4" s="1">
        <f>建筑各项能耗拆分!$B$18*建筑各项能耗拆分!U63</f>
        <v>0</v>
      </c>
      <c r="V4" s="1">
        <f>建筑各项能耗拆分!$B$18*建筑各项能耗拆分!V63</f>
        <v>0</v>
      </c>
      <c r="W4" s="1">
        <f>建筑各项能耗拆分!$B$18*建筑各项能耗拆分!W63</f>
        <v>0</v>
      </c>
      <c r="X4" s="1">
        <f>建筑各项能耗拆分!$B$18*建筑各项能耗拆分!X63</f>
        <v>0</v>
      </c>
      <c r="Y4" s="1">
        <f>建筑各项能耗拆分!$B$18*建筑各项能耗拆分!Y63</f>
        <v>0</v>
      </c>
      <c r="Z4" s="1">
        <f>建筑各项能耗拆分!$B$18*建筑各项能耗拆分!Z63</f>
        <v>0</v>
      </c>
      <c r="AA4" s="1">
        <f>建筑各项能耗拆分!$B$18*建筑各项能耗拆分!AA63</f>
        <v>0</v>
      </c>
      <c r="AB4" s="1">
        <f>建筑各项能耗拆分!$B$18*建筑各项能耗拆分!AB63</f>
        <v>0</v>
      </c>
      <c r="AC4" s="1">
        <f>建筑各项能耗拆分!$B$18*建筑各项能耗拆分!AC63</f>
        <v>0</v>
      </c>
      <c r="AD4" s="1">
        <f>建筑各项能耗拆分!$B$18*建筑各项能耗拆分!AD63</f>
        <v>0</v>
      </c>
      <c r="AE4" s="1">
        <f>建筑各项能耗拆分!$B$18*建筑各项能耗拆分!AE63</f>
        <v>0</v>
      </c>
      <c r="AF4" s="1">
        <f>建筑各项能耗拆分!$B$18*建筑各项能耗拆分!AF63</f>
        <v>0</v>
      </c>
      <c r="AG4" s="1">
        <f>建筑各项能耗拆分!$B$18*建筑各项能耗拆分!AG63</f>
        <v>0</v>
      </c>
      <c r="AH4" s="1">
        <f>建筑各项能耗拆分!$B$18*建筑各项能耗拆分!AH63</f>
        <v>0</v>
      </c>
      <c r="AI4" s="1">
        <f>建筑各项能耗拆分!$B$18*建筑各项能耗拆分!AI63</f>
        <v>0</v>
      </c>
      <c r="AJ4" s="1">
        <f>建筑各项能耗拆分!$B$18*建筑各项能耗拆分!AJ63</f>
        <v>0</v>
      </c>
      <c r="AK4" s="1">
        <f>建筑各项能耗拆分!$B$18*建筑各项能耗拆分!AK63</f>
        <v>0</v>
      </c>
      <c r="AL4" s="1">
        <f>建筑各项能耗拆分!$B$18*建筑各项能耗拆分!AL63</f>
        <v>0</v>
      </c>
      <c r="AM4" s="1">
        <f>建筑各项能耗拆分!$B$18*建筑各项能耗拆分!AM63</f>
        <v>0</v>
      </c>
      <c r="AN4" s="1">
        <f>建筑各项能耗拆分!$B$18*建筑各项能耗拆分!AN63</f>
        <v>0</v>
      </c>
      <c r="AO4" s="1">
        <f>建筑各项能耗拆分!$B$18*建筑各项能耗拆分!AO63</f>
        <v>0</v>
      </c>
      <c r="AP4" s="1">
        <f>建筑各项能耗拆分!$B$18*建筑各项能耗拆分!AP63</f>
        <v>0</v>
      </c>
      <c r="AQ4" s="1">
        <f>建筑各项能耗拆分!$B$18*建筑各项能耗拆分!AQ63</f>
        <v>0</v>
      </c>
      <c r="AR4" s="1">
        <f>建筑各项能耗拆分!$B$18*建筑各项能耗拆分!AR63</f>
        <v>0</v>
      </c>
    </row>
    <row r="5" spans="1:44">
      <c r="A5" t="s">
        <v>1112</v>
      </c>
      <c r="B5" s="1">
        <f>建筑各项能耗拆分!$B$18*建筑各项能耗拆分!B64</f>
        <v>0</v>
      </c>
      <c r="C5" s="1">
        <f>建筑各项能耗拆分!$B$18*建筑各项能耗拆分!C64</f>
        <v>0</v>
      </c>
      <c r="D5" s="1">
        <f>建筑各项能耗拆分!$B$18*建筑各项能耗拆分!D64</f>
        <v>0</v>
      </c>
      <c r="E5" s="1">
        <f>建筑各项能耗拆分!$B$18*建筑各项能耗拆分!E64</f>
        <v>0</v>
      </c>
      <c r="F5" s="1">
        <f>建筑各项能耗拆分!$B$18*建筑各项能耗拆分!F64</f>
        <v>0</v>
      </c>
      <c r="G5" s="1">
        <f>建筑各项能耗拆分!$B$18*建筑各项能耗拆分!G64</f>
        <v>0</v>
      </c>
      <c r="H5" s="1">
        <f>建筑各项能耗拆分!$B$18*建筑各项能耗拆分!H64</f>
        <v>0</v>
      </c>
      <c r="I5" s="1">
        <f>建筑各项能耗拆分!$B$18*建筑各项能耗拆分!I64</f>
        <v>0</v>
      </c>
      <c r="J5" s="1">
        <f>建筑各项能耗拆分!$B$18*建筑各项能耗拆分!J64</f>
        <v>0</v>
      </c>
      <c r="K5" s="1">
        <f>建筑各项能耗拆分!$B$18*建筑各项能耗拆分!K64</f>
        <v>0</v>
      </c>
      <c r="L5" s="1">
        <f>建筑各项能耗拆分!$B$18*建筑各项能耗拆分!L64</f>
        <v>0</v>
      </c>
      <c r="M5" s="1">
        <f>建筑各项能耗拆分!$B$18*建筑各项能耗拆分!M64</f>
        <v>0</v>
      </c>
      <c r="N5" s="1">
        <f>建筑各项能耗拆分!$B$18*建筑各项能耗拆分!N64</f>
        <v>0</v>
      </c>
      <c r="O5" s="1">
        <f>建筑各项能耗拆分!$B$18*建筑各项能耗拆分!O64</f>
        <v>0</v>
      </c>
      <c r="P5" s="1">
        <f>建筑各项能耗拆分!$B$18*建筑各项能耗拆分!P64</f>
        <v>0</v>
      </c>
      <c r="Q5" s="1">
        <f>建筑各项能耗拆分!$B$18*建筑各项能耗拆分!Q64</f>
        <v>0</v>
      </c>
      <c r="R5" s="1">
        <f>建筑各项能耗拆分!$B$18*建筑各项能耗拆分!R64</f>
        <v>0</v>
      </c>
      <c r="S5" s="1">
        <f>建筑各项能耗拆分!$B$18*建筑各项能耗拆分!S64</f>
        <v>0</v>
      </c>
      <c r="T5" s="1">
        <f>建筑各项能耗拆分!$B$18*建筑各项能耗拆分!T64</f>
        <v>0</v>
      </c>
      <c r="U5" s="1">
        <f>建筑各项能耗拆分!$B$18*建筑各项能耗拆分!U64</f>
        <v>0</v>
      </c>
      <c r="V5" s="1">
        <f>建筑各项能耗拆分!$B$18*建筑各项能耗拆分!V64</f>
        <v>0</v>
      </c>
      <c r="W5" s="1">
        <f>建筑各项能耗拆分!$B$18*建筑各项能耗拆分!W64</f>
        <v>0</v>
      </c>
      <c r="X5" s="1">
        <f>建筑各项能耗拆分!$B$18*建筑各项能耗拆分!X64</f>
        <v>0</v>
      </c>
      <c r="Y5" s="1">
        <f>建筑各项能耗拆分!$B$18*建筑各项能耗拆分!Y64</f>
        <v>0</v>
      </c>
      <c r="Z5" s="1">
        <f>建筑各项能耗拆分!$B$18*建筑各项能耗拆分!Z64</f>
        <v>0</v>
      </c>
      <c r="AA5" s="1">
        <f>建筑各项能耗拆分!$B$18*建筑各项能耗拆分!AA64</f>
        <v>0</v>
      </c>
      <c r="AB5" s="1">
        <f>建筑各项能耗拆分!$B$18*建筑各项能耗拆分!AB64</f>
        <v>0</v>
      </c>
      <c r="AC5" s="1">
        <f>建筑各项能耗拆分!$B$18*建筑各项能耗拆分!AC64</f>
        <v>0</v>
      </c>
      <c r="AD5" s="1">
        <f>建筑各项能耗拆分!$B$18*建筑各项能耗拆分!AD64</f>
        <v>0</v>
      </c>
      <c r="AE5" s="1">
        <f>建筑各项能耗拆分!$B$18*建筑各项能耗拆分!AE64</f>
        <v>0</v>
      </c>
      <c r="AF5" s="1">
        <f>建筑各项能耗拆分!$B$18*建筑各项能耗拆分!AF64</f>
        <v>0</v>
      </c>
      <c r="AG5" s="1">
        <f>建筑各项能耗拆分!$B$18*建筑各项能耗拆分!AG64</f>
        <v>0</v>
      </c>
      <c r="AH5" s="1">
        <f>建筑各项能耗拆分!$B$18*建筑各项能耗拆分!AH64</f>
        <v>0</v>
      </c>
      <c r="AI5" s="1">
        <f>建筑各项能耗拆分!$B$18*建筑各项能耗拆分!AI64</f>
        <v>0</v>
      </c>
      <c r="AJ5" s="1">
        <f>建筑各项能耗拆分!$B$18*建筑各项能耗拆分!AJ64</f>
        <v>0</v>
      </c>
      <c r="AK5" s="1">
        <f>建筑各项能耗拆分!$B$18*建筑各项能耗拆分!AK64</f>
        <v>0</v>
      </c>
      <c r="AL5" s="1">
        <f>建筑各项能耗拆分!$B$18*建筑各项能耗拆分!AL64</f>
        <v>0</v>
      </c>
      <c r="AM5" s="1">
        <f>建筑各项能耗拆分!$B$18*建筑各项能耗拆分!AM64</f>
        <v>0</v>
      </c>
      <c r="AN5" s="1">
        <f>建筑各项能耗拆分!$B$18*建筑各项能耗拆分!AN64</f>
        <v>0</v>
      </c>
      <c r="AO5" s="1">
        <f>建筑各项能耗拆分!$B$18*建筑各项能耗拆分!AO64</f>
        <v>0</v>
      </c>
      <c r="AP5" s="1">
        <f>建筑各项能耗拆分!$B$18*建筑各项能耗拆分!AP64</f>
        <v>0</v>
      </c>
      <c r="AQ5" s="1">
        <f>建筑各项能耗拆分!$B$18*建筑各项能耗拆分!AQ64</f>
        <v>0</v>
      </c>
      <c r="AR5" s="1">
        <f>建筑各项能耗拆分!$B$18*建筑各项能耗拆分!AR64</f>
        <v>0</v>
      </c>
    </row>
    <row r="6" spans="1:44">
      <c r="A6" t="s">
        <v>1113</v>
      </c>
      <c r="B6" s="1">
        <f>建筑各项能耗拆分!$B$18*建筑各项能耗拆分!B65</f>
        <v>0</v>
      </c>
      <c r="C6" s="1">
        <f>建筑各项能耗拆分!$B$18*建筑各项能耗拆分!C65</f>
        <v>0</v>
      </c>
      <c r="D6" s="1">
        <f>建筑各项能耗拆分!$B$18*建筑各项能耗拆分!D65</f>
        <v>0</v>
      </c>
      <c r="E6" s="1">
        <f>建筑各项能耗拆分!$B$18*建筑各项能耗拆分!E65</f>
        <v>0</v>
      </c>
      <c r="F6" s="1">
        <f>建筑各项能耗拆分!$B$18*建筑各项能耗拆分!F65</f>
        <v>0</v>
      </c>
      <c r="G6" s="1">
        <f>建筑各项能耗拆分!$B$18*建筑各项能耗拆分!G65</f>
        <v>0</v>
      </c>
      <c r="H6" s="1">
        <f>建筑各项能耗拆分!$B$18*建筑各项能耗拆分!H65</f>
        <v>0</v>
      </c>
      <c r="I6" s="1">
        <f>建筑各项能耗拆分!$B$18*建筑各项能耗拆分!I65</f>
        <v>0</v>
      </c>
      <c r="J6" s="1">
        <f>建筑各项能耗拆分!$B$18*建筑各项能耗拆分!J65</f>
        <v>0</v>
      </c>
      <c r="K6" s="1">
        <f>建筑各项能耗拆分!$B$18*建筑各项能耗拆分!K65</f>
        <v>0</v>
      </c>
      <c r="L6" s="1">
        <f>建筑各项能耗拆分!$B$18*建筑各项能耗拆分!L65</f>
        <v>0</v>
      </c>
      <c r="M6" s="1">
        <f>建筑各项能耗拆分!$B$18*建筑各项能耗拆分!M65</f>
        <v>0</v>
      </c>
      <c r="N6" s="1">
        <f>建筑各项能耗拆分!$B$18*建筑各项能耗拆分!N65</f>
        <v>0</v>
      </c>
      <c r="O6" s="1">
        <f>建筑各项能耗拆分!$B$18*建筑各项能耗拆分!O65</f>
        <v>0</v>
      </c>
      <c r="P6" s="1">
        <f>建筑各项能耗拆分!$B$18*建筑各项能耗拆分!P65</f>
        <v>0</v>
      </c>
      <c r="Q6" s="1">
        <f>建筑各项能耗拆分!$B$18*建筑各项能耗拆分!Q65</f>
        <v>0</v>
      </c>
      <c r="R6" s="1">
        <f>建筑各项能耗拆分!$B$18*建筑各项能耗拆分!R65</f>
        <v>0</v>
      </c>
      <c r="S6" s="1">
        <f>建筑各项能耗拆分!$B$18*建筑各项能耗拆分!S65</f>
        <v>0</v>
      </c>
      <c r="T6" s="1">
        <f>建筑各项能耗拆分!$B$18*建筑各项能耗拆分!T65</f>
        <v>0</v>
      </c>
      <c r="U6" s="1">
        <f>建筑各项能耗拆分!$B$18*建筑各项能耗拆分!U65</f>
        <v>0</v>
      </c>
      <c r="V6" s="1">
        <f>建筑各项能耗拆分!$B$18*建筑各项能耗拆分!V65</f>
        <v>0</v>
      </c>
      <c r="W6" s="1">
        <f>建筑各项能耗拆分!$B$18*建筑各项能耗拆分!W65</f>
        <v>0</v>
      </c>
      <c r="X6" s="1">
        <f>建筑各项能耗拆分!$B$18*建筑各项能耗拆分!X65</f>
        <v>0</v>
      </c>
      <c r="Y6" s="1">
        <f>建筑各项能耗拆分!$B$18*建筑各项能耗拆分!Y65</f>
        <v>0</v>
      </c>
      <c r="Z6" s="1">
        <f>建筑各项能耗拆分!$B$18*建筑各项能耗拆分!Z65</f>
        <v>0</v>
      </c>
      <c r="AA6" s="1">
        <f>建筑各项能耗拆分!$B$18*建筑各项能耗拆分!AA65</f>
        <v>0</v>
      </c>
      <c r="AB6" s="1">
        <f>建筑各项能耗拆分!$B$18*建筑各项能耗拆分!AB65</f>
        <v>0</v>
      </c>
      <c r="AC6" s="1">
        <f>建筑各项能耗拆分!$B$18*建筑各项能耗拆分!AC65</f>
        <v>0</v>
      </c>
      <c r="AD6" s="1">
        <f>建筑各项能耗拆分!$B$18*建筑各项能耗拆分!AD65</f>
        <v>0</v>
      </c>
      <c r="AE6" s="1">
        <f>建筑各项能耗拆分!$B$18*建筑各项能耗拆分!AE65</f>
        <v>0</v>
      </c>
      <c r="AF6" s="1">
        <f>建筑各项能耗拆分!$B$18*建筑各项能耗拆分!AF65</f>
        <v>0</v>
      </c>
      <c r="AG6" s="1">
        <f>建筑各项能耗拆分!$B$18*建筑各项能耗拆分!AG65</f>
        <v>0</v>
      </c>
      <c r="AH6" s="1">
        <f>建筑各项能耗拆分!$B$18*建筑各项能耗拆分!AH65</f>
        <v>0</v>
      </c>
      <c r="AI6" s="1">
        <f>建筑各项能耗拆分!$B$18*建筑各项能耗拆分!AI65</f>
        <v>0</v>
      </c>
      <c r="AJ6" s="1">
        <f>建筑各项能耗拆分!$B$18*建筑各项能耗拆分!AJ65</f>
        <v>0</v>
      </c>
      <c r="AK6" s="1">
        <f>建筑各项能耗拆分!$B$18*建筑各项能耗拆分!AK65</f>
        <v>0</v>
      </c>
      <c r="AL6" s="1">
        <f>建筑各项能耗拆分!$B$18*建筑各项能耗拆分!AL65</f>
        <v>0</v>
      </c>
      <c r="AM6" s="1">
        <f>建筑各项能耗拆分!$B$18*建筑各项能耗拆分!AM65</f>
        <v>0</v>
      </c>
      <c r="AN6" s="1">
        <f>建筑各项能耗拆分!$B$18*建筑各项能耗拆分!AN65</f>
        <v>0</v>
      </c>
      <c r="AO6" s="1">
        <f>建筑各项能耗拆分!$B$18*建筑各项能耗拆分!AO65</f>
        <v>0</v>
      </c>
      <c r="AP6" s="1">
        <f>建筑各项能耗拆分!$B$18*建筑各项能耗拆分!AP65</f>
        <v>0</v>
      </c>
      <c r="AQ6" s="1">
        <f>建筑各项能耗拆分!$B$18*建筑各项能耗拆分!AQ65</f>
        <v>0</v>
      </c>
      <c r="AR6" s="1">
        <f>建筑各项能耗拆分!$B$18*建筑各项能耗拆分!AR65</f>
        <v>0</v>
      </c>
    </row>
    <row r="7" spans="1:44">
      <c r="A7" t="s">
        <v>1114</v>
      </c>
      <c r="B7" s="1">
        <f>建筑各项能耗拆分!$B$18*建筑各项能耗拆分!B66</f>
        <v>0</v>
      </c>
      <c r="C7" s="1">
        <f>建筑各项能耗拆分!$B$18*建筑各项能耗拆分!C66</f>
        <v>0</v>
      </c>
      <c r="D7" s="1">
        <f>建筑各项能耗拆分!$B$18*建筑各项能耗拆分!D66</f>
        <v>0</v>
      </c>
      <c r="E7" s="1">
        <f>建筑各项能耗拆分!$B$18*建筑各项能耗拆分!E66</f>
        <v>0</v>
      </c>
      <c r="F7" s="1">
        <f>建筑各项能耗拆分!$B$18*建筑各项能耗拆分!F66</f>
        <v>0</v>
      </c>
      <c r="G7" s="1">
        <f>建筑各项能耗拆分!$B$18*建筑各项能耗拆分!G66</f>
        <v>0</v>
      </c>
      <c r="H7" s="1">
        <f>建筑各项能耗拆分!$B$18*建筑各项能耗拆分!H66</f>
        <v>0</v>
      </c>
      <c r="I7" s="1">
        <f>建筑各项能耗拆分!$B$18*建筑各项能耗拆分!I66</f>
        <v>0</v>
      </c>
      <c r="J7" s="1">
        <f>建筑各项能耗拆分!$B$18*建筑各项能耗拆分!J66</f>
        <v>0</v>
      </c>
      <c r="K7" s="1">
        <f>建筑各项能耗拆分!$B$18*建筑各项能耗拆分!K66</f>
        <v>0</v>
      </c>
      <c r="L7" s="1">
        <f>建筑各项能耗拆分!$B$18*建筑各项能耗拆分!L66</f>
        <v>0</v>
      </c>
      <c r="M7" s="1">
        <f>建筑各项能耗拆分!$B$18*建筑各项能耗拆分!M66</f>
        <v>0</v>
      </c>
      <c r="N7" s="1">
        <f>建筑各项能耗拆分!$B$18*建筑各项能耗拆分!N66</f>
        <v>0</v>
      </c>
      <c r="O7" s="1">
        <f>建筑各项能耗拆分!$B$18*建筑各项能耗拆分!O66</f>
        <v>0</v>
      </c>
      <c r="P7" s="1">
        <f>建筑各项能耗拆分!$B$18*建筑各项能耗拆分!P66</f>
        <v>0</v>
      </c>
      <c r="Q7" s="1">
        <f>建筑各项能耗拆分!$B$18*建筑各项能耗拆分!Q66</f>
        <v>0</v>
      </c>
      <c r="R7" s="1">
        <f>建筑各项能耗拆分!$B$18*建筑各项能耗拆分!R66</f>
        <v>0</v>
      </c>
      <c r="S7" s="1">
        <f>建筑各项能耗拆分!$B$18*建筑各项能耗拆分!S66</f>
        <v>0</v>
      </c>
      <c r="T7" s="1">
        <f>建筑各项能耗拆分!$B$18*建筑各项能耗拆分!T66</f>
        <v>0</v>
      </c>
      <c r="U7" s="1">
        <f>建筑各项能耗拆分!$B$18*建筑各项能耗拆分!U66</f>
        <v>0</v>
      </c>
      <c r="V7" s="1">
        <f>建筑各项能耗拆分!$B$18*建筑各项能耗拆分!V66</f>
        <v>0</v>
      </c>
      <c r="W7" s="1">
        <f>建筑各项能耗拆分!$B$18*建筑各项能耗拆分!W66</f>
        <v>0</v>
      </c>
      <c r="X7" s="1">
        <f>建筑各项能耗拆分!$B$18*建筑各项能耗拆分!X66</f>
        <v>0</v>
      </c>
      <c r="Y7" s="1">
        <f>建筑各项能耗拆分!$B$18*建筑各项能耗拆分!Y66</f>
        <v>0</v>
      </c>
      <c r="Z7" s="1">
        <f>建筑各项能耗拆分!$B$18*建筑各项能耗拆分!Z66</f>
        <v>0</v>
      </c>
      <c r="AA7" s="1">
        <f>建筑各项能耗拆分!$B$18*建筑各项能耗拆分!AA66</f>
        <v>0</v>
      </c>
      <c r="AB7" s="1">
        <f>建筑各项能耗拆分!$B$18*建筑各项能耗拆分!AB66</f>
        <v>0</v>
      </c>
      <c r="AC7" s="1">
        <f>建筑各项能耗拆分!$B$18*建筑各项能耗拆分!AC66</f>
        <v>0</v>
      </c>
      <c r="AD7" s="1">
        <f>建筑各项能耗拆分!$B$18*建筑各项能耗拆分!AD66</f>
        <v>0</v>
      </c>
      <c r="AE7" s="1">
        <f>建筑各项能耗拆分!$B$18*建筑各项能耗拆分!AE66</f>
        <v>0</v>
      </c>
      <c r="AF7" s="1">
        <f>建筑各项能耗拆分!$B$18*建筑各项能耗拆分!AF66</f>
        <v>0</v>
      </c>
      <c r="AG7" s="1">
        <f>建筑各项能耗拆分!$B$18*建筑各项能耗拆分!AG66</f>
        <v>0</v>
      </c>
      <c r="AH7" s="1">
        <f>建筑各项能耗拆分!$B$18*建筑各项能耗拆分!AH66</f>
        <v>0</v>
      </c>
      <c r="AI7" s="1">
        <f>建筑各项能耗拆分!$B$18*建筑各项能耗拆分!AI66</f>
        <v>0</v>
      </c>
      <c r="AJ7" s="1">
        <f>建筑各项能耗拆分!$B$18*建筑各项能耗拆分!AJ66</f>
        <v>0</v>
      </c>
      <c r="AK7" s="1">
        <f>建筑各项能耗拆分!$B$18*建筑各项能耗拆分!AK66</f>
        <v>0</v>
      </c>
      <c r="AL7" s="1">
        <f>建筑各项能耗拆分!$B$18*建筑各项能耗拆分!AL66</f>
        <v>0</v>
      </c>
      <c r="AM7" s="1">
        <f>建筑各项能耗拆分!$B$18*建筑各项能耗拆分!AM66</f>
        <v>0</v>
      </c>
      <c r="AN7" s="1">
        <f>建筑各项能耗拆分!$B$18*建筑各项能耗拆分!AN66</f>
        <v>0</v>
      </c>
      <c r="AO7" s="1">
        <f>建筑各项能耗拆分!$B$18*建筑各项能耗拆分!AO66</f>
        <v>0</v>
      </c>
      <c r="AP7" s="1">
        <f>建筑各项能耗拆分!$B$18*建筑各项能耗拆分!AP66</f>
        <v>0</v>
      </c>
      <c r="AQ7" s="1">
        <f>建筑各项能耗拆分!$B$18*建筑各项能耗拆分!AQ66</f>
        <v>0</v>
      </c>
      <c r="AR7" s="1">
        <f>建筑各项能耗拆分!$B$18*建筑各项能耗拆分!AR66</f>
        <v>0</v>
      </c>
    </row>
    <row r="8" spans="1:44">
      <c r="A8" t="s">
        <v>1115</v>
      </c>
      <c r="B8" s="1">
        <f>建筑各项能耗拆分!$B$18*建筑各项能耗拆分!B67</f>
        <v>0</v>
      </c>
      <c r="C8" s="1">
        <f>建筑各项能耗拆分!$B$18*建筑各项能耗拆分!C67</f>
        <v>0</v>
      </c>
      <c r="D8" s="1">
        <f>建筑各项能耗拆分!$B$18*建筑各项能耗拆分!D67</f>
        <v>0</v>
      </c>
      <c r="E8" s="1">
        <f>建筑各项能耗拆分!$B$18*建筑各项能耗拆分!E67</f>
        <v>0</v>
      </c>
      <c r="F8" s="1">
        <f>建筑各项能耗拆分!$B$18*建筑各项能耗拆分!F67</f>
        <v>0</v>
      </c>
      <c r="G8" s="1">
        <f>建筑各项能耗拆分!$B$18*建筑各项能耗拆分!G67</f>
        <v>0</v>
      </c>
      <c r="H8" s="1">
        <f>建筑各项能耗拆分!$B$18*建筑各项能耗拆分!H67</f>
        <v>0</v>
      </c>
      <c r="I8" s="1">
        <f>建筑各项能耗拆分!$B$18*建筑各项能耗拆分!I67</f>
        <v>0</v>
      </c>
      <c r="J8" s="1">
        <f>建筑各项能耗拆分!$B$18*建筑各项能耗拆分!J67</f>
        <v>0</v>
      </c>
      <c r="K8" s="1">
        <f>建筑各项能耗拆分!$B$18*建筑各项能耗拆分!K67</f>
        <v>0</v>
      </c>
      <c r="L8" s="1">
        <f>建筑各项能耗拆分!$B$18*建筑各项能耗拆分!L67</f>
        <v>0</v>
      </c>
      <c r="M8" s="1">
        <f>建筑各项能耗拆分!$B$18*建筑各项能耗拆分!M67</f>
        <v>0</v>
      </c>
      <c r="N8" s="1">
        <f>建筑各项能耗拆分!$B$18*建筑各项能耗拆分!N67</f>
        <v>0</v>
      </c>
      <c r="O8" s="1">
        <f>建筑各项能耗拆分!$B$18*建筑各项能耗拆分!O67</f>
        <v>0</v>
      </c>
      <c r="P8" s="1">
        <f>建筑各项能耗拆分!$B$18*建筑各项能耗拆分!P67</f>
        <v>0</v>
      </c>
      <c r="Q8" s="1">
        <f>建筑各项能耗拆分!$B$18*建筑各项能耗拆分!Q67</f>
        <v>0</v>
      </c>
      <c r="R8" s="1">
        <f>建筑各项能耗拆分!$B$18*建筑各项能耗拆分!R67</f>
        <v>0</v>
      </c>
      <c r="S8" s="1">
        <f>建筑各项能耗拆分!$B$18*建筑各项能耗拆分!S67</f>
        <v>0</v>
      </c>
      <c r="T8" s="1">
        <f>建筑各项能耗拆分!$B$18*建筑各项能耗拆分!T67</f>
        <v>0</v>
      </c>
      <c r="U8" s="1">
        <f>建筑各项能耗拆分!$B$18*建筑各项能耗拆分!U67</f>
        <v>0</v>
      </c>
      <c r="V8" s="1">
        <f>建筑各项能耗拆分!$B$18*建筑各项能耗拆分!V67</f>
        <v>0</v>
      </c>
      <c r="W8" s="1">
        <f>建筑各项能耗拆分!$B$18*建筑各项能耗拆分!W67</f>
        <v>0</v>
      </c>
      <c r="X8" s="1">
        <f>建筑各项能耗拆分!$B$18*建筑各项能耗拆分!X67</f>
        <v>0</v>
      </c>
      <c r="Y8" s="1">
        <f>建筑各项能耗拆分!$B$18*建筑各项能耗拆分!Y67</f>
        <v>0</v>
      </c>
      <c r="Z8" s="1">
        <f>建筑各项能耗拆分!$B$18*建筑各项能耗拆分!Z67</f>
        <v>0</v>
      </c>
      <c r="AA8" s="1">
        <f>建筑各项能耗拆分!$B$18*建筑各项能耗拆分!AA67</f>
        <v>0</v>
      </c>
      <c r="AB8" s="1">
        <f>建筑各项能耗拆分!$B$18*建筑各项能耗拆分!AB67</f>
        <v>0</v>
      </c>
      <c r="AC8" s="1">
        <f>建筑各项能耗拆分!$B$18*建筑各项能耗拆分!AC67</f>
        <v>0</v>
      </c>
      <c r="AD8" s="1">
        <f>建筑各项能耗拆分!$B$18*建筑各项能耗拆分!AD67</f>
        <v>0</v>
      </c>
      <c r="AE8" s="1">
        <f>建筑各项能耗拆分!$B$18*建筑各项能耗拆分!AE67</f>
        <v>0</v>
      </c>
      <c r="AF8" s="1">
        <f>建筑各项能耗拆分!$B$18*建筑各项能耗拆分!AF67</f>
        <v>0</v>
      </c>
      <c r="AG8" s="1">
        <f>建筑各项能耗拆分!$B$18*建筑各项能耗拆分!AG67</f>
        <v>0</v>
      </c>
      <c r="AH8" s="1">
        <f>建筑各项能耗拆分!$B$18*建筑各项能耗拆分!AH67</f>
        <v>0</v>
      </c>
      <c r="AI8" s="1">
        <f>建筑各项能耗拆分!$B$18*建筑各项能耗拆分!AI67</f>
        <v>0</v>
      </c>
      <c r="AJ8" s="1">
        <f>建筑各项能耗拆分!$B$18*建筑各项能耗拆分!AJ67</f>
        <v>0</v>
      </c>
      <c r="AK8" s="1">
        <f>建筑各项能耗拆分!$B$18*建筑各项能耗拆分!AK67</f>
        <v>0</v>
      </c>
      <c r="AL8" s="1">
        <f>建筑各项能耗拆分!$B$18*建筑各项能耗拆分!AL67</f>
        <v>0</v>
      </c>
      <c r="AM8" s="1">
        <f>建筑各项能耗拆分!$B$18*建筑各项能耗拆分!AM67</f>
        <v>0</v>
      </c>
      <c r="AN8" s="1">
        <f>建筑各项能耗拆分!$B$18*建筑各项能耗拆分!AN67</f>
        <v>0</v>
      </c>
      <c r="AO8" s="1">
        <f>建筑各项能耗拆分!$B$18*建筑各项能耗拆分!AO67</f>
        <v>0</v>
      </c>
      <c r="AP8" s="1">
        <f>建筑各项能耗拆分!$B$18*建筑各项能耗拆分!AP67</f>
        <v>0</v>
      </c>
      <c r="AQ8" s="1">
        <f>建筑各项能耗拆分!$B$18*建筑各项能耗拆分!AQ67</f>
        <v>0</v>
      </c>
      <c r="AR8" s="1">
        <f>建筑各项能耗拆分!$B$18*建筑各项能耗拆分!AR67</f>
        <v>0</v>
      </c>
    </row>
    <row r="9" spans="1:44">
      <c r="A9" t="s">
        <v>1116</v>
      </c>
      <c r="B9" s="1">
        <f>建筑各项能耗拆分!$B$18*建筑各项能耗拆分!B68</f>
        <v>0</v>
      </c>
      <c r="C9" s="1">
        <f>建筑各项能耗拆分!$B$18*建筑各项能耗拆分!C68</f>
        <v>0</v>
      </c>
      <c r="D9" s="1">
        <f>建筑各项能耗拆分!$B$18*建筑各项能耗拆分!D68</f>
        <v>0</v>
      </c>
      <c r="E9" s="1">
        <f>建筑各项能耗拆分!$B$18*建筑各项能耗拆分!E68</f>
        <v>0</v>
      </c>
      <c r="F9" s="1">
        <f>建筑各项能耗拆分!$B$18*建筑各项能耗拆分!F68</f>
        <v>0</v>
      </c>
      <c r="G9" s="1">
        <f>建筑各项能耗拆分!$B$18*建筑各项能耗拆分!G68</f>
        <v>0</v>
      </c>
      <c r="H9" s="1">
        <f>建筑各项能耗拆分!$B$18*建筑各项能耗拆分!H68</f>
        <v>0</v>
      </c>
      <c r="I9" s="1">
        <f>建筑各项能耗拆分!$B$18*建筑各项能耗拆分!I68</f>
        <v>0</v>
      </c>
      <c r="J9" s="1">
        <f>建筑各项能耗拆分!$B$18*建筑各项能耗拆分!J68</f>
        <v>0</v>
      </c>
      <c r="K9" s="1">
        <f>建筑各项能耗拆分!$B$18*建筑各项能耗拆分!K68</f>
        <v>0</v>
      </c>
      <c r="L9" s="1">
        <f>建筑各项能耗拆分!$B$18*建筑各项能耗拆分!L68</f>
        <v>0</v>
      </c>
      <c r="M9" s="1">
        <f>建筑各项能耗拆分!$B$18*建筑各项能耗拆分!M68</f>
        <v>0</v>
      </c>
      <c r="N9" s="1">
        <f>建筑各项能耗拆分!$B$18*建筑各项能耗拆分!N68</f>
        <v>0</v>
      </c>
      <c r="O9" s="1">
        <f>建筑各项能耗拆分!$B$18*建筑各项能耗拆分!O68</f>
        <v>0</v>
      </c>
      <c r="P9" s="1">
        <f>建筑各项能耗拆分!$B$18*建筑各项能耗拆分!P68</f>
        <v>0</v>
      </c>
      <c r="Q9" s="1">
        <f>建筑各项能耗拆分!$B$18*建筑各项能耗拆分!Q68</f>
        <v>0</v>
      </c>
      <c r="R9" s="1">
        <f>建筑各项能耗拆分!$B$18*建筑各项能耗拆分!R68</f>
        <v>0</v>
      </c>
      <c r="S9" s="1">
        <f>建筑各项能耗拆分!$B$18*建筑各项能耗拆分!S68</f>
        <v>0</v>
      </c>
      <c r="T9" s="1">
        <f>建筑各项能耗拆分!$B$18*建筑各项能耗拆分!T68</f>
        <v>0</v>
      </c>
      <c r="U9" s="1">
        <f>建筑各项能耗拆分!$B$18*建筑各项能耗拆分!U68</f>
        <v>0</v>
      </c>
      <c r="V9" s="1">
        <f>建筑各项能耗拆分!$B$18*建筑各项能耗拆分!V68</f>
        <v>0</v>
      </c>
      <c r="W9" s="1">
        <f>建筑各项能耗拆分!$B$18*建筑各项能耗拆分!W68</f>
        <v>0</v>
      </c>
      <c r="X9" s="1">
        <f>建筑各项能耗拆分!$B$18*建筑各项能耗拆分!X68</f>
        <v>0</v>
      </c>
      <c r="Y9" s="1">
        <f>建筑各项能耗拆分!$B$18*建筑各项能耗拆分!Y68</f>
        <v>0</v>
      </c>
      <c r="Z9" s="1">
        <f>建筑各项能耗拆分!$B$18*建筑各项能耗拆分!Z68</f>
        <v>0</v>
      </c>
      <c r="AA9" s="1">
        <f>建筑各项能耗拆分!$B$18*建筑各项能耗拆分!AA68</f>
        <v>0</v>
      </c>
      <c r="AB9" s="1">
        <f>建筑各项能耗拆分!$B$18*建筑各项能耗拆分!AB68</f>
        <v>0</v>
      </c>
      <c r="AC9" s="1">
        <f>建筑各项能耗拆分!$B$18*建筑各项能耗拆分!AC68</f>
        <v>0</v>
      </c>
      <c r="AD9" s="1">
        <f>建筑各项能耗拆分!$B$18*建筑各项能耗拆分!AD68</f>
        <v>0</v>
      </c>
      <c r="AE9" s="1">
        <f>建筑各项能耗拆分!$B$18*建筑各项能耗拆分!AE68</f>
        <v>0</v>
      </c>
      <c r="AF9" s="1">
        <f>建筑各项能耗拆分!$B$18*建筑各项能耗拆分!AF68</f>
        <v>0</v>
      </c>
      <c r="AG9" s="1">
        <f>建筑各项能耗拆分!$B$18*建筑各项能耗拆分!AG68</f>
        <v>0</v>
      </c>
      <c r="AH9" s="1">
        <f>建筑各项能耗拆分!$B$18*建筑各项能耗拆分!AH68</f>
        <v>0</v>
      </c>
      <c r="AI9" s="1">
        <f>建筑各项能耗拆分!$B$18*建筑各项能耗拆分!AI68</f>
        <v>0</v>
      </c>
      <c r="AJ9" s="1">
        <f>建筑各项能耗拆分!$B$18*建筑各项能耗拆分!AJ68</f>
        <v>0</v>
      </c>
      <c r="AK9" s="1">
        <f>建筑各项能耗拆分!$B$18*建筑各项能耗拆分!AK68</f>
        <v>0</v>
      </c>
      <c r="AL9" s="1">
        <f>建筑各项能耗拆分!$B$18*建筑各项能耗拆分!AL68</f>
        <v>0</v>
      </c>
      <c r="AM9" s="1">
        <f>建筑各项能耗拆分!$B$18*建筑各项能耗拆分!AM68</f>
        <v>0</v>
      </c>
      <c r="AN9" s="1">
        <f>建筑各项能耗拆分!$B$18*建筑各项能耗拆分!AN68</f>
        <v>0</v>
      </c>
      <c r="AO9" s="1">
        <f>建筑各项能耗拆分!$B$18*建筑各项能耗拆分!AO68</f>
        <v>0</v>
      </c>
      <c r="AP9" s="1">
        <f>建筑各项能耗拆分!$B$18*建筑各项能耗拆分!AP68</f>
        <v>0</v>
      </c>
      <c r="AQ9" s="1">
        <f>建筑各项能耗拆分!$B$18*建筑各项能耗拆分!AQ68</f>
        <v>0</v>
      </c>
      <c r="AR9" s="1">
        <f>建筑各项能耗拆分!$B$18*建筑各项能耗拆分!AR68</f>
        <v>0</v>
      </c>
    </row>
    <row r="10" spans="1:44">
      <c r="A10" t="s">
        <v>1117</v>
      </c>
      <c r="B10" s="1">
        <f>建筑各项能耗拆分!$B$18*建筑各项能耗拆分!B69</f>
        <v>0</v>
      </c>
      <c r="C10" s="1">
        <f>建筑各项能耗拆分!$B$18*建筑各项能耗拆分!C69</f>
        <v>0</v>
      </c>
      <c r="D10" s="1">
        <f>建筑各项能耗拆分!$B$18*建筑各项能耗拆分!D69</f>
        <v>0</v>
      </c>
      <c r="E10" s="1">
        <f>建筑各项能耗拆分!$B$18*建筑各项能耗拆分!E69</f>
        <v>0</v>
      </c>
      <c r="F10" s="1">
        <f>建筑各项能耗拆分!$B$18*建筑各项能耗拆分!F69</f>
        <v>0</v>
      </c>
      <c r="G10" s="1">
        <f>建筑各项能耗拆分!$B$18*建筑各项能耗拆分!G69</f>
        <v>0</v>
      </c>
      <c r="H10" s="1">
        <f>建筑各项能耗拆分!$B$18*建筑各项能耗拆分!H69</f>
        <v>0</v>
      </c>
      <c r="I10" s="1">
        <f>建筑各项能耗拆分!$B$18*建筑各项能耗拆分!I69</f>
        <v>0</v>
      </c>
      <c r="J10" s="1">
        <f>建筑各项能耗拆分!$B$18*建筑各项能耗拆分!J69</f>
        <v>0</v>
      </c>
      <c r="K10" s="1">
        <f>建筑各项能耗拆分!$B$18*建筑各项能耗拆分!K69</f>
        <v>0</v>
      </c>
      <c r="L10" s="1">
        <f>建筑各项能耗拆分!$B$18*建筑各项能耗拆分!L69</f>
        <v>0</v>
      </c>
      <c r="M10" s="1">
        <f>建筑各项能耗拆分!$B$18*建筑各项能耗拆分!M69</f>
        <v>0</v>
      </c>
      <c r="N10" s="1">
        <f>建筑各项能耗拆分!$B$18*建筑各项能耗拆分!N69</f>
        <v>0</v>
      </c>
      <c r="O10" s="1">
        <f>建筑各项能耗拆分!$B$18*建筑各项能耗拆分!O69</f>
        <v>0</v>
      </c>
      <c r="P10" s="1">
        <f>建筑各项能耗拆分!$B$18*建筑各项能耗拆分!P69</f>
        <v>0</v>
      </c>
      <c r="Q10" s="1">
        <f>建筑各项能耗拆分!$B$18*建筑各项能耗拆分!Q69</f>
        <v>0</v>
      </c>
      <c r="R10" s="1">
        <f>建筑各项能耗拆分!$B$18*建筑各项能耗拆分!R69</f>
        <v>0</v>
      </c>
      <c r="S10" s="1">
        <f>建筑各项能耗拆分!$B$18*建筑各项能耗拆分!S69</f>
        <v>0</v>
      </c>
      <c r="T10" s="1">
        <f>建筑各项能耗拆分!$B$18*建筑各项能耗拆分!T69</f>
        <v>0</v>
      </c>
      <c r="U10" s="1">
        <f>建筑各项能耗拆分!$B$18*建筑各项能耗拆分!U69</f>
        <v>0</v>
      </c>
      <c r="V10" s="1">
        <f>建筑各项能耗拆分!$B$18*建筑各项能耗拆分!V69</f>
        <v>0</v>
      </c>
      <c r="W10" s="1">
        <f>建筑各项能耗拆分!$B$18*建筑各项能耗拆分!W69</f>
        <v>0</v>
      </c>
      <c r="X10" s="1">
        <f>建筑各项能耗拆分!$B$18*建筑各项能耗拆分!X69</f>
        <v>0</v>
      </c>
      <c r="Y10" s="1">
        <f>建筑各项能耗拆分!$B$18*建筑各项能耗拆分!Y69</f>
        <v>0</v>
      </c>
      <c r="Z10" s="1">
        <f>建筑各项能耗拆分!$B$18*建筑各项能耗拆分!Z69</f>
        <v>0</v>
      </c>
      <c r="AA10" s="1">
        <f>建筑各项能耗拆分!$B$18*建筑各项能耗拆分!AA69</f>
        <v>0</v>
      </c>
      <c r="AB10" s="1">
        <f>建筑各项能耗拆分!$B$18*建筑各项能耗拆分!AB69</f>
        <v>0</v>
      </c>
      <c r="AC10" s="1">
        <f>建筑各项能耗拆分!$B$18*建筑各项能耗拆分!AC69</f>
        <v>0</v>
      </c>
      <c r="AD10" s="1">
        <f>建筑各项能耗拆分!$B$18*建筑各项能耗拆分!AD69</f>
        <v>0</v>
      </c>
      <c r="AE10" s="1">
        <f>建筑各项能耗拆分!$B$18*建筑各项能耗拆分!AE69</f>
        <v>0</v>
      </c>
      <c r="AF10" s="1">
        <f>建筑各项能耗拆分!$B$18*建筑各项能耗拆分!AF69</f>
        <v>0</v>
      </c>
      <c r="AG10" s="1">
        <f>建筑各项能耗拆分!$B$18*建筑各项能耗拆分!AG69</f>
        <v>0</v>
      </c>
      <c r="AH10" s="1">
        <f>建筑各项能耗拆分!$B$18*建筑各项能耗拆分!AH69</f>
        <v>0</v>
      </c>
      <c r="AI10" s="1">
        <f>建筑各项能耗拆分!$B$18*建筑各项能耗拆分!AI69</f>
        <v>0</v>
      </c>
      <c r="AJ10" s="1">
        <f>建筑各项能耗拆分!$B$18*建筑各项能耗拆分!AJ69</f>
        <v>0</v>
      </c>
      <c r="AK10" s="1">
        <f>建筑各项能耗拆分!$B$18*建筑各项能耗拆分!AK69</f>
        <v>0</v>
      </c>
      <c r="AL10" s="1">
        <f>建筑各项能耗拆分!$B$18*建筑各项能耗拆分!AL69</f>
        <v>0</v>
      </c>
      <c r="AM10" s="1">
        <f>建筑各项能耗拆分!$B$18*建筑各项能耗拆分!AM69</f>
        <v>0</v>
      </c>
      <c r="AN10" s="1">
        <f>建筑各项能耗拆分!$B$18*建筑各项能耗拆分!AN69</f>
        <v>0</v>
      </c>
      <c r="AO10" s="1">
        <f>建筑各项能耗拆分!$B$18*建筑各项能耗拆分!AO69</f>
        <v>0</v>
      </c>
      <c r="AP10" s="1">
        <f>建筑各项能耗拆分!$B$18*建筑各项能耗拆分!AP69</f>
        <v>0</v>
      </c>
      <c r="AQ10" s="1">
        <f>建筑各项能耗拆分!$B$18*建筑各项能耗拆分!AQ69</f>
        <v>0</v>
      </c>
      <c r="AR10" s="1">
        <f>建筑各项能耗拆分!$B$18*建筑各项能耗拆分!AR69</f>
        <v>0</v>
      </c>
    </row>
    <row r="11" spans="1:44">
      <c r="A11" t="s">
        <v>1118</v>
      </c>
      <c r="B11" s="1">
        <f>建筑各项能耗拆分!$B$18*建筑各项能耗拆分!B70</f>
        <v>0</v>
      </c>
      <c r="C11" s="1">
        <f>建筑各项能耗拆分!$B$18*建筑各项能耗拆分!C70</f>
        <v>0</v>
      </c>
      <c r="D11" s="1">
        <f>建筑各项能耗拆分!$B$18*建筑各项能耗拆分!D70</f>
        <v>0</v>
      </c>
      <c r="E11" s="1">
        <f>建筑各项能耗拆分!$B$18*建筑各项能耗拆分!E70</f>
        <v>0</v>
      </c>
      <c r="F11" s="1">
        <f>建筑各项能耗拆分!$B$18*建筑各项能耗拆分!F70</f>
        <v>0</v>
      </c>
      <c r="G11" s="1">
        <f>建筑各项能耗拆分!$B$18*建筑各项能耗拆分!G70</f>
        <v>0</v>
      </c>
      <c r="H11" s="1">
        <f>建筑各项能耗拆分!$B$18*建筑各项能耗拆分!H70</f>
        <v>0</v>
      </c>
      <c r="I11" s="1">
        <f>建筑各项能耗拆分!$B$18*建筑各项能耗拆分!I70</f>
        <v>0</v>
      </c>
      <c r="J11" s="1">
        <f>建筑各项能耗拆分!$B$18*建筑各项能耗拆分!J70</f>
        <v>0</v>
      </c>
      <c r="K11" s="1">
        <f>建筑各项能耗拆分!$B$18*建筑各项能耗拆分!K70</f>
        <v>0</v>
      </c>
      <c r="L11" s="1">
        <f>建筑各项能耗拆分!$B$18*建筑各项能耗拆分!L70</f>
        <v>0</v>
      </c>
      <c r="M11" s="1">
        <f>建筑各项能耗拆分!$B$18*建筑各项能耗拆分!M70</f>
        <v>0</v>
      </c>
      <c r="N11" s="1">
        <f>建筑各项能耗拆分!$B$18*建筑各项能耗拆分!N70</f>
        <v>0</v>
      </c>
      <c r="O11" s="1">
        <f>建筑各项能耗拆分!$B$18*建筑各项能耗拆分!O70</f>
        <v>0</v>
      </c>
      <c r="P11" s="1">
        <f>建筑各项能耗拆分!$B$18*建筑各项能耗拆分!P70</f>
        <v>0</v>
      </c>
      <c r="Q11" s="1">
        <f>建筑各项能耗拆分!$B$18*建筑各项能耗拆分!Q70</f>
        <v>0</v>
      </c>
      <c r="R11" s="1">
        <f>建筑各项能耗拆分!$B$18*建筑各项能耗拆分!R70</f>
        <v>0</v>
      </c>
      <c r="S11" s="1">
        <f>建筑各项能耗拆分!$B$18*建筑各项能耗拆分!S70</f>
        <v>0</v>
      </c>
      <c r="T11" s="1">
        <f>建筑各项能耗拆分!$B$18*建筑各项能耗拆分!T70</f>
        <v>0</v>
      </c>
      <c r="U11" s="1">
        <f>建筑各项能耗拆分!$B$18*建筑各项能耗拆分!U70</f>
        <v>0</v>
      </c>
      <c r="V11" s="1">
        <f>建筑各项能耗拆分!$B$18*建筑各项能耗拆分!V70</f>
        <v>0</v>
      </c>
      <c r="W11" s="1">
        <f>建筑各项能耗拆分!$B$18*建筑各项能耗拆分!W70</f>
        <v>0</v>
      </c>
      <c r="X11" s="1">
        <f>建筑各项能耗拆分!$B$18*建筑各项能耗拆分!X70</f>
        <v>0</v>
      </c>
      <c r="Y11" s="1">
        <f>建筑各项能耗拆分!$B$18*建筑各项能耗拆分!Y70</f>
        <v>0</v>
      </c>
      <c r="Z11" s="1">
        <f>建筑各项能耗拆分!$B$18*建筑各项能耗拆分!Z70</f>
        <v>0</v>
      </c>
      <c r="AA11" s="1">
        <f>建筑各项能耗拆分!$B$18*建筑各项能耗拆分!AA70</f>
        <v>0</v>
      </c>
      <c r="AB11" s="1">
        <f>建筑各项能耗拆分!$B$18*建筑各项能耗拆分!AB70</f>
        <v>0</v>
      </c>
      <c r="AC11" s="1">
        <f>建筑各项能耗拆分!$B$18*建筑各项能耗拆分!AC70</f>
        <v>0</v>
      </c>
      <c r="AD11" s="1">
        <f>建筑各项能耗拆分!$B$18*建筑各项能耗拆分!AD70</f>
        <v>0</v>
      </c>
      <c r="AE11" s="1">
        <f>建筑各项能耗拆分!$B$18*建筑各项能耗拆分!AE70</f>
        <v>0</v>
      </c>
      <c r="AF11" s="1">
        <f>建筑各项能耗拆分!$B$18*建筑各项能耗拆分!AF70</f>
        <v>0</v>
      </c>
      <c r="AG11" s="1">
        <f>建筑各项能耗拆分!$B$18*建筑各项能耗拆分!AG70</f>
        <v>0</v>
      </c>
      <c r="AH11" s="1">
        <f>建筑各项能耗拆分!$B$18*建筑各项能耗拆分!AH70</f>
        <v>0</v>
      </c>
      <c r="AI11" s="1">
        <f>建筑各项能耗拆分!$B$18*建筑各项能耗拆分!AI70</f>
        <v>0</v>
      </c>
      <c r="AJ11" s="1">
        <f>建筑各项能耗拆分!$B$18*建筑各项能耗拆分!AJ70</f>
        <v>0</v>
      </c>
      <c r="AK11" s="1">
        <f>建筑各项能耗拆分!$B$18*建筑各项能耗拆分!AK70</f>
        <v>0</v>
      </c>
      <c r="AL11" s="1">
        <f>建筑各项能耗拆分!$B$18*建筑各项能耗拆分!AL70</f>
        <v>0</v>
      </c>
      <c r="AM11" s="1">
        <f>建筑各项能耗拆分!$B$18*建筑各项能耗拆分!AM70</f>
        <v>0</v>
      </c>
      <c r="AN11" s="1">
        <f>建筑各项能耗拆分!$B$18*建筑各项能耗拆分!AN70</f>
        <v>0</v>
      </c>
      <c r="AO11" s="1">
        <f>建筑各项能耗拆分!$B$18*建筑各项能耗拆分!AO70</f>
        <v>0</v>
      </c>
      <c r="AP11" s="1">
        <f>建筑各项能耗拆分!$B$18*建筑各项能耗拆分!AP70</f>
        <v>0</v>
      </c>
      <c r="AQ11" s="1">
        <f>建筑各项能耗拆分!$B$18*建筑各项能耗拆分!AQ70</f>
        <v>0</v>
      </c>
      <c r="AR11" s="1">
        <f>建筑各项能耗拆分!$B$18*建筑各项能耗拆分!AR70</f>
        <v>0</v>
      </c>
    </row>
  </sheetData>
  <pageMargins left="0.7" right="0.7" top="0.75" bottom="0.75" header="0.3" footer="0.3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AR11"/>
  <sheetViews>
    <sheetView workbookViewId="0">
      <selection activeCell="A1" sqref="$A1:$XFD1048576"/>
    </sheetView>
  </sheetViews>
  <sheetFormatPr defaultColWidth="9" defaultRowHeight="13.5"/>
  <cols>
    <col min="1" max="1" width="37.25" customWidth="1"/>
    <col min="2" max="44" width="13.6333333333333" customWidth="1"/>
  </cols>
  <sheetData>
    <row r="1" spans="1:44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>
      <c r="A2" t="s">
        <v>1109</v>
      </c>
      <c r="B2" s="1">
        <f>建筑各项能耗拆分!$B$18*建筑各项能耗拆分!B74</f>
        <v>1113684613570970</v>
      </c>
      <c r="C2" s="1">
        <f>建筑各项能耗拆分!$B$18*建筑各项能耗拆分!C74</f>
        <v>47792024399101.8</v>
      </c>
      <c r="D2" s="1">
        <f>建筑各项能耗拆分!$B$18*建筑各项能耗拆分!D74</f>
        <v>50304510596381.1</v>
      </c>
      <c r="E2" s="1">
        <f>建筑各项能耗拆分!$B$18*建筑各项能耗拆分!E74</f>
        <v>54158724232096.5</v>
      </c>
      <c r="F2" s="1">
        <f>建筑各项能耗拆分!$B$18*建筑各项能耗拆分!F74</f>
        <v>59642844591059.5</v>
      </c>
      <c r="G2" s="1">
        <f>建筑各项能耗拆分!$B$18*建筑各项能耗拆分!G74</f>
        <v>60181156043578.7</v>
      </c>
      <c r="H2" s="1">
        <f>建筑各项能耗拆分!$B$18*建筑各项能耗拆分!H74</f>
        <v>64541056815133.1</v>
      </c>
      <c r="I2" s="1">
        <f>建筑各项能耗拆分!$B$18*建筑各项能耗拆分!I74</f>
        <v>69189019139163.4</v>
      </c>
      <c r="J2" s="1">
        <f>建筑各项能耗拆分!$B$18*建筑各项能耗拆分!J74</f>
        <v>72602154439487.6</v>
      </c>
      <c r="K2" s="1">
        <f>建筑各项能耗拆分!$B$18*建筑各项能耗拆分!K74</f>
        <v>76113963967849.4</v>
      </c>
      <c r="L2" s="1">
        <f>建筑各项能耗拆分!$B$18*建筑各项能耗拆分!L74</f>
        <v>79468898717244.8</v>
      </c>
      <c r="M2" s="1">
        <f>建筑各项能耗拆分!$B$18*建筑各项能耗拆分!M74</f>
        <v>82852795749366.2</v>
      </c>
      <c r="N2" s="1">
        <f>建筑各项能耗拆分!$B$18*建筑各项能耗拆分!N74</f>
        <v>86207318931138</v>
      </c>
      <c r="O2" s="1">
        <f>建筑各项能耗拆分!$B$18*建筑各项能耗拆分!O74</f>
        <v>89527583572821.3</v>
      </c>
      <c r="P2" s="1">
        <f>建筑各项能耗拆分!$B$18*建筑各项能耗拆分!P74</f>
        <v>92776290735004.2</v>
      </c>
      <c r="Q2" s="1">
        <f>建筑各项能耗拆分!$B$18*建筑各项能耗拆分!Q74</f>
        <v>96001836023290.1</v>
      </c>
      <c r="R2" s="1">
        <f>建筑各项能耗拆分!$B$18*建筑各项能耗拆分!R74</f>
        <v>99140612487068.2</v>
      </c>
      <c r="S2" s="1">
        <f>建筑各项能耗拆分!$B$18*建筑各项能耗拆分!S74</f>
        <v>102438458588372</v>
      </c>
      <c r="T2" s="1">
        <f>建筑各项能耗拆分!$B$18*建筑各项能耗拆分!T74</f>
        <v>105277228973184</v>
      </c>
      <c r="U2" s="1">
        <f>建筑各项能耗拆分!$B$18*建筑各项能耗拆分!U74</f>
        <v>108035352266966</v>
      </c>
      <c r="V2" s="1">
        <f>建筑各项能耗拆分!$B$18*建筑各项能耗拆分!V74</f>
        <v>111070190333403</v>
      </c>
      <c r="W2" s="1">
        <f>建筑各项能耗拆分!$B$18*建筑各项能耗拆分!W74</f>
        <v>114120471802338</v>
      </c>
      <c r="X2" s="1">
        <f>建筑各项能耗拆分!$B$18*建筑各项能耗拆分!X74</f>
        <v>117126104745166</v>
      </c>
      <c r="Y2" s="1">
        <f>建筑各项能耗拆分!$B$18*建筑各项能耗拆分!Y74</f>
        <v>119815489519520</v>
      </c>
      <c r="Z2" s="1">
        <f>建筑各项能耗拆分!$B$18*建筑各项能耗拆分!Z74</f>
        <v>122453722906786</v>
      </c>
      <c r="AA2" s="1">
        <f>建筑各项能耗拆分!$B$18*建筑各项能耗拆分!AA74</f>
        <v>125044956734342</v>
      </c>
      <c r="AB2" s="1">
        <f>建筑各项能耗拆分!$B$18*建筑各项能耗拆分!AB74</f>
        <v>127590423754510</v>
      </c>
      <c r="AC2" s="1">
        <f>建筑各项能耗拆分!$B$18*建筑各项能耗拆分!AC74</f>
        <v>130092738893120</v>
      </c>
      <c r="AD2" s="1">
        <f>建筑各项能耗拆分!$B$18*建筑各项能耗拆分!AD74</f>
        <v>132437298068969</v>
      </c>
      <c r="AE2" s="1">
        <f>建筑各项能耗拆分!$B$18*建筑各项能耗拆分!AE74</f>
        <v>134729509901746</v>
      </c>
      <c r="AF2" s="1">
        <f>建筑各项能耗拆分!$B$18*建筑各项能耗拆分!AF74</f>
        <v>136971558221162</v>
      </c>
      <c r="AG2" s="1">
        <f>建筑各项能耗拆分!$B$18*建筑各项能耗拆分!AG74</f>
        <v>139175593241499</v>
      </c>
      <c r="AH2" s="1">
        <f>建筑各项能耗拆分!$B$18*建筑各项能耗拆分!AH74</f>
        <v>141330432470176</v>
      </c>
      <c r="AI2" s="1">
        <f>建筑各项能耗拆分!$B$18*建筑各项能耗拆分!AI74</f>
        <v>143258650274525</v>
      </c>
      <c r="AJ2" s="1">
        <f>建筑各项能耗拆分!$B$18*建筑各项能耗拆分!AJ74</f>
        <v>145131930235978</v>
      </c>
      <c r="AK2" s="1">
        <f>建筑各项能耗拆分!$B$18*建筑各项能耗拆分!AK74</f>
        <v>146950608245806</v>
      </c>
      <c r="AL2" s="1">
        <f>建筑各项能耗拆分!$B$18*建筑各项能耗拆分!AL74</f>
        <v>148718564877240</v>
      </c>
      <c r="AM2" s="1">
        <f>建筑各项能耗拆分!$B$18*建筑各项能耗拆分!AM74</f>
        <v>150433862082763</v>
      </c>
      <c r="AN2" s="1">
        <f>建筑各项能耗拆分!$B$18*建筑各项能耗拆分!AN74</f>
        <v>151927430889277</v>
      </c>
      <c r="AO2" s="1">
        <f>建筑各项能耗拆分!$B$18*建筑各项能耗拆分!AO74</f>
        <v>153360606298757</v>
      </c>
      <c r="AP2" s="1">
        <f>建筑各项能耗拆分!$B$18*建筑各项能耗拆分!AP74</f>
        <v>154736206597927</v>
      </c>
      <c r="AQ2" s="1">
        <f>建筑各项能耗拆分!$B$18*建筑各项能耗拆分!AQ74</f>
        <v>156055701074515</v>
      </c>
      <c r="AR2" s="1">
        <f>建筑各项能耗拆分!$B$18*建筑各项能耗拆分!AR74</f>
        <v>157317060715059</v>
      </c>
    </row>
    <row r="3" spans="1:44">
      <c r="A3" t="s">
        <v>1110</v>
      </c>
      <c r="B3" s="1">
        <f>建筑各项能耗拆分!$B$18*建筑各项能耗拆分!B75</f>
        <v>0</v>
      </c>
      <c r="C3" s="1">
        <f>建筑各项能耗拆分!$B$18*建筑各项能耗拆分!C75</f>
        <v>3409539136536.85</v>
      </c>
      <c r="D3" s="1">
        <f>建筑各项能耗拆分!$B$18*建筑各项能耗拆分!D75</f>
        <v>2600338287029.14</v>
      </c>
      <c r="E3" s="1">
        <f>建筑各项能耗拆分!$B$18*建筑各项能耗拆分!E75</f>
        <v>2319631443943.29</v>
      </c>
      <c r="F3" s="1">
        <f>建筑各项能耗拆分!$B$18*建筑各项能耗拆分!F75</f>
        <v>2061242622258.47</v>
      </c>
      <c r="G3" s="1">
        <f>建筑各项能耗拆分!$B$18*建筑各项能耗拆分!G75</f>
        <v>1780297482232.69</v>
      </c>
      <c r="H3" s="1">
        <f>建筑各项能耗拆分!$B$18*建筑各项能耗拆分!H75</f>
        <v>1719373897290.86</v>
      </c>
      <c r="I3" s="1">
        <f>建筑各项能耗拆分!$B$18*建筑各项能耗拆分!I75</f>
        <v>1763786328803.97</v>
      </c>
      <c r="J3" s="1">
        <f>建筑各项能耗拆分!$B$18*建筑各项能耗拆分!J75</f>
        <v>1799979374555.91</v>
      </c>
      <c r="K3" s="1">
        <f>建筑各项能耗拆分!$B$18*建筑各项能耗拆分!K75</f>
        <v>1836779507338.14</v>
      </c>
      <c r="L3" s="1">
        <f>建筑各项能耗拆分!$B$18*建筑各项能耗拆分!L75</f>
        <v>1874203546021.81</v>
      </c>
      <c r="M3" s="1">
        <f>建筑各项能耗拆分!$B$18*建筑各项能耗拆分!M75</f>
        <v>1912262197653.97</v>
      </c>
      <c r="N3" s="1">
        <f>建筑各项能耗拆分!$B$18*建筑各项能耗拆分!N75</f>
        <v>1950956605050.96</v>
      </c>
      <c r="O3" s="1">
        <f>建筑各项能耗拆分!$B$18*建筑各项能耗拆分!O75</f>
        <v>1989040559120.43</v>
      </c>
      <c r="P3" s="1">
        <f>建筑各项能耗拆分!$B$18*建筑各项能耗拆分!P75</f>
        <v>2027717190992.61</v>
      </c>
      <c r="Q3" s="1">
        <f>建筑各项能耗拆分!$B$18*建筑各项能耗拆分!Q75</f>
        <v>2067003859710.68</v>
      </c>
      <c r="R3" s="1">
        <f>建筑各项能耗拆分!$B$18*建筑各项能耗拆分!R75</f>
        <v>2106907989447.86</v>
      </c>
      <c r="S3" s="1">
        <f>建筑各项能耗拆分!$B$18*建筑各项能耗拆分!S75</f>
        <v>2147430212134.03</v>
      </c>
      <c r="T3" s="1">
        <f>建筑各项能耗拆分!$B$18*建筑各项能耗拆分!T75</f>
        <v>2165671090740.22</v>
      </c>
      <c r="U3" s="1">
        <f>建筑各项能耗拆分!$B$18*建筑各项能耗拆分!U75</f>
        <v>2183916342245.8</v>
      </c>
      <c r="V3" s="1">
        <f>建筑各项能耗拆分!$B$18*建筑各项能耗拆分!V75</f>
        <v>2202151557575.44</v>
      </c>
      <c r="W3" s="1">
        <f>建筑各项能耗拆分!$B$18*建筑各项能耗拆分!W75</f>
        <v>2220386759420.25</v>
      </c>
      <c r="X3" s="1">
        <f>建筑各项能耗拆分!$B$18*建筑各项能耗拆分!X75</f>
        <v>2238618343554.05</v>
      </c>
      <c r="Y3" s="1">
        <f>建筑各项能耗拆分!$B$18*建筑各项能耗拆分!Y75</f>
        <v>2244056833418.02</v>
      </c>
      <c r="Z3" s="1">
        <f>建筑各项能耗拆分!$B$18*建筑各项能耗拆分!Z75</f>
        <v>2249403309788.72</v>
      </c>
      <c r="AA3" s="1">
        <f>建筑各项能耗拆分!$B$18*建筑各项能耗拆分!AA75</f>
        <v>2254656006748.5</v>
      </c>
      <c r="AB3" s="1">
        <f>建筑各项能耗拆分!$B$18*建筑各项能耗拆分!AB75</f>
        <v>2259816554535.76</v>
      </c>
      <c r="AC3" s="1">
        <f>建筑各项能耗拆分!$B$18*建筑各项能耗拆分!AC75</f>
        <v>2264886831786.28</v>
      </c>
      <c r="AD3" s="1">
        <f>建筑各项能耗拆分!$B$18*建筑各项能耗拆分!AD75</f>
        <v>2266343757670.81</v>
      </c>
      <c r="AE3" s="1">
        <f>建筑各项能耗拆分!$B$18*建筑各项能耗拆分!AE75</f>
        <v>2267658808981.01</v>
      </c>
      <c r="AF3" s="1">
        <f>建筑各项能耗拆分!$B$18*建筑各项能耗拆分!AF75</f>
        <v>2268854550220</v>
      </c>
      <c r="AG3" s="1">
        <f>建筑各项能耗拆分!$B$18*建筑各项能耗拆分!AG75</f>
        <v>2269912604155.09</v>
      </c>
      <c r="AH3" s="1">
        <f>建筑各项能耗拆分!$B$18*建筑各项能耗拆分!AH75</f>
        <v>2270826948714.9</v>
      </c>
      <c r="AI3" s="1">
        <f>建筑各项能耗拆分!$B$18*建筑各项能耗拆分!AI75</f>
        <v>2255036173747.67</v>
      </c>
      <c r="AJ3" s="1">
        <f>建筑各项能耗拆分!$B$18*建筑各项能耗拆分!AJ75</f>
        <v>2239247611395.91</v>
      </c>
      <c r="AK3" s="1">
        <f>建筑各项能耗拆分!$B$18*建筑各项能耗拆分!AK75</f>
        <v>2223441325159.22</v>
      </c>
      <c r="AL3" s="1">
        <f>建筑各项能耗拆分!$B$18*建筑各项能耗拆分!AL75</f>
        <v>2207636602364.99</v>
      </c>
      <c r="AM3" s="1">
        <f>建筑各项能耗拆分!$B$18*建筑各项能耗拆分!AM75</f>
        <v>2191823219059.79</v>
      </c>
      <c r="AN3" s="1">
        <f>建筑各项能耗拆分!$B$18*建筑各项能耗拆分!AN75</f>
        <v>2172801409720.02</v>
      </c>
      <c r="AO3" s="1">
        <f>建筑各项能耗拆分!$B$18*建筑各项能耗拆分!AO75</f>
        <v>2153776938979.55</v>
      </c>
      <c r="AP3" s="1">
        <f>建筑各项能耗拆分!$B$18*建筑各项能耗拆分!AP75</f>
        <v>2134742893458.71</v>
      </c>
      <c r="AQ3" s="1">
        <f>建筑各项能耗拆分!$B$18*建筑各项能耗拆分!AQ75</f>
        <v>2115700366941</v>
      </c>
      <c r="AR3" s="1">
        <f>建筑各项能耗拆分!$B$18*建筑各项能耗拆分!AR75</f>
        <v>2096649906318.17</v>
      </c>
    </row>
    <row r="4" spans="1:44">
      <c r="A4" t="s">
        <v>1111</v>
      </c>
      <c r="B4" s="1">
        <f>建筑各项能耗拆分!$B$18*建筑各项能耗拆分!B76</f>
        <v>0</v>
      </c>
      <c r="C4" s="1">
        <f>建筑各项能耗拆分!$B$18*建筑各项能耗拆分!C76</f>
        <v>1314787558487400</v>
      </c>
      <c r="D4" s="1">
        <f>建筑各项能耗拆分!$B$18*建筑各项能耗拆分!D76</f>
        <v>1463527196436910</v>
      </c>
      <c r="E4" s="1">
        <f>建筑各项能耗拆分!$B$18*建筑各项能耗拆分!E76</f>
        <v>1542985407148880</v>
      </c>
      <c r="F4" s="1">
        <f>建筑各项能耗拆分!$B$18*建筑各项能耗拆分!F76</f>
        <v>1531857028336590</v>
      </c>
      <c r="G4" s="1">
        <f>建筑各项能耗拆分!$B$18*建筑各项能耗拆分!G76</f>
        <v>1634978840268820</v>
      </c>
      <c r="H4" s="1">
        <f>建筑各项能耗拆分!$B$18*建筑各项能耗拆分!H76</f>
        <v>1677404629409660</v>
      </c>
      <c r="I4" s="1">
        <f>建筑各项能耗拆分!$B$18*建筑各项能耗拆分!I76</f>
        <v>1720732970232350</v>
      </c>
      <c r="J4" s="1">
        <f>建筑各项能耗拆分!$B$18*建筑各项能耗拆分!J76</f>
        <v>1756042557398000</v>
      </c>
      <c r="K4" s="1">
        <f>建筑各项能耗拆分!$B$18*建筑各项能耗拆分!K76</f>
        <v>1791944412828660</v>
      </c>
      <c r="L4" s="1">
        <f>建筑各项能耗拆分!$B$18*建筑各项能耗拆分!L76</f>
        <v>1828454944853210</v>
      </c>
      <c r="M4" s="1">
        <f>建筑各项能耗拆分!$B$18*建筑各项能耗拆分!M76</f>
        <v>1865584599163680</v>
      </c>
      <c r="N4" s="1">
        <f>建筑各项能耗拆分!$B$18*建筑各项能耗拆分!N76</f>
        <v>1903334490680730</v>
      </c>
      <c r="O4" s="1">
        <f>建筑各项能耗拆分!$B$18*建筑各项能耗拆分!O76</f>
        <v>1940488829805580</v>
      </c>
      <c r="P4" s="1">
        <f>建筑各项能耗拆分!$B$18*建筑各项能耗拆分!P76</f>
        <v>1978221379691670</v>
      </c>
      <c r="Q4" s="1">
        <f>建筑各项能耗拆分!$B$18*建筑各项能耗拆分!Q76</f>
        <v>2016549075654490</v>
      </c>
      <c r="R4" s="1">
        <f>建筑各项能耗拆分!$B$18*建筑各项能耗拆分!R76</f>
        <v>2055479160645990</v>
      </c>
      <c r="S4" s="1">
        <f>建筑各项能耗拆分!$B$18*建筑各项能耗拆分!S76</f>
        <v>2095012251170900</v>
      </c>
      <c r="T4" s="1">
        <f>建筑各项能耗拆分!$B$18*建筑各项能耗拆分!T76</f>
        <v>2112807876815050</v>
      </c>
      <c r="U4" s="1">
        <f>建筑各项能耗拆分!$B$18*建筑各项能耗拆分!U76</f>
        <v>2130607768617780</v>
      </c>
      <c r="V4" s="1">
        <f>建筑各项能耗拆分!$B$18*建筑各项能耗拆分!V76</f>
        <v>2148397869223830</v>
      </c>
      <c r="W4" s="1">
        <f>建筑各项能耗拆分!$B$18*建筑各项能耗拆分!W76</f>
        <v>2166187956674200</v>
      </c>
      <c r="X4" s="1">
        <f>建筑各项能耗拆分!$B$18*建筑各项能耗拆分!X76</f>
        <v>2183974514720530</v>
      </c>
      <c r="Y4" s="1">
        <f>建筑各项能耗拆分!$B$18*建筑各项能耗拆分!Y76</f>
        <v>2189280253099600</v>
      </c>
      <c r="Z4" s="1">
        <f>建筑各项能耗拆分!$B$18*建筑各项能耗拆分!Z76</f>
        <v>2194496224000040</v>
      </c>
      <c r="AA4" s="1">
        <f>建筑各项能耗拆分!$B$18*建筑各项能耗拆分!AA76</f>
        <v>2199620704609590</v>
      </c>
      <c r="AB4" s="1">
        <f>建筑各项能耗拆分!$B$18*建筑各项能耗拆分!AB76</f>
        <v>2204655285373130</v>
      </c>
      <c r="AC4" s="1">
        <f>建筑各项能耗拆分!$B$18*建筑各项能耗拆分!AC76</f>
        <v>2209601799069660</v>
      </c>
      <c r="AD4" s="1">
        <f>建筑各项能耗拆分!$B$18*建筑各项能耗拆分!AD76</f>
        <v>2211023161943240</v>
      </c>
      <c r="AE4" s="1">
        <f>建筑各项能耗拆分!$B$18*建筑各项能耗拆分!AE76</f>
        <v>2212306113347310</v>
      </c>
      <c r="AF4" s="1">
        <f>建筑各项能耗拆分!$B$18*建筑各项能耗拆分!AF76</f>
        <v>2213472666993970</v>
      </c>
      <c r="AG4" s="1">
        <f>建筑各项能耗拆分!$B$18*建筑各项能耗拆分!AG76</f>
        <v>2214504894231850</v>
      </c>
      <c r="AH4" s="1">
        <f>建筑各项能耗拆分!$B$18*建筑各项能耗拆分!AH76</f>
        <v>2215396919986060</v>
      </c>
      <c r="AI4" s="1">
        <f>建筑各项能耗拆分!$B$18*建筑各项能耗拆分!AI76</f>
        <v>2199991591875790</v>
      </c>
      <c r="AJ4" s="1">
        <f>建筑各项能耗拆分!$B$18*建筑各项能耗拆分!AJ76</f>
        <v>2184588422371880</v>
      </c>
      <c r="AK4" s="1">
        <f>建筑各项能耗拆分!$B$18*建筑各项能耗拆分!AK76</f>
        <v>2169167961616390</v>
      </c>
      <c r="AL4" s="1">
        <f>建筑各项能耗拆分!$B$18*建筑各项能耗拆分!AL76</f>
        <v>2153749026140310</v>
      </c>
      <c r="AM4" s="1">
        <f>建筑各项能耗拆分!$B$18*建筑各项能耗拆分!AM76</f>
        <v>2138321641553070</v>
      </c>
      <c r="AN4" s="1">
        <f>建筑各项能耗拆分!$B$18*建筑各项能耗拆分!AN76</f>
        <v>2119764147399780</v>
      </c>
      <c r="AO4" s="1">
        <f>建筑各项能耗拆分!$B$18*建筑各项能耗拆分!AO76</f>
        <v>2101204056809590</v>
      </c>
      <c r="AP4" s="1">
        <f>建筑各项能耗拆分!$B$18*建筑各项能耗拆分!AP76</f>
        <v>2082634625155800</v>
      </c>
      <c r="AQ4" s="1">
        <f>建筑各项能耗拆分!$B$18*建筑各项能耗拆分!AQ76</f>
        <v>2064056919523080</v>
      </c>
      <c r="AR4" s="1">
        <f>建筑各项能耗拆分!$B$18*建筑各项能耗拆分!AR76</f>
        <v>2045471473453740</v>
      </c>
    </row>
    <row r="5" spans="1:44">
      <c r="A5" t="s">
        <v>1112</v>
      </c>
      <c r="B5" s="1">
        <f>建筑各项能耗拆分!$B$18*建筑各项能耗拆分!B77</f>
        <v>0</v>
      </c>
      <c r="C5" s="1">
        <f>建筑各项能耗拆分!$B$18*建筑各项能耗拆分!C77</f>
        <v>0</v>
      </c>
      <c r="D5" s="1">
        <f>建筑各项能耗拆分!$B$18*建筑各项能耗拆分!D77</f>
        <v>0</v>
      </c>
      <c r="E5" s="1">
        <f>建筑各项能耗拆分!$B$18*建筑各项能耗拆分!E77</f>
        <v>0</v>
      </c>
      <c r="F5" s="1">
        <f>建筑各项能耗拆分!$B$18*建筑各项能耗拆分!F77</f>
        <v>0</v>
      </c>
      <c r="G5" s="1">
        <f>建筑各项能耗拆分!$B$18*建筑各项能耗拆分!G77</f>
        <v>0</v>
      </c>
      <c r="H5" s="1">
        <f>建筑各项能耗拆分!$B$18*建筑各项能耗拆分!H77</f>
        <v>0</v>
      </c>
      <c r="I5" s="1">
        <f>建筑各项能耗拆分!$B$18*建筑各项能耗拆分!I77</f>
        <v>0</v>
      </c>
      <c r="J5" s="1">
        <f>建筑各项能耗拆分!$B$18*建筑各项能耗拆分!J77</f>
        <v>0</v>
      </c>
      <c r="K5" s="1">
        <f>建筑各项能耗拆分!$B$18*建筑各项能耗拆分!K77</f>
        <v>0</v>
      </c>
      <c r="L5" s="1">
        <f>建筑各项能耗拆分!$B$18*建筑各项能耗拆分!L77</f>
        <v>0</v>
      </c>
      <c r="M5" s="1">
        <f>建筑各项能耗拆分!$B$18*建筑各项能耗拆分!M77</f>
        <v>0</v>
      </c>
      <c r="N5" s="1">
        <f>建筑各项能耗拆分!$B$18*建筑各项能耗拆分!N77</f>
        <v>0</v>
      </c>
      <c r="O5" s="1">
        <f>建筑各项能耗拆分!$B$18*建筑各项能耗拆分!O77</f>
        <v>0</v>
      </c>
      <c r="P5" s="1">
        <f>建筑各项能耗拆分!$B$18*建筑各项能耗拆分!P77</f>
        <v>0</v>
      </c>
      <c r="Q5" s="1">
        <f>建筑各项能耗拆分!$B$18*建筑各项能耗拆分!Q77</f>
        <v>0</v>
      </c>
      <c r="R5" s="1">
        <f>建筑各项能耗拆分!$B$18*建筑各项能耗拆分!R77</f>
        <v>0</v>
      </c>
      <c r="S5" s="1">
        <f>建筑各项能耗拆分!$B$18*建筑各项能耗拆分!S77</f>
        <v>0</v>
      </c>
      <c r="T5" s="1">
        <f>建筑各项能耗拆分!$B$18*建筑各项能耗拆分!T77</f>
        <v>0</v>
      </c>
      <c r="U5" s="1">
        <f>建筑各项能耗拆分!$B$18*建筑各项能耗拆分!U77</f>
        <v>0</v>
      </c>
      <c r="V5" s="1">
        <f>建筑各项能耗拆分!$B$18*建筑各项能耗拆分!V77</f>
        <v>0</v>
      </c>
      <c r="W5" s="1">
        <f>建筑各项能耗拆分!$B$18*建筑各项能耗拆分!W77</f>
        <v>0</v>
      </c>
      <c r="X5" s="1">
        <f>建筑各项能耗拆分!$B$18*建筑各项能耗拆分!X77</f>
        <v>0</v>
      </c>
      <c r="Y5" s="1">
        <f>建筑各项能耗拆分!$B$18*建筑各项能耗拆分!Y77</f>
        <v>0</v>
      </c>
      <c r="Z5" s="1">
        <f>建筑各项能耗拆分!$B$18*建筑各项能耗拆分!Z77</f>
        <v>0</v>
      </c>
      <c r="AA5" s="1">
        <f>建筑各项能耗拆分!$B$18*建筑各项能耗拆分!AA77</f>
        <v>0</v>
      </c>
      <c r="AB5" s="1">
        <f>建筑各项能耗拆分!$B$18*建筑各项能耗拆分!AB77</f>
        <v>0</v>
      </c>
      <c r="AC5" s="1">
        <f>建筑各项能耗拆分!$B$18*建筑各项能耗拆分!AC77</f>
        <v>0</v>
      </c>
      <c r="AD5" s="1">
        <f>建筑各项能耗拆分!$B$18*建筑各项能耗拆分!AD77</f>
        <v>0</v>
      </c>
      <c r="AE5" s="1">
        <f>建筑各项能耗拆分!$B$18*建筑各项能耗拆分!AE77</f>
        <v>0</v>
      </c>
      <c r="AF5" s="1">
        <f>建筑各项能耗拆分!$B$18*建筑各项能耗拆分!AF77</f>
        <v>0</v>
      </c>
      <c r="AG5" s="1">
        <f>建筑各项能耗拆分!$B$18*建筑各项能耗拆分!AG77</f>
        <v>0</v>
      </c>
      <c r="AH5" s="1">
        <f>建筑各项能耗拆分!$B$18*建筑各项能耗拆分!AH77</f>
        <v>0</v>
      </c>
      <c r="AI5" s="1">
        <f>建筑各项能耗拆分!$B$18*建筑各项能耗拆分!AI77</f>
        <v>0</v>
      </c>
      <c r="AJ5" s="1">
        <f>建筑各项能耗拆分!$B$18*建筑各项能耗拆分!AJ77</f>
        <v>0</v>
      </c>
      <c r="AK5" s="1">
        <f>建筑各项能耗拆分!$B$18*建筑各项能耗拆分!AK77</f>
        <v>0</v>
      </c>
      <c r="AL5" s="1">
        <f>建筑各项能耗拆分!$B$18*建筑各项能耗拆分!AL77</f>
        <v>0</v>
      </c>
      <c r="AM5" s="1">
        <f>建筑各项能耗拆分!$B$18*建筑各项能耗拆分!AM77</f>
        <v>0</v>
      </c>
      <c r="AN5" s="1">
        <f>建筑各项能耗拆分!$B$18*建筑各项能耗拆分!AN77</f>
        <v>0</v>
      </c>
      <c r="AO5" s="1">
        <f>建筑各项能耗拆分!$B$18*建筑各项能耗拆分!AO77</f>
        <v>0</v>
      </c>
      <c r="AP5" s="1">
        <f>建筑各项能耗拆分!$B$18*建筑各项能耗拆分!AP77</f>
        <v>0</v>
      </c>
      <c r="AQ5" s="1">
        <f>建筑各项能耗拆分!$B$18*建筑各项能耗拆分!AQ77</f>
        <v>0</v>
      </c>
      <c r="AR5" s="1">
        <f>建筑各项能耗拆分!$B$18*建筑各项能耗拆分!AR77</f>
        <v>0</v>
      </c>
    </row>
    <row r="6" spans="1:44">
      <c r="A6" t="s">
        <v>1113</v>
      </c>
      <c r="B6" s="1">
        <f>建筑各项能耗拆分!$B$18*建筑各项能耗拆分!B78</f>
        <v>0</v>
      </c>
      <c r="C6" s="1">
        <f>建筑各项能耗拆分!$B$18*建筑各项能耗拆分!C78</f>
        <v>0</v>
      </c>
      <c r="D6" s="1">
        <f>建筑各项能耗拆分!$B$18*建筑各项能耗拆分!D78</f>
        <v>0</v>
      </c>
      <c r="E6" s="1">
        <f>建筑各项能耗拆分!$B$18*建筑各项能耗拆分!E78</f>
        <v>0</v>
      </c>
      <c r="F6" s="1">
        <f>建筑各项能耗拆分!$B$18*建筑各项能耗拆分!F78</f>
        <v>0</v>
      </c>
      <c r="G6" s="1">
        <f>建筑各项能耗拆分!$B$18*建筑各项能耗拆分!G78</f>
        <v>0</v>
      </c>
      <c r="H6" s="1">
        <f>建筑各项能耗拆分!$B$18*建筑各项能耗拆分!H78</f>
        <v>0</v>
      </c>
      <c r="I6" s="1">
        <f>建筑各项能耗拆分!$B$18*建筑各项能耗拆分!I78</f>
        <v>0</v>
      </c>
      <c r="J6" s="1">
        <f>建筑各项能耗拆分!$B$18*建筑各项能耗拆分!J78</f>
        <v>0</v>
      </c>
      <c r="K6" s="1">
        <f>建筑各项能耗拆分!$B$18*建筑各项能耗拆分!K78</f>
        <v>0</v>
      </c>
      <c r="L6" s="1">
        <f>建筑各项能耗拆分!$B$18*建筑各项能耗拆分!L78</f>
        <v>0</v>
      </c>
      <c r="M6" s="1">
        <f>建筑各项能耗拆分!$B$18*建筑各项能耗拆分!M78</f>
        <v>0</v>
      </c>
      <c r="N6" s="1">
        <f>建筑各项能耗拆分!$B$18*建筑各项能耗拆分!N78</f>
        <v>0</v>
      </c>
      <c r="O6" s="1">
        <f>建筑各项能耗拆分!$B$18*建筑各项能耗拆分!O78</f>
        <v>0</v>
      </c>
      <c r="P6" s="1">
        <f>建筑各项能耗拆分!$B$18*建筑各项能耗拆分!P78</f>
        <v>0</v>
      </c>
      <c r="Q6" s="1">
        <f>建筑各项能耗拆分!$B$18*建筑各项能耗拆分!Q78</f>
        <v>0</v>
      </c>
      <c r="R6" s="1">
        <f>建筑各项能耗拆分!$B$18*建筑各项能耗拆分!R78</f>
        <v>0</v>
      </c>
      <c r="S6" s="1">
        <f>建筑各项能耗拆分!$B$18*建筑各项能耗拆分!S78</f>
        <v>0</v>
      </c>
      <c r="T6" s="1">
        <f>建筑各项能耗拆分!$B$18*建筑各项能耗拆分!T78</f>
        <v>0</v>
      </c>
      <c r="U6" s="1">
        <f>建筑各项能耗拆分!$B$18*建筑各项能耗拆分!U78</f>
        <v>0</v>
      </c>
      <c r="V6" s="1">
        <f>建筑各项能耗拆分!$B$18*建筑各项能耗拆分!V78</f>
        <v>0</v>
      </c>
      <c r="W6" s="1">
        <f>建筑各项能耗拆分!$B$18*建筑各项能耗拆分!W78</f>
        <v>0</v>
      </c>
      <c r="X6" s="1">
        <f>建筑各项能耗拆分!$B$18*建筑各项能耗拆分!X78</f>
        <v>0</v>
      </c>
      <c r="Y6" s="1">
        <f>建筑各项能耗拆分!$B$18*建筑各项能耗拆分!Y78</f>
        <v>0</v>
      </c>
      <c r="Z6" s="1">
        <f>建筑各项能耗拆分!$B$18*建筑各项能耗拆分!Z78</f>
        <v>0</v>
      </c>
      <c r="AA6" s="1">
        <f>建筑各项能耗拆分!$B$18*建筑各项能耗拆分!AA78</f>
        <v>0</v>
      </c>
      <c r="AB6" s="1">
        <f>建筑各项能耗拆分!$B$18*建筑各项能耗拆分!AB78</f>
        <v>0</v>
      </c>
      <c r="AC6" s="1">
        <f>建筑各项能耗拆分!$B$18*建筑各项能耗拆分!AC78</f>
        <v>0</v>
      </c>
      <c r="AD6" s="1">
        <f>建筑各项能耗拆分!$B$18*建筑各项能耗拆分!AD78</f>
        <v>0</v>
      </c>
      <c r="AE6" s="1">
        <f>建筑各项能耗拆分!$B$18*建筑各项能耗拆分!AE78</f>
        <v>0</v>
      </c>
      <c r="AF6" s="1">
        <f>建筑各项能耗拆分!$B$18*建筑各项能耗拆分!AF78</f>
        <v>0</v>
      </c>
      <c r="AG6" s="1">
        <f>建筑各项能耗拆分!$B$18*建筑各项能耗拆分!AG78</f>
        <v>0</v>
      </c>
      <c r="AH6" s="1">
        <f>建筑各项能耗拆分!$B$18*建筑各项能耗拆分!AH78</f>
        <v>0</v>
      </c>
      <c r="AI6" s="1">
        <f>建筑各项能耗拆分!$B$18*建筑各项能耗拆分!AI78</f>
        <v>0</v>
      </c>
      <c r="AJ6" s="1">
        <f>建筑各项能耗拆分!$B$18*建筑各项能耗拆分!AJ78</f>
        <v>0</v>
      </c>
      <c r="AK6" s="1">
        <f>建筑各项能耗拆分!$B$18*建筑各项能耗拆分!AK78</f>
        <v>0</v>
      </c>
      <c r="AL6" s="1">
        <f>建筑各项能耗拆分!$B$18*建筑各项能耗拆分!AL78</f>
        <v>0</v>
      </c>
      <c r="AM6" s="1">
        <f>建筑各项能耗拆分!$B$18*建筑各项能耗拆分!AM78</f>
        <v>0</v>
      </c>
      <c r="AN6" s="1">
        <f>建筑各项能耗拆分!$B$18*建筑各项能耗拆分!AN78</f>
        <v>0</v>
      </c>
      <c r="AO6" s="1">
        <f>建筑各项能耗拆分!$B$18*建筑各项能耗拆分!AO78</f>
        <v>0</v>
      </c>
      <c r="AP6" s="1">
        <f>建筑各项能耗拆分!$B$18*建筑各项能耗拆分!AP78</f>
        <v>0</v>
      </c>
      <c r="AQ6" s="1">
        <f>建筑各项能耗拆分!$B$18*建筑各项能耗拆分!AQ78</f>
        <v>0</v>
      </c>
      <c r="AR6" s="1">
        <f>建筑各项能耗拆分!$B$18*建筑各项能耗拆分!AR78</f>
        <v>0</v>
      </c>
    </row>
    <row r="7" spans="1:44">
      <c r="A7" t="s">
        <v>1114</v>
      </c>
      <c r="B7" s="1">
        <f>建筑各项能耗拆分!$B$18*建筑各项能耗拆分!B79</f>
        <v>0</v>
      </c>
      <c r="C7" s="1">
        <f>建筑各项能耗拆分!$B$18*建筑各项能耗拆分!C79</f>
        <v>0</v>
      </c>
      <c r="D7" s="1">
        <f>建筑各项能耗拆分!$B$18*建筑各项能耗拆分!D79</f>
        <v>0</v>
      </c>
      <c r="E7" s="1">
        <f>建筑各项能耗拆分!$B$18*建筑各项能耗拆分!E79</f>
        <v>0</v>
      </c>
      <c r="F7" s="1">
        <f>建筑各项能耗拆分!$B$18*建筑各项能耗拆分!F79</f>
        <v>0</v>
      </c>
      <c r="G7" s="1">
        <f>建筑各项能耗拆分!$B$18*建筑各项能耗拆分!G79</f>
        <v>0</v>
      </c>
      <c r="H7" s="1">
        <f>建筑各项能耗拆分!$B$18*建筑各项能耗拆分!H79</f>
        <v>0</v>
      </c>
      <c r="I7" s="1">
        <f>建筑各项能耗拆分!$B$18*建筑各项能耗拆分!I79</f>
        <v>0</v>
      </c>
      <c r="J7" s="1">
        <f>建筑各项能耗拆分!$B$18*建筑各项能耗拆分!J79</f>
        <v>0</v>
      </c>
      <c r="K7" s="1">
        <f>建筑各项能耗拆分!$B$18*建筑各项能耗拆分!K79</f>
        <v>0</v>
      </c>
      <c r="L7" s="1">
        <f>建筑各项能耗拆分!$B$18*建筑各项能耗拆分!L79</f>
        <v>0</v>
      </c>
      <c r="M7" s="1">
        <f>建筑各项能耗拆分!$B$18*建筑各项能耗拆分!M79</f>
        <v>0</v>
      </c>
      <c r="N7" s="1">
        <f>建筑各项能耗拆分!$B$18*建筑各项能耗拆分!N79</f>
        <v>0</v>
      </c>
      <c r="O7" s="1">
        <f>建筑各项能耗拆分!$B$18*建筑各项能耗拆分!O79</f>
        <v>0</v>
      </c>
      <c r="P7" s="1">
        <f>建筑各项能耗拆分!$B$18*建筑各项能耗拆分!P79</f>
        <v>0</v>
      </c>
      <c r="Q7" s="1">
        <f>建筑各项能耗拆分!$B$18*建筑各项能耗拆分!Q79</f>
        <v>0</v>
      </c>
      <c r="R7" s="1">
        <f>建筑各项能耗拆分!$B$18*建筑各项能耗拆分!R79</f>
        <v>0</v>
      </c>
      <c r="S7" s="1">
        <f>建筑各项能耗拆分!$B$18*建筑各项能耗拆分!S79</f>
        <v>0</v>
      </c>
      <c r="T7" s="1">
        <f>建筑各项能耗拆分!$B$18*建筑各项能耗拆分!T79</f>
        <v>0</v>
      </c>
      <c r="U7" s="1">
        <f>建筑各项能耗拆分!$B$18*建筑各项能耗拆分!U79</f>
        <v>0</v>
      </c>
      <c r="V7" s="1">
        <f>建筑各项能耗拆分!$B$18*建筑各项能耗拆分!V79</f>
        <v>0</v>
      </c>
      <c r="W7" s="1">
        <f>建筑各项能耗拆分!$B$18*建筑各项能耗拆分!W79</f>
        <v>0</v>
      </c>
      <c r="X7" s="1">
        <f>建筑各项能耗拆分!$B$18*建筑各项能耗拆分!X79</f>
        <v>0</v>
      </c>
      <c r="Y7" s="1">
        <f>建筑各项能耗拆分!$B$18*建筑各项能耗拆分!Y79</f>
        <v>0</v>
      </c>
      <c r="Z7" s="1">
        <f>建筑各项能耗拆分!$B$18*建筑各项能耗拆分!Z79</f>
        <v>0</v>
      </c>
      <c r="AA7" s="1">
        <f>建筑各项能耗拆分!$B$18*建筑各项能耗拆分!AA79</f>
        <v>0</v>
      </c>
      <c r="AB7" s="1">
        <f>建筑各项能耗拆分!$B$18*建筑各项能耗拆分!AB79</f>
        <v>0</v>
      </c>
      <c r="AC7" s="1">
        <f>建筑各项能耗拆分!$B$18*建筑各项能耗拆分!AC79</f>
        <v>0</v>
      </c>
      <c r="AD7" s="1">
        <f>建筑各项能耗拆分!$B$18*建筑各项能耗拆分!AD79</f>
        <v>0</v>
      </c>
      <c r="AE7" s="1">
        <f>建筑各项能耗拆分!$B$18*建筑各项能耗拆分!AE79</f>
        <v>0</v>
      </c>
      <c r="AF7" s="1">
        <f>建筑各项能耗拆分!$B$18*建筑各项能耗拆分!AF79</f>
        <v>0</v>
      </c>
      <c r="AG7" s="1">
        <f>建筑各项能耗拆分!$B$18*建筑各项能耗拆分!AG79</f>
        <v>0</v>
      </c>
      <c r="AH7" s="1">
        <f>建筑各项能耗拆分!$B$18*建筑各项能耗拆分!AH79</f>
        <v>0</v>
      </c>
      <c r="AI7" s="1">
        <f>建筑各项能耗拆分!$B$18*建筑各项能耗拆分!AI79</f>
        <v>0</v>
      </c>
      <c r="AJ7" s="1">
        <f>建筑各项能耗拆分!$B$18*建筑各项能耗拆分!AJ79</f>
        <v>0</v>
      </c>
      <c r="AK7" s="1">
        <f>建筑各项能耗拆分!$B$18*建筑各项能耗拆分!AK79</f>
        <v>0</v>
      </c>
      <c r="AL7" s="1">
        <f>建筑各项能耗拆分!$B$18*建筑各项能耗拆分!AL79</f>
        <v>0</v>
      </c>
      <c r="AM7" s="1">
        <f>建筑各项能耗拆分!$B$18*建筑各项能耗拆分!AM79</f>
        <v>0</v>
      </c>
      <c r="AN7" s="1">
        <f>建筑各项能耗拆分!$B$18*建筑各项能耗拆分!AN79</f>
        <v>0</v>
      </c>
      <c r="AO7" s="1">
        <f>建筑各项能耗拆分!$B$18*建筑各项能耗拆分!AO79</f>
        <v>0</v>
      </c>
      <c r="AP7" s="1">
        <f>建筑各项能耗拆分!$B$18*建筑各项能耗拆分!AP79</f>
        <v>0</v>
      </c>
      <c r="AQ7" s="1">
        <f>建筑各项能耗拆分!$B$18*建筑各项能耗拆分!AQ79</f>
        <v>0</v>
      </c>
      <c r="AR7" s="1">
        <f>建筑各项能耗拆分!$B$18*建筑各项能耗拆分!AR79</f>
        <v>0</v>
      </c>
    </row>
    <row r="8" spans="1:44">
      <c r="A8" t="s">
        <v>1115</v>
      </c>
      <c r="B8" s="1">
        <f>建筑各项能耗拆分!$B$18*建筑各项能耗拆分!B80</f>
        <v>0</v>
      </c>
      <c r="C8" s="1">
        <f>建筑各项能耗拆分!$B$18*建筑各项能耗拆分!C80</f>
        <v>0</v>
      </c>
      <c r="D8" s="1">
        <f>建筑各项能耗拆分!$B$18*建筑各项能耗拆分!D80</f>
        <v>0</v>
      </c>
      <c r="E8" s="1">
        <f>建筑各项能耗拆分!$B$18*建筑各项能耗拆分!E80</f>
        <v>0</v>
      </c>
      <c r="F8" s="1">
        <f>建筑各项能耗拆分!$B$18*建筑各项能耗拆分!F80</f>
        <v>0</v>
      </c>
      <c r="G8" s="1">
        <f>建筑各项能耗拆分!$B$18*建筑各项能耗拆分!G80</f>
        <v>0</v>
      </c>
      <c r="H8" s="1">
        <f>建筑各项能耗拆分!$B$18*建筑各项能耗拆分!H80</f>
        <v>0</v>
      </c>
      <c r="I8" s="1">
        <f>建筑各项能耗拆分!$B$18*建筑各项能耗拆分!I80</f>
        <v>0</v>
      </c>
      <c r="J8" s="1">
        <f>建筑各项能耗拆分!$B$18*建筑各项能耗拆分!J80</f>
        <v>0</v>
      </c>
      <c r="K8" s="1">
        <f>建筑各项能耗拆分!$B$18*建筑各项能耗拆分!K80</f>
        <v>0</v>
      </c>
      <c r="L8" s="1">
        <f>建筑各项能耗拆分!$B$18*建筑各项能耗拆分!L80</f>
        <v>0</v>
      </c>
      <c r="M8" s="1">
        <f>建筑各项能耗拆分!$B$18*建筑各项能耗拆分!M80</f>
        <v>0</v>
      </c>
      <c r="N8" s="1">
        <f>建筑各项能耗拆分!$B$18*建筑各项能耗拆分!N80</f>
        <v>0</v>
      </c>
      <c r="O8" s="1">
        <f>建筑各项能耗拆分!$B$18*建筑各项能耗拆分!O80</f>
        <v>0</v>
      </c>
      <c r="P8" s="1">
        <f>建筑各项能耗拆分!$B$18*建筑各项能耗拆分!P80</f>
        <v>0</v>
      </c>
      <c r="Q8" s="1">
        <f>建筑各项能耗拆分!$B$18*建筑各项能耗拆分!Q80</f>
        <v>0</v>
      </c>
      <c r="R8" s="1">
        <f>建筑各项能耗拆分!$B$18*建筑各项能耗拆分!R80</f>
        <v>0</v>
      </c>
      <c r="S8" s="1">
        <f>建筑各项能耗拆分!$B$18*建筑各项能耗拆分!S80</f>
        <v>0</v>
      </c>
      <c r="T8" s="1">
        <f>建筑各项能耗拆分!$B$18*建筑各项能耗拆分!T80</f>
        <v>0</v>
      </c>
      <c r="U8" s="1">
        <f>建筑各项能耗拆分!$B$18*建筑各项能耗拆分!U80</f>
        <v>0</v>
      </c>
      <c r="V8" s="1">
        <f>建筑各项能耗拆分!$B$18*建筑各项能耗拆分!V80</f>
        <v>0</v>
      </c>
      <c r="W8" s="1">
        <f>建筑各项能耗拆分!$B$18*建筑各项能耗拆分!W80</f>
        <v>0</v>
      </c>
      <c r="X8" s="1">
        <f>建筑各项能耗拆分!$B$18*建筑各项能耗拆分!X80</f>
        <v>0</v>
      </c>
      <c r="Y8" s="1">
        <f>建筑各项能耗拆分!$B$18*建筑各项能耗拆分!Y80</f>
        <v>0</v>
      </c>
      <c r="Z8" s="1">
        <f>建筑各项能耗拆分!$B$18*建筑各项能耗拆分!Z80</f>
        <v>0</v>
      </c>
      <c r="AA8" s="1">
        <f>建筑各项能耗拆分!$B$18*建筑各项能耗拆分!AA80</f>
        <v>0</v>
      </c>
      <c r="AB8" s="1">
        <f>建筑各项能耗拆分!$B$18*建筑各项能耗拆分!AB80</f>
        <v>0</v>
      </c>
      <c r="AC8" s="1">
        <f>建筑各项能耗拆分!$B$18*建筑各项能耗拆分!AC80</f>
        <v>0</v>
      </c>
      <c r="AD8" s="1">
        <f>建筑各项能耗拆分!$B$18*建筑各项能耗拆分!AD80</f>
        <v>0</v>
      </c>
      <c r="AE8" s="1">
        <f>建筑各项能耗拆分!$B$18*建筑各项能耗拆分!AE80</f>
        <v>0</v>
      </c>
      <c r="AF8" s="1">
        <f>建筑各项能耗拆分!$B$18*建筑各项能耗拆分!AF80</f>
        <v>0</v>
      </c>
      <c r="AG8" s="1">
        <f>建筑各项能耗拆分!$B$18*建筑各项能耗拆分!AG80</f>
        <v>0</v>
      </c>
      <c r="AH8" s="1">
        <f>建筑各项能耗拆分!$B$18*建筑各项能耗拆分!AH80</f>
        <v>0</v>
      </c>
      <c r="AI8" s="1">
        <f>建筑各项能耗拆分!$B$18*建筑各项能耗拆分!AI80</f>
        <v>0</v>
      </c>
      <c r="AJ8" s="1">
        <f>建筑各项能耗拆分!$B$18*建筑各项能耗拆分!AJ80</f>
        <v>0</v>
      </c>
      <c r="AK8" s="1">
        <f>建筑各项能耗拆分!$B$18*建筑各项能耗拆分!AK80</f>
        <v>0</v>
      </c>
      <c r="AL8" s="1">
        <f>建筑各项能耗拆分!$B$18*建筑各项能耗拆分!AL80</f>
        <v>0</v>
      </c>
      <c r="AM8" s="1">
        <f>建筑各项能耗拆分!$B$18*建筑各项能耗拆分!AM80</f>
        <v>0</v>
      </c>
      <c r="AN8" s="1">
        <f>建筑各项能耗拆分!$B$18*建筑各项能耗拆分!AN80</f>
        <v>0</v>
      </c>
      <c r="AO8" s="1">
        <f>建筑各项能耗拆分!$B$18*建筑各项能耗拆分!AO80</f>
        <v>0</v>
      </c>
      <c r="AP8" s="1">
        <f>建筑各项能耗拆分!$B$18*建筑各项能耗拆分!AP80</f>
        <v>0</v>
      </c>
      <c r="AQ8" s="1">
        <f>建筑各项能耗拆分!$B$18*建筑各项能耗拆分!AQ80</f>
        <v>0</v>
      </c>
      <c r="AR8" s="1">
        <f>建筑各项能耗拆分!$B$18*建筑各项能耗拆分!AR80</f>
        <v>0</v>
      </c>
    </row>
    <row r="9" spans="1:44">
      <c r="A9" t="s">
        <v>1116</v>
      </c>
      <c r="B9" s="1">
        <f>建筑各项能耗拆分!$B$18*建筑各项能耗拆分!B81</f>
        <v>0</v>
      </c>
      <c r="C9" s="1">
        <f>建筑各项能耗拆分!$B$18*建筑各项能耗拆分!C81</f>
        <v>0</v>
      </c>
      <c r="D9" s="1">
        <f>建筑各项能耗拆分!$B$18*建筑各项能耗拆分!D81</f>
        <v>0</v>
      </c>
      <c r="E9" s="1">
        <f>建筑各项能耗拆分!$B$18*建筑各项能耗拆分!E81</f>
        <v>0</v>
      </c>
      <c r="F9" s="1">
        <f>建筑各项能耗拆分!$B$18*建筑各项能耗拆分!F81</f>
        <v>0</v>
      </c>
      <c r="G9" s="1">
        <f>建筑各项能耗拆分!$B$18*建筑各项能耗拆分!G81</f>
        <v>0</v>
      </c>
      <c r="H9" s="1">
        <f>建筑各项能耗拆分!$B$18*建筑各项能耗拆分!H81</f>
        <v>0</v>
      </c>
      <c r="I9" s="1">
        <f>建筑各项能耗拆分!$B$18*建筑各项能耗拆分!I81</f>
        <v>0</v>
      </c>
      <c r="J9" s="1">
        <f>建筑各项能耗拆分!$B$18*建筑各项能耗拆分!J81</f>
        <v>0</v>
      </c>
      <c r="K9" s="1">
        <f>建筑各项能耗拆分!$B$18*建筑各项能耗拆分!K81</f>
        <v>0</v>
      </c>
      <c r="L9" s="1">
        <f>建筑各项能耗拆分!$B$18*建筑各项能耗拆分!L81</f>
        <v>0</v>
      </c>
      <c r="M9" s="1">
        <f>建筑各项能耗拆分!$B$18*建筑各项能耗拆分!M81</f>
        <v>0</v>
      </c>
      <c r="N9" s="1">
        <f>建筑各项能耗拆分!$B$18*建筑各项能耗拆分!N81</f>
        <v>0</v>
      </c>
      <c r="O9" s="1">
        <f>建筑各项能耗拆分!$B$18*建筑各项能耗拆分!O81</f>
        <v>0</v>
      </c>
      <c r="P9" s="1">
        <f>建筑各项能耗拆分!$B$18*建筑各项能耗拆分!P81</f>
        <v>0</v>
      </c>
      <c r="Q9" s="1">
        <f>建筑各项能耗拆分!$B$18*建筑各项能耗拆分!Q81</f>
        <v>0</v>
      </c>
      <c r="R9" s="1">
        <f>建筑各项能耗拆分!$B$18*建筑各项能耗拆分!R81</f>
        <v>0</v>
      </c>
      <c r="S9" s="1">
        <f>建筑各项能耗拆分!$B$18*建筑各项能耗拆分!S81</f>
        <v>0</v>
      </c>
      <c r="T9" s="1">
        <f>建筑各项能耗拆分!$B$18*建筑各项能耗拆分!T81</f>
        <v>0</v>
      </c>
      <c r="U9" s="1">
        <f>建筑各项能耗拆分!$B$18*建筑各项能耗拆分!U81</f>
        <v>0</v>
      </c>
      <c r="V9" s="1">
        <f>建筑各项能耗拆分!$B$18*建筑各项能耗拆分!V81</f>
        <v>0</v>
      </c>
      <c r="W9" s="1">
        <f>建筑各项能耗拆分!$B$18*建筑各项能耗拆分!W81</f>
        <v>0</v>
      </c>
      <c r="X9" s="1">
        <f>建筑各项能耗拆分!$B$18*建筑各项能耗拆分!X81</f>
        <v>0</v>
      </c>
      <c r="Y9" s="1">
        <f>建筑各项能耗拆分!$B$18*建筑各项能耗拆分!Y81</f>
        <v>0</v>
      </c>
      <c r="Z9" s="1">
        <f>建筑各项能耗拆分!$B$18*建筑各项能耗拆分!Z81</f>
        <v>0</v>
      </c>
      <c r="AA9" s="1">
        <f>建筑各项能耗拆分!$B$18*建筑各项能耗拆分!AA81</f>
        <v>0</v>
      </c>
      <c r="AB9" s="1">
        <f>建筑各项能耗拆分!$B$18*建筑各项能耗拆分!AB81</f>
        <v>0</v>
      </c>
      <c r="AC9" s="1">
        <f>建筑各项能耗拆分!$B$18*建筑各项能耗拆分!AC81</f>
        <v>0</v>
      </c>
      <c r="AD9" s="1">
        <f>建筑各项能耗拆分!$B$18*建筑各项能耗拆分!AD81</f>
        <v>0</v>
      </c>
      <c r="AE9" s="1">
        <f>建筑各项能耗拆分!$B$18*建筑各项能耗拆分!AE81</f>
        <v>0</v>
      </c>
      <c r="AF9" s="1">
        <f>建筑各项能耗拆分!$B$18*建筑各项能耗拆分!AF81</f>
        <v>0</v>
      </c>
      <c r="AG9" s="1">
        <f>建筑各项能耗拆分!$B$18*建筑各项能耗拆分!AG81</f>
        <v>0</v>
      </c>
      <c r="AH9" s="1">
        <f>建筑各项能耗拆分!$B$18*建筑各项能耗拆分!AH81</f>
        <v>0</v>
      </c>
      <c r="AI9" s="1">
        <f>建筑各项能耗拆分!$B$18*建筑各项能耗拆分!AI81</f>
        <v>0</v>
      </c>
      <c r="AJ9" s="1">
        <f>建筑各项能耗拆分!$B$18*建筑各项能耗拆分!AJ81</f>
        <v>0</v>
      </c>
      <c r="AK9" s="1">
        <f>建筑各项能耗拆分!$B$18*建筑各项能耗拆分!AK81</f>
        <v>0</v>
      </c>
      <c r="AL9" s="1">
        <f>建筑各项能耗拆分!$B$18*建筑各项能耗拆分!AL81</f>
        <v>0</v>
      </c>
      <c r="AM9" s="1">
        <f>建筑各项能耗拆分!$B$18*建筑各项能耗拆分!AM81</f>
        <v>0</v>
      </c>
      <c r="AN9" s="1">
        <f>建筑各项能耗拆分!$B$18*建筑各项能耗拆分!AN81</f>
        <v>0</v>
      </c>
      <c r="AO9" s="1">
        <f>建筑各项能耗拆分!$B$18*建筑各项能耗拆分!AO81</f>
        <v>0</v>
      </c>
      <c r="AP9" s="1">
        <f>建筑各项能耗拆分!$B$18*建筑各项能耗拆分!AP81</f>
        <v>0</v>
      </c>
      <c r="AQ9" s="1">
        <f>建筑各项能耗拆分!$B$18*建筑各项能耗拆分!AQ81</f>
        <v>0</v>
      </c>
      <c r="AR9" s="1">
        <f>建筑各项能耗拆分!$B$18*建筑各项能耗拆分!AR81</f>
        <v>0</v>
      </c>
    </row>
    <row r="10" spans="1:44">
      <c r="A10" t="s">
        <v>1117</v>
      </c>
      <c r="B10" s="1">
        <f>建筑各项能耗拆分!$B$18*建筑各项能耗拆分!B82</f>
        <v>0</v>
      </c>
      <c r="C10" s="1">
        <f>建筑各项能耗拆分!$B$18*建筑各项能耗拆分!C82</f>
        <v>927608701948304</v>
      </c>
      <c r="D10" s="1">
        <f>建筑各项能耗拆分!$B$18*建筑各项能耗拆分!D82</f>
        <v>925904115018171</v>
      </c>
      <c r="E10" s="1">
        <f>建筑各项能耗拆分!$B$18*建筑各项能耗拆分!E82</f>
        <v>893113507325016</v>
      </c>
      <c r="F10" s="1">
        <f>建筑各项能耗拆分!$B$18*建筑各项能耗拆分!F82</f>
        <v>837671438832794</v>
      </c>
      <c r="G10" s="1">
        <f>建筑各项能耗拆分!$B$18*建筑各项能耗拆分!G82</f>
        <v>763078438385369</v>
      </c>
      <c r="H10" s="1">
        <f>建筑各项能耗拆分!$B$18*建筑各项能耗拆分!H82</f>
        <v>782879431601612</v>
      </c>
      <c r="I10" s="1">
        <f>建筑各项能耗拆分!$B$18*建筑各项能耗拆分!I82</f>
        <v>803101664353790</v>
      </c>
      <c r="J10" s="1">
        <f>建筑各项能耗拆分!$B$18*建筑各项能耗拆分!J82</f>
        <v>819581378935273</v>
      </c>
      <c r="K10" s="1">
        <f>建筑各项能耗拆分!$B$18*建筑各项能耗拆分!K82</f>
        <v>836337517364970</v>
      </c>
      <c r="L10" s="1">
        <f>建筑各项能耗拆分!$B$18*建筑各项能耗拆分!L82</f>
        <v>853377737749309</v>
      </c>
      <c r="M10" s="1">
        <f>建筑各项能耗拆分!$B$18*建筑各项能耗拆分!M82</f>
        <v>870706915308798</v>
      </c>
      <c r="N10" s="1">
        <f>建筑各项能耗拆分!$B$18*建筑各项能耗拆分!N82</f>
        <v>888325570399961</v>
      </c>
      <c r="O10" s="1">
        <f>建筑各项能耗拆分!$B$18*建筑各项能耗拆分!O82</f>
        <v>905666268872836</v>
      </c>
      <c r="P10" s="1">
        <f>建筑各项能耗拆分!$B$18*建筑各项能耗拆分!P82</f>
        <v>923276830266182</v>
      </c>
      <c r="Q10" s="1">
        <f>建筑各项能耗拆分!$B$18*建筑各项能耗拆分!Q82</f>
        <v>941165158641985</v>
      </c>
      <c r="R10" s="1">
        <f>建筑各项能耗拆分!$B$18*建筑各项能耗拆分!R82</f>
        <v>959334634435714</v>
      </c>
      <c r="S10" s="1">
        <f>建筑各项能耗拆分!$B$18*建筑各项能耗拆分!S82</f>
        <v>977785545382873</v>
      </c>
      <c r="T10" s="1">
        <f>建筑各项能耗拆分!$B$18*建筑各项能耗拆分!T82</f>
        <v>986091131909242</v>
      </c>
      <c r="U10" s="1">
        <f>建筑各项能耗拆分!$B$18*建筑各项能耗拆分!U82</f>
        <v>994398709540043</v>
      </c>
      <c r="V10" s="1">
        <f>建筑各项能耗拆分!$B$18*建筑各项能耗拆分!V82</f>
        <v>1002701717416860</v>
      </c>
      <c r="W10" s="1">
        <f>建筑各项能耗拆分!$B$18*建筑各项能耗拆分!W82</f>
        <v>1011004719153650</v>
      </c>
      <c r="X10" s="1">
        <f>建筑各项能耗拆分!$B$18*建筑各项能耗拆分!X82</f>
        <v>1019306073644590</v>
      </c>
      <c r="Y10" s="1">
        <f>建筑各项能耗拆分!$B$18*建筑各项能耗拆分!Y82</f>
        <v>1021782371476130</v>
      </c>
      <c r="Z10" s="1">
        <f>建筑各项能耗拆分!$B$18*建筑各项能耗拆分!Z82</f>
        <v>1024216772968890</v>
      </c>
      <c r="AA10" s="1">
        <f>建筑各项能耗拆分!$B$18*建筑各项能耗拆分!AA82</f>
        <v>1026608474050730</v>
      </c>
      <c r="AB10" s="1">
        <f>建筑各项能耗拆分!$B$18*建筑各项能耗拆分!AB82</f>
        <v>1028958217015200</v>
      </c>
      <c r="AC10" s="1">
        <f>建筑各项能耗拆分!$B$18*建筑各项能耗拆分!AC82</f>
        <v>1031266857258140</v>
      </c>
      <c r="AD10" s="1">
        <f>建筑各项能耗拆分!$B$18*建筑各项能耗拆分!AD82</f>
        <v>1031930236706990</v>
      </c>
      <c r="AE10" s="1">
        <f>建筑各项能耗拆分!$B$18*建筑各项能耗拆分!AE82</f>
        <v>1032529016660490</v>
      </c>
      <c r="AF10" s="1">
        <f>建筑各项能耗拆分!$B$18*建筑各项能耗拆分!AF82</f>
        <v>1033073471373330</v>
      </c>
      <c r="AG10" s="1">
        <f>建筑各项能耗拆分!$B$18*建筑各项能耗拆分!AG82</f>
        <v>1033555233173140</v>
      </c>
      <c r="AH10" s="1">
        <f>建筑各项能耗拆分!$B$18*建筑各项能耗拆分!AH82</f>
        <v>1033971560040970</v>
      </c>
      <c r="AI10" s="1">
        <f>建筑各项能耗拆分!$B$18*建筑各项能耗拆分!AI82</f>
        <v>1026781574808330</v>
      </c>
      <c r="AJ10" s="1">
        <f>建筑各项能耗拆分!$B$18*建筑各项能耗拆分!AJ82</f>
        <v>1019592597041930</v>
      </c>
      <c r="AK10" s="1">
        <f>建筑各项能耗拆分!$B$18*建筑各项能耗拆分!AK82</f>
        <v>1012395549090810</v>
      </c>
      <c r="AL10" s="1">
        <f>建筑各项能耗拆分!$B$18*建筑各项能耗拆分!AL82</f>
        <v>1005199213019140</v>
      </c>
      <c r="AM10" s="1">
        <f>建筑各项能耗拆分!$B$18*建筑各项能耗拆分!AM82</f>
        <v>997998933572542</v>
      </c>
      <c r="AN10" s="1">
        <f>建筑各项能耗拆分!$B$18*建筑各项能耗拆分!AN82</f>
        <v>989337767256467</v>
      </c>
      <c r="AO10" s="1">
        <f>建筑各项能耗拆分!$B$18*建筑各项能耗拆分!AO82</f>
        <v>980675389129588</v>
      </c>
      <c r="AP10" s="1">
        <f>建筑各项能耗拆分!$B$18*建筑各项能耗拆分!AP82</f>
        <v>972008651335144</v>
      </c>
      <c r="AQ10" s="1">
        <f>建筑各项能耗拆分!$B$18*建筑各项能耗拆分!AQ82</f>
        <v>963338051903607</v>
      </c>
      <c r="AR10" s="1">
        <f>建筑各项能耗拆分!$B$18*建筑各项能耗拆分!AR82</f>
        <v>954663839850227</v>
      </c>
    </row>
    <row r="11" spans="1:44">
      <c r="A11" t="s">
        <v>1118</v>
      </c>
      <c r="B11" s="1">
        <f>建筑各项能耗拆分!$B$18*建筑各项能耗拆分!B83</f>
        <v>0</v>
      </c>
      <c r="C11" s="1">
        <f>建筑各项能耗拆分!$B$18*建筑各项能耗拆分!C83</f>
        <v>0</v>
      </c>
      <c r="D11" s="1">
        <f>建筑各项能耗拆分!$B$18*建筑各项能耗拆分!D83</f>
        <v>0</v>
      </c>
      <c r="E11" s="1">
        <f>建筑各项能耗拆分!$B$18*建筑各项能耗拆分!E83</f>
        <v>0</v>
      </c>
      <c r="F11" s="1">
        <f>建筑各项能耗拆分!$B$18*建筑各项能耗拆分!F83</f>
        <v>0</v>
      </c>
      <c r="G11" s="1">
        <f>建筑各项能耗拆分!$B$18*建筑各项能耗拆分!G83</f>
        <v>0</v>
      </c>
      <c r="H11" s="1">
        <f>建筑各项能耗拆分!$B$18*建筑各项能耗拆分!H83</f>
        <v>0</v>
      </c>
      <c r="I11" s="1">
        <f>建筑各项能耗拆分!$B$18*建筑各项能耗拆分!I83</f>
        <v>0</v>
      </c>
      <c r="J11" s="1">
        <f>建筑各项能耗拆分!$B$18*建筑各项能耗拆分!J83</f>
        <v>0</v>
      </c>
      <c r="K11" s="1">
        <f>建筑各项能耗拆分!$B$18*建筑各项能耗拆分!K83</f>
        <v>0</v>
      </c>
      <c r="L11" s="1">
        <f>建筑各项能耗拆分!$B$18*建筑各项能耗拆分!L83</f>
        <v>0</v>
      </c>
      <c r="M11" s="1">
        <f>建筑各项能耗拆分!$B$18*建筑各项能耗拆分!M83</f>
        <v>0</v>
      </c>
      <c r="N11" s="1">
        <f>建筑各项能耗拆分!$B$18*建筑各项能耗拆分!N83</f>
        <v>0</v>
      </c>
      <c r="O11" s="1">
        <f>建筑各项能耗拆分!$B$18*建筑各项能耗拆分!O83</f>
        <v>0</v>
      </c>
      <c r="P11" s="1">
        <f>建筑各项能耗拆分!$B$18*建筑各项能耗拆分!P83</f>
        <v>0</v>
      </c>
      <c r="Q11" s="1">
        <f>建筑各项能耗拆分!$B$18*建筑各项能耗拆分!Q83</f>
        <v>0</v>
      </c>
      <c r="R11" s="1">
        <f>建筑各项能耗拆分!$B$18*建筑各项能耗拆分!R83</f>
        <v>0</v>
      </c>
      <c r="S11" s="1">
        <f>建筑各项能耗拆分!$B$18*建筑各项能耗拆分!S83</f>
        <v>0</v>
      </c>
      <c r="T11" s="1">
        <f>建筑各项能耗拆分!$B$18*建筑各项能耗拆分!T83</f>
        <v>0</v>
      </c>
      <c r="U11" s="1">
        <f>建筑各项能耗拆分!$B$18*建筑各项能耗拆分!U83</f>
        <v>0</v>
      </c>
      <c r="V11" s="1">
        <f>建筑各项能耗拆分!$B$18*建筑各项能耗拆分!V83</f>
        <v>0</v>
      </c>
      <c r="W11" s="1">
        <f>建筑各项能耗拆分!$B$18*建筑各项能耗拆分!W83</f>
        <v>0</v>
      </c>
      <c r="X11" s="1">
        <f>建筑各项能耗拆分!$B$18*建筑各项能耗拆分!X83</f>
        <v>0</v>
      </c>
      <c r="Y11" s="1">
        <f>建筑各项能耗拆分!$B$18*建筑各项能耗拆分!Y83</f>
        <v>0</v>
      </c>
      <c r="Z11" s="1">
        <f>建筑各项能耗拆分!$B$18*建筑各项能耗拆分!Z83</f>
        <v>0</v>
      </c>
      <c r="AA11" s="1">
        <f>建筑各项能耗拆分!$B$18*建筑各项能耗拆分!AA83</f>
        <v>0</v>
      </c>
      <c r="AB11" s="1">
        <f>建筑各项能耗拆分!$B$18*建筑各项能耗拆分!AB83</f>
        <v>0</v>
      </c>
      <c r="AC11" s="1">
        <f>建筑各项能耗拆分!$B$18*建筑各项能耗拆分!AC83</f>
        <v>0</v>
      </c>
      <c r="AD11" s="1">
        <f>建筑各项能耗拆分!$B$18*建筑各项能耗拆分!AD83</f>
        <v>0</v>
      </c>
      <c r="AE11" s="1">
        <f>建筑各项能耗拆分!$B$18*建筑各项能耗拆分!AE83</f>
        <v>0</v>
      </c>
      <c r="AF11" s="1">
        <f>建筑各项能耗拆分!$B$18*建筑各项能耗拆分!AF83</f>
        <v>0</v>
      </c>
      <c r="AG11" s="1">
        <f>建筑各项能耗拆分!$B$18*建筑各项能耗拆分!AG83</f>
        <v>0</v>
      </c>
      <c r="AH11" s="1">
        <f>建筑各项能耗拆分!$B$18*建筑各项能耗拆分!AH83</f>
        <v>0</v>
      </c>
      <c r="AI11" s="1">
        <f>建筑各项能耗拆分!$B$18*建筑各项能耗拆分!AI83</f>
        <v>0</v>
      </c>
      <c r="AJ11" s="1">
        <f>建筑各项能耗拆分!$B$18*建筑各项能耗拆分!AJ83</f>
        <v>0</v>
      </c>
      <c r="AK11" s="1">
        <f>建筑各项能耗拆分!$B$18*建筑各项能耗拆分!AK83</f>
        <v>0</v>
      </c>
      <c r="AL11" s="1">
        <f>建筑各项能耗拆分!$B$18*建筑各项能耗拆分!AL83</f>
        <v>0</v>
      </c>
      <c r="AM11" s="1">
        <f>建筑各项能耗拆分!$B$18*建筑各项能耗拆分!AM83</f>
        <v>0</v>
      </c>
      <c r="AN11" s="1">
        <f>建筑各项能耗拆分!$B$18*建筑各项能耗拆分!AN83</f>
        <v>0</v>
      </c>
      <c r="AO11" s="1">
        <f>建筑各项能耗拆分!$B$18*建筑各项能耗拆分!AO83</f>
        <v>0</v>
      </c>
      <c r="AP11" s="1">
        <f>建筑各项能耗拆分!$B$18*建筑各项能耗拆分!AP83</f>
        <v>0</v>
      </c>
      <c r="AQ11" s="1">
        <f>建筑各项能耗拆分!$B$18*建筑各项能耗拆分!AQ83</f>
        <v>0</v>
      </c>
      <c r="AR11" s="1">
        <f>建筑各项能耗拆分!$B$18*建筑各项能耗拆分!AR83</f>
        <v>0</v>
      </c>
    </row>
  </sheetData>
  <pageMargins left="0.7" right="0.7" top="0.75" bottom="0.75" header="0.3" footer="0.3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AR12"/>
  <sheetViews>
    <sheetView tabSelected="1" workbookViewId="0">
      <selection activeCell="A1" sqref="$A1:$XFD1048576"/>
    </sheetView>
  </sheetViews>
  <sheetFormatPr defaultColWidth="9" defaultRowHeight="13.5"/>
  <cols>
    <col min="1" max="1" width="37.25" customWidth="1"/>
    <col min="2" max="44" width="13.6333333333333" customWidth="1"/>
  </cols>
  <sheetData>
    <row r="1" spans="1:44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>
      <c r="A2" t="s">
        <v>1109</v>
      </c>
      <c r="B2" s="1">
        <f>建筑各项能耗拆分!$B$18*建筑各项能耗拆分!B87</f>
        <v>698782502632762</v>
      </c>
      <c r="C2" s="1">
        <f>建筑各项能耗拆分!$B$18*建筑各项能耗拆分!C87</f>
        <v>567098457883979</v>
      </c>
      <c r="D2" s="1">
        <f>建筑各项能耗拆分!$B$18*建筑各项能耗拆分!D87</f>
        <v>596911529538642</v>
      </c>
      <c r="E2" s="1">
        <f>建筑各项能耗拆分!$B$18*建筑各项能耗拆分!E87</f>
        <v>642645491149414</v>
      </c>
      <c r="F2" s="1">
        <f>建筑各项能耗拆分!$B$18*建筑各项能耗拆分!F87</f>
        <v>707719867837180</v>
      </c>
      <c r="G2" s="1">
        <f>建筑各项能耗拆分!$B$18*建筑各项能耗拆分!G87</f>
        <v>714107452343659</v>
      </c>
      <c r="H2" s="1">
        <f>建筑各项能耗拆分!$B$18*建筑各项能耗拆分!H87</f>
        <v>765841879482136</v>
      </c>
      <c r="I2" s="1">
        <f>建筑各项能耗拆分!$B$18*建筑各项能耗拆分!I87</f>
        <v>820994434733801</v>
      </c>
      <c r="J2" s="1">
        <f>建筑各项能耗拆分!$B$18*建筑各项能耗拆分!J87</f>
        <v>861494576539881</v>
      </c>
      <c r="K2" s="1">
        <f>建筑各项能耗拆分!$B$18*建筑各项能耗拆分!K87</f>
        <v>903165583218428</v>
      </c>
      <c r="L2" s="1">
        <f>建筑各项能耗拆分!$B$18*建筑各项能耗拆分!L87</f>
        <v>942975119361853</v>
      </c>
      <c r="M2" s="1">
        <f>建筑各项能耗拆分!$B$18*建筑各项能耗拆分!M87</f>
        <v>983128320919690</v>
      </c>
      <c r="N2" s="1">
        <f>建筑各项能耗拆分!$B$18*建筑各项能耗拆分!N87</f>
        <v>1022932973416370</v>
      </c>
      <c r="O2" s="1">
        <f>建筑各项能耗拆分!$B$18*建筑各项能耗拆分!O87</f>
        <v>1062331115297560</v>
      </c>
      <c r="P2" s="1">
        <f>建筑各项能耗拆分!$B$18*建筑各项能耗拆分!P87</f>
        <v>1100880158677800</v>
      </c>
      <c r="Q2" s="1">
        <f>建筑各项能耗拆分!$B$18*建筑各项能耗拆分!Q87</f>
        <v>1139154364088030</v>
      </c>
      <c r="R2" s="1">
        <f>建筑各项能耗拆分!$B$18*建筑各项能耗拆分!R87</f>
        <v>1176398973719680</v>
      </c>
      <c r="S2" s="1">
        <f>建筑各项能耗拆分!$B$18*建筑各项能耗拆分!S87</f>
        <v>1215531097999890</v>
      </c>
      <c r="T2" s="1">
        <f>建筑各项能耗拆分!$B$18*建筑各项能耗拆分!T87</f>
        <v>1249215846192810</v>
      </c>
      <c r="U2" s="1">
        <f>建筑各项能耗拆分!$B$18*建筑各项能耗拆分!U87</f>
        <v>1281943638878370</v>
      </c>
      <c r="V2" s="1">
        <f>建筑各项能耗拆分!$B$18*建筑各项能耗拆分!V87</f>
        <v>1317954919192260</v>
      </c>
      <c r="W2" s="1">
        <f>建筑各项能耗拆分!$B$18*建筑各项能耗拆分!W87</f>
        <v>1354149450369670</v>
      </c>
      <c r="X2" s="1">
        <f>建筑各项能耗拆分!$B$18*建筑各项能耗拆分!X87</f>
        <v>1389814183727880</v>
      </c>
      <c r="Y2" s="1">
        <f>建筑各项能耗拆分!$B$18*建筑各项能耗拆分!Y87</f>
        <v>1421726327592250</v>
      </c>
      <c r="Z2" s="1">
        <f>建筑各项能耗拆分!$B$18*建筑各项能耗拆分!Z87</f>
        <v>1453031510920800</v>
      </c>
      <c r="AA2" s="1">
        <f>建筑各项能耗拆分!$B$18*建筑各项能耗拆分!AA87</f>
        <v>1483778999149220</v>
      </c>
      <c r="AB2" s="1">
        <f>建筑各项能耗拆分!$B$18*建筑各项能耗拆分!AB87</f>
        <v>1513983420072610</v>
      </c>
      <c r="AC2" s="1">
        <f>建筑各项能耗拆分!$B$18*建筑各项能耗拆分!AC87</f>
        <v>1543675802307670</v>
      </c>
      <c r="AD2" s="1">
        <f>建筑各项能耗拆分!$B$18*建筑各项能耗拆分!AD87</f>
        <v>1571496257912110</v>
      </c>
      <c r="AE2" s="1">
        <f>建筑各项能耗拆分!$B$18*建筑各项能耗拆分!AE87</f>
        <v>1598695561809690</v>
      </c>
      <c r="AF2" s="1">
        <f>建筑各项能耗拆分!$B$18*建筑各项能耗拆分!AF87</f>
        <v>1625299627245890</v>
      </c>
      <c r="AG2" s="1">
        <f>建筑各项能耗拆分!$B$18*建筑各项能耗拆分!AG87</f>
        <v>1651452628230270</v>
      </c>
      <c r="AH2" s="1">
        <f>建筑各项能耗拆分!$B$18*建筑各项能耗拆分!AH87</f>
        <v>1677021873704500</v>
      </c>
      <c r="AI2" s="1">
        <f>建筑各项能耗拆分!$B$18*建筑各项能耗拆分!AI87</f>
        <v>1699902037435980</v>
      </c>
      <c r="AJ2" s="1">
        <f>建筑各项能耗拆分!$B$18*建筑各项能耗拆分!AJ87</f>
        <v>1722130310682020</v>
      </c>
      <c r="AK2" s="1">
        <f>建筑各项能耗拆分!$B$18*建筑各项能耗拆分!AK87</f>
        <v>1743710679116480</v>
      </c>
      <c r="AL2" s="1">
        <f>建筑各项能耗拆分!$B$18*建筑各项能耗拆分!AL87</f>
        <v>1764689189482970</v>
      </c>
      <c r="AM2" s="1">
        <f>建筑各项能耗拆分!$B$18*建筑各项能耗拆分!AM87</f>
        <v>1785042844978740</v>
      </c>
      <c r="AN2" s="1">
        <f>建筑各项能耗拆分!$B$18*建筑各项能耗拆分!AN87</f>
        <v>1802765479195790</v>
      </c>
      <c r="AO2" s="1">
        <f>建筑各项能耗拆分!$B$18*建筑各项能耗拆分!AO87</f>
        <v>1819771487516470</v>
      </c>
      <c r="AP2" s="1">
        <f>建筑各项能耗拆分!$B$18*建筑各项能耗拆分!AP87</f>
        <v>1836094311630590</v>
      </c>
      <c r="AQ2" s="1">
        <f>建筑各项能耗拆分!$B$18*建筑各项能耗拆分!AQ87</f>
        <v>1851751386053950</v>
      </c>
      <c r="AR2" s="1">
        <f>建筑各项能耗拆分!$B$18*建筑各项能耗拆分!AR87</f>
        <v>1866718634585120</v>
      </c>
    </row>
    <row r="3" spans="1:44">
      <c r="A3" t="s">
        <v>1110</v>
      </c>
      <c r="B3" s="1">
        <f>建筑各项能耗拆分!$B$18*建筑各项能耗拆分!B88</f>
        <v>21462228500102.3</v>
      </c>
      <c r="C3" s="1">
        <f>建筑各项能耗拆分!$B$18*建筑各项能耗拆分!C88</f>
        <v>0</v>
      </c>
      <c r="D3" s="1">
        <f>建筑各项能耗拆分!$B$18*建筑各项能耗拆分!D88</f>
        <v>0</v>
      </c>
      <c r="E3" s="1">
        <f>建筑各项能耗拆分!$B$18*建筑各项能耗拆分!E88</f>
        <v>0</v>
      </c>
      <c r="F3" s="1">
        <f>建筑各项能耗拆分!$B$18*建筑各项能耗拆分!F88</f>
        <v>0</v>
      </c>
      <c r="G3" s="1">
        <f>建筑各项能耗拆分!$B$18*建筑各项能耗拆分!G88</f>
        <v>0</v>
      </c>
      <c r="H3" s="1">
        <f>建筑各项能耗拆分!$B$18*建筑各项能耗拆分!H88</f>
        <v>0</v>
      </c>
      <c r="I3" s="1">
        <f>建筑各项能耗拆分!$B$18*建筑各项能耗拆分!I88</f>
        <v>0</v>
      </c>
      <c r="J3" s="1">
        <f>建筑各项能耗拆分!$B$18*建筑各项能耗拆分!J88</f>
        <v>0</v>
      </c>
      <c r="K3" s="1">
        <f>建筑各项能耗拆分!$B$18*建筑各项能耗拆分!K88</f>
        <v>0</v>
      </c>
      <c r="L3" s="1">
        <f>建筑各项能耗拆分!$B$18*建筑各项能耗拆分!L88</f>
        <v>0</v>
      </c>
      <c r="M3" s="1">
        <f>建筑各项能耗拆分!$B$18*建筑各项能耗拆分!M88</f>
        <v>0</v>
      </c>
      <c r="N3" s="1">
        <f>建筑各项能耗拆分!$B$18*建筑各项能耗拆分!N88</f>
        <v>0</v>
      </c>
      <c r="O3" s="1">
        <f>建筑各项能耗拆分!$B$18*建筑各项能耗拆分!O88</f>
        <v>0</v>
      </c>
      <c r="P3" s="1">
        <f>建筑各项能耗拆分!$B$18*建筑各项能耗拆分!P88</f>
        <v>0</v>
      </c>
      <c r="Q3" s="1">
        <f>建筑各项能耗拆分!$B$18*建筑各项能耗拆分!Q88</f>
        <v>0</v>
      </c>
      <c r="R3" s="1">
        <f>建筑各项能耗拆分!$B$18*建筑各项能耗拆分!R88</f>
        <v>0</v>
      </c>
      <c r="S3" s="1">
        <f>建筑各项能耗拆分!$B$18*建筑各项能耗拆分!S88</f>
        <v>0</v>
      </c>
      <c r="T3" s="1">
        <f>建筑各项能耗拆分!$B$18*建筑各项能耗拆分!T88</f>
        <v>0</v>
      </c>
      <c r="U3" s="1">
        <f>建筑各项能耗拆分!$B$18*建筑各项能耗拆分!U88</f>
        <v>0</v>
      </c>
      <c r="V3" s="1">
        <f>建筑各项能耗拆分!$B$18*建筑各项能耗拆分!V88</f>
        <v>0</v>
      </c>
      <c r="W3" s="1">
        <f>建筑各项能耗拆分!$B$18*建筑各项能耗拆分!W88</f>
        <v>0</v>
      </c>
      <c r="X3" s="1">
        <f>建筑各项能耗拆分!$B$18*建筑各项能耗拆分!X88</f>
        <v>0</v>
      </c>
      <c r="Y3" s="1">
        <f>建筑各项能耗拆分!$B$18*建筑各项能耗拆分!Y88</f>
        <v>0</v>
      </c>
      <c r="Z3" s="1">
        <f>建筑各项能耗拆分!$B$18*建筑各项能耗拆分!Z88</f>
        <v>0</v>
      </c>
      <c r="AA3" s="1">
        <f>建筑各项能耗拆分!$B$18*建筑各项能耗拆分!AA88</f>
        <v>0</v>
      </c>
      <c r="AB3" s="1">
        <f>建筑各项能耗拆分!$B$18*建筑各项能耗拆分!AB88</f>
        <v>0</v>
      </c>
      <c r="AC3" s="1">
        <f>建筑各项能耗拆分!$B$18*建筑各项能耗拆分!AC88</f>
        <v>0</v>
      </c>
      <c r="AD3" s="1">
        <f>建筑各项能耗拆分!$B$18*建筑各项能耗拆分!AD88</f>
        <v>0</v>
      </c>
      <c r="AE3" s="1">
        <f>建筑各项能耗拆分!$B$18*建筑各项能耗拆分!AE88</f>
        <v>0</v>
      </c>
      <c r="AF3" s="1">
        <f>建筑各项能耗拆分!$B$18*建筑各项能耗拆分!AF88</f>
        <v>0</v>
      </c>
      <c r="AG3" s="1">
        <f>建筑各项能耗拆分!$B$18*建筑各项能耗拆分!AG88</f>
        <v>0</v>
      </c>
      <c r="AH3" s="1">
        <f>建筑各项能耗拆分!$B$18*建筑各项能耗拆分!AH88</f>
        <v>0</v>
      </c>
      <c r="AI3" s="1">
        <f>建筑各项能耗拆分!$B$18*建筑各项能耗拆分!AI88</f>
        <v>0</v>
      </c>
      <c r="AJ3" s="1">
        <f>建筑各项能耗拆分!$B$18*建筑各项能耗拆分!AJ88</f>
        <v>0</v>
      </c>
      <c r="AK3" s="1">
        <f>建筑各项能耗拆分!$B$18*建筑各项能耗拆分!AK88</f>
        <v>0</v>
      </c>
      <c r="AL3" s="1">
        <f>建筑各项能耗拆分!$B$18*建筑各项能耗拆分!AL88</f>
        <v>0</v>
      </c>
      <c r="AM3" s="1">
        <f>建筑各项能耗拆分!$B$18*建筑各项能耗拆分!AM88</f>
        <v>0</v>
      </c>
      <c r="AN3" s="1">
        <f>建筑各项能耗拆分!$B$18*建筑各项能耗拆分!AN88</f>
        <v>0</v>
      </c>
      <c r="AO3" s="1">
        <f>建筑各项能耗拆分!$B$18*建筑各项能耗拆分!AO88</f>
        <v>0</v>
      </c>
      <c r="AP3" s="1">
        <f>建筑各项能耗拆分!$B$18*建筑各项能耗拆分!AP88</f>
        <v>0</v>
      </c>
      <c r="AQ3" s="1">
        <f>建筑各项能耗拆分!$B$18*建筑各项能耗拆分!AQ88</f>
        <v>0</v>
      </c>
      <c r="AR3" s="1">
        <f>建筑各项能耗拆分!$B$18*建筑各项能耗拆分!AR88</f>
        <v>0</v>
      </c>
    </row>
    <row r="4" spans="1:44">
      <c r="A4" t="s">
        <v>1111</v>
      </c>
      <c r="B4" s="1">
        <f>建筑各项能耗拆分!$B$18*建筑各项能耗拆分!B89</f>
        <v>1109287534884790</v>
      </c>
      <c r="C4" s="1">
        <f>建筑各项能耗拆分!$B$18*建筑各项能耗拆分!C89</f>
        <v>0</v>
      </c>
      <c r="D4" s="1">
        <f>建筑各项能耗拆分!$B$18*建筑各项能耗拆分!D89</f>
        <v>0</v>
      </c>
      <c r="E4" s="1">
        <f>建筑各项能耗拆分!$B$18*建筑各项能耗拆分!E89</f>
        <v>0</v>
      </c>
      <c r="F4" s="1">
        <f>建筑各项能耗拆分!$B$18*建筑各项能耗拆分!F89</f>
        <v>0</v>
      </c>
      <c r="G4" s="1">
        <f>建筑各项能耗拆分!$B$18*建筑各项能耗拆分!G89</f>
        <v>0</v>
      </c>
      <c r="H4" s="1">
        <f>建筑各项能耗拆分!$B$18*建筑各项能耗拆分!H89</f>
        <v>0</v>
      </c>
      <c r="I4" s="1">
        <f>建筑各项能耗拆分!$B$18*建筑各项能耗拆分!I89</f>
        <v>0</v>
      </c>
      <c r="J4" s="1">
        <f>建筑各项能耗拆分!$B$18*建筑各项能耗拆分!J89</f>
        <v>0</v>
      </c>
      <c r="K4" s="1">
        <f>建筑各项能耗拆分!$B$18*建筑各项能耗拆分!K89</f>
        <v>0</v>
      </c>
      <c r="L4" s="1">
        <f>建筑各项能耗拆分!$B$18*建筑各项能耗拆分!L89</f>
        <v>0</v>
      </c>
      <c r="M4" s="1">
        <f>建筑各项能耗拆分!$B$18*建筑各项能耗拆分!M89</f>
        <v>0</v>
      </c>
      <c r="N4" s="1">
        <f>建筑各项能耗拆分!$B$18*建筑各项能耗拆分!N89</f>
        <v>0</v>
      </c>
      <c r="O4" s="1">
        <f>建筑各项能耗拆分!$B$18*建筑各项能耗拆分!O89</f>
        <v>0</v>
      </c>
      <c r="P4" s="1">
        <f>建筑各项能耗拆分!$B$18*建筑各项能耗拆分!P89</f>
        <v>0</v>
      </c>
      <c r="Q4" s="1">
        <f>建筑各项能耗拆分!$B$18*建筑各项能耗拆分!Q89</f>
        <v>0</v>
      </c>
      <c r="R4" s="1">
        <f>建筑各项能耗拆分!$B$18*建筑各项能耗拆分!R89</f>
        <v>0</v>
      </c>
      <c r="S4" s="1">
        <f>建筑各项能耗拆分!$B$18*建筑各项能耗拆分!S89</f>
        <v>0</v>
      </c>
      <c r="T4" s="1">
        <f>建筑各项能耗拆分!$B$18*建筑各项能耗拆分!T89</f>
        <v>0</v>
      </c>
      <c r="U4" s="1">
        <f>建筑各项能耗拆分!$B$18*建筑各项能耗拆分!U89</f>
        <v>0</v>
      </c>
      <c r="V4" s="1">
        <f>建筑各项能耗拆分!$B$18*建筑各项能耗拆分!V89</f>
        <v>0</v>
      </c>
      <c r="W4" s="1">
        <f>建筑各项能耗拆分!$B$18*建筑各项能耗拆分!W89</f>
        <v>0</v>
      </c>
      <c r="X4" s="1">
        <f>建筑各项能耗拆分!$B$18*建筑各项能耗拆分!X89</f>
        <v>0</v>
      </c>
      <c r="Y4" s="1">
        <f>建筑各项能耗拆分!$B$18*建筑各项能耗拆分!Y89</f>
        <v>0</v>
      </c>
      <c r="Z4" s="1">
        <f>建筑各项能耗拆分!$B$18*建筑各项能耗拆分!Z89</f>
        <v>0</v>
      </c>
      <c r="AA4" s="1">
        <f>建筑各项能耗拆分!$B$18*建筑各项能耗拆分!AA89</f>
        <v>0</v>
      </c>
      <c r="AB4" s="1">
        <f>建筑各项能耗拆分!$B$18*建筑各项能耗拆分!AB89</f>
        <v>0</v>
      </c>
      <c r="AC4" s="1">
        <f>建筑各项能耗拆分!$B$18*建筑各项能耗拆分!AC89</f>
        <v>0</v>
      </c>
      <c r="AD4" s="1">
        <f>建筑各项能耗拆分!$B$18*建筑各项能耗拆分!AD89</f>
        <v>0</v>
      </c>
      <c r="AE4" s="1">
        <f>建筑各项能耗拆分!$B$18*建筑各项能耗拆分!AE89</f>
        <v>0</v>
      </c>
      <c r="AF4" s="1">
        <f>建筑各项能耗拆分!$B$18*建筑各项能耗拆分!AF89</f>
        <v>0</v>
      </c>
      <c r="AG4" s="1">
        <f>建筑各项能耗拆分!$B$18*建筑各项能耗拆分!AG89</f>
        <v>0</v>
      </c>
      <c r="AH4" s="1">
        <f>建筑各项能耗拆分!$B$18*建筑各项能耗拆分!AH89</f>
        <v>0</v>
      </c>
      <c r="AI4" s="1">
        <f>建筑各项能耗拆分!$B$18*建筑各项能耗拆分!AI89</f>
        <v>0</v>
      </c>
      <c r="AJ4" s="1">
        <f>建筑各项能耗拆分!$B$18*建筑各项能耗拆分!AJ89</f>
        <v>0</v>
      </c>
      <c r="AK4" s="1">
        <f>建筑各项能耗拆分!$B$18*建筑各项能耗拆分!AK89</f>
        <v>0</v>
      </c>
      <c r="AL4" s="1">
        <f>建筑各项能耗拆分!$B$18*建筑各项能耗拆分!AL89</f>
        <v>0</v>
      </c>
      <c r="AM4" s="1">
        <f>建筑各项能耗拆分!$B$18*建筑各项能耗拆分!AM89</f>
        <v>0</v>
      </c>
      <c r="AN4" s="1">
        <f>建筑各项能耗拆分!$B$18*建筑各项能耗拆分!AN89</f>
        <v>0</v>
      </c>
      <c r="AO4" s="1">
        <f>建筑各项能耗拆分!$B$18*建筑各项能耗拆分!AO89</f>
        <v>0</v>
      </c>
      <c r="AP4" s="1">
        <f>建筑各项能耗拆分!$B$18*建筑各项能耗拆分!AP89</f>
        <v>0</v>
      </c>
      <c r="AQ4" s="1">
        <f>建筑各项能耗拆分!$B$18*建筑各项能耗拆分!AQ89</f>
        <v>0</v>
      </c>
      <c r="AR4" s="1">
        <f>建筑各项能耗拆分!$B$18*建筑各项能耗拆分!AR89</f>
        <v>0</v>
      </c>
    </row>
    <row r="5" spans="1:44">
      <c r="A5" t="s">
        <v>1112</v>
      </c>
      <c r="B5" s="1">
        <f>建筑各项能耗拆分!$B$18*建筑各项能耗拆分!B90</f>
        <v>0</v>
      </c>
      <c r="C5" s="1">
        <f>建筑各项能耗拆分!$B$18*建筑各项能耗拆分!C90</f>
        <v>0</v>
      </c>
      <c r="D5" s="1">
        <f>建筑各项能耗拆分!$B$18*建筑各项能耗拆分!D90</f>
        <v>0</v>
      </c>
      <c r="E5" s="1">
        <f>建筑各项能耗拆分!$B$18*建筑各项能耗拆分!E90</f>
        <v>0</v>
      </c>
      <c r="F5" s="1">
        <f>建筑各项能耗拆分!$B$18*建筑各项能耗拆分!F90</f>
        <v>0</v>
      </c>
      <c r="G5" s="1">
        <f>建筑各项能耗拆分!$B$18*建筑各项能耗拆分!G90</f>
        <v>0</v>
      </c>
      <c r="H5" s="1">
        <f>建筑各项能耗拆分!$B$18*建筑各项能耗拆分!H90</f>
        <v>0</v>
      </c>
      <c r="I5" s="1">
        <f>建筑各项能耗拆分!$B$18*建筑各项能耗拆分!I90</f>
        <v>0</v>
      </c>
      <c r="J5" s="1">
        <f>建筑各项能耗拆分!$B$18*建筑各项能耗拆分!J90</f>
        <v>0</v>
      </c>
      <c r="K5" s="1">
        <f>建筑各项能耗拆分!$B$18*建筑各项能耗拆分!K90</f>
        <v>0</v>
      </c>
      <c r="L5" s="1">
        <f>建筑各项能耗拆分!$B$18*建筑各项能耗拆分!L90</f>
        <v>0</v>
      </c>
      <c r="M5" s="1">
        <f>建筑各项能耗拆分!$B$18*建筑各项能耗拆分!M90</f>
        <v>0</v>
      </c>
      <c r="N5" s="1">
        <f>建筑各项能耗拆分!$B$18*建筑各项能耗拆分!N90</f>
        <v>0</v>
      </c>
      <c r="O5" s="1">
        <f>建筑各项能耗拆分!$B$18*建筑各项能耗拆分!O90</f>
        <v>0</v>
      </c>
      <c r="P5" s="1">
        <f>建筑各项能耗拆分!$B$18*建筑各项能耗拆分!P90</f>
        <v>0</v>
      </c>
      <c r="Q5" s="1">
        <f>建筑各项能耗拆分!$B$18*建筑各项能耗拆分!Q90</f>
        <v>0</v>
      </c>
      <c r="R5" s="1">
        <f>建筑各项能耗拆分!$B$18*建筑各项能耗拆分!R90</f>
        <v>0</v>
      </c>
      <c r="S5" s="1">
        <f>建筑各项能耗拆分!$B$18*建筑各项能耗拆分!S90</f>
        <v>0</v>
      </c>
      <c r="T5" s="1">
        <f>建筑各项能耗拆分!$B$18*建筑各项能耗拆分!T90</f>
        <v>0</v>
      </c>
      <c r="U5" s="1">
        <f>建筑各项能耗拆分!$B$18*建筑各项能耗拆分!U90</f>
        <v>0</v>
      </c>
      <c r="V5" s="1">
        <f>建筑各项能耗拆分!$B$18*建筑各项能耗拆分!V90</f>
        <v>0</v>
      </c>
      <c r="W5" s="1">
        <f>建筑各项能耗拆分!$B$18*建筑各项能耗拆分!W90</f>
        <v>0</v>
      </c>
      <c r="X5" s="1">
        <f>建筑各项能耗拆分!$B$18*建筑各项能耗拆分!X90</f>
        <v>0</v>
      </c>
      <c r="Y5" s="1">
        <f>建筑各项能耗拆分!$B$18*建筑各项能耗拆分!Y90</f>
        <v>0</v>
      </c>
      <c r="Z5" s="1">
        <f>建筑各项能耗拆分!$B$18*建筑各项能耗拆分!Z90</f>
        <v>0</v>
      </c>
      <c r="AA5" s="1">
        <f>建筑各项能耗拆分!$B$18*建筑各项能耗拆分!AA90</f>
        <v>0</v>
      </c>
      <c r="AB5" s="1">
        <f>建筑各项能耗拆分!$B$18*建筑各项能耗拆分!AB90</f>
        <v>0</v>
      </c>
      <c r="AC5" s="1">
        <f>建筑各项能耗拆分!$B$18*建筑各项能耗拆分!AC90</f>
        <v>0</v>
      </c>
      <c r="AD5" s="1">
        <f>建筑各项能耗拆分!$B$18*建筑各项能耗拆分!AD90</f>
        <v>0</v>
      </c>
      <c r="AE5" s="1">
        <f>建筑各项能耗拆分!$B$18*建筑各项能耗拆分!AE90</f>
        <v>0</v>
      </c>
      <c r="AF5" s="1">
        <f>建筑各项能耗拆分!$B$18*建筑各项能耗拆分!AF90</f>
        <v>0</v>
      </c>
      <c r="AG5" s="1">
        <f>建筑各项能耗拆分!$B$18*建筑各项能耗拆分!AG90</f>
        <v>0</v>
      </c>
      <c r="AH5" s="1">
        <f>建筑各项能耗拆分!$B$18*建筑各项能耗拆分!AH90</f>
        <v>0</v>
      </c>
      <c r="AI5" s="1">
        <f>建筑各项能耗拆分!$B$18*建筑各项能耗拆分!AI90</f>
        <v>0</v>
      </c>
      <c r="AJ5" s="1">
        <f>建筑各项能耗拆分!$B$18*建筑各项能耗拆分!AJ90</f>
        <v>0</v>
      </c>
      <c r="AK5" s="1">
        <f>建筑各项能耗拆分!$B$18*建筑各项能耗拆分!AK90</f>
        <v>0</v>
      </c>
      <c r="AL5" s="1">
        <f>建筑各项能耗拆分!$B$18*建筑各项能耗拆分!AL90</f>
        <v>0</v>
      </c>
      <c r="AM5" s="1">
        <f>建筑各项能耗拆分!$B$18*建筑各项能耗拆分!AM90</f>
        <v>0</v>
      </c>
      <c r="AN5" s="1">
        <f>建筑各项能耗拆分!$B$18*建筑各项能耗拆分!AN90</f>
        <v>0</v>
      </c>
      <c r="AO5" s="1">
        <f>建筑各项能耗拆分!$B$18*建筑各项能耗拆分!AO90</f>
        <v>0</v>
      </c>
      <c r="AP5" s="1">
        <f>建筑各项能耗拆分!$B$18*建筑各项能耗拆分!AP90</f>
        <v>0</v>
      </c>
      <c r="AQ5" s="1">
        <f>建筑各项能耗拆分!$B$18*建筑各项能耗拆分!AQ90</f>
        <v>0</v>
      </c>
      <c r="AR5" s="1">
        <f>建筑各项能耗拆分!$B$18*建筑各项能耗拆分!AR90</f>
        <v>0</v>
      </c>
    </row>
    <row r="6" spans="1:44">
      <c r="A6" t="s">
        <v>1113</v>
      </c>
      <c r="B6" s="1">
        <f>建筑各项能耗拆分!$B$18*建筑各项能耗拆分!B91</f>
        <v>0</v>
      </c>
      <c r="C6" s="1">
        <f>建筑各项能耗拆分!$B$18*建筑各项能耗拆分!C91</f>
        <v>0</v>
      </c>
      <c r="D6" s="1">
        <f>建筑各项能耗拆分!$B$18*建筑各项能耗拆分!D91</f>
        <v>0</v>
      </c>
      <c r="E6" s="1">
        <f>建筑各项能耗拆分!$B$18*建筑各项能耗拆分!E91</f>
        <v>0</v>
      </c>
      <c r="F6" s="1">
        <f>建筑各项能耗拆分!$B$18*建筑各项能耗拆分!F91</f>
        <v>0</v>
      </c>
      <c r="G6" s="1">
        <f>建筑各项能耗拆分!$B$18*建筑各项能耗拆分!G91</f>
        <v>0</v>
      </c>
      <c r="H6" s="1">
        <f>建筑各项能耗拆分!$B$18*建筑各项能耗拆分!H91</f>
        <v>0</v>
      </c>
      <c r="I6" s="1">
        <f>建筑各项能耗拆分!$B$18*建筑各项能耗拆分!I91</f>
        <v>0</v>
      </c>
      <c r="J6" s="1">
        <f>建筑各项能耗拆分!$B$18*建筑各项能耗拆分!J91</f>
        <v>0</v>
      </c>
      <c r="K6" s="1">
        <f>建筑各项能耗拆分!$B$18*建筑各项能耗拆分!K91</f>
        <v>0</v>
      </c>
      <c r="L6" s="1">
        <f>建筑各项能耗拆分!$B$18*建筑各项能耗拆分!L91</f>
        <v>0</v>
      </c>
      <c r="M6" s="1">
        <f>建筑各项能耗拆分!$B$18*建筑各项能耗拆分!M91</f>
        <v>0</v>
      </c>
      <c r="N6" s="1">
        <f>建筑各项能耗拆分!$B$18*建筑各项能耗拆分!N91</f>
        <v>0</v>
      </c>
      <c r="O6" s="1">
        <f>建筑各项能耗拆分!$B$18*建筑各项能耗拆分!O91</f>
        <v>0</v>
      </c>
      <c r="P6" s="1">
        <f>建筑各项能耗拆分!$B$18*建筑各项能耗拆分!P91</f>
        <v>0</v>
      </c>
      <c r="Q6" s="1">
        <f>建筑各项能耗拆分!$B$18*建筑各项能耗拆分!Q91</f>
        <v>0</v>
      </c>
      <c r="R6" s="1">
        <f>建筑各项能耗拆分!$B$18*建筑各项能耗拆分!R91</f>
        <v>0</v>
      </c>
      <c r="S6" s="1">
        <f>建筑各项能耗拆分!$B$18*建筑各项能耗拆分!S91</f>
        <v>0</v>
      </c>
      <c r="T6" s="1">
        <f>建筑各项能耗拆分!$B$18*建筑各项能耗拆分!T91</f>
        <v>0</v>
      </c>
      <c r="U6" s="1">
        <f>建筑各项能耗拆分!$B$18*建筑各项能耗拆分!U91</f>
        <v>0</v>
      </c>
      <c r="V6" s="1">
        <f>建筑各项能耗拆分!$B$18*建筑各项能耗拆分!V91</f>
        <v>0</v>
      </c>
      <c r="W6" s="1">
        <f>建筑各项能耗拆分!$B$18*建筑各项能耗拆分!W91</f>
        <v>0</v>
      </c>
      <c r="X6" s="1">
        <f>建筑各项能耗拆分!$B$18*建筑各项能耗拆分!X91</f>
        <v>0</v>
      </c>
      <c r="Y6" s="1">
        <f>建筑各项能耗拆分!$B$18*建筑各项能耗拆分!Y91</f>
        <v>0</v>
      </c>
      <c r="Z6" s="1">
        <f>建筑各项能耗拆分!$B$18*建筑各项能耗拆分!Z91</f>
        <v>0</v>
      </c>
      <c r="AA6" s="1">
        <f>建筑各项能耗拆分!$B$18*建筑各项能耗拆分!AA91</f>
        <v>0</v>
      </c>
      <c r="AB6" s="1">
        <f>建筑各项能耗拆分!$B$18*建筑各项能耗拆分!AB91</f>
        <v>0</v>
      </c>
      <c r="AC6" s="1">
        <f>建筑各项能耗拆分!$B$18*建筑各项能耗拆分!AC91</f>
        <v>0</v>
      </c>
      <c r="AD6" s="1">
        <f>建筑各项能耗拆分!$B$18*建筑各项能耗拆分!AD91</f>
        <v>0</v>
      </c>
      <c r="AE6" s="1">
        <f>建筑各项能耗拆分!$B$18*建筑各项能耗拆分!AE91</f>
        <v>0</v>
      </c>
      <c r="AF6" s="1">
        <f>建筑各项能耗拆分!$B$18*建筑各项能耗拆分!AF91</f>
        <v>0</v>
      </c>
      <c r="AG6" s="1">
        <f>建筑各项能耗拆分!$B$18*建筑各项能耗拆分!AG91</f>
        <v>0</v>
      </c>
      <c r="AH6" s="1">
        <f>建筑各项能耗拆分!$B$18*建筑各项能耗拆分!AH91</f>
        <v>0</v>
      </c>
      <c r="AI6" s="1">
        <f>建筑各项能耗拆分!$B$18*建筑各项能耗拆分!AI91</f>
        <v>0</v>
      </c>
      <c r="AJ6" s="1">
        <f>建筑各项能耗拆分!$B$18*建筑各项能耗拆分!AJ91</f>
        <v>0</v>
      </c>
      <c r="AK6" s="1">
        <f>建筑各项能耗拆分!$B$18*建筑各项能耗拆分!AK91</f>
        <v>0</v>
      </c>
      <c r="AL6" s="1">
        <f>建筑各项能耗拆分!$B$18*建筑各项能耗拆分!AL91</f>
        <v>0</v>
      </c>
      <c r="AM6" s="1">
        <f>建筑各项能耗拆分!$B$18*建筑各项能耗拆分!AM91</f>
        <v>0</v>
      </c>
      <c r="AN6" s="1">
        <f>建筑各项能耗拆分!$B$18*建筑各项能耗拆分!AN91</f>
        <v>0</v>
      </c>
      <c r="AO6" s="1">
        <f>建筑各项能耗拆分!$B$18*建筑各项能耗拆分!AO91</f>
        <v>0</v>
      </c>
      <c r="AP6" s="1">
        <f>建筑各项能耗拆分!$B$18*建筑各项能耗拆分!AP91</f>
        <v>0</v>
      </c>
      <c r="AQ6" s="1">
        <f>建筑各项能耗拆分!$B$18*建筑各项能耗拆分!AQ91</f>
        <v>0</v>
      </c>
      <c r="AR6" s="1">
        <f>建筑各项能耗拆分!$B$18*建筑各项能耗拆分!AR91</f>
        <v>0</v>
      </c>
    </row>
    <row r="7" spans="1:44">
      <c r="A7" t="s">
        <v>1114</v>
      </c>
      <c r="B7" s="1">
        <f>建筑各项能耗拆分!$B$18*建筑各项能耗拆分!B92</f>
        <v>14399013478129.8</v>
      </c>
      <c r="C7" s="1">
        <f>建筑各项能耗拆分!$B$18*建筑各项能耗拆分!C92</f>
        <v>0</v>
      </c>
      <c r="D7" s="1">
        <f>建筑各项能耗拆分!$B$18*建筑各项能耗拆分!D92</f>
        <v>0</v>
      </c>
      <c r="E7" s="1">
        <f>建筑各项能耗拆分!$B$18*建筑各项能耗拆分!E92</f>
        <v>0</v>
      </c>
      <c r="F7" s="1">
        <f>建筑各项能耗拆分!$B$18*建筑各项能耗拆分!F92</f>
        <v>0</v>
      </c>
      <c r="G7" s="1">
        <f>建筑各项能耗拆分!$B$18*建筑各项能耗拆分!G92</f>
        <v>0</v>
      </c>
      <c r="H7" s="1">
        <f>建筑各项能耗拆分!$B$18*建筑各项能耗拆分!H92</f>
        <v>0</v>
      </c>
      <c r="I7" s="1">
        <f>建筑各项能耗拆分!$B$18*建筑各项能耗拆分!I92</f>
        <v>0</v>
      </c>
      <c r="J7" s="1">
        <f>建筑各项能耗拆分!$B$18*建筑各项能耗拆分!J92</f>
        <v>0</v>
      </c>
      <c r="K7" s="1">
        <f>建筑各项能耗拆分!$B$18*建筑各项能耗拆分!K92</f>
        <v>0</v>
      </c>
      <c r="L7" s="1">
        <f>建筑各项能耗拆分!$B$18*建筑各项能耗拆分!L92</f>
        <v>0</v>
      </c>
      <c r="M7" s="1">
        <f>建筑各项能耗拆分!$B$18*建筑各项能耗拆分!M92</f>
        <v>0</v>
      </c>
      <c r="N7" s="1">
        <f>建筑各项能耗拆分!$B$18*建筑各项能耗拆分!N92</f>
        <v>0</v>
      </c>
      <c r="O7" s="1">
        <f>建筑各项能耗拆分!$B$18*建筑各项能耗拆分!O92</f>
        <v>0</v>
      </c>
      <c r="P7" s="1">
        <f>建筑各项能耗拆分!$B$18*建筑各项能耗拆分!P92</f>
        <v>0</v>
      </c>
      <c r="Q7" s="1">
        <f>建筑各项能耗拆分!$B$18*建筑各项能耗拆分!Q92</f>
        <v>0</v>
      </c>
      <c r="R7" s="1">
        <f>建筑各项能耗拆分!$B$18*建筑各项能耗拆分!R92</f>
        <v>0</v>
      </c>
      <c r="S7" s="1">
        <f>建筑各项能耗拆分!$B$18*建筑各项能耗拆分!S92</f>
        <v>0</v>
      </c>
      <c r="T7" s="1">
        <f>建筑各项能耗拆分!$B$18*建筑各项能耗拆分!T92</f>
        <v>0</v>
      </c>
      <c r="U7" s="1">
        <f>建筑各项能耗拆分!$B$18*建筑各项能耗拆分!U92</f>
        <v>0</v>
      </c>
      <c r="V7" s="1">
        <f>建筑各项能耗拆分!$B$18*建筑各项能耗拆分!V92</f>
        <v>0</v>
      </c>
      <c r="W7" s="1">
        <f>建筑各项能耗拆分!$B$18*建筑各项能耗拆分!W92</f>
        <v>0</v>
      </c>
      <c r="X7" s="1">
        <f>建筑各项能耗拆分!$B$18*建筑各项能耗拆分!X92</f>
        <v>0</v>
      </c>
      <c r="Y7" s="1">
        <f>建筑各项能耗拆分!$B$18*建筑各项能耗拆分!Y92</f>
        <v>0</v>
      </c>
      <c r="Z7" s="1">
        <f>建筑各项能耗拆分!$B$18*建筑各项能耗拆分!Z92</f>
        <v>0</v>
      </c>
      <c r="AA7" s="1">
        <f>建筑各项能耗拆分!$B$18*建筑各项能耗拆分!AA92</f>
        <v>0</v>
      </c>
      <c r="AB7" s="1">
        <f>建筑各项能耗拆分!$B$18*建筑各项能耗拆分!AB92</f>
        <v>0</v>
      </c>
      <c r="AC7" s="1">
        <f>建筑各项能耗拆分!$B$18*建筑各项能耗拆分!AC92</f>
        <v>0</v>
      </c>
      <c r="AD7" s="1">
        <f>建筑各项能耗拆分!$B$18*建筑各项能耗拆分!AD92</f>
        <v>0</v>
      </c>
      <c r="AE7" s="1">
        <f>建筑各项能耗拆分!$B$18*建筑各项能耗拆分!AE92</f>
        <v>0</v>
      </c>
      <c r="AF7" s="1">
        <f>建筑各项能耗拆分!$B$18*建筑各项能耗拆分!AF92</f>
        <v>0</v>
      </c>
      <c r="AG7" s="1">
        <f>建筑各项能耗拆分!$B$18*建筑各项能耗拆分!AG92</f>
        <v>0</v>
      </c>
      <c r="AH7" s="1">
        <f>建筑各项能耗拆分!$B$18*建筑各项能耗拆分!AH92</f>
        <v>0</v>
      </c>
      <c r="AI7" s="1">
        <f>建筑各项能耗拆分!$B$18*建筑各项能耗拆分!AI92</f>
        <v>0</v>
      </c>
      <c r="AJ7" s="1">
        <f>建筑各项能耗拆分!$B$18*建筑各项能耗拆分!AJ92</f>
        <v>0</v>
      </c>
      <c r="AK7" s="1">
        <f>建筑各项能耗拆分!$B$18*建筑各项能耗拆分!AK92</f>
        <v>0</v>
      </c>
      <c r="AL7" s="1">
        <f>建筑各项能耗拆分!$B$18*建筑各项能耗拆分!AL92</f>
        <v>0</v>
      </c>
      <c r="AM7" s="1">
        <f>建筑各项能耗拆分!$B$18*建筑各项能耗拆分!AM92</f>
        <v>0</v>
      </c>
      <c r="AN7" s="1">
        <f>建筑各项能耗拆分!$B$18*建筑各项能耗拆分!AN92</f>
        <v>0</v>
      </c>
      <c r="AO7" s="1">
        <f>建筑各项能耗拆分!$B$18*建筑各项能耗拆分!AO92</f>
        <v>0</v>
      </c>
      <c r="AP7" s="1">
        <f>建筑各项能耗拆分!$B$18*建筑各项能耗拆分!AP92</f>
        <v>0</v>
      </c>
      <c r="AQ7" s="1">
        <f>建筑各项能耗拆分!$B$18*建筑各项能耗拆分!AQ92</f>
        <v>0</v>
      </c>
      <c r="AR7" s="1">
        <f>建筑各项能耗拆分!$B$18*建筑各项能耗拆分!AR92</f>
        <v>0</v>
      </c>
    </row>
    <row r="8" spans="1:44">
      <c r="A8" t="s">
        <v>1115</v>
      </c>
      <c r="B8" s="1">
        <f>建筑各项能耗拆分!$B$18*建筑各项能耗拆分!B93</f>
        <v>0</v>
      </c>
      <c r="C8" s="1">
        <f>建筑各项能耗拆分!$B$18*建筑各项能耗拆分!C93</f>
        <v>0</v>
      </c>
      <c r="D8" s="1">
        <f>建筑各项能耗拆分!$B$18*建筑各项能耗拆分!D93</f>
        <v>0</v>
      </c>
      <c r="E8" s="1">
        <f>建筑各项能耗拆分!$B$18*建筑各项能耗拆分!E93</f>
        <v>0</v>
      </c>
      <c r="F8" s="1">
        <f>建筑各项能耗拆分!$B$18*建筑各项能耗拆分!F93</f>
        <v>0</v>
      </c>
      <c r="G8" s="1">
        <f>建筑各项能耗拆分!$B$18*建筑各项能耗拆分!G93</f>
        <v>0</v>
      </c>
      <c r="H8" s="1">
        <f>建筑各项能耗拆分!$B$18*建筑各项能耗拆分!H93</f>
        <v>0</v>
      </c>
      <c r="I8" s="1">
        <f>建筑各项能耗拆分!$B$18*建筑各项能耗拆分!I93</f>
        <v>0</v>
      </c>
      <c r="J8" s="1">
        <f>建筑各项能耗拆分!$B$18*建筑各项能耗拆分!J93</f>
        <v>0</v>
      </c>
      <c r="K8" s="1">
        <f>建筑各项能耗拆分!$B$18*建筑各项能耗拆分!K93</f>
        <v>0</v>
      </c>
      <c r="L8" s="1">
        <f>建筑各项能耗拆分!$B$18*建筑各项能耗拆分!L93</f>
        <v>0</v>
      </c>
      <c r="M8" s="1">
        <f>建筑各项能耗拆分!$B$18*建筑各项能耗拆分!M93</f>
        <v>0</v>
      </c>
      <c r="N8" s="1">
        <f>建筑各项能耗拆分!$B$18*建筑各项能耗拆分!N93</f>
        <v>0</v>
      </c>
      <c r="O8" s="1">
        <f>建筑各项能耗拆分!$B$18*建筑各项能耗拆分!O93</f>
        <v>0</v>
      </c>
      <c r="P8" s="1">
        <f>建筑各项能耗拆分!$B$18*建筑各项能耗拆分!P93</f>
        <v>0</v>
      </c>
      <c r="Q8" s="1">
        <f>建筑各项能耗拆分!$B$18*建筑各项能耗拆分!Q93</f>
        <v>0</v>
      </c>
      <c r="R8" s="1">
        <f>建筑各项能耗拆分!$B$18*建筑各项能耗拆分!R93</f>
        <v>0</v>
      </c>
      <c r="S8" s="1">
        <f>建筑各项能耗拆分!$B$18*建筑各项能耗拆分!S93</f>
        <v>0</v>
      </c>
      <c r="T8" s="1">
        <f>建筑各项能耗拆分!$B$18*建筑各项能耗拆分!T93</f>
        <v>0</v>
      </c>
      <c r="U8" s="1">
        <f>建筑各项能耗拆分!$B$18*建筑各项能耗拆分!U93</f>
        <v>0</v>
      </c>
      <c r="V8" s="1">
        <f>建筑各项能耗拆分!$B$18*建筑各项能耗拆分!V93</f>
        <v>0</v>
      </c>
      <c r="W8" s="1">
        <f>建筑各项能耗拆分!$B$18*建筑各项能耗拆分!W93</f>
        <v>0</v>
      </c>
      <c r="X8" s="1">
        <f>建筑各项能耗拆分!$B$18*建筑各项能耗拆分!X93</f>
        <v>0</v>
      </c>
      <c r="Y8" s="1">
        <f>建筑各项能耗拆分!$B$18*建筑各项能耗拆分!Y93</f>
        <v>0</v>
      </c>
      <c r="Z8" s="1">
        <f>建筑各项能耗拆分!$B$18*建筑各项能耗拆分!Z93</f>
        <v>0</v>
      </c>
      <c r="AA8" s="1">
        <f>建筑各项能耗拆分!$B$18*建筑各项能耗拆分!AA93</f>
        <v>0</v>
      </c>
      <c r="AB8" s="1">
        <f>建筑各项能耗拆分!$B$18*建筑各项能耗拆分!AB93</f>
        <v>0</v>
      </c>
      <c r="AC8" s="1">
        <f>建筑各项能耗拆分!$B$18*建筑各项能耗拆分!AC93</f>
        <v>0</v>
      </c>
      <c r="AD8" s="1">
        <f>建筑各项能耗拆分!$B$18*建筑各项能耗拆分!AD93</f>
        <v>0</v>
      </c>
      <c r="AE8" s="1">
        <f>建筑各项能耗拆分!$B$18*建筑各项能耗拆分!AE93</f>
        <v>0</v>
      </c>
      <c r="AF8" s="1">
        <f>建筑各项能耗拆分!$B$18*建筑各项能耗拆分!AF93</f>
        <v>0</v>
      </c>
      <c r="AG8" s="1">
        <f>建筑各项能耗拆分!$B$18*建筑各项能耗拆分!AG93</f>
        <v>0</v>
      </c>
      <c r="AH8" s="1">
        <f>建筑各项能耗拆分!$B$18*建筑各项能耗拆分!AH93</f>
        <v>0</v>
      </c>
      <c r="AI8" s="1">
        <f>建筑各项能耗拆分!$B$18*建筑各项能耗拆分!AI93</f>
        <v>0</v>
      </c>
      <c r="AJ8" s="1">
        <f>建筑各项能耗拆分!$B$18*建筑各项能耗拆分!AJ93</f>
        <v>0</v>
      </c>
      <c r="AK8" s="1">
        <f>建筑各项能耗拆分!$B$18*建筑各项能耗拆分!AK93</f>
        <v>0</v>
      </c>
      <c r="AL8" s="1">
        <f>建筑各项能耗拆分!$B$18*建筑各项能耗拆分!AL93</f>
        <v>0</v>
      </c>
      <c r="AM8" s="1">
        <f>建筑各项能耗拆分!$B$18*建筑各项能耗拆分!AM93</f>
        <v>0</v>
      </c>
      <c r="AN8" s="1">
        <f>建筑各项能耗拆分!$B$18*建筑各项能耗拆分!AN93</f>
        <v>0</v>
      </c>
      <c r="AO8" s="1">
        <f>建筑各项能耗拆分!$B$18*建筑各项能耗拆分!AO93</f>
        <v>0</v>
      </c>
      <c r="AP8" s="1">
        <f>建筑各项能耗拆分!$B$18*建筑各项能耗拆分!AP93</f>
        <v>0</v>
      </c>
      <c r="AQ8" s="1">
        <f>建筑各项能耗拆分!$B$18*建筑各项能耗拆分!AQ93</f>
        <v>0</v>
      </c>
      <c r="AR8" s="1">
        <f>建筑各项能耗拆分!$B$18*建筑各项能耗拆分!AR93</f>
        <v>0</v>
      </c>
    </row>
    <row r="9" spans="1:44">
      <c r="A9" t="s">
        <v>1116</v>
      </c>
      <c r="B9" s="1">
        <f>建筑各项能耗拆分!$B$18*建筑各项能耗拆分!B94</f>
        <v>0</v>
      </c>
      <c r="C9" s="1">
        <f>建筑各项能耗拆分!$B$18*建筑各项能耗拆分!C94</f>
        <v>0</v>
      </c>
      <c r="D9" s="1">
        <f>建筑各项能耗拆分!$B$18*建筑各项能耗拆分!D94</f>
        <v>0</v>
      </c>
      <c r="E9" s="1">
        <f>建筑各项能耗拆分!$B$18*建筑各项能耗拆分!E94</f>
        <v>0</v>
      </c>
      <c r="F9" s="1">
        <f>建筑各项能耗拆分!$B$18*建筑各项能耗拆分!F94</f>
        <v>0</v>
      </c>
      <c r="G9" s="1">
        <f>建筑各项能耗拆分!$B$18*建筑各项能耗拆分!G94</f>
        <v>0</v>
      </c>
      <c r="H9" s="1">
        <f>建筑各项能耗拆分!$B$18*建筑各项能耗拆分!H94</f>
        <v>0</v>
      </c>
      <c r="I9" s="1">
        <f>建筑各项能耗拆分!$B$18*建筑各项能耗拆分!I94</f>
        <v>0</v>
      </c>
      <c r="J9" s="1">
        <f>建筑各项能耗拆分!$B$18*建筑各项能耗拆分!J94</f>
        <v>0</v>
      </c>
      <c r="K9" s="1">
        <f>建筑各项能耗拆分!$B$18*建筑各项能耗拆分!K94</f>
        <v>0</v>
      </c>
      <c r="L9" s="1">
        <f>建筑各项能耗拆分!$B$18*建筑各项能耗拆分!L94</f>
        <v>0</v>
      </c>
      <c r="M9" s="1">
        <f>建筑各项能耗拆分!$B$18*建筑各项能耗拆分!M94</f>
        <v>0</v>
      </c>
      <c r="N9" s="1">
        <f>建筑各项能耗拆分!$B$18*建筑各项能耗拆分!N94</f>
        <v>0</v>
      </c>
      <c r="O9" s="1">
        <f>建筑各项能耗拆分!$B$18*建筑各项能耗拆分!O94</f>
        <v>0</v>
      </c>
      <c r="P9" s="1">
        <f>建筑各项能耗拆分!$B$18*建筑各项能耗拆分!P94</f>
        <v>0</v>
      </c>
      <c r="Q9" s="1">
        <f>建筑各项能耗拆分!$B$18*建筑各项能耗拆分!Q94</f>
        <v>0</v>
      </c>
      <c r="R9" s="1">
        <f>建筑各项能耗拆分!$B$18*建筑各项能耗拆分!R94</f>
        <v>0</v>
      </c>
      <c r="S9" s="1">
        <f>建筑各项能耗拆分!$B$18*建筑各项能耗拆分!S94</f>
        <v>0</v>
      </c>
      <c r="T9" s="1">
        <f>建筑各项能耗拆分!$B$18*建筑各项能耗拆分!T94</f>
        <v>0</v>
      </c>
      <c r="U9" s="1">
        <f>建筑各项能耗拆分!$B$18*建筑各项能耗拆分!U94</f>
        <v>0</v>
      </c>
      <c r="V9" s="1">
        <f>建筑各项能耗拆分!$B$18*建筑各项能耗拆分!V94</f>
        <v>0</v>
      </c>
      <c r="W9" s="1">
        <f>建筑各项能耗拆分!$B$18*建筑各项能耗拆分!W94</f>
        <v>0</v>
      </c>
      <c r="X9" s="1">
        <f>建筑各项能耗拆分!$B$18*建筑各项能耗拆分!X94</f>
        <v>0</v>
      </c>
      <c r="Y9" s="1">
        <f>建筑各项能耗拆分!$B$18*建筑各项能耗拆分!Y94</f>
        <v>0</v>
      </c>
      <c r="Z9" s="1">
        <f>建筑各项能耗拆分!$B$18*建筑各项能耗拆分!Z94</f>
        <v>0</v>
      </c>
      <c r="AA9" s="1">
        <f>建筑各项能耗拆分!$B$18*建筑各项能耗拆分!AA94</f>
        <v>0</v>
      </c>
      <c r="AB9" s="1">
        <f>建筑各项能耗拆分!$B$18*建筑各项能耗拆分!AB94</f>
        <v>0</v>
      </c>
      <c r="AC9" s="1">
        <f>建筑各项能耗拆分!$B$18*建筑各项能耗拆分!AC94</f>
        <v>0</v>
      </c>
      <c r="AD9" s="1">
        <f>建筑各项能耗拆分!$B$18*建筑各项能耗拆分!AD94</f>
        <v>0</v>
      </c>
      <c r="AE9" s="1">
        <f>建筑各项能耗拆分!$B$18*建筑各项能耗拆分!AE94</f>
        <v>0</v>
      </c>
      <c r="AF9" s="1">
        <f>建筑各项能耗拆分!$B$18*建筑各项能耗拆分!AF94</f>
        <v>0</v>
      </c>
      <c r="AG9" s="1">
        <f>建筑各项能耗拆分!$B$18*建筑各项能耗拆分!AG94</f>
        <v>0</v>
      </c>
      <c r="AH9" s="1">
        <f>建筑各项能耗拆分!$B$18*建筑各项能耗拆分!AH94</f>
        <v>0</v>
      </c>
      <c r="AI9" s="1">
        <f>建筑各项能耗拆分!$B$18*建筑各项能耗拆分!AI94</f>
        <v>0</v>
      </c>
      <c r="AJ9" s="1">
        <f>建筑各项能耗拆分!$B$18*建筑各项能耗拆分!AJ94</f>
        <v>0</v>
      </c>
      <c r="AK9" s="1">
        <f>建筑各项能耗拆分!$B$18*建筑各项能耗拆分!AK94</f>
        <v>0</v>
      </c>
      <c r="AL9" s="1">
        <f>建筑各项能耗拆分!$B$18*建筑各项能耗拆分!AL94</f>
        <v>0</v>
      </c>
      <c r="AM9" s="1">
        <f>建筑各项能耗拆分!$B$18*建筑各项能耗拆分!AM94</f>
        <v>0</v>
      </c>
      <c r="AN9" s="1">
        <f>建筑各项能耗拆分!$B$18*建筑各项能耗拆分!AN94</f>
        <v>0</v>
      </c>
      <c r="AO9" s="1">
        <f>建筑各项能耗拆分!$B$18*建筑各项能耗拆分!AO94</f>
        <v>0</v>
      </c>
      <c r="AP9" s="1">
        <f>建筑各项能耗拆分!$B$18*建筑各项能耗拆分!AP94</f>
        <v>0</v>
      </c>
      <c r="AQ9" s="1">
        <f>建筑各项能耗拆分!$B$18*建筑各项能耗拆分!AQ94</f>
        <v>0</v>
      </c>
      <c r="AR9" s="1">
        <f>建筑各项能耗拆分!$B$18*建筑各项能耗拆分!AR94</f>
        <v>0</v>
      </c>
    </row>
    <row r="10" spans="1:44">
      <c r="A10" t="s">
        <v>1117</v>
      </c>
      <c r="B10" s="1">
        <f>建筑各项能耗拆分!$B$18*建筑各项能耗拆分!B95</f>
        <v>625631206863719</v>
      </c>
      <c r="C10" s="1">
        <f>建筑各项能耗拆分!$B$18*建筑各项能耗拆分!C95</f>
        <v>0</v>
      </c>
      <c r="D10" s="1">
        <f>建筑各项能耗拆分!$B$18*建筑各项能耗拆分!D95</f>
        <v>0</v>
      </c>
      <c r="E10" s="1">
        <f>建筑各项能耗拆分!$B$18*建筑各项能耗拆分!E95</f>
        <v>0</v>
      </c>
      <c r="F10" s="1">
        <f>建筑各项能耗拆分!$B$18*建筑各项能耗拆分!F95</f>
        <v>0</v>
      </c>
      <c r="G10" s="1">
        <f>建筑各项能耗拆分!$B$18*建筑各项能耗拆分!G95</f>
        <v>0</v>
      </c>
      <c r="H10" s="1">
        <f>建筑各项能耗拆分!$B$18*建筑各项能耗拆分!H95</f>
        <v>0</v>
      </c>
      <c r="I10" s="1">
        <f>建筑各项能耗拆分!$B$18*建筑各项能耗拆分!I95</f>
        <v>0</v>
      </c>
      <c r="J10" s="1">
        <f>建筑各项能耗拆分!$B$18*建筑各项能耗拆分!J95</f>
        <v>0</v>
      </c>
      <c r="K10" s="1">
        <f>建筑各项能耗拆分!$B$18*建筑各项能耗拆分!K95</f>
        <v>0</v>
      </c>
      <c r="L10" s="1">
        <f>建筑各项能耗拆分!$B$18*建筑各项能耗拆分!L95</f>
        <v>0</v>
      </c>
      <c r="M10" s="1">
        <f>建筑各项能耗拆分!$B$18*建筑各项能耗拆分!M95</f>
        <v>0</v>
      </c>
      <c r="N10" s="1">
        <f>建筑各项能耗拆分!$B$18*建筑各项能耗拆分!N95</f>
        <v>0</v>
      </c>
      <c r="O10" s="1">
        <f>建筑各项能耗拆分!$B$18*建筑各项能耗拆分!O95</f>
        <v>0</v>
      </c>
      <c r="P10" s="1">
        <f>建筑各项能耗拆分!$B$18*建筑各项能耗拆分!P95</f>
        <v>0</v>
      </c>
      <c r="Q10" s="1">
        <f>建筑各项能耗拆分!$B$18*建筑各项能耗拆分!Q95</f>
        <v>0</v>
      </c>
      <c r="R10" s="1">
        <f>建筑各项能耗拆分!$B$18*建筑各项能耗拆分!R95</f>
        <v>0</v>
      </c>
      <c r="S10" s="1">
        <f>建筑各项能耗拆分!$B$18*建筑各项能耗拆分!S95</f>
        <v>0</v>
      </c>
      <c r="T10" s="1">
        <f>建筑各项能耗拆分!$B$18*建筑各项能耗拆分!T95</f>
        <v>0</v>
      </c>
      <c r="U10" s="1">
        <f>建筑各项能耗拆分!$B$18*建筑各项能耗拆分!U95</f>
        <v>0</v>
      </c>
      <c r="V10" s="1">
        <f>建筑各项能耗拆分!$B$18*建筑各项能耗拆分!V95</f>
        <v>0</v>
      </c>
      <c r="W10" s="1">
        <f>建筑各项能耗拆分!$B$18*建筑各项能耗拆分!W95</f>
        <v>0</v>
      </c>
      <c r="X10" s="1">
        <f>建筑各项能耗拆分!$B$18*建筑各项能耗拆分!X95</f>
        <v>0</v>
      </c>
      <c r="Y10" s="1">
        <f>建筑各项能耗拆分!$B$18*建筑各项能耗拆分!Y95</f>
        <v>0</v>
      </c>
      <c r="Z10" s="1">
        <f>建筑各项能耗拆分!$B$18*建筑各项能耗拆分!Z95</f>
        <v>0</v>
      </c>
      <c r="AA10" s="1">
        <f>建筑各项能耗拆分!$B$18*建筑各项能耗拆分!AA95</f>
        <v>0</v>
      </c>
      <c r="AB10" s="1">
        <f>建筑各项能耗拆分!$B$18*建筑各项能耗拆分!AB95</f>
        <v>0</v>
      </c>
      <c r="AC10" s="1">
        <f>建筑各项能耗拆分!$B$18*建筑各项能耗拆分!AC95</f>
        <v>0</v>
      </c>
      <c r="AD10" s="1">
        <f>建筑各项能耗拆分!$B$18*建筑各项能耗拆分!AD95</f>
        <v>0</v>
      </c>
      <c r="AE10" s="1">
        <f>建筑各项能耗拆分!$B$18*建筑各项能耗拆分!AE95</f>
        <v>0</v>
      </c>
      <c r="AF10" s="1">
        <f>建筑各项能耗拆分!$B$18*建筑各项能耗拆分!AF95</f>
        <v>0</v>
      </c>
      <c r="AG10" s="1">
        <f>建筑各项能耗拆分!$B$18*建筑各项能耗拆分!AG95</f>
        <v>0</v>
      </c>
      <c r="AH10" s="1">
        <f>建筑各项能耗拆分!$B$18*建筑各项能耗拆分!AH95</f>
        <v>0</v>
      </c>
      <c r="AI10" s="1">
        <f>建筑各项能耗拆分!$B$18*建筑各项能耗拆分!AI95</f>
        <v>0</v>
      </c>
      <c r="AJ10" s="1">
        <f>建筑各项能耗拆分!$B$18*建筑各项能耗拆分!AJ95</f>
        <v>0</v>
      </c>
      <c r="AK10" s="1">
        <f>建筑各项能耗拆分!$B$18*建筑各项能耗拆分!AK95</f>
        <v>0</v>
      </c>
      <c r="AL10" s="1">
        <f>建筑各项能耗拆分!$B$18*建筑各项能耗拆分!AL95</f>
        <v>0</v>
      </c>
      <c r="AM10" s="1">
        <f>建筑各项能耗拆分!$B$18*建筑各项能耗拆分!AM95</f>
        <v>0</v>
      </c>
      <c r="AN10" s="1">
        <f>建筑各项能耗拆分!$B$18*建筑各项能耗拆分!AN95</f>
        <v>0</v>
      </c>
      <c r="AO10" s="1">
        <f>建筑各项能耗拆分!$B$18*建筑各项能耗拆分!AO95</f>
        <v>0</v>
      </c>
      <c r="AP10" s="1">
        <f>建筑各项能耗拆分!$B$18*建筑各项能耗拆分!AP95</f>
        <v>0</v>
      </c>
      <c r="AQ10" s="1">
        <f>建筑各项能耗拆分!$B$18*建筑各项能耗拆分!AQ95</f>
        <v>0</v>
      </c>
      <c r="AR10" s="1">
        <f>建筑各项能耗拆分!$B$18*建筑各项能耗拆分!AR95</f>
        <v>0</v>
      </c>
    </row>
    <row r="11" spans="1:44">
      <c r="A11" t="s">
        <v>1118</v>
      </c>
      <c r="B11" s="1">
        <f>建筑各项能耗拆分!$B$18*建筑各项能耗拆分!B96</f>
        <v>0</v>
      </c>
      <c r="C11" s="1">
        <f>建筑各项能耗拆分!$B$18*建筑各项能耗拆分!C96</f>
        <v>0</v>
      </c>
      <c r="D11" s="1">
        <f>建筑各项能耗拆分!$B$18*建筑各项能耗拆分!D96</f>
        <v>0</v>
      </c>
      <c r="E11" s="1">
        <f>建筑各项能耗拆分!$B$18*建筑各项能耗拆分!E96</f>
        <v>0</v>
      </c>
      <c r="F11" s="1">
        <f>建筑各项能耗拆分!$B$18*建筑各项能耗拆分!F96</f>
        <v>0</v>
      </c>
      <c r="G11" s="1">
        <f>建筑各项能耗拆分!$B$18*建筑各项能耗拆分!G96</f>
        <v>0</v>
      </c>
      <c r="H11" s="1">
        <f>建筑各项能耗拆分!$B$18*建筑各项能耗拆分!H96</f>
        <v>0</v>
      </c>
      <c r="I11" s="1">
        <f>建筑各项能耗拆分!$B$18*建筑各项能耗拆分!I96</f>
        <v>0</v>
      </c>
      <c r="J11" s="1">
        <f>建筑各项能耗拆分!$B$18*建筑各项能耗拆分!J96</f>
        <v>0</v>
      </c>
      <c r="K11" s="1">
        <f>建筑各项能耗拆分!$B$18*建筑各项能耗拆分!K96</f>
        <v>0</v>
      </c>
      <c r="L11" s="1">
        <f>建筑各项能耗拆分!$B$18*建筑各项能耗拆分!L96</f>
        <v>0</v>
      </c>
      <c r="M11" s="1">
        <f>建筑各项能耗拆分!$B$18*建筑各项能耗拆分!M96</f>
        <v>0</v>
      </c>
      <c r="N11" s="1">
        <f>建筑各项能耗拆分!$B$18*建筑各项能耗拆分!N96</f>
        <v>0</v>
      </c>
      <c r="O11" s="1">
        <f>建筑各项能耗拆分!$B$18*建筑各项能耗拆分!O96</f>
        <v>0</v>
      </c>
      <c r="P11" s="1">
        <f>建筑各项能耗拆分!$B$18*建筑各项能耗拆分!P96</f>
        <v>0</v>
      </c>
      <c r="Q11" s="1">
        <f>建筑各项能耗拆分!$B$18*建筑各项能耗拆分!Q96</f>
        <v>0</v>
      </c>
      <c r="R11" s="1">
        <f>建筑各项能耗拆分!$B$18*建筑各项能耗拆分!R96</f>
        <v>0</v>
      </c>
      <c r="S11" s="1">
        <f>建筑各项能耗拆分!$B$18*建筑各项能耗拆分!S96</f>
        <v>0</v>
      </c>
      <c r="T11" s="1">
        <f>建筑各项能耗拆分!$B$18*建筑各项能耗拆分!T96</f>
        <v>0</v>
      </c>
      <c r="U11" s="1">
        <f>建筑各项能耗拆分!$B$18*建筑各项能耗拆分!U96</f>
        <v>0</v>
      </c>
      <c r="V11" s="1">
        <f>建筑各项能耗拆分!$B$18*建筑各项能耗拆分!V96</f>
        <v>0</v>
      </c>
      <c r="W11" s="1">
        <f>建筑各项能耗拆分!$B$18*建筑各项能耗拆分!W96</f>
        <v>0</v>
      </c>
      <c r="X11" s="1">
        <f>建筑各项能耗拆分!$B$18*建筑各项能耗拆分!X96</f>
        <v>0</v>
      </c>
      <c r="Y11" s="1">
        <f>建筑各项能耗拆分!$B$18*建筑各项能耗拆分!Y96</f>
        <v>0</v>
      </c>
      <c r="Z11" s="1">
        <f>建筑各项能耗拆分!$B$18*建筑各项能耗拆分!Z96</f>
        <v>0</v>
      </c>
      <c r="AA11" s="1">
        <f>建筑各项能耗拆分!$B$18*建筑各项能耗拆分!AA96</f>
        <v>0</v>
      </c>
      <c r="AB11" s="1">
        <f>建筑各项能耗拆分!$B$18*建筑各项能耗拆分!AB96</f>
        <v>0</v>
      </c>
      <c r="AC11" s="1">
        <f>建筑各项能耗拆分!$B$18*建筑各项能耗拆分!AC96</f>
        <v>0</v>
      </c>
      <c r="AD11" s="1">
        <f>建筑各项能耗拆分!$B$18*建筑各项能耗拆分!AD96</f>
        <v>0</v>
      </c>
      <c r="AE11" s="1">
        <f>建筑各项能耗拆分!$B$18*建筑各项能耗拆分!AE96</f>
        <v>0</v>
      </c>
      <c r="AF11" s="1">
        <f>建筑各项能耗拆分!$B$18*建筑各项能耗拆分!AF96</f>
        <v>0</v>
      </c>
      <c r="AG11" s="1">
        <f>建筑各项能耗拆分!$B$18*建筑各项能耗拆分!AG96</f>
        <v>0</v>
      </c>
      <c r="AH11" s="1">
        <f>建筑各项能耗拆分!$B$18*建筑各项能耗拆分!AH96</f>
        <v>0</v>
      </c>
      <c r="AI11" s="1">
        <f>建筑各项能耗拆分!$B$18*建筑各项能耗拆分!AI96</f>
        <v>0</v>
      </c>
      <c r="AJ11" s="1">
        <f>建筑各项能耗拆分!$B$18*建筑各项能耗拆分!AJ96</f>
        <v>0</v>
      </c>
      <c r="AK11" s="1">
        <f>建筑各项能耗拆分!$B$18*建筑各项能耗拆分!AK96</f>
        <v>0</v>
      </c>
      <c r="AL11" s="1">
        <f>建筑各项能耗拆分!$B$18*建筑各项能耗拆分!AL96</f>
        <v>0</v>
      </c>
      <c r="AM11" s="1">
        <f>建筑各项能耗拆分!$B$18*建筑各项能耗拆分!AM96</f>
        <v>0</v>
      </c>
      <c r="AN11" s="1">
        <f>建筑各项能耗拆分!$B$18*建筑各项能耗拆分!AN96</f>
        <v>0</v>
      </c>
      <c r="AO11" s="1">
        <f>建筑各项能耗拆分!$B$18*建筑各项能耗拆分!AO96</f>
        <v>0</v>
      </c>
      <c r="AP11" s="1">
        <f>建筑各项能耗拆分!$B$18*建筑各项能耗拆分!AP96</f>
        <v>0</v>
      </c>
      <c r="AQ11" s="1">
        <f>建筑各项能耗拆分!$B$18*建筑各项能耗拆分!AQ96</f>
        <v>0</v>
      </c>
      <c r="AR11" s="1">
        <f>建筑各项能耗拆分!$B$18*建筑各项能耗拆分!AR96</f>
        <v>0</v>
      </c>
    </row>
    <row r="12" spans="1:44">
      <c r="A12" t="s">
        <v>1119</v>
      </c>
      <c r="B12" s="1">
        <f>SUM(B2:B11)</f>
        <v>2469562486359500</v>
      </c>
      <c r="C12" s="1">
        <f t="shared" ref="C12:AQ12" si="0">SUM(C2:C11)</f>
        <v>567098457883979</v>
      </c>
      <c r="D12" s="1">
        <f t="shared" si="0"/>
        <v>596911529538642</v>
      </c>
      <c r="E12" s="1">
        <f t="shared" si="0"/>
        <v>642645491149414</v>
      </c>
      <c r="F12" s="1">
        <f t="shared" si="0"/>
        <v>707719867837180</v>
      </c>
      <c r="G12" s="1">
        <f t="shared" si="0"/>
        <v>714107452343659</v>
      </c>
      <c r="H12" s="1">
        <f t="shared" si="0"/>
        <v>765841879482136</v>
      </c>
      <c r="I12" s="1">
        <f t="shared" si="0"/>
        <v>820994434733801</v>
      </c>
      <c r="J12" s="1">
        <f t="shared" si="0"/>
        <v>861494576539881</v>
      </c>
      <c r="K12" s="1">
        <f t="shared" si="0"/>
        <v>903165583218428</v>
      </c>
      <c r="L12" s="1">
        <f t="shared" si="0"/>
        <v>942975119361853</v>
      </c>
      <c r="M12" s="1">
        <f t="shared" si="0"/>
        <v>983128320919690</v>
      </c>
      <c r="N12" s="1">
        <f t="shared" si="0"/>
        <v>1022932973416370</v>
      </c>
      <c r="O12" s="1">
        <f t="shared" si="0"/>
        <v>1062331115297560</v>
      </c>
      <c r="P12" s="1">
        <f t="shared" si="0"/>
        <v>1100880158677800</v>
      </c>
      <c r="Q12" s="1">
        <f t="shared" si="0"/>
        <v>1139154364088030</v>
      </c>
      <c r="R12" s="1">
        <f t="shared" si="0"/>
        <v>1176398973719680</v>
      </c>
      <c r="S12" s="1">
        <f t="shared" si="0"/>
        <v>1215531097999890</v>
      </c>
      <c r="T12" s="1">
        <f t="shared" si="0"/>
        <v>1249215846192810</v>
      </c>
      <c r="U12" s="1">
        <f t="shared" si="0"/>
        <v>1281943638878370</v>
      </c>
      <c r="V12" s="1">
        <f t="shared" si="0"/>
        <v>1317954919192260</v>
      </c>
      <c r="W12" s="1">
        <f t="shared" si="0"/>
        <v>1354149450369670</v>
      </c>
      <c r="X12" s="1">
        <f t="shared" si="0"/>
        <v>1389814183727880</v>
      </c>
      <c r="Y12" s="1">
        <f t="shared" si="0"/>
        <v>1421726327592250</v>
      </c>
      <c r="Z12" s="1">
        <f t="shared" si="0"/>
        <v>1453031510920800</v>
      </c>
      <c r="AA12" s="1">
        <f t="shared" si="0"/>
        <v>1483778999149220</v>
      </c>
      <c r="AB12" s="1">
        <f t="shared" si="0"/>
        <v>1513983420072610</v>
      </c>
      <c r="AC12" s="1">
        <f t="shared" si="0"/>
        <v>1543675802307670</v>
      </c>
      <c r="AD12" s="1">
        <f t="shared" si="0"/>
        <v>1571496257912110</v>
      </c>
      <c r="AE12" s="1">
        <f t="shared" si="0"/>
        <v>1598695561809690</v>
      </c>
      <c r="AF12" s="1">
        <f t="shared" si="0"/>
        <v>1625299627245890</v>
      </c>
      <c r="AG12" s="1">
        <f t="shared" si="0"/>
        <v>1651452628230270</v>
      </c>
      <c r="AH12" s="1">
        <f t="shared" si="0"/>
        <v>1677021873704500</v>
      </c>
      <c r="AI12" s="1">
        <f t="shared" si="0"/>
        <v>1699902037435980</v>
      </c>
      <c r="AJ12" s="1">
        <f t="shared" si="0"/>
        <v>1722130310682020</v>
      </c>
      <c r="AK12" s="1">
        <f t="shared" si="0"/>
        <v>1743710679116480</v>
      </c>
      <c r="AL12" s="1">
        <f t="shared" si="0"/>
        <v>1764689189482970</v>
      </c>
      <c r="AM12" s="1">
        <f t="shared" si="0"/>
        <v>1785042844978740</v>
      </c>
      <c r="AN12" s="1">
        <f t="shared" si="0"/>
        <v>1802765479195790</v>
      </c>
      <c r="AO12" s="1">
        <f t="shared" si="0"/>
        <v>1819771487516470</v>
      </c>
      <c r="AP12" s="1">
        <f t="shared" si="0"/>
        <v>1836094311630590</v>
      </c>
      <c r="AQ12" s="1">
        <f t="shared" si="0"/>
        <v>1851751386053950</v>
      </c>
      <c r="AR12" s="1">
        <f t="shared" ref="AR12" si="1">SUM(AR2:AR11)</f>
        <v>1866718634585120</v>
      </c>
    </row>
  </sheetData>
  <pageMargins left="0.7" right="0.7" top="0.75" bottom="0.75" header="0.3" footer="0.3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AG11"/>
  <sheetViews>
    <sheetView workbookViewId="0">
      <selection activeCell="M21" sqref="M21"/>
    </sheetView>
  </sheetViews>
  <sheetFormatPr defaultColWidth="9" defaultRowHeight="13.5"/>
  <sheetData>
    <row r="1" spans="1:33">
      <c r="A1" t="s">
        <v>1133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>
      <c r="A2" t="s">
        <v>1109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</row>
    <row r="3" spans="1:33">
      <c r="A3" t="s">
        <v>1110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</row>
    <row r="4" spans="1:33">
      <c r="A4" t="s">
        <v>1111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</row>
    <row r="5" spans="1:33">
      <c r="A5" t="s">
        <v>1112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</row>
    <row r="6" spans="1:33">
      <c r="A6" t="s">
        <v>1113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</row>
    <row r="7" spans="1:33">
      <c r="A7" t="s">
        <v>1114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</row>
    <row r="8" spans="1:33">
      <c r="A8" t="s">
        <v>1115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</row>
    <row r="9" spans="1:33">
      <c r="A9" t="s">
        <v>1116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</row>
    <row r="10" spans="1:33">
      <c r="A10" t="s">
        <v>1117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</row>
    <row r="11" spans="1:33">
      <c r="A11" t="s">
        <v>1134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33</vt:i4>
      </vt:variant>
    </vt:vector>
  </HeadingPairs>
  <TitlesOfParts>
    <vt:vector size="33" baseType="lpstr">
      <vt:lpstr>20240130</vt:lpstr>
      <vt:lpstr>情景输入参数</vt:lpstr>
      <vt:lpstr>情景介绍 (2)</vt:lpstr>
      <vt:lpstr>情景介绍</vt:lpstr>
      <vt:lpstr>About中文</vt:lpstr>
      <vt:lpstr>人口变化预测</vt:lpstr>
      <vt:lpstr>BAU建筑面积计算</vt:lpstr>
      <vt:lpstr>改造情景建筑面积计算 </vt:lpstr>
      <vt:lpstr>BAU建筑总能耗计算</vt:lpstr>
      <vt:lpstr>政策数据来源</vt:lpstr>
      <vt:lpstr>能源换算</vt:lpstr>
      <vt:lpstr>建筑新建率</vt:lpstr>
      <vt:lpstr>改造总比例（vensim直接输入）</vt:lpstr>
      <vt:lpstr>建筑改造情景参数</vt:lpstr>
      <vt:lpstr>BRESaC</vt:lpstr>
      <vt:lpstr>SoCEUTiNTY</vt:lpstr>
      <vt:lpstr>建筑各项能耗拆分</vt:lpstr>
      <vt:lpstr>rural-residential-heating0</vt:lpstr>
      <vt:lpstr>BCEU-rural-residential-cooling</vt:lpstr>
      <vt:lpstr>BCEU-rural-residential-lighting</vt:lpstr>
      <vt:lpstr>rural-residential-appliance0</vt:lpstr>
      <vt:lpstr>rural-residential-other0</vt:lpstr>
      <vt:lpstr>commercial-heating0</vt:lpstr>
      <vt:lpstr>BCEU-commercial-cooling</vt:lpstr>
      <vt:lpstr>BCEU-commercial-lighting</vt:lpstr>
      <vt:lpstr>commercial-appliance0</vt:lpstr>
      <vt:lpstr>commercial-other0</vt:lpstr>
      <vt:lpstr>urban-residential-heating0</vt:lpstr>
      <vt:lpstr>BCEU-urban-residential-cooling</vt:lpstr>
      <vt:lpstr>BCEU-urban-residential-lighting</vt:lpstr>
      <vt:lpstr>urban-residential-appliance0</vt:lpstr>
      <vt:lpstr>urban-residential-other0</vt:lpstr>
      <vt:lpstr>BCEU-all-envelope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DELL</cp:lastModifiedBy>
  <dcterms:created xsi:type="dcterms:W3CDTF">2022-03-01T02:46:00Z</dcterms:created>
  <dcterms:modified xsi:type="dcterms:W3CDTF">2026-05-12T10:57:18Z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85B11F9E24454FF48860143591EB1ED4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0</vt:i4>
  </property>
</Properties>
</file>