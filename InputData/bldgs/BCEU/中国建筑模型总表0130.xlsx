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filterPrivacy="1" defaultThemeVersion="124226"/>
  <xr:revisionPtr revIDLastSave="0" documentId="8_{24DA84E1-F432-4EC4-A29B-14C78813A5C6}" xr6:coauthVersionLast="47" xr6:coauthVersionMax="47" xr10:uidLastSave="{00000000-0000-0000-0000-000000000000}"/>
  <bookViews>
    <workbookView xWindow="-120" yWindow="-120" windowWidth="29040" windowHeight="15840" firstSheet="14" activeTab="18" xr2:uid="{B0FE0877-9875-4575-BCD1-DF53B852B711}"/>
  </bookViews>
  <sheets>
    <sheet name="20240130" sheetId="85" r:id="rId1"/>
    <sheet name="情景输入参数" sheetId="68" r:id="rId2"/>
    <sheet name="情景介绍 (2)" sheetId="66" r:id="rId3"/>
    <sheet name="情景介绍" sheetId="65" r:id="rId4"/>
    <sheet name="About中文" sheetId="57" r:id="rId5"/>
    <sheet name="人口变化预测" sheetId="48" r:id="rId6"/>
    <sheet name="BAU建筑面积计算" sheetId="50" r:id="rId7"/>
    <sheet name="改造情景建筑面积计算 " sheetId="61" r:id="rId8"/>
    <sheet name="BAU建筑总能耗计算" sheetId="53" r:id="rId9"/>
    <sheet name="建筑各项能耗拆分" sheetId="55" r:id="rId10"/>
    <sheet name="政策数据来源" sheetId="54" r:id="rId11"/>
    <sheet name="能源换算" sheetId="52" r:id="rId12"/>
    <sheet name="建筑新建率" sheetId="60" r:id="rId13"/>
    <sheet name="改造总比例（vensim直接输入）" sheetId="64" r:id="rId14"/>
    <sheet name="建筑改造情景参数" sheetId="62" r:id="rId15"/>
    <sheet name="BRESaC" sheetId="63" r:id="rId16"/>
    <sheet name="SoCEUTiNTY" sheetId="56" r:id="rId17"/>
    <sheet name="rural-residential-heating0" sheetId="41" r:id="rId18"/>
    <sheet name="rural-residential-heating1" sheetId="90" r:id="rId19"/>
    <sheet name="rural-residential-heating2" sheetId="69" r:id="rId20"/>
    <sheet name="rural-residential-cooling" sheetId="42" r:id="rId21"/>
    <sheet name="rural-residential-lighting" sheetId="43" r:id="rId22"/>
    <sheet name="rural-residential-appliance0" sheetId="44" r:id="rId23"/>
    <sheet name="rural-residential-appliance1" sheetId="88" r:id="rId24"/>
    <sheet name="rural-residential-other0" sheetId="45" r:id="rId25"/>
    <sheet name="rural-residential-other1" sheetId="86" r:id="rId26"/>
    <sheet name="commercial-heating0" sheetId="37" r:id="rId27"/>
    <sheet name="commercial-heating1" sheetId="91" r:id="rId28"/>
    <sheet name="commercial-heating2" sheetId="70" r:id="rId29"/>
    <sheet name="commercial-cooling" sheetId="38" r:id="rId30"/>
    <sheet name="commercial-lighting" sheetId="39" r:id="rId31"/>
    <sheet name="commercial-appliance0" sheetId="36" r:id="rId32"/>
    <sheet name="commercial-appliance1" sheetId="92" r:id="rId33"/>
    <sheet name="commercial-other0" sheetId="40" r:id="rId34"/>
    <sheet name="commercial-other1" sheetId="93" r:id="rId35"/>
    <sheet name="urban-residential-heating0" sheetId="4" r:id="rId36"/>
    <sheet name="urban-residential-heating1" sheetId="94" r:id="rId37"/>
    <sheet name="urban-residential-heating2" sheetId="71" r:id="rId38"/>
    <sheet name="urban-residential-cooling" sheetId="26" r:id="rId39"/>
    <sheet name="urban-residential-lighting" sheetId="25" r:id="rId40"/>
    <sheet name="urban-residential-appliance0" sheetId="24" r:id="rId41"/>
    <sheet name="urban-residential-appliance1" sheetId="96" r:id="rId42"/>
    <sheet name="urban-residential-other0" sheetId="23" r:id="rId43"/>
    <sheet name="urban-residential-other1" sheetId="95" r:id="rId44"/>
    <sheet name="BCEU-all-envelope" sheetId="46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9" l="1"/>
  <c r="F2" i="69"/>
  <c r="D2" i="69"/>
  <c r="E2" i="69"/>
  <c r="G2" i="69"/>
  <c r="I2" i="69"/>
  <c r="J2" i="69"/>
  <c r="K2" i="69"/>
  <c r="L2" i="69"/>
  <c r="M2" i="69"/>
  <c r="N2" i="69"/>
  <c r="O2" i="69"/>
  <c r="P2" i="69"/>
  <c r="Q2" i="69"/>
  <c r="R2" i="69"/>
  <c r="S2" i="69"/>
  <c r="T2" i="69"/>
  <c r="U2" i="69"/>
  <c r="V2" i="69"/>
  <c r="W2" i="69"/>
  <c r="X2" i="69"/>
  <c r="Y2" i="69"/>
  <c r="Z2" i="69"/>
  <c r="AA2" i="69"/>
  <c r="AB2" i="69"/>
  <c r="AC2" i="69"/>
  <c r="AD2" i="69"/>
  <c r="AE2" i="69"/>
  <c r="AF2" i="69"/>
  <c r="AG2" i="69"/>
  <c r="AH2" i="69"/>
  <c r="AI2" i="69"/>
  <c r="AJ2" i="69"/>
  <c r="AK2" i="69"/>
  <c r="AL2" i="69"/>
  <c r="AM2" i="69"/>
  <c r="AN2" i="69"/>
  <c r="AO2" i="69"/>
  <c r="AP2" i="69"/>
  <c r="AQ2" i="69"/>
  <c r="AR2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AK6" i="69"/>
  <c r="AL6" i="69"/>
  <c r="AM6" i="69"/>
  <c r="AN6" i="69"/>
  <c r="AO6" i="69"/>
  <c r="AP6" i="69"/>
  <c r="AQ6" i="69"/>
  <c r="AR6" i="69"/>
  <c r="C2" i="69"/>
  <c r="C6" i="69"/>
  <c r="B2" i="69"/>
  <c r="B6" i="69"/>
  <c r="D6" i="90"/>
  <c r="E6" i="90"/>
  <c r="F6" i="90"/>
  <c r="G6" i="90"/>
  <c r="H6" i="90"/>
  <c r="I6" i="90"/>
  <c r="J6" i="90"/>
  <c r="K6" i="90"/>
  <c r="L6" i="90"/>
  <c r="M6" i="90"/>
  <c r="N6" i="90"/>
  <c r="O6" i="90"/>
  <c r="O12" i="90" s="1"/>
  <c r="P6" i="90"/>
  <c r="Q6" i="90"/>
  <c r="R6" i="90"/>
  <c r="S6" i="90"/>
  <c r="T6" i="90"/>
  <c r="U6" i="90"/>
  <c r="V6" i="90"/>
  <c r="W6" i="90"/>
  <c r="X6" i="90"/>
  <c r="Y6" i="90"/>
  <c r="Z6" i="90"/>
  <c r="AA6" i="90"/>
  <c r="AA12" i="90" s="1"/>
  <c r="AB6" i="90"/>
  <c r="AC6" i="90"/>
  <c r="AD6" i="90"/>
  <c r="AE6" i="90"/>
  <c r="AF6" i="90"/>
  <c r="AG6" i="90"/>
  <c r="AH6" i="90"/>
  <c r="AI6" i="90"/>
  <c r="AJ6" i="90"/>
  <c r="AK6" i="90"/>
  <c r="AL6" i="90"/>
  <c r="AM6" i="90"/>
  <c r="AM12" i="90" s="1"/>
  <c r="AN6" i="90"/>
  <c r="AO6" i="90"/>
  <c r="AP6" i="90"/>
  <c r="AQ6" i="90"/>
  <c r="AR6" i="90"/>
  <c r="C6" i="90"/>
  <c r="B6" i="90"/>
  <c r="D2" i="88"/>
  <c r="E2" i="88"/>
  <c r="F2" i="88"/>
  <c r="G2" i="88"/>
  <c r="H2" i="88"/>
  <c r="I2" i="88"/>
  <c r="J2" i="88"/>
  <c r="K2" i="88"/>
  <c r="L2" i="88"/>
  <c r="M2" i="88"/>
  <c r="N2" i="88"/>
  <c r="O2" i="88"/>
  <c r="P2" i="88"/>
  <c r="Q2" i="88"/>
  <c r="R2" i="88"/>
  <c r="S2" i="88"/>
  <c r="T2" i="88"/>
  <c r="U2" i="88"/>
  <c r="V2" i="88"/>
  <c r="W2" i="88"/>
  <c r="X2" i="88"/>
  <c r="Y2" i="88"/>
  <c r="Z2" i="88"/>
  <c r="AA2" i="88"/>
  <c r="AB2" i="88"/>
  <c r="AC2" i="88"/>
  <c r="AD2" i="88"/>
  <c r="AE2" i="88"/>
  <c r="AF2" i="88"/>
  <c r="AG2" i="88"/>
  <c r="AH2" i="88"/>
  <c r="AI2" i="88"/>
  <c r="AJ2" i="88"/>
  <c r="AK2" i="88"/>
  <c r="AL2" i="88"/>
  <c r="AM2" i="88"/>
  <c r="AN2" i="88"/>
  <c r="AO2" i="88"/>
  <c r="AP2" i="88"/>
  <c r="AQ2" i="88"/>
  <c r="AR2" i="88"/>
  <c r="D3" i="88"/>
  <c r="E3" i="88"/>
  <c r="F3" i="88"/>
  <c r="G3" i="88"/>
  <c r="H3" i="88"/>
  <c r="I3" i="88"/>
  <c r="J3" i="88"/>
  <c r="K3" i="88"/>
  <c r="L3" i="88"/>
  <c r="M3" i="88"/>
  <c r="N3" i="88"/>
  <c r="O3" i="88"/>
  <c r="P3" i="88"/>
  <c r="Q3" i="88"/>
  <c r="R3" i="88"/>
  <c r="S3" i="88"/>
  <c r="T3" i="88"/>
  <c r="U3" i="88"/>
  <c r="V3" i="88"/>
  <c r="W3" i="88"/>
  <c r="X3" i="88"/>
  <c r="Y3" i="88"/>
  <c r="Z3" i="88"/>
  <c r="AA3" i="88"/>
  <c r="AB3" i="88"/>
  <c r="AC3" i="88"/>
  <c r="AD3" i="88"/>
  <c r="AE3" i="88"/>
  <c r="AF3" i="88"/>
  <c r="AG3" i="88"/>
  <c r="AH3" i="88"/>
  <c r="AI3" i="88"/>
  <c r="AJ3" i="88"/>
  <c r="AK3" i="88"/>
  <c r="AL3" i="88"/>
  <c r="AM3" i="88"/>
  <c r="AN3" i="88"/>
  <c r="AO3" i="88"/>
  <c r="AP3" i="88"/>
  <c r="AQ3" i="88"/>
  <c r="AR3" i="88"/>
  <c r="D4" i="88"/>
  <c r="E4" i="88"/>
  <c r="F4" i="88"/>
  <c r="G4" i="88"/>
  <c r="H4" i="88"/>
  <c r="I4" i="88"/>
  <c r="J4" i="88"/>
  <c r="K4" i="88"/>
  <c r="L4" i="88"/>
  <c r="M4" i="88"/>
  <c r="N4" i="88"/>
  <c r="O4" i="88"/>
  <c r="P4" i="88"/>
  <c r="Q4" i="88"/>
  <c r="R4" i="88"/>
  <c r="S4" i="88"/>
  <c r="T4" i="88"/>
  <c r="U4" i="88"/>
  <c r="V4" i="88"/>
  <c r="W4" i="88"/>
  <c r="X4" i="88"/>
  <c r="Y4" i="88"/>
  <c r="Z4" i="88"/>
  <c r="AA4" i="88"/>
  <c r="AB4" i="88"/>
  <c r="AC4" i="88"/>
  <c r="AD4" i="88"/>
  <c r="AE4" i="88"/>
  <c r="AF4" i="88"/>
  <c r="AG4" i="88"/>
  <c r="AH4" i="88"/>
  <c r="AI4" i="88"/>
  <c r="AJ4" i="88"/>
  <c r="AK4" i="88"/>
  <c r="AL4" i="88"/>
  <c r="AM4" i="88"/>
  <c r="AN4" i="88"/>
  <c r="AO4" i="88"/>
  <c r="AP4" i="88"/>
  <c r="AQ4" i="88"/>
  <c r="AR4" i="88"/>
  <c r="D5" i="88"/>
  <c r="E5" i="88"/>
  <c r="F5" i="88"/>
  <c r="G5" i="88"/>
  <c r="H5" i="88"/>
  <c r="I5" i="88"/>
  <c r="J5" i="88"/>
  <c r="K5" i="88"/>
  <c r="L5" i="88"/>
  <c r="M5" i="88"/>
  <c r="N5" i="88"/>
  <c r="O5" i="88"/>
  <c r="P5" i="88"/>
  <c r="Q5" i="88"/>
  <c r="R5" i="88"/>
  <c r="S5" i="88"/>
  <c r="T5" i="88"/>
  <c r="U5" i="88"/>
  <c r="V5" i="88"/>
  <c r="W5" i="88"/>
  <c r="X5" i="88"/>
  <c r="Y5" i="88"/>
  <c r="Z5" i="88"/>
  <c r="AA5" i="88"/>
  <c r="AB5" i="88"/>
  <c r="AC5" i="88"/>
  <c r="AD5" i="88"/>
  <c r="AE5" i="88"/>
  <c r="AF5" i="88"/>
  <c r="AG5" i="88"/>
  <c r="AH5" i="88"/>
  <c r="AI5" i="88"/>
  <c r="AJ5" i="88"/>
  <c r="AK5" i="88"/>
  <c r="AL5" i="88"/>
  <c r="AM5" i="88"/>
  <c r="AN5" i="88"/>
  <c r="AO5" i="88"/>
  <c r="AP5" i="88"/>
  <c r="AQ5" i="88"/>
  <c r="AR5" i="88"/>
  <c r="D7" i="88"/>
  <c r="E7" i="88"/>
  <c r="F7" i="88"/>
  <c r="G7" i="88"/>
  <c r="H7" i="88"/>
  <c r="I7" i="88"/>
  <c r="J7" i="88"/>
  <c r="K7" i="88"/>
  <c r="L7" i="88"/>
  <c r="M7" i="88"/>
  <c r="N7" i="88"/>
  <c r="O7" i="88"/>
  <c r="P7" i="88"/>
  <c r="Q7" i="88"/>
  <c r="R7" i="88"/>
  <c r="S7" i="88"/>
  <c r="T7" i="88"/>
  <c r="U7" i="88"/>
  <c r="V7" i="88"/>
  <c r="W7" i="88"/>
  <c r="X7" i="88"/>
  <c r="Y7" i="88"/>
  <c r="Z7" i="88"/>
  <c r="AA7" i="88"/>
  <c r="AB7" i="88"/>
  <c r="AC7" i="88"/>
  <c r="AD7" i="88"/>
  <c r="AE7" i="88"/>
  <c r="AF7" i="88"/>
  <c r="AG7" i="88"/>
  <c r="AH7" i="88"/>
  <c r="AI7" i="88"/>
  <c r="AJ7" i="88"/>
  <c r="AK7" i="88"/>
  <c r="AL7" i="88"/>
  <c r="AM7" i="88"/>
  <c r="AN7" i="88"/>
  <c r="AO7" i="88"/>
  <c r="AP7" i="88"/>
  <c r="AQ7" i="88"/>
  <c r="AR7" i="88"/>
  <c r="D8" i="88"/>
  <c r="E8" i="88"/>
  <c r="F8" i="88"/>
  <c r="G8" i="88"/>
  <c r="H8" i="88"/>
  <c r="I8" i="88"/>
  <c r="J8" i="88"/>
  <c r="K8" i="88"/>
  <c r="L8" i="88"/>
  <c r="M8" i="88"/>
  <c r="N8" i="88"/>
  <c r="O8" i="88"/>
  <c r="P8" i="88"/>
  <c r="Q8" i="88"/>
  <c r="R8" i="88"/>
  <c r="S8" i="88"/>
  <c r="T8" i="88"/>
  <c r="U8" i="88"/>
  <c r="V8" i="88"/>
  <c r="W8" i="88"/>
  <c r="X8" i="88"/>
  <c r="Y8" i="88"/>
  <c r="Z8" i="88"/>
  <c r="AA8" i="88"/>
  <c r="AB8" i="88"/>
  <c r="AC8" i="88"/>
  <c r="AD8" i="88"/>
  <c r="AE8" i="88"/>
  <c r="AF8" i="88"/>
  <c r="AG8" i="88"/>
  <c r="AH8" i="88"/>
  <c r="AI8" i="88"/>
  <c r="AJ8" i="88"/>
  <c r="AK8" i="88"/>
  <c r="AL8" i="88"/>
  <c r="AM8" i="88"/>
  <c r="AN8" i="88"/>
  <c r="AO8" i="88"/>
  <c r="AP8" i="88"/>
  <c r="AQ8" i="88"/>
  <c r="AR8" i="88"/>
  <c r="D9" i="88"/>
  <c r="E9" i="88"/>
  <c r="F9" i="88"/>
  <c r="G9" i="88"/>
  <c r="H9" i="88"/>
  <c r="I9" i="88"/>
  <c r="J9" i="88"/>
  <c r="K9" i="88"/>
  <c r="L9" i="88"/>
  <c r="M9" i="88"/>
  <c r="N9" i="88"/>
  <c r="O9" i="88"/>
  <c r="P9" i="88"/>
  <c r="Q9" i="88"/>
  <c r="R9" i="88"/>
  <c r="S9" i="88"/>
  <c r="T9" i="88"/>
  <c r="U9" i="88"/>
  <c r="V9" i="88"/>
  <c r="W9" i="88"/>
  <c r="X9" i="88"/>
  <c r="Y9" i="88"/>
  <c r="Z9" i="88"/>
  <c r="AA9" i="88"/>
  <c r="AB9" i="88"/>
  <c r="AC9" i="88"/>
  <c r="AD9" i="88"/>
  <c r="AE9" i="88"/>
  <c r="AF9" i="88"/>
  <c r="AG9" i="88"/>
  <c r="AH9" i="88"/>
  <c r="AI9" i="88"/>
  <c r="AJ9" i="88"/>
  <c r="AK9" i="88"/>
  <c r="AL9" i="88"/>
  <c r="AM9" i="88"/>
  <c r="AN9" i="88"/>
  <c r="AO9" i="88"/>
  <c r="AP9" i="88"/>
  <c r="AQ9" i="88"/>
  <c r="AR9" i="88"/>
  <c r="D10" i="88"/>
  <c r="E10" i="88"/>
  <c r="F10" i="88"/>
  <c r="G10" i="88"/>
  <c r="H10" i="88"/>
  <c r="I10" i="88"/>
  <c r="J10" i="88"/>
  <c r="K10" i="88"/>
  <c r="L10" i="88"/>
  <c r="M10" i="88"/>
  <c r="N10" i="88"/>
  <c r="O10" i="88"/>
  <c r="P10" i="88"/>
  <c r="Q10" i="88"/>
  <c r="R10" i="88"/>
  <c r="S10" i="88"/>
  <c r="T10" i="88"/>
  <c r="U10" i="88"/>
  <c r="V10" i="88"/>
  <c r="W10" i="88"/>
  <c r="X10" i="88"/>
  <c r="Y10" i="88"/>
  <c r="Z10" i="88"/>
  <c r="AA10" i="88"/>
  <c r="AB10" i="88"/>
  <c r="AC10" i="88"/>
  <c r="AD10" i="88"/>
  <c r="AE10" i="88"/>
  <c r="AF10" i="88"/>
  <c r="AG10" i="88"/>
  <c r="AH10" i="88"/>
  <c r="AI10" i="88"/>
  <c r="AJ10" i="88"/>
  <c r="AK10" i="88"/>
  <c r="AL10" i="88"/>
  <c r="AM10" i="88"/>
  <c r="AN10" i="88"/>
  <c r="AO10" i="88"/>
  <c r="AP10" i="88"/>
  <c r="AQ10" i="88"/>
  <c r="AR10" i="88"/>
  <c r="D11" i="88"/>
  <c r="E11" i="88"/>
  <c r="F11" i="88"/>
  <c r="G11" i="88"/>
  <c r="H11" i="88"/>
  <c r="I11" i="88"/>
  <c r="J11" i="88"/>
  <c r="K11" i="88"/>
  <c r="L11" i="88"/>
  <c r="M11" i="88"/>
  <c r="N11" i="88"/>
  <c r="O11" i="88"/>
  <c r="P11" i="88"/>
  <c r="Q11" i="88"/>
  <c r="R11" i="88"/>
  <c r="S11" i="88"/>
  <c r="T11" i="88"/>
  <c r="U11" i="88"/>
  <c r="V11" i="88"/>
  <c r="W11" i="88"/>
  <c r="X11" i="88"/>
  <c r="Y11" i="88"/>
  <c r="Z11" i="88"/>
  <c r="AA11" i="88"/>
  <c r="AB11" i="88"/>
  <c r="AC11" i="88"/>
  <c r="AD11" i="88"/>
  <c r="AE11" i="88"/>
  <c r="AF11" i="88"/>
  <c r="AG11" i="88"/>
  <c r="AH11" i="88"/>
  <c r="AI11" i="88"/>
  <c r="AJ11" i="88"/>
  <c r="AK11" i="88"/>
  <c r="AL11" i="88"/>
  <c r="AM11" i="88"/>
  <c r="AN11" i="88"/>
  <c r="AO11" i="88"/>
  <c r="AP11" i="88"/>
  <c r="AQ11" i="88"/>
  <c r="AR11" i="88"/>
  <c r="C2" i="88"/>
  <c r="C3" i="88"/>
  <c r="C4" i="88"/>
  <c r="C5" i="88"/>
  <c r="C7" i="88"/>
  <c r="C8" i="88"/>
  <c r="C9" i="88"/>
  <c r="C10" i="88"/>
  <c r="C11" i="88"/>
  <c r="B3" i="88"/>
  <c r="B4" i="88"/>
  <c r="B5" i="88"/>
  <c r="B7" i="88"/>
  <c r="B8" i="88"/>
  <c r="B9" i="88"/>
  <c r="B10" i="88"/>
  <c r="B11" i="88"/>
  <c r="B2" i="88"/>
  <c r="C2" i="86"/>
  <c r="D2" i="86"/>
  <c r="E2" i="86"/>
  <c r="F2" i="86"/>
  <c r="G2" i="86"/>
  <c r="H2" i="86"/>
  <c r="I2" i="86"/>
  <c r="J2" i="86"/>
  <c r="K2" i="86"/>
  <c r="L2" i="86"/>
  <c r="M2" i="86"/>
  <c r="M12" i="86" s="1"/>
  <c r="N2" i="86"/>
  <c r="N12" i="86" s="1"/>
  <c r="O2" i="86"/>
  <c r="P2" i="86"/>
  <c r="Q2" i="86"/>
  <c r="R2" i="86"/>
  <c r="S2" i="86"/>
  <c r="T2" i="86"/>
  <c r="U2" i="86"/>
  <c r="V2" i="86"/>
  <c r="W2" i="86"/>
  <c r="X2" i="86"/>
  <c r="X12" i="86" s="1"/>
  <c r="Y2" i="86"/>
  <c r="Z2" i="86"/>
  <c r="Z12" i="86" s="1"/>
  <c r="AA2" i="86"/>
  <c r="AB2" i="86"/>
  <c r="AC2" i="86"/>
  <c r="AD2" i="86"/>
  <c r="AE2" i="86"/>
  <c r="AF2" i="86"/>
  <c r="AG2" i="86"/>
  <c r="AH2" i="86"/>
  <c r="AI2" i="86"/>
  <c r="AJ2" i="86"/>
  <c r="AJ12" i="86" s="1"/>
  <c r="AK2" i="86"/>
  <c r="AK12" i="86" s="1"/>
  <c r="AL2" i="86"/>
  <c r="AL12" i="86" s="1"/>
  <c r="AM2" i="86"/>
  <c r="AN2" i="86"/>
  <c r="AO2" i="86"/>
  <c r="AP2" i="86"/>
  <c r="AQ2" i="86"/>
  <c r="AR2" i="86"/>
  <c r="C3" i="86"/>
  <c r="D3" i="86"/>
  <c r="E3" i="86"/>
  <c r="F3" i="86"/>
  <c r="F12" i="86" s="1"/>
  <c r="G3" i="86"/>
  <c r="G12" i="86" s="1"/>
  <c r="H3" i="86"/>
  <c r="H12" i="86" s="1"/>
  <c r="I3" i="86"/>
  <c r="J3" i="86"/>
  <c r="K3" i="86"/>
  <c r="L3" i="86"/>
  <c r="M3" i="86"/>
  <c r="N3" i="86"/>
  <c r="O3" i="86"/>
  <c r="P3" i="86"/>
  <c r="Q3" i="86"/>
  <c r="R3" i="86"/>
  <c r="R12" i="86" s="1"/>
  <c r="S3" i="86"/>
  <c r="S12" i="86" s="1"/>
  <c r="T3" i="86"/>
  <c r="T12" i="86" s="1"/>
  <c r="U3" i="86"/>
  <c r="V3" i="86"/>
  <c r="W3" i="86"/>
  <c r="X3" i="86"/>
  <c r="Y3" i="86"/>
  <c r="Z3" i="86"/>
  <c r="AA3" i="86"/>
  <c r="AB3" i="86"/>
  <c r="AC3" i="86"/>
  <c r="AD3" i="86"/>
  <c r="AD12" i="86" s="1"/>
  <c r="AE3" i="86"/>
  <c r="AE12" i="86" s="1"/>
  <c r="AF3" i="86"/>
  <c r="AF12" i="86" s="1"/>
  <c r="AG3" i="86"/>
  <c r="AH3" i="86"/>
  <c r="AI3" i="86"/>
  <c r="AJ3" i="86"/>
  <c r="AK3" i="86"/>
  <c r="AL3" i="86"/>
  <c r="AM3" i="86"/>
  <c r="AN3" i="86"/>
  <c r="AO3" i="86"/>
  <c r="AP3" i="86"/>
  <c r="AP12" i="86" s="1"/>
  <c r="AQ3" i="86"/>
  <c r="AQ12" i="86" s="1"/>
  <c r="AR3" i="86"/>
  <c r="AR12" i="86" s="1"/>
  <c r="C4" i="86"/>
  <c r="D4" i="86"/>
  <c r="E4" i="86"/>
  <c r="F4" i="86"/>
  <c r="G4" i="86"/>
  <c r="H4" i="86"/>
  <c r="I4" i="86"/>
  <c r="J4" i="86"/>
  <c r="K4" i="86"/>
  <c r="L4" i="86"/>
  <c r="M4" i="86"/>
  <c r="N4" i="86"/>
  <c r="O4" i="86"/>
  <c r="P4" i="86"/>
  <c r="Q4" i="86"/>
  <c r="R4" i="86"/>
  <c r="S4" i="86"/>
  <c r="T4" i="86"/>
  <c r="U4" i="86"/>
  <c r="V4" i="86"/>
  <c r="W4" i="86"/>
  <c r="X4" i="86"/>
  <c r="Y4" i="86"/>
  <c r="Z4" i="86"/>
  <c r="AA4" i="86"/>
  <c r="AB4" i="86"/>
  <c r="AC4" i="86"/>
  <c r="AD4" i="86"/>
  <c r="AE4" i="86"/>
  <c r="AF4" i="86"/>
  <c r="AG4" i="86"/>
  <c r="AH4" i="86"/>
  <c r="AI4" i="86"/>
  <c r="AJ4" i="86"/>
  <c r="AK4" i="86"/>
  <c r="AL4" i="86"/>
  <c r="AM4" i="86"/>
  <c r="AN4" i="86"/>
  <c r="AO4" i="86"/>
  <c r="AP4" i="86"/>
  <c r="AQ4" i="86"/>
  <c r="AR4" i="86"/>
  <c r="C5" i="86"/>
  <c r="D5" i="86"/>
  <c r="E5" i="86"/>
  <c r="F5" i="86"/>
  <c r="G5" i="86"/>
  <c r="H5" i="86"/>
  <c r="I5" i="86"/>
  <c r="J5" i="86"/>
  <c r="K5" i="86"/>
  <c r="L5" i="86"/>
  <c r="M5" i="86"/>
  <c r="N5" i="86"/>
  <c r="O5" i="86"/>
  <c r="P5" i="86"/>
  <c r="Q5" i="86"/>
  <c r="R5" i="86"/>
  <c r="S5" i="86"/>
  <c r="T5" i="86"/>
  <c r="U5" i="86"/>
  <c r="V5" i="86"/>
  <c r="W5" i="86"/>
  <c r="X5" i="86"/>
  <c r="Y5" i="86"/>
  <c r="Z5" i="86"/>
  <c r="AA5" i="86"/>
  <c r="AB5" i="86"/>
  <c r="AC5" i="86"/>
  <c r="AD5" i="86"/>
  <c r="AE5" i="86"/>
  <c r="AF5" i="86"/>
  <c r="AG5" i="86"/>
  <c r="AH5" i="86"/>
  <c r="AI5" i="86"/>
  <c r="AJ5" i="86"/>
  <c r="AK5" i="86"/>
  <c r="AL5" i="86"/>
  <c r="AM5" i="86"/>
  <c r="AN5" i="86"/>
  <c r="AO5" i="86"/>
  <c r="AP5" i="86"/>
  <c r="AQ5" i="86"/>
  <c r="AR5" i="86"/>
  <c r="C6" i="86"/>
  <c r="D6" i="86"/>
  <c r="E6" i="86"/>
  <c r="F6" i="86"/>
  <c r="G6" i="86"/>
  <c r="H6" i="86"/>
  <c r="I6" i="86"/>
  <c r="J6" i="86"/>
  <c r="K6" i="86"/>
  <c r="L6" i="86"/>
  <c r="M6" i="86"/>
  <c r="N6" i="86"/>
  <c r="O6" i="86"/>
  <c r="P6" i="86"/>
  <c r="Q6" i="86"/>
  <c r="R6" i="86"/>
  <c r="S6" i="86"/>
  <c r="T6" i="86"/>
  <c r="U6" i="86"/>
  <c r="V6" i="86"/>
  <c r="W6" i="86"/>
  <c r="X6" i="86"/>
  <c r="Y6" i="86"/>
  <c r="Z6" i="86"/>
  <c r="AA6" i="86"/>
  <c r="AB6" i="86"/>
  <c r="AC6" i="86"/>
  <c r="AD6" i="86"/>
  <c r="AE6" i="86"/>
  <c r="AF6" i="86"/>
  <c r="AG6" i="86"/>
  <c r="AH6" i="86"/>
  <c r="AI6" i="86"/>
  <c r="AJ6" i="86"/>
  <c r="AK6" i="86"/>
  <c r="AL6" i="86"/>
  <c r="AM6" i="86"/>
  <c r="AN6" i="86"/>
  <c r="AO6" i="86"/>
  <c r="AP6" i="86"/>
  <c r="AQ6" i="86"/>
  <c r="AR6" i="86"/>
  <c r="C7" i="86"/>
  <c r="D7" i="86"/>
  <c r="E7" i="86"/>
  <c r="F7" i="86"/>
  <c r="G7" i="86"/>
  <c r="H7" i="86"/>
  <c r="I7" i="86"/>
  <c r="J7" i="86"/>
  <c r="K7" i="86"/>
  <c r="L7" i="86"/>
  <c r="M7" i="86"/>
  <c r="N7" i="86"/>
  <c r="O7" i="86"/>
  <c r="P7" i="86"/>
  <c r="Q7" i="86"/>
  <c r="R7" i="86"/>
  <c r="S7" i="86"/>
  <c r="T7" i="86"/>
  <c r="U7" i="86"/>
  <c r="V7" i="86"/>
  <c r="W7" i="86"/>
  <c r="X7" i="86"/>
  <c r="Y7" i="86"/>
  <c r="Z7" i="86"/>
  <c r="AA7" i="86"/>
  <c r="AB7" i="86"/>
  <c r="AC7" i="86"/>
  <c r="AD7" i="86"/>
  <c r="AE7" i="86"/>
  <c r="AF7" i="86"/>
  <c r="AG7" i="86"/>
  <c r="AH7" i="86"/>
  <c r="AI7" i="86"/>
  <c r="AJ7" i="86"/>
  <c r="AK7" i="86"/>
  <c r="AL7" i="86"/>
  <c r="AM7" i="86"/>
  <c r="AN7" i="86"/>
  <c r="AO7" i="86"/>
  <c r="AP7" i="86"/>
  <c r="AQ7" i="86"/>
  <c r="AR7" i="86"/>
  <c r="C8" i="86"/>
  <c r="D8" i="86"/>
  <c r="E8" i="86"/>
  <c r="F8" i="86"/>
  <c r="G8" i="86"/>
  <c r="H8" i="86"/>
  <c r="I8" i="86"/>
  <c r="J8" i="86"/>
  <c r="K8" i="86"/>
  <c r="L8" i="86"/>
  <c r="M8" i="86"/>
  <c r="N8" i="86"/>
  <c r="O8" i="86"/>
  <c r="P8" i="86"/>
  <c r="Q8" i="86"/>
  <c r="R8" i="86"/>
  <c r="S8" i="86"/>
  <c r="T8" i="86"/>
  <c r="U8" i="86"/>
  <c r="V8" i="86"/>
  <c r="W8" i="86"/>
  <c r="X8" i="86"/>
  <c r="Y8" i="86"/>
  <c r="Z8" i="86"/>
  <c r="AA8" i="86"/>
  <c r="AB8" i="86"/>
  <c r="AC8" i="86"/>
  <c r="AD8" i="86"/>
  <c r="AE8" i="86"/>
  <c r="AF8" i="86"/>
  <c r="AG8" i="86"/>
  <c r="AH8" i="86"/>
  <c r="AI8" i="86"/>
  <c r="AJ8" i="86"/>
  <c r="AK8" i="86"/>
  <c r="AL8" i="86"/>
  <c r="AM8" i="86"/>
  <c r="AN8" i="86"/>
  <c r="AO8" i="86"/>
  <c r="AP8" i="86"/>
  <c r="AQ8" i="86"/>
  <c r="AR8" i="86"/>
  <c r="C9" i="86"/>
  <c r="D9" i="86"/>
  <c r="E9" i="86"/>
  <c r="F9" i="86"/>
  <c r="G9" i="86"/>
  <c r="H9" i="86"/>
  <c r="I9" i="86"/>
  <c r="J9" i="86"/>
  <c r="K9" i="86"/>
  <c r="L9" i="86"/>
  <c r="M9" i="86"/>
  <c r="N9" i="86"/>
  <c r="O9" i="86"/>
  <c r="P9" i="86"/>
  <c r="Q9" i="86"/>
  <c r="R9" i="86"/>
  <c r="S9" i="86"/>
  <c r="T9" i="86"/>
  <c r="U9" i="86"/>
  <c r="V9" i="86"/>
  <c r="W9" i="86"/>
  <c r="X9" i="86"/>
  <c r="Y9" i="86"/>
  <c r="Z9" i="86"/>
  <c r="AA9" i="86"/>
  <c r="AB9" i="86"/>
  <c r="AC9" i="86"/>
  <c r="AD9" i="86"/>
  <c r="AE9" i="86"/>
  <c r="AF9" i="86"/>
  <c r="AG9" i="86"/>
  <c r="AH9" i="86"/>
  <c r="AI9" i="86"/>
  <c r="AJ9" i="86"/>
  <c r="AK9" i="86"/>
  <c r="AL9" i="86"/>
  <c r="AM9" i="86"/>
  <c r="AN9" i="86"/>
  <c r="AO9" i="86"/>
  <c r="AP9" i="86"/>
  <c r="AQ9" i="86"/>
  <c r="AR9" i="86"/>
  <c r="C10" i="86"/>
  <c r="D10" i="86"/>
  <c r="E10" i="86"/>
  <c r="F10" i="86"/>
  <c r="G10" i="86"/>
  <c r="H10" i="86"/>
  <c r="I10" i="86"/>
  <c r="J10" i="86"/>
  <c r="K10" i="86"/>
  <c r="L10" i="86"/>
  <c r="M10" i="86"/>
  <c r="N10" i="86"/>
  <c r="O10" i="86"/>
  <c r="P10" i="86"/>
  <c r="Q10" i="86"/>
  <c r="R10" i="86"/>
  <c r="S10" i="86"/>
  <c r="T10" i="86"/>
  <c r="U10" i="86"/>
  <c r="V10" i="86"/>
  <c r="W10" i="86"/>
  <c r="X10" i="86"/>
  <c r="Y10" i="86"/>
  <c r="Z10" i="86"/>
  <c r="AA10" i="86"/>
  <c r="AB10" i="86"/>
  <c r="AC10" i="86"/>
  <c r="AD10" i="86"/>
  <c r="AE10" i="86"/>
  <c r="AF10" i="86"/>
  <c r="AG10" i="86"/>
  <c r="AH10" i="86"/>
  <c r="AI10" i="86"/>
  <c r="AJ10" i="86"/>
  <c r="AK10" i="86"/>
  <c r="AL10" i="86"/>
  <c r="AM10" i="86"/>
  <c r="AN10" i="86"/>
  <c r="AO10" i="86"/>
  <c r="AP10" i="86"/>
  <c r="AQ10" i="86"/>
  <c r="AR10" i="86"/>
  <c r="C11" i="86"/>
  <c r="D11" i="86"/>
  <c r="E11" i="86"/>
  <c r="F11" i="86"/>
  <c r="G11" i="86"/>
  <c r="H11" i="86"/>
  <c r="I11" i="86"/>
  <c r="J11" i="86"/>
  <c r="K11" i="86"/>
  <c r="L11" i="86"/>
  <c r="M11" i="86"/>
  <c r="N11" i="86"/>
  <c r="O11" i="86"/>
  <c r="P11" i="86"/>
  <c r="Q11" i="86"/>
  <c r="R11" i="86"/>
  <c r="S11" i="86"/>
  <c r="T11" i="86"/>
  <c r="U11" i="86"/>
  <c r="V11" i="86"/>
  <c r="W11" i="86"/>
  <c r="X11" i="86"/>
  <c r="Y11" i="86"/>
  <c r="Z11" i="86"/>
  <c r="AA11" i="86"/>
  <c r="AB11" i="86"/>
  <c r="AC11" i="86"/>
  <c r="AD11" i="86"/>
  <c r="AE11" i="86"/>
  <c r="AF11" i="86"/>
  <c r="AG11" i="86"/>
  <c r="AH11" i="86"/>
  <c r="AI11" i="86"/>
  <c r="AJ11" i="86"/>
  <c r="AK11" i="86"/>
  <c r="AL11" i="86"/>
  <c r="AM11" i="86"/>
  <c r="AN11" i="86"/>
  <c r="AO11" i="86"/>
  <c r="AP11" i="86"/>
  <c r="AQ11" i="86"/>
  <c r="AR11" i="86"/>
  <c r="B3" i="86"/>
  <c r="B4" i="86"/>
  <c r="B5" i="86"/>
  <c r="B6" i="86"/>
  <c r="B7" i="86"/>
  <c r="B8" i="86"/>
  <c r="B9" i="86"/>
  <c r="B10" i="86"/>
  <c r="B11" i="86"/>
  <c r="B2" i="86"/>
  <c r="C2" i="70"/>
  <c r="D2" i="70"/>
  <c r="E2" i="70"/>
  <c r="F2" i="70"/>
  <c r="G2" i="70"/>
  <c r="H2" i="70"/>
  <c r="I2" i="70"/>
  <c r="J2" i="70"/>
  <c r="K2" i="70"/>
  <c r="L2" i="70"/>
  <c r="M2" i="70"/>
  <c r="N2" i="70"/>
  <c r="O2" i="70"/>
  <c r="P2" i="70"/>
  <c r="Q2" i="70"/>
  <c r="R2" i="70"/>
  <c r="S2" i="70"/>
  <c r="T2" i="70"/>
  <c r="U2" i="70"/>
  <c r="V2" i="70"/>
  <c r="W2" i="70"/>
  <c r="X2" i="70"/>
  <c r="Y2" i="70"/>
  <c r="Z2" i="70"/>
  <c r="AA2" i="70"/>
  <c r="AB2" i="70"/>
  <c r="AC2" i="70"/>
  <c r="AD2" i="70"/>
  <c r="AE2" i="70"/>
  <c r="AF2" i="70"/>
  <c r="AG2" i="70"/>
  <c r="AH2" i="70"/>
  <c r="AI2" i="70"/>
  <c r="AJ2" i="70"/>
  <c r="AK2" i="70"/>
  <c r="AL2" i="70"/>
  <c r="AM2" i="70"/>
  <c r="AN2" i="70"/>
  <c r="AO2" i="70"/>
  <c r="AP2" i="70"/>
  <c r="AQ2" i="70"/>
  <c r="AR2" i="70"/>
  <c r="C6" i="70"/>
  <c r="D6" i="70"/>
  <c r="E6" i="70"/>
  <c r="F6" i="70"/>
  <c r="G6" i="70"/>
  <c r="H6" i="70"/>
  <c r="I6" i="70"/>
  <c r="J6" i="70"/>
  <c r="K6" i="70"/>
  <c r="L6" i="70"/>
  <c r="M6" i="70"/>
  <c r="N6" i="70"/>
  <c r="O6" i="70"/>
  <c r="P6" i="70"/>
  <c r="Q6" i="70"/>
  <c r="R6" i="70"/>
  <c r="S6" i="70"/>
  <c r="T6" i="70"/>
  <c r="U6" i="70"/>
  <c r="V6" i="70"/>
  <c r="W6" i="70"/>
  <c r="X6" i="70"/>
  <c r="Y6" i="70"/>
  <c r="Z6" i="70"/>
  <c r="AA6" i="70"/>
  <c r="AB6" i="70"/>
  <c r="AC6" i="70"/>
  <c r="AD6" i="70"/>
  <c r="AE6" i="70"/>
  <c r="AF6" i="70"/>
  <c r="AG6" i="70"/>
  <c r="AH6" i="70"/>
  <c r="AI6" i="70"/>
  <c r="AJ6" i="70"/>
  <c r="AK6" i="70"/>
  <c r="AL6" i="70"/>
  <c r="AM6" i="70"/>
  <c r="AN6" i="70"/>
  <c r="AO6" i="70"/>
  <c r="AP6" i="70"/>
  <c r="AQ6" i="70"/>
  <c r="AR6" i="70"/>
  <c r="B2" i="70"/>
  <c r="B6" i="70"/>
  <c r="D6" i="91"/>
  <c r="E6" i="91"/>
  <c r="F6" i="91"/>
  <c r="G6" i="91"/>
  <c r="H6" i="91"/>
  <c r="I6" i="91"/>
  <c r="J6" i="91"/>
  <c r="K6" i="91"/>
  <c r="L6" i="91"/>
  <c r="M6" i="91"/>
  <c r="N6" i="91"/>
  <c r="N12" i="91" s="1"/>
  <c r="O6" i="91"/>
  <c r="O12" i="91" s="1"/>
  <c r="P6" i="91"/>
  <c r="Q6" i="91"/>
  <c r="R6" i="91"/>
  <c r="S6" i="91"/>
  <c r="T6" i="91"/>
  <c r="U6" i="91"/>
  <c r="V6" i="91"/>
  <c r="W6" i="91"/>
  <c r="X6" i="91"/>
  <c r="Y6" i="91"/>
  <c r="Z6" i="91"/>
  <c r="Z12" i="91" s="1"/>
  <c r="AA6" i="91"/>
  <c r="AA12" i="91" s="1"/>
  <c r="AB6" i="91"/>
  <c r="AC6" i="91"/>
  <c r="AD6" i="91"/>
  <c r="AE6" i="91"/>
  <c r="AF6" i="91"/>
  <c r="AG6" i="91"/>
  <c r="AH6" i="91"/>
  <c r="AI6" i="91"/>
  <c r="AJ6" i="91"/>
  <c r="AK6" i="91"/>
  <c r="AL6" i="91"/>
  <c r="AM6" i="91"/>
  <c r="AM12" i="91" s="1"/>
  <c r="AN6" i="91"/>
  <c r="AO6" i="91"/>
  <c r="AP6" i="91"/>
  <c r="AQ6" i="91"/>
  <c r="AR6" i="91"/>
  <c r="C6" i="91"/>
  <c r="B6" i="91"/>
  <c r="D2" i="92"/>
  <c r="E2" i="92"/>
  <c r="F2" i="92"/>
  <c r="G2" i="92"/>
  <c r="H2" i="92"/>
  <c r="I2" i="92"/>
  <c r="J2" i="92"/>
  <c r="K2" i="92"/>
  <c r="L2" i="92"/>
  <c r="M2" i="92"/>
  <c r="N2" i="92"/>
  <c r="N12" i="92" s="1"/>
  <c r="O2" i="92"/>
  <c r="O12" i="92" s="1"/>
  <c r="P2" i="92"/>
  <c r="Q2" i="92"/>
  <c r="R2" i="92"/>
  <c r="S2" i="92"/>
  <c r="T2" i="92"/>
  <c r="U2" i="92"/>
  <c r="V2" i="92"/>
  <c r="W2" i="92"/>
  <c r="X2" i="92"/>
  <c r="Y2" i="92"/>
  <c r="Z2" i="92"/>
  <c r="Z12" i="92" s="1"/>
  <c r="AA2" i="92"/>
  <c r="AA12" i="92" s="1"/>
  <c r="AB2" i="92"/>
  <c r="AC2" i="92"/>
  <c r="AD2" i="92"/>
  <c r="AE2" i="92"/>
  <c r="AF2" i="92"/>
  <c r="AG2" i="92"/>
  <c r="AH2" i="92"/>
  <c r="AI2" i="92"/>
  <c r="AJ2" i="92"/>
  <c r="AK2" i="92"/>
  <c r="AL2" i="92"/>
  <c r="AL12" i="92" s="1"/>
  <c r="AM2" i="92"/>
  <c r="AM12" i="92" s="1"/>
  <c r="AN2" i="92"/>
  <c r="AO2" i="92"/>
  <c r="AP2" i="92"/>
  <c r="AQ2" i="92"/>
  <c r="AR2" i="92"/>
  <c r="D3" i="92"/>
  <c r="E3" i="92"/>
  <c r="F3" i="92"/>
  <c r="G3" i="92"/>
  <c r="H3" i="92"/>
  <c r="I3" i="92"/>
  <c r="I12" i="92" s="1"/>
  <c r="J3" i="92"/>
  <c r="K3" i="92"/>
  <c r="L3" i="92"/>
  <c r="M3" i="92"/>
  <c r="N3" i="92"/>
  <c r="O3" i="92"/>
  <c r="P3" i="92"/>
  <c r="Q3" i="92"/>
  <c r="R3" i="92"/>
  <c r="S3" i="92"/>
  <c r="T3" i="92"/>
  <c r="U3" i="92"/>
  <c r="U12" i="92" s="1"/>
  <c r="V3" i="92"/>
  <c r="V12" i="92" s="1"/>
  <c r="W3" i="92"/>
  <c r="X3" i="92"/>
  <c r="Y3" i="92"/>
  <c r="Z3" i="92"/>
  <c r="AA3" i="92"/>
  <c r="AB3" i="92"/>
  <c r="AC3" i="92"/>
  <c r="AD3" i="92"/>
  <c r="AE3" i="92"/>
  <c r="AF3" i="92"/>
  <c r="AG3" i="92"/>
  <c r="AG12" i="92" s="1"/>
  <c r="AH3" i="92"/>
  <c r="AH12" i="92" s="1"/>
  <c r="AI3" i="92"/>
  <c r="AJ3" i="92"/>
  <c r="AK3" i="92"/>
  <c r="AL3" i="92"/>
  <c r="AM3" i="92"/>
  <c r="AN3" i="92"/>
  <c r="AO3" i="92"/>
  <c r="AP3" i="92"/>
  <c r="AQ3" i="92"/>
  <c r="AR3" i="92"/>
  <c r="D4" i="92"/>
  <c r="D12" i="92" s="1"/>
  <c r="E4" i="92"/>
  <c r="E12" i="92" s="1"/>
  <c r="F4" i="92"/>
  <c r="G4" i="92"/>
  <c r="H4" i="92"/>
  <c r="I4" i="92"/>
  <c r="J4" i="92"/>
  <c r="K4" i="92"/>
  <c r="L4" i="92"/>
  <c r="M4" i="92"/>
  <c r="N4" i="92"/>
  <c r="O4" i="92"/>
  <c r="P4" i="92"/>
  <c r="P12" i="92" s="1"/>
  <c r="Q4" i="92"/>
  <c r="Q12" i="92" s="1"/>
  <c r="R4" i="92"/>
  <c r="S4" i="92"/>
  <c r="T4" i="92"/>
  <c r="U4" i="92"/>
  <c r="V4" i="92"/>
  <c r="W4" i="92"/>
  <c r="X4" i="92"/>
  <c r="Y4" i="92"/>
  <c r="Z4" i="92"/>
  <c r="AA4" i="92"/>
  <c r="AB4" i="92"/>
  <c r="AB12" i="92" s="1"/>
  <c r="AC4" i="92"/>
  <c r="AC12" i="92" s="1"/>
  <c r="AD4" i="92"/>
  <c r="AE4" i="92"/>
  <c r="AF4" i="92"/>
  <c r="AG4" i="92"/>
  <c r="AH4" i="92"/>
  <c r="AI4" i="92"/>
  <c r="AJ4" i="92"/>
  <c r="AK4" i="92"/>
  <c r="AL4" i="92"/>
  <c r="AM4" i="92"/>
  <c r="AN4" i="92"/>
  <c r="AN12" i="92" s="1"/>
  <c r="AO4" i="92"/>
  <c r="AO12" i="92" s="1"/>
  <c r="AP4" i="92"/>
  <c r="AQ4" i="92"/>
  <c r="AR4" i="92"/>
  <c r="D5" i="92"/>
  <c r="E5" i="92"/>
  <c r="F5" i="92"/>
  <c r="G5" i="92"/>
  <c r="H5" i="92"/>
  <c r="I5" i="92"/>
  <c r="J5" i="92"/>
  <c r="K5" i="92"/>
  <c r="L5" i="92"/>
  <c r="L12" i="92" s="1"/>
  <c r="M5" i="92"/>
  <c r="N5" i="92"/>
  <c r="O5" i="92"/>
  <c r="P5" i="92"/>
  <c r="Q5" i="92"/>
  <c r="R5" i="92"/>
  <c r="S5" i="92"/>
  <c r="T5" i="92"/>
  <c r="U5" i="92"/>
  <c r="V5" i="92"/>
  <c r="W5" i="92"/>
  <c r="X5" i="92"/>
  <c r="X12" i="92" s="1"/>
  <c r="Y5" i="92"/>
  <c r="Z5" i="92"/>
  <c r="AA5" i="92"/>
  <c r="AB5" i="92"/>
  <c r="AC5" i="92"/>
  <c r="AD5" i="92"/>
  <c r="AE5" i="92"/>
  <c r="AF5" i="92"/>
  <c r="AG5" i="92"/>
  <c r="AH5" i="92"/>
  <c r="AI5" i="92"/>
  <c r="AI12" i="92" s="1"/>
  <c r="AJ5" i="92"/>
  <c r="AK5" i="92"/>
  <c r="AL5" i="92"/>
  <c r="AM5" i="92"/>
  <c r="AN5" i="92"/>
  <c r="AO5" i="92"/>
  <c r="AP5" i="92"/>
  <c r="AQ5" i="92"/>
  <c r="AR5" i="92"/>
  <c r="D7" i="92"/>
  <c r="E7" i="92"/>
  <c r="F7" i="92"/>
  <c r="F12" i="92" s="1"/>
  <c r="G7" i="92"/>
  <c r="G12" i="92" s="1"/>
  <c r="H7" i="92"/>
  <c r="I7" i="92"/>
  <c r="J7" i="92"/>
  <c r="K7" i="92"/>
  <c r="L7" i="92"/>
  <c r="M7" i="92"/>
  <c r="N7" i="92"/>
  <c r="O7" i="92"/>
  <c r="P7" i="92"/>
  <c r="Q7" i="92"/>
  <c r="R7" i="92"/>
  <c r="R12" i="92" s="1"/>
  <c r="S7" i="92"/>
  <c r="S12" i="92" s="1"/>
  <c r="T7" i="92"/>
  <c r="U7" i="92"/>
  <c r="V7" i="92"/>
  <c r="W7" i="92"/>
  <c r="X7" i="92"/>
  <c r="Y7" i="92"/>
  <c r="Z7" i="92"/>
  <c r="AA7" i="92"/>
  <c r="AB7" i="92"/>
  <c r="AC7" i="92"/>
  <c r="AD7" i="92"/>
  <c r="AD12" i="92" s="1"/>
  <c r="AE7" i="92"/>
  <c r="AE12" i="92" s="1"/>
  <c r="AF7" i="92"/>
  <c r="AG7" i="92"/>
  <c r="AH7" i="92"/>
  <c r="AI7" i="92"/>
  <c r="AJ7" i="92"/>
  <c r="AK7" i="92"/>
  <c r="AL7" i="92"/>
  <c r="AM7" i="92"/>
  <c r="AN7" i="92"/>
  <c r="AO7" i="92"/>
  <c r="AP7" i="92"/>
  <c r="AP12" i="92" s="1"/>
  <c r="AQ7" i="92"/>
  <c r="AQ12" i="92" s="1"/>
  <c r="AR7" i="92"/>
  <c r="D8" i="92"/>
  <c r="E8" i="92"/>
  <c r="F8" i="92"/>
  <c r="G8" i="92"/>
  <c r="H8" i="92"/>
  <c r="I8" i="92"/>
  <c r="J8" i="92"/>
  <c r="K8" i="92"/>
  <c r="L8" i="92"/>
  <c r="M8" i="92"/>
  <c r="M12" i="92" s="1"/>
  <c r="N8" i="92"/>
  <c r="O8" i="92"/>
  <c r="P8" i="92"/>
  <c r="Q8" i="92"/>
  <c r="R8" i="92"/>
  <c r="S8" i="92"/>
  <c r="T8" i="92"/>
  <c r="U8" i="92"/>
  <c r="V8" i="92"/>
  <c r="W8" i="92"/>
  <c r="X8" i="92"/>
  <c r="Y8" i="92"/>
  <c r="Y12" i="92" s="1"/>
  <c r="Z8" i="92"/>
  <c r="AA8" i="92"/>
  <c r="AB8" i="92"/>
  <c r="AC8" i="92"/>
  <c r="AD8" i="92"/>
  <c r="AE8" i="92"/>
  <c r="AF8" i="92"/>
  <c r="AG8" i="92"/>
  <c r="AH8" i="92"/>
  <c r="AI8" i="92"/>
  <c r="AJ8" i="92"/>
  <c r="AK8" i="92"/>
  <c r="AL8" i="92"/>
  <c r="AM8" i="92"/>
  <c r="AN8" i="92"/>
  <c r="AO8" i="92"/>
  <c r="AP8" i="92"/>
  <c r="AQ8" i="92"/>
  <c r="AR8" i="92"/>
  <c r="D9" i="92"/>
  <c r="E9" i="92"/>
  <c r="F9" i="92"/>
  <c r="G9" i="92"/>
  <c r="H9" i="92"/>
  <c r="H12" i="92" s="1"/>
  <c r="I9" i="92"/>
  <c r="J9" i="92"/>
  <c r="K9" i="92"/>
  <c r="L9" i="92"/>
  <c r="M9" i="92"/>
  <c r="N9" i="92"/>
  <c r="O9" i="92"/>
  <c r="P9" i="92"/>
  <c r="Q9" i="92"/>
  <c r="R9" i="92"/>
  <c r="S9" i="92"/>
  <c r="T9" i="92"/>
  <c r="T12" i="92" s="1"/>
  <c r="U9" i="92"/>
  <c r="V9" i="92"/>
  <c r="W9" i="92"/>
  <c r="X9" i="92"/>
  <c r="Y9" i="92"/>
  <c r="Z9" i="92"/>
  <c r="AA9" i="92"/>
  <c r="AB9" i="92"/>
  <c r="AC9" i="92"/>
  <c r="AD9" i="92"/>
  <c r="AE9" i="92"/>
  <c r="AF9" i="92"/>
  <c r="AF12" i="92" s="1"/>
  <c r="AG9" i="92"/>
  <c r="AH9" i="92"/>
  <c r="AI9" i="92"/>
  <c r="AJ9" i="92"/>
  <c r="AK9" i="92"/>
  <c r="AL9" i="92"/>
  <c r="AM9" i="92"/>
  <c r="AN9" i="92"/>
  <c r="AO9" i="92"/>
  <c r="AP9" i="92"/>
  <c r="AQ9" i="92"/>
  <c r="AR9" i="92"/>
  <c r="AR12" i="92" s="1"/>
  <c r="D10" i="92"/>
  <c r="E10" i="92"/>
  <c r="F10" i="92"/>
  <c r="G10" i="92"/>
  <c r="H10" i="92"/>
  <c r="I10" i="92"/>
  <c r="J10" i="92"/>
  <c r="K10" i="92"/>
  <c r="L10" i="92"/>
  <c r="M10" i="92"/>
  <c r="N10" i="92"/>
  <c r="O10" i="92"/>
  <c r="P10" i="92"/>
  <c r="Q10" i="92"/>
  <c r="R10" i="92"/>
  <c r="S10" i="92"/>
  <c r="T10" i="92"/>
  <c r="U10" i="92"/>
  <c r="V10" i="92"/>
  <c r="W10" i="92"/>
  <c r="X10" i="92"/>
  <c r="Y10" i="92"/>
  <c r="Z10" i="92"/>
  <c r="AA10" i="92"/>
  <c r="AB10" i="92"/>
  <c r="AC10" i="92"/>
  <c r="AD10" i="92"/>
  <c r="AE10" i="92"/>
  <c r="AF10" i="92"/>
  <c r="AG10" i="92"/>
  <c r="AH10" i="92"/>
  <c r="AI10" i="92"/>
  <c r="AJ10" i="92"/>
  <c r="AK10" i="92"/>
  <c r="AL10" i="92"/>
  <c r="AM10" i="92"/>
  <c r="AN10" i="92"/>
  <c r="AO10" i="92"/>
  <c r="AP10" i="92"/>
  <c r="AQ10" i="92"/>
  <c r="AR10" i="92"/>
  <c r="D11" i="92"/>
  <c r="E11" i="92"/>
  <c r="F11" i="92"/>
  <c r="G11" i="92"/>
  <c r="H11" i="92"/>
  <c r="I11" i="92"/>
  <c r="J11" i="92"/>
  <c r="K11" i="92"/>
  <c r="K12" i="92" s="1"/>
  <c r="L11" i="92"/>
  <c r="M11" i="92"/>
  <c r="N11" i="92"/>
  <c r="O11" i="92"/>
  <c r="P11" i="92"/>
  <c r="Q11" i="92"/>
  <c r="R11" i="92"/>
  <c r="S11" i="92"/>
  <c r="T11" i="92"/>
  <c r="U11" i="92"/>
  <c r="V11" i="92"/>
  <c r="W11" i="92"/>
  <c r="X11" i="92"/>
  <c r="Y11" i="92"/>
  <c r="Z11" i="92"/>
  <c r="AA11" i="92"/>
  <c r="AB11" i="92"/>
  <c r="AC11" i="92"/>
  <c r="AD11" i="92"/>
  <c r="AE11" i="92"/>
  <c r="AF11" i="92"/>
  <c r="AG11" i="92"/>
  <c r="AH11" i="92"/>
  <c r="AI11" i="92"/>
  <c r="AJ11" i="92"/>
  <c r="AK11" i="92"/>
  <c r="AL11" i="92"/>
  <c r="AM11" i="92"/>
  <c r="AN11" i="92"/>
  <c r="AO11" i="92"/>
  <c r="AP11" i="92"/>
  <c r="AQ11" i="92"/>
  <c r="AR11" i="92"/>
  <c r="C2" i="92"/>
  <c r="C3" i="92"/>
  <c r="C4" i="92"/>
  <c r="C5" i="92"/>
  <c r="C7" i="92"/>
  <c r="C8" i="92"/>
  <c r="C9" i="92"/>
  <c r="C10" i="92"/>
  <c r="C11" i="92"/>
  <c r="B3" i="92"/>
  <c r="B4" i="92"/>
  <c r="B5" i="92"/>
  <c r="B7" i="92"/>
  <c r="B8" i="92"/>
  <c r="B9" i="92"/>
  <c r="B10" i="92"/>
  <c r="B11" i="92"/>
  <c r="B2" i="92"/>
  <c r="C2" i="93"/>
  <c r="D2" i="93"/>
  <c r="E2" i="93"/>
  <c r="F2" i="93"/>
  <c r="G2" i="93"/>
  <c r="H2" i="93"/>
  <c r="I2" i="93"/>
  <c r="J2" i="93"/>
  <c r="K2" i="93"/>
  <c r="L2" i="93"/>
  <c r="M2" i="93"/>
  <c r="N2" i="93"/>
  <c r="N12" i="93" s="1"/>
  <c r="O2" i="93"/>
  <c r="P2" i="93"/>
  <c r="Q2" i="93"/>
  <c r="R2" i="93"/>
  <c r="S2" i="93"/>
  <c r="T2" i="93"/>
  <c r="U2" i="93"/>
  <c r="V2" i="93"/>
  <c r="W2" i="93"/>
  <c r="X2" i="93"/>
  <c r="Y2" i="93"/>
  <c r="Z2" i="93"/>
  <c r="Z12" i="93" s="1"/>
  <c r="AA2" i="93"/>
  <c r="AB2" i="93"/>
  <c r="AC2" i="93"/>
  <c r="AD2" i="93"/>
  <c r="AE2" i="93"/>
  <c r="AF2" i="93"/>
  <c r="AG2" i="93"/>
  <c r="AH2" i="93"/>
  <c r="AI2" i="93"/>
  <c r="AJ2" i="93"/>
  <c r="AK2" i="93"/>
  <c r="AL2" i="93"/>
  <c r="AL12" i="93" s="1"/>
  <c r="AM2" i="93"/>
  <c r="AN2" i="93"/>
  <c r="AO2" i="93"/>
  <c r="AP2" i="93"/>
  <c r="AQ2" i="93"/>
  <c r="AR2" i="93"/>
  <c r="C3" i="93"/>
  <c r="D3" i="93"/>
  <c r="E3" i="93"/>
  <c r="F3" i="93"/>
  <c r="G3" i="93"/>
  <c r="H3" i="93"/>
  <c r="H12" i="93" s="1"/>
  <c r="I3" i="93"/>
  <c r="J3" i="93"/>
  <c r="K3" i="93"/>
  <c r="L3" i="93"/>
  <c r="M3" i="93"/>
  <c r="N3" i="93"/>
  <c r="O3" i="93"/>
  <c r="P3" i="93"/>
  <c r="Q3" i="93"/>
  <c r="R3" i="93"/>
  <c r="S3" i="93"/>
  <c r="T3" i="93"/>
  <c r="T12" i="93" s="1"/>
  <c r="U3" i="93"/>
  <c r="V3" i="93"/>
  <c r="W3" i="93"/>
  <c r="X3" i="93"/>
  <c r="Y3" i="93"/>
  <c r="Z3" i="93"/>
  <c r="AA3" i="93"/>
  <c r="AB3" i="93"/>
  <c r="AC3" i="93"/>
  <c r="AD3" i="93"/>
  <c r="AE3" i="93"/>
  <c r="AF3" i="93"/>
  <c r="AF12" i="93" s="1"/>
  <c r="AG3" i="93"/>
  <c r="AH3" i="93"/>
  <c r="AI3" i="93"/>
  <c r="AJ3" i="93"/>
  <c r="AK3" i="93"/>
  <c r="AL3" i="93"/>
  <c r="AM3" i="93"/>
  <c r="AN3" i="93"/>
  <c r="AO3" i="93"/>
  <c r="AP3" i="93"/>
  <c r="AQ3" i="93"/>
  <c r="AR3" i="93"/>
  <c r="AR12" i="93" s="1"/>
  <c r="C4" i="93"/>
  <c r="D4" i="93"/>
  <c r="E4" i="93"/>
  <c r="F4" i="93"/>
  <c r="G4" i="93"/>
  <c r="H4" i="93"/>
  <c r="I4" i="93"/>
  <c r="J4" i="93"/>
  <c r="K4" i="93"/>
  <c r="L4" i="93"/>
  <c r="M4" i="93"/>
  <c r="N4" i="93"/>
  <c r="O4" i="93"/>
  <c r="P4" i="93"/>
  <c r="Q4" i="93"/>
  <c r="R4" i="93"/>
  <c r="S4" i="93"/>
  <c r="T4" i="93"/>
  <c r="U4" i="93"/>
  <c r="V4" i="93"/>
  <c r="W4" i="93"/>
  <c r="X4" i="93"/>
  <c r="Y4" i="93"/>
  <c r="Z4" i="93"/>
  <c r="AA4" i="93"/>
  <c r="AB4" i="93"/>
  <c r="AC4" i="93"/>
  <c r="AD4" i="93"/>
  <c r="AE4" i="93"/>
  <c r="AF4" i="93"/>
  <c r="AG4" i="93"/>
  <c r="AH4" i="93"/>
  <c r="AI4" i="93"/>
  <c r="AJ4" i="93"/>
  <c r="AK4" i="93"/>
  <c r="AL4" i="93"/>
  <c r="AM4" i="93"/>
  <c r="AN4" i="93"/>
  <c r="AO4" i="93"/>
  <c r="AP4" i="93"/>
  <c r="AQ4" i="93"/>
  <c r="AR4" i="93"/>
  <c r="C5" i="93"/>
  <c r="D5" i="93"/>
  <c r="E5" i="93"/>
  <c r="F5" i="93"/>
  <c r="G5" i="93"/>
  <c r="H5" i="93"/>
  <c r="I5" i="93"/>
  <c r="J5" i="93"/>
  <c r="K5" i="93"/>
  <c r="L5" i="93"/>
  <c r="M5" i="93"/>
  <c r="N5" i="93"/>
  <c r="O5" i="93"/>
  <c r="P5" i="93"/>
  <c r="Q5" i="93"/>
  <c r="R5" i="93"/>
  <c r="S5" i="93"/>
  <c r="T5" i="93"/>
  <c r="U5" i="93"/>
  <c r="V5" i="93"/>
  <c r="W5" i="93"/>
  <c r="X5" i="93"/>
  <c r="Y5" i="93"/>
  <c r="Z5" i="93"/>
  <c r="AA5" i="93"/>
  <c r="AB5" i="93"/>
  <c r="AC5" i="93"/>
  <c r="AD5" i="93"/>
  <c r="AE5" i="93"/>
  <c r="AF5" i="93"/>
  <c r="AG5" i="93"/>
  <c r="AH5" i="93"/>
  <c r="AI5" i="93"/>
  <c r="AJ5" i="93"/>
  <c r="AK5" i="93"/>
  <c r="AL5" i="93"/>
  <c r="AM5" i="93"/>
  <c r="AN5" i="93"/>
  <c r="AO5" i="93"/>
  <c r="AP5" i="93"/>
  <c r="AQ5" i="93"/>
  <c r="AR5" i="93"/>
  <c r="C6" i="93"/>
  <c r="D6" i="93"/>
  <c r="E6" i="93"/>
  <c r="F6" i="93"/>
  <c r="G6" i="93"/>
  <c r="H6" i="93"/>
  <c r="I6" i="93"/>
  <c r="J6" i="93"/>
  <c r="K6" i="93"/>
  <c r="L6" i="93"/>
  <c r="M6" i="93"/>
  <c r="N6" i="93"/>
  <c r="O6" i="93"/>
  <c r="P6" i="93"/>
  <c r="Q6" i="93"/>
  <c r="R6" i="93"/>
  <c r="S6" i="93"/>
  <c r="T6" i="93"/>
  <c r="U6" i="93"/>
  <c r="V6" i="93"/>
  <c r="W6" i="93"/>
  <c r="X6" i="93"/>
  <c r="Y6" i="93"/>
  <c r="Z6" i="93"/>
  <c r="AA6" i="93"/>
  <c r="AB6" i="93"/>
  <c r="AC6" i="93"/>
  <c r="AD6" i="93"/>
  <c r="AE6" i="93"/>
  <c r="AF6" i="93"/>
  <c r="AG6" i="93"/>
  <c r="AH6" i="93"/>
  <c r="AI6" i="93"/>
  <c r="AJ6" i="93"/>
  <c r="AK6" i="93"/>
  <c r="AL6" i="93"/>
  <c r="AM6" i="93"/>
  <c r="AN6" i="93"/>
  <c r="AO6" i="93"/>
  <c r="AP6" i="93"/>
  <c r="AQ6" i="93"/>
  <c r="AR6" i="93"/>
  <c r="C7" i="93"/>
  <c r="D7" i="93"/>
  <c r="E7" i="93"/>
  <c r="F7" i="93"/>
  <c r="G7" i="93"/>
  <c r="H7" i="93"/>
  <c r="I7" i="93"/>
  <c r="J7" i="93"/>
  <c r="K7" i="93"/>
  <c r="L7" i="93"/>
  <c r="M7" i="93"/>
  <c r="N7" i="93"/>
  <c r="O7" i="93"/>
  <c r="P7" i="93"/>
  <c r="Q7" i="93"/>
  <c r="R7" i="93"/>
  <c r="S7" i="93"/>
  <c r="T7" i="93"/>
  <c r="U7" i="93"/>
  <c r="V7" i="93"/>
  <c r="W7" i="93"/>
  <c r="X7" i="93"/>
  <c r="Y7" i="93"/>
  <c r="Z7" i="93"/>
  <c r="AA7" i="93"/>
  <c r="AB7" i="93"/>
  <c r="AC7" i="93"/>
  <c r="AD7" i="93"/>
  <c r="AE7" i="93"/>
  <c r="AF7" i="93"/>
  <c r="AG7" i="93"/>
  <c r="AH7" i="93"/>
  <c r="AI7" i="93"/>
  <c r="AJ7" i="93"/>
  <c r="AK7" i="93"/>
  <c r="AL7" i="93"/>
  <c r="AM7" i="93"/>
  <c r="AN7" i="93"/>
  <c r="AO7" i="93"/>
  <c r="AP7" i="93"/>
  <c r="AQ7" i="93"/>
  <c r="AR7" i="93"/>
  <c r="C8" i="93"/>
  <c r="D8" i="93"/>
  <c r="E8" i="93"/>
  <c r="F8" i="93"/>
  <c r="G8" i="93"/>
  <c r="H8" i="93"/>
  <c r="I8" i="93"/>
  <c r="J8" i="93"/>
  <c r="K8" i="93"/>
  <c r="L8" i="93"/>
  <c r="M8" i="93"/>
  <c r="N8" i="93"/>
  <c r="O8" i="93"/>
  <c r="P8" i="93"/>
  <c r="Q8" i="93"/>
  <c r="R8" i="93"/>
  <c r="S8" i="93"/>
  <c r="T8" i="93"/>
  <c r="U8" i="93"/>
  <c r="V8" i="93"/>
  <c r="W8" i="93"/>
  <c r="X8" i="93"/>
  <c r="Y8" i="93"/>
  <c r="Z8" i="93"/>
  <c r="AA8" i="93"/>
  <c r="AB8" i="93"/>
  <c r="AC8" i="93"/>
  <c r="AD8" i="93"/>
  <c r="AE8" i="93"/>
  <c r="AF8" i="93"/>
  <c r="AG8" i="93"/>
  <c r="AH8" i="93"/>
  <c r="AI8" i="93"/>
  <c r="AJ8" i="93"/>
  <c r="AK8" i="93"/>
  <c r="AL8" i="93"/>
  <c r="AM8" i="93"/>
  <c r="AN8" i="93"/>
  <c r="AO8" i="93"/>
  <c r="AP8" i="93"/>
  <c r="AQ8" i="93"/>
  <c r="AR8" i="93"/>
  <c r="C9" i="93"/>
  <c r="D9" i="93"/>
  <c r="E9" i="93"/>
  <c r="F9" i="93"/>
  <c r="G9" i="93"/>
  <c r="H9" i="93"/>
  <c r="I9" i="93"/>
  <c r="J9" i="93"/>
  <c r="K9" i="93"/>
  <c r="L9" i="93"/>
  <c r="M9" i="93"/>
  <c r="N9" i="93"/>
  <c r="O9" i="93"/>
  <c r="P9" i="93"/>
  <c r="Q9" i="93"/>
  <c r="R9" i="93"/>
  <c r="S9" i="93"/>
  <c r="T9" i="93"/>
  <c r="U9" i="93"/>
  <c r="V9" i="93"/>
  <c r="W9" i="93"/>
  <c r="X9" i="93"/>
  <c r="Y9" i="93"/>
  <c r="Z9" i="93"/>
  <c r="AA9" i="93"/>
  <c r="AB9" i="93"/>
  <c r="AC9" i="93"/>
  <c r="AD9" i="93"/>
  <c r="AE9" i="93"/>
  <c r="AF9" i="93"/>
  <c r="AG9" i="93"/>
  <c r="AH9" i="93"/>
  <c r="AI9" i="93"/>
  <c r="AJ9" i="93"/>
  <c r="AK9" i="93"/>
  <c r="AL9" i="93"/>
  <c r="AM9" i="93"/>
  <c r="AN9" i="93"/>
  <c r="AO9" i="93"/>
  <c r="AP9" i="93"/>
  <c r="AQ9" i="93"/>
  <c r="AR9" i="93"/>
  <c r="C10" i="93"/>
  <c r="D10" i="93"/>
  <c r="E10" i="93"/>
  <c r="F10" i="93"/>
  <c r="G10" i="93"/>
  <c r="H10" i="93"/>
  <c r="I10" i="93"/>
  <c r="J10" i="93"/>
  <c r="K10" i="93"/>
  <c r="L10" i="93"/>
  <c r="M10" i="93"/>
  <c r="N10" i="93"/>
  <c r="O10" i="93"/>
  <c r="P10" i="93"/>
  <c r="Q10" i="93"/>
  <c r="R10" i="93"/>
  <c r="S10" i="93"/>
  <c r="T10" i="93"/>
  <c r="U10" i="93"/>
  <c r="V10" i="93"/>
  <c r="W10" i="93"/>
  <c r="X10" i="93"/>
  <c r="Y10" i="93"/>
  <c r="Z10" i="93"/>
  <c r="AA10" i="93"/>
  <c r="AB10" i="93"/>
  <c r="AC10" i="93"/>
  <c r="AD10" i="93"/>
  <c r="AE10" i="93"/>
  <c r="AF10" i="93"/>
  <c r="AG10" i="93"/>
  <c r="AH10" i="93"/>
  <c r="AI10" i="93"/>
  <c r="AJ10" i="93"/>
  <c r="AK10" i="93"/>
  <c r="AL10" i="93"/>
  <c r="AM10" i="93"/>
  <c r="AN10" i="93"/>
  <c r="AO10" i="93"/>
  <c r="AP10" i="93"/>
  <c r="AQ10" i="93"/>
  <c r="AR10" i="93"/>
  <c r="C11" i="93"/>
  <c r="D11" i="93"/>
  <c r="E11" i="93"/>
  <c r="F11" i="93"/>
  <c r="G11" i="93"/>
  <c r="H11" i="93"/>
  <c r="I11" i="93"/>
  <c r="J11" i="93"/>
  <c r="K11" i="93"/>
  <c r="L11" i="93"/>
  <c r="M11" i="93"/>
  <c r="N11" i="93"/>
  <c r="O11" i="93"/>
  <c r="P11" i="93"/>
  <c r="Q11" i="93"/>
  <c r="R11" i="93"/>
  <c r="S11" i="93"/>
  <c r="T11" i="93"/>
  <c r="U11" i="93"/>
  <c r="V11" i="93"/>
  <c r="W11" i="93"/>
  <c r="X11" i="93"/>
  <c r="Y11" i="93"/>
  <c r="Z11" i="93"/>
  <c r="AA11" i="93"/>
  <c r="AB11" i="93"/>
  <c r="AC11" i="93"/>
  <c r="AD11" i="93"/>
  <c r="AE11" i="93"/>
  <c r="AF11" i="93"/>
  <c r="AG11" i="93"/>
  <c r="AH11" i="93"/>
  <c r="AI11" i="93"/>
  <c r="AJ11" i="93"/>
  <c r="AK11" i="93"/>
  <c r="AL11" i="93"/>
  <c r="AM11" i="93"/>
  <c r="AN11" i="93"/>
  <c r="AO11" i="93"/>
  <c r="AP11" i="93"/>
  <c r="AQ11" i="93"/>
  <c r="AR11" i="93"/>
  <c r="B3" i="93"/>
  <c r="B4" i="93"/>
  <c r="B5" i="93"/>
  <c r="B6" i="93"/>
  <c r="B7" i="93"/>
  <c r="B8" i="93"/>
  <c r="B9" i="93"/>
  <c r="B10" i="93"/>
  <c r="B11" i="93"/>
  <c r="B2" i="93"/>
  <c r="C2" i="71"/>
  <c r="D2" i="71"/>
  <c r="E2" i="71"/>
  <c r="F2" i="71"/>
  <c r="G2" i="71"/>
  <c r="H2" i="71"/>
  <c r="I2" i="71"/>
  <c r="J2" i="71"/>
  <c r="K2" i="71"/>
  <c r="L2" i="71"/>
  <c r="M2" i="71"/>
  <c r="N2" i="71"/>
  <c r="O2" i="71"/>
  <c r="P2" i="71"/>
  <c r="Q2" i="71"/>
  <c r="R2" i="71"/>
  <c r="S2" i="71"/>
  <c r="T2" i="71"/>
  <c r="U2" i="71"/>
  <c r="V2" i="71"/>
  <c r="W2" i="71"/>
  <c r="X2" i="71"/>
  <c r="Y2" i="71"/>
  <c r="Z2" i="71"/>
  <c r="AA2" i="71"/>
  <c r="AB2" i="71"/>
  <c r="AC2" i="71"/>
  <c r="AD2" i="71"/>
  <c r="AE2" i="71"/>
  <c r="AF2" i="71"/>
  <c r="AG2" i="71"/>
  <c r="AH2" i="71"/>
  <c r="AI2" i="71"/>
  <c r="AJ2" i="71"/>
  <c r="AK2" i="71"/>
  <c r="AL2" i="71"/>
  <c r="AM2" i="71"/>
  <c r="AN2" i="71"/>
  <c r="AO2" i="71"/>
  <c r="AP2" i="71"/>
  <c r="AQ2" i="71"/>
  <c r="AR2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Z6" i="71"/>
  <c r="AA6" i="71"/>
  <c r="AB6" i="71"/>
  <c r="AC6" i="71"/>
  <c r="AD6" i="71"/>
  <c r="AE6" i="71"/>
  <c r="AF6" i="71"/>
  <c r="AG6" i="71"/>
  <c r="AH6" i="71"/>
  <c r="AI6" i="71"/>
  <c r="AJ6" i="71"/>
  <c r="AK6" i="71"/>
  <c r="AL6" i="71"/>
  <c r="AM6" i="71"/>
  <c r="AN6" i="71"/>
  <c r="AO6" i="71"/>
  <c r="AP6" i="71"/>
  <c r="AQ6" i="71"/>
  <c r="AR6" i="71"/>
  <c r="B2" i="71"/>
  <c r="B6" i="71"/>
  <c r="C2" i="96"/>
  <c r="D2" i="96"/>
  <c r="E2" i="96"/>
  <c r="F2" i="96"/>
  <c r="G2" i="96"/>
  <c r="H2" i="96"/>
  <c r="I2" i="96"/>
  <c r="J2" i="96"/>
  <c r="K2" i="96"/>
  <c r="L2" i="96"/>
  <c r="M2" i="96"/>
  <c r="N2" i="96"/>
  <c r="O2" i="96"/>
  <c r="P2" i="96"/>
  <c r="Q2" i="96"/>
  <c r="R2" i="96"/>
  <c r="S2" i="96"/>
  <c r="T2" i="96"/>
  <c r="U2" i="96"/>
  <c r="V2" i="96"/>
  <c r="W2" i="96"/>
  <c r="X2" i="96"/>
  <c r="Y2" i="96"/>
  <c r="Z2" i="96"/>
  <c r="AA2" i="96"/>
  <c r="AB2" i="96"/>
  <c r="AC2" i="96"/>
  <c r="AD2" i="96"/>
  <c r="AE2" i="96"/>
  <c r="AF2" i="96"/>
  <c r="AG2" i="96"/>
  <c r="AH2" i="96"/>
  <c r="AI2" i="96"/>
  <c r="AJ2" i="96"/>
  <c r="AK2" i="96"/>
  <c r="AL2" i="96"/>
  <c r="AM2" i="96"/>
  <c r="AN2" i="96"/>
  <c r="AO2" i="96"/>
  <c r="AP2" i="96"/>
  <c r="AQ2" i="96"/>
  <c r="AR2" i="96"/>
  <c r="C3" i="96"/>
  <c r="D3" i="96"/>
  <c r="E3" i="96"/>
  <c r="F3" i="96"/>
  <c r="G3" i="96"/>
  <c r="H3" i="96"/>
  <c r="I3" i="96"/>
  <c r="J3" i="96"/>
  <c r="K3" i="96"/>
  <c r="L3" i="96"/>
  <c r="M3" i="96"/>
  <c r="N3" i="96"/>
  <c r="O3" i="96"/>
  <c r="P3" i="96"/>
  <c r="Q3" i="96"/>
  <c r="R3" i="96"/>
  <c r="S3" i="96"/>
  <c r="T3" i="96"/>
  <c r="U3" i="96"/>
  <c r="V3" i="96"/>
  <c r="W3" i="96"/>
  <c r="X3" i="96"/>
  <c r="Y3" i="96"/>
  <c r="Z3" i="96"/>
  <c r="AA3" i="96"/>
  <c r="AB3" i="96"/>
  <c r="AC3" i="96"/>
  <c r="AD3" i="96"/>
  <c r="AE3" i="96"/>
  <c r="AF3" i="96"/>
  <c r="AG3" i="96"/>
  <c r="AH3" i="96"/>
  <c r="AI3" i="96"/>
  <c r="AJ3" i="96"/>
  <c r="AK3" i="96"/>
  <c r="AL3" i="96"/>
  <c r="AM3" i="96"/>
  <c r="AN3" i="96"/>
  <c r="AO3" i="96"/>
  <c r="AP3" i="96"/>
  <c r="AQ3" i="96"/>
  <c r="AR3" i="96"/>
  <c r="C4" i="96"/>
  <c r="D4" i="96"/>
  <c r="E4" i="96"/>
  <c r="F4" i="96"/>
  <c r="G4" i="96"/>
  <c r="H4" i="96"/>
  <c r="I4" i="96"/>
  <c r="J4" i="96"/>
  <c r="K4" i="96"/>
  <c r="L4" i="96"/>
  <c r="M4" i="96"/>
  <c r="N4" i="96"/>
  <c r="O4" i="96"/>
  <c r="P4" i="96"/>
  <c r="Q4" i="96"/>
  <c r="R4" i="96"/>
  <c r="S4" i="96"/>
  <c r="T4" i="96"/>
  <c r="U4" i="96"/>
  <c r="V4" i="96"/>
  <c r="W4" i="96"/>
  <c r="X4" i="96"/>
  <c r="Y4" i="96"/>
  <c r="Z4" i="96"/>
  <c r="AA4" i="96"/>
  <c r="AB4" i="96"/>
  <c r="AC4" i="96"/>
  <c r="AD4" i="96"/>
  <c r="AE4" i="96"/>
  <c r="AF4" i="96"/>
  <c r="AG4" i="96"/>
  <c r="AH4" i="96"/>
  <c r="AI4" i="96"/>
  <c r="AJ4" i="96"/>
  <c r="AK4" i="96"/>
  <c r="AL4" i="96"/>
  <c r="AM4" i="96"/>
  <c r="AN4" i="96"/>
  <c r="AO4" i="96"/>
  <c r="AP4" i="96"/>
  <c r="AQ4" i="96"/>
  <c r="AR4" i="96"/>
  <c r="C5" i="96"/>
  <c r="D5" i="96"/>
  <c r="E5" i="96"/>
  <c r="F5" i="96"/>
  <c r="G5" i="96"/>
  <c r="H5" i="96"/>
  <c r="I5" i="96"/>
  <c r="J5" i="96"/>
  <c r="K5" i="96"/>
  <c r="L5" i="96"/>
  <c r="M5" i="96"/>
  <c r="N5" i="96"/>
  <c r="O5" i="96"/>
  <c r="P5" i="96"/>
  <c r="Q5" i="96"/>
  <c r="R5" i="96"/>
  <c r="S5" i="96"/>
  <c r="T5" i="96"/>
  <c r="U5" i="96"/>
  <c r="V5" i="96"/>
  <c r="W5" i="96"/>
  <c r="X5" i="96"/>
  <c r="Y5" i="96"/>
  <c r="Z5" i="96"/>
  <c r="AA5" i="96"/>
  <c r="AB5" i="96"/>
  <c r="AC5" i="96"/>
  <c r="AD5" i="96"/>
  <c r="AE5" i="96"/>
  <c r="AF5" i="96"/>
  <c r="AG5" i="96"/>
  <c r="AH5" i="96"/>
  <c r="AI5" i="96"/>
  <c r="AJ5" i="96"/>
  <c r="AK5" i="96"/>
  <c r="AL5" i="96"/>
  <c r="AM5" i="96"/>
  <c r="AN5" i="96"/>
  <c r="AO5" i="96"/>
  <c r="AP5" i="96"/>
  <c r="AQ5" i="96"/>
  <c r="AR5" i="96"/>
  <c r="C7" i="96"/>
  <c r="D7" i="96"/>
  <c r="E7" i="96"/>
  <c r="F7" i="96"/>
  <c r="G7" i="96"/>
  <c r="H7" i="96"/>
  <c r="I7" i="96"/>
  <c r="J7" i="96"/>
  <c r="K7" i="96"/>
  <c r="L7" i="96"/>
  <c r="M7" i="96"/>
  <c r="N7" i="96"/>
  <c r="O7" i="96"/>
  <c r="P7" i="96"/>
  <c r="Q7" i="96"/>
  <c r="R7" i="96"/>
  <c r="S7" i="96"/>
  <c r="T7" i="96"/>
  <c r="U7" i="96"/>
  <c r="V7" i="96"/>
  <c r="W7" i="96"/>
  <c r="X7" i="96"/>
  <c r="Y7" i="96"/>
  <c r="Z7" i="96"/>
  <c r="AA7" i="96"/>
  <c r="AB7" i="96"/>
  <c r="AC7" i="96"/>
  <c r="AD7" i="96"/>
  <c r="AE7" i="96"/>
  <c r="AF7" i="96"/>
  <c r="AG7" i="96"/>
  <c r="AH7" i="96"/>
  <c r="AI7" i="96"/>
  <c r="AJ7" i="96"/>
  <c r="AK7" i="96"/>
  <c r="AL7" i="96"/>
  <c r="AM7" i="96"/>
  <c r="AN7" i="96"/>
  <c r="AO7" i="96"/>
  <c r="AP7" i="96"/>
  <c r="AQ7" i="96"/>
  <c r="AR7" i="96"/>
  <c r="C8" i="96"/>
  <c r="D8" i="96"/>
  <c r="E8" i="96"/>
  <c r="F8" i="96"/>
  <c r="G8" i="96"/>
  <c r="H8" i="96"/>
  <c r="I8" i="96"/>
  <c r="J8" i="96"/>
  <c r="K8" i="96"/>
  <c r="L8" i="96"/>
  <c r="M8" i="96"/>
  <c r="N8" i="96"/>
  <c r="O8" i="96"/>
  <c r="P8" i="96"/>
  <c r="Q8" i="96"/>
  <c r="R8" i="96"/>
  <c r="S8" i="96"/>
  <c r="T8" i="96"/>
  <c r="U8" i="96"/>
  <c r="V8" i="96"/>
  <c r="W8" i="96"/>
  <c r="X8" i="96"/>
  <c r="Y8" i="96"/>
  <c r="Z8" i="96"/>
  <c r="AA8" i="96"/>
  <c r="AB8" i="96"/>
  <c r="AC8" i="96"/>
  <c r="AD8" i="96"/>
  <c r="AE8" i="96"/>
  <c r="AF8" i="96"/>
  <c r="AG8" i="96"/>
  <c r="AH8" i="96"/>
  <c r="AI8" i="96"/>
  <c r="AJ8" i="96"/>
  <c r="AK8" i="96"/>
  <c r="AL8" i="96"/>
  <c r="AM8" i="96"/>
  <c r="AN8" i="96"/>
  <c r="AO8" i="96"/>
  <c r="AP8" i="96"/>
  <c r="AQ8" i="96"/>
  <c r="AR8" i="96"/>
  <c r="C9" i="96"/>
  <c r="D9" i="96"/>
  <c r="E9" i="96"/>
  <c r="F9" i="96"/>
  <c r="G9" i="96"/>
  <c r="H9" i="96"/>
  <c r="I9" i="96"/>
  <c r="J9" i="96"/>
  <c r="K9" i="96"/>
  <c r="L9" i="96"/>
  <c r="M9" i="96"/>
  <c r="N9" i="96"/>
  <c r="O9" i="96"/>
  <c r="P9" i="96"/>
  <c r="Q9" i="96"/>
  <c r="R9" i="96"/>
  <c r="S9" i="96"/>
  <c r="T9" i="96"/>
  <c r="U9" i="96"/>
  <c r="V9" i="96"/>
  <c r="W9" i="96"/>
  <c r="X9" i="96"/>
  <c r="Y9" i="96"/>
  <c r="Z9" i="96"/>
  <c r="AA9" i="96"/>
  <c r="AB9" i="96"/>
  <c r="AC9" i="96"/>
  <c r="AD9" i="96"/>
  <c r="AE9" i="96"/>
  <c r="AF9" i="96"/>
  <c r="AG9" i="96"/>
  <c r="AH9" i="96"/>
  <c r="AI9" i="96"/>
  <c r="AJ9" i="96"/>
  <c r="AK9" i="96"/>
  <c r="AL9" i="96"/>
  <c r="AM9" i="96"/>
  <c r="AN9" i="96"/>
  <c r="AO9" i="96"/>
  <c r="AP9" i="96"/>
  <c r="AQ9" i="96"/>
  <c r="AR9" i="96"/>
  <c r="C10" i="96"/>
  <c r="D10" i="96"/>
  <c r="E10" i="96"/>
  <c r="F10" i="96"/>
  <c r="G10" i="96"/>
  <c r="H10" i="96"/>
  <c r="I10" i="96"/>
  <c r="J10" i="96"/>
  <c r="K10" i="96"/>
  <c r="L10" i="96"/>
  <c r="M10" i="96"/>
  <c r="N10" i="96"/>
  <c r="O10" i="96"/>
  <c r="P10" i="96"/>
  <c r="Q10" i="96"/>
  <c r="R10" i="96"/>
  <c r="S10" i="96"/>
  <c r="T10" i="96"/>
  <c r="U10" i="96"/>
  <c r="V10" i="96"/>
  <c r="W10" i="96"/>
  <c r="X10" i="96"/>
  <c r="Y10" i="96"/>
  <c r="Z10" i="96"/>
  <c r="AA10" i="96"/>
  <c r="AB10" i="96"/>
  <c r="AC10" i="96"/>
  <c r="AD10" i="96"/>
  <c r="AE10" i="96"/>
  <c r="AF10" i="96"/>
  <c r="AG10" i="96"/>
  <c r="AH10" i="96"/>
  <c r="AI10" i="96"/>
  <c r="AJ10" i="96"/>
  <c r="AK10" i="96"/>
  <c r="AL10" i="96"/>
  <c r="AM10" i="96"/>
  <c r="AN10" i="96"/>
  <c r="AO10" i="96"/>
  <c r="AP10" i="96"/>
  <c r="AQ10" i="96"/>
  <c r="AR10" i="96"/>
  <c r="C11" i="96"/>
  <c r="D11" i="96"/>
  <c r="E11" i="96"/>
  <c r="F11" i="96"/>
  <c r="G11" i="96"/>
  <c r="H11" i="96"/>
  <c r="I11" i="96"/>
  <c r="J11" i="96"/>
  <c r="K11" i="96"/>
  <c r="L11" i="96"/>
  <c r="M11" i="96"/>
  <c r="N11" i="96"/>
  <c r="O11" i="96"/>
  <c r="P11" i="96"/>
  <c r="Q11" i="96"/>
  <c r="R11" i="96"/>
  <c r="S11" i="96"/>
  <c r="T11" i="96"/>
  <c r="U11" i="96"/>
  <c r="V11" i="96"/>
  <c r="W11" i="96"/>
  <c r="X11" i="96"/>
  <c r="Y11" i="96"/>
  <c r="Z11" i="96"/>
  <c r="AA11" i="96"/>
  <c r="AB11" i="96"/>
  <c r="AC11" i="96"/>
  <c r="AD11" i="96"/>
  <c r="AE11" i="96"/>
  <c r="AF11" i="96"/>
  <c r="AG11" i="96"/>
  <c r="AH11" i="96"/>
  <c r="AI11" i="96"/>
  <c r="AJ11" i="96"/>
  <c r="AK11" i="96"/>
  <c r="AL11" i="96"/>
  <c r="AM11" i="96"/>
  <c r="AN11" i="96"/>
  <c r="AO11" i="96"/>
  <c r="AP11" i="96"/>
  <c r="AQ11" i="96"/>
  <c r="AR11" i="96"/>
  <c r="B3" i="96"/>
  <c r="B4" i="96"/>
  <c r="B5" i="96"/>
  <c r="B7" i="96"/>
  <c r="B8" i="96"/>
  <c r="B9" i="96"/>
  <c r="B10" i="96"/>
  <c r="B11" i="96"/>
  <c r="B2" i="96"/>
  <c r="C2" i="95"/>
  <c r="D2" i="95"/>
  <c r="E2" i="95"/>
  <c r="F2" i="95"/>
  <c r="G2" i="95"/>
  <c r="H2" i="95"/>
  <c r="I2" i="95"/>
  <c r="J2" i="95"/>
  <c r="K2" i="95"/>
  <c r="L2" i="95"/>
  <c r="M2" i="95"/>
  <c r="M12" i="95" s="1"/>
  <c r="N2" i="95"/>
  <c r="N12" i="95" s="1"/>
  <c r="O2" i="95"/>
  <c r="P2" i="95"/>
  <c r="Q2" i="95"/>
  <c r="R2" i="95"/>
  <c r="S2" i="95"/>
  <c r="T2" i="95"/>
  <c r="U2" i="95"/>
  <c r="V2" i="95"/>
  <c r="W2" i="95"/>
  <c r="X2" i="95"/>
  <c r="Y2" i="95"/>
  <c r="Y12" i="95" s="1"/>
  <c r="Z2" i="95"/>
  <c r="Z12" i="95" s="1"/>
  <c r="AA2" i="95"/>
  <c r="AB2" i="95"/>
  <c r="AC2" i="95"/>
  <c r="AD2" i="95"/>
  <c r="AE2" i="95"/>
  <c r="AF2" i="95"/>
  <c r="AG2" i="95"/>
  <c r="AH2" i="95"/>
  <c r="AI2" i="95"/>
  <c r="AJ2" i="95"/>
  <c r="AK2" i="95"/>
  <c r="AK12" i="95" s="1"/>
  <c r="AL2" i="95"/>
  <c r="AL12" i="95" s="1"/>
  <c r="AM2" i="95"/>
  <c r="AN2" i="95"/>
  <c r="AO2" i="95"/>
  <c r="AP2" i="95"/>
  <c r="AQ2" i="95"/>
  <c r="AR2" i="95"/>
  <c r="C3" i="95"/>
  <c r="D3" i="95"/>
  <c r="E3" i="95"/>
  <c r="F3" i="95"/>
  <c r="G3" i="95"/>
  <c r="G12" i="95" s="1"/>
  <c r="H3" i="95"/>
  <c r="H12" i="95" s="1"/>
  <c r="I3" i="95"/>
  <c r="J3" i="95"/>
  <c r="K3" i="95"/>
  <c r="L3" i="95"/>
  <c r="M3" i="95"/>
  <c r="N3" i="95"/>
  <c r="O3" i="95"/>
  <c r="P3" i="95"/>
  <c r="Q3" i="95"/>
  <c r="R3" i="95"/>
  <c r="S3" i="95"/>
  <c r="S12" i="95" s="1"/>
  <c r="T3" i="95"/>
  <c r="T12" i="95" s="1"/>
  <c r="U3" i="95"/>
  <c r="V3" i="95"/>
  <c r="W3" i="95"/>
  <c r="X3" i="95"/>
  <c r="Y3" i="95"/>
  <c r="Z3" i="95"/>
  <c r="AA3" i="95"/>
  <c r="AB3" i="95"/>
  <c r="AC3" i="95"/>
  <c r="AD3" i="95"/>
  <c r="AE3" i="95"/>
  <c r="AE12" i="95" s="1"/>
  <c r="AF3" i="95"/>
  <c r="AF12" i="95" s="1"/>
  <c r="AG3" i="95"/>
  <c r="AH3" i="95"/>
  <c r="AI3" i="95"/>
  <c r="AJ3" i="95"/>
  <c r="AK3" i="95"/>
  <c r="AL3" i="95"/>
  <c r="AM3" i="95"/>
  <c r="AN3" i="95"/>
  <c r="AO3" i="95"/>
  <c r="AP3" i="95"/>
  <c r="AQ3" i="95"/>
  <c r="AR3" i="95"/>
  <c r="AR12" i="95" s="1"/>
  <c r="C4" i="95"/>
  <c r="D4" i="95"/>
  <c r="E4" i="95"/>
  <c r="F4" i="95"/>
  <c r="G4" i="95"/>
  <c r="H4" i="95"/>
  <c r="I4" i="95"/>
  <c r="J4" i="95"/>
  <c r="K4" i="95"/>
  <c r="L4" i="95"/>
  <c r="M4" i="95"/>
  <c r="N4" i="95"/>
  <c r="O4" i="95"/>
  <c r="P4" i="95"/>
  <c r="Q4" i="95"/>
  <c r="R4" i="95"/>
  <c r="S4" i="95"/>
  <c r="T4" i="95"/>
  <c r="U4" i="95"/>
  <c r="V4" i="95"/>
  <c r="W4" i="95"/>
  <c r="X4" i="95"/>
  <c r="Y4" i="95"/>
  <c r="Z4" i="95"/>
  <c r="AA4" i="95"/>
  <c r="AB4" i="95"/>
  <c r="AC4" i="95"/>
  <c r="AD4" i="95"/>
  <c r="AE4" i="95"/>
  <c r="AF4" i="95"/>
  <c r="AG4" i="95"/>
  <c r="AH4" i="95"/>
  <c r="AI4" i="95"/>
  <c r="AJ4" i="95"/>
  <c r="AK4" i="95"/>
  <c r="AL4" i="95"/>
  <c r="AM4" i="95"/>
  <c r="AN4" i="95"/>
  <c r="AO4" i="95"/>
  <c r="AP4" i="95"/>
  <c r="AQ4" i="95"/>
  <c r="AR4" i="95"/>
  <c r="C5" i="95"/>
  <c r="D5" i="95"/>
  <c r="E5" i="95"/>
  <c r="F5" i="95"/>
  <c r="G5" i="95"/>
  <c r="H5" i="95"/>
  <c r="I5" i="95"/>
  <c r="J5" i="95"/>
  <c r="K5" i="95"/>
  <c r="L5" i="95"/>
  <c r="M5" i="95"/>
  <c r="N5" i="95"/>
  <c r="O5" i="95"/>
  <c r="P5" i="95"/>
  <c r="Q5" i="95"/>
  <c r="R5" i="95"/>
  <c r="S5" i="95"/>
  <c r="T5" i="95"/>
  <c r="U5" i="95"/>
  <c r="V5" i="95"/>
  <c r="W5" i="95"/>
  <c r="X5" i="95"/>
  <c r="Y5" i="95"/>
  <c r="Z5" i="95"/>
  <c r="AA5" i="95"/>
  <c r="AB5" i="95"/>
  <c r="AC5" i="95"/>
  <c r="AD5" i="95"/>
  <c r="AE5" i="95"/>
  <c r="AF5" i="95"/>
  <c r="AG5" i="95"/>
  <c r="AH5" i="95"/>
  <c r="AI5" i="95"/>
  <c r="AJ5" i="95"/>
  <c r="AK5" i="95"/>
  <c r="AL5" i="95"/>
  <c r="AM5" i="95"/>
  <c r="AN5" i="95"/>
  <c r="AO5" i="95"/>
  <c r="AP5" i="95"/>
  <c r="AQ5" i="95"/>
  <c r="AR5" i="95"/>
  <c r="C6" i="95"/>
  <c r="D6" i="95"/>
  <c r="E6" i="95"/>
  <c r="F6" i="95"/>
  <c r="G6" i="95"/>
  <c r="H6" i="95"/>
  <c r="I6" i="95"/>
  <c r="J6" i="95"/>
  <c r="K6" i="95"/>
  <c r="L6" i="95"/>
  <c r="M6" i="95"/>
  <c r="N6" i="95"/>
  <c r="O6" i="95"/>
  <c r="P6" i="95"/>
  <c r="Q6" i="95"/>
  <c r="R6" i="95"/>
  <c r="S6" i="95"/>
  <c r="T6" i="95"/>
  <c r="U6" i="95"/>
  <c r="V6" i="95"/>
  <c r="W6" i="95"/>
  <c r="X6" i="95"/>
  <c r="Y6" i="95"/>
  <c r="Z6" i="95"/>
  <c r="AA6" i="95"/>
  <c r="AB6" i="95"/>
  <c r="AC6" i="95"/>
  <c r="AD6" i="95"/>
  <c r="AE6" i="95"/>
  <c r="AF6" i="95"/>
  <c r="AG6" i="95"/>
  <c r="AH6" i="95"/>
  <c r="AI6" i="95"/>
  <c r="AJ6" i="95"/>
  <c r="AK6" i="95"/>
  <c r="AL6" i="95"/>
  <c r="AM6" i="95"/>
  <c r="AN6" i="95"/>
  <c r="AO6" i="95"/>
  <c r="AP6" i="95"/>
  <c r="AQ6" i="95"/>
  <c r="AR6" i="95"/>
  <c r="C7" i="95"/>
  <c r="D7" i="95"/>
  <c r="E7" i="95"/>
  <c r="F7" i="95"/>
  <c r="G7" i="95"/>
  <c r="H7" i="95"/>
  <c r="I7" i="95"/>
  <c r="J7" i="95"/>
  <c r="K7" i="95"/>
  <c r="L7" i="95"/>
  <c r="M7" i="95"/>
  <c r="N7" i="95"/>
  <c r="O7" i="95"/>
  <c r="P7" i="95"/>
  <c r="Q7" i="95"/>
  <c r="R7" i="95"/>
  <c r="S7" i="95"/>
  <c r="T7" i="95"/>
  <c r="U7" i="95"/>
  <c r="V7" i="95"/>
  <c r="W7" i="95"/>
  <c r="X7" i="95"/>
  <c r="Y7" i="95"/>
  <c r="Z7" i="95"/>
  <c r="AA7" i="95"/>
  <c r="AB7" i="95"/>
  <c r="AC7" i="95"/>
  <c r="AD7" i="95"/>
  <c r="AE7" i="95"/>
  <c r="AF7" i="95"/>
  <c r="AG7" i="95"/>
  <c r="AH7" i="95"/>
  <c r="AI7" i="95"/>
  <c r="AJ7" i="95"/>
  <c r="AK7" i="95"/>
  <c r="AL7" i="95"/>
  <c r="AM7" i="95"/>
  <c r="AN7" i="95"/>
  <c r="AO7" i="95"/>
  <c r="AP7" i="95"/>
  <c r="AQ7" i="95"/>
  <c r="AR7" i="95"/>
  <c r="C8" i="95"/>
  <c r="D8" i="95"/>
  <c r="E8" i="95"/>
  <c r="F8" i="95"/>
  <c r="G8" i="95"/>
  <c r="H8" i="95"/>
  <c r="I8" i="95"/>
  <c r="J8" i="95"/>
  <c r="K8" i="95"/>
  <c r="L8" i="95"/>
  <c r="M8" i="95"/>
  <c r="N8" i="95"/>
  <c r="O8" i="95"/>
  <c r="P8" i="95"/>
  <c r="Q8" i="95"/>
  <c r="R8" i="95"/>
  <c r="S8" i="95"/>
  <c r="T8" i="95"/>
  <c r="U8" i="95"/>
  <c r="V8" i="95"/>
  <c r="W8" i="95"/>
  <c r="X8" i="95"/>
  <c r="Y8" i="95"/>
  <c r="Z8" i="95"/>
  <c r="AA8" i="95"/>
  <c r="AB8" i="95"/>
  <c r="AC8" i="95"/>
  <c r="AD8" i="95"/>
  <c r="AE8" i="95"/>
  <c r="AF8" i="95"/>
  <c r="AG8" i="95"/>
  <c r="AH8" i="95"/>
  <c r="AI8" i="95"/>
  <c r="AJ8" i="95"/>
  <c r="AK8" i="95"/>
  <c r="AL8" i="95"/>
  <c r="AM8" i="95"/>
  <c r="AN8" i="95"/>
  <c r="AO8" i="95"/>
  <c r="AP8" i="95"/>
  <c r="AQ8" i="95"/>
  <c r="AR8" i="95"/>
  <c r="C9" i="95"/>
  <c r="D9" i="95"/>
  <c r="E9" i="95"/>
  <c r="F9" i="95"/>
  <c r="G9" i="95"/>
  <c r="H9" i="95"/>
  <c r="I9" i="95"/>
  <c r="J9" i="95"/>
  <c r="K9" i="95"/>
  <c r="L9" i="95"/>
  <c r="M9" i="95"/>
  <c r="N9" i="95"/>
  <c r="O9" i="95"/>
  <c r="P9" i="95"/>
  <c r="Q9" i="95"/>
  <c r="R9" i="95"/>
  <c r="S9" i="95"/>
  <c r="T9" i="95"/>
  <c r="U9" i="95"/>
  <c r="V9" i="95"/>
  <c r="W9" i="95"/>
  <c r="X9" i="95"/>
  <c r="Y9" i="95"/>
  <c r="Z9" i="95"/>
  <c r="AA9" i="95"/>
  <c r="AB9" i="95"/>
  <c r="AC9" i="95"/>
  <c r="AD9" i="95"/>
  <c r="AE9" i="95"/>
  <c r="AF9" i="95"/>
  <c r="AG9" i="95"/>
  <c r="AH9" i="95"/>
  <c r="AI9" i="95"/>
  <c r="AJ9" i="95"/>
  <c r="AK9" i="95"/>
  <c r="AL9" i="95"/>
  <c r="AM9" i="95"/>
  <c r="AN9" i="95"/>
  <c r="AO9" i="95"/>
  <c r="AP9" i="95"/>
  <c r="AQ9" i="95"/>
  <c r="AR9" i="95"/>
  <c r="C10" i="95"/>
  <c r="D10" i="95"/>
  <c r="E10" i="95"/>
  <c r="F10" i="95"/>
  <c r="G10" i="95"/>
  <c r="H10" i="95"/>
  <c r="I10" i="95"/>
  <c r="J10" i="95"/>
  <c r="K10" i="95"/>
  <c r="L10" i="95"/>
  <c r="M10" i="95"/>
  <c r="N10" i="95"/>
  <c r="O10" i="95"/>
  <c r="P10" i="95"/>
  <c r="Q10" i="95"/>
  <c r="R10" i="95"/>
  <c r="S10" i="95"/>
  <c r="T10" i="95"/>
  <c r="U10" i="95"/>
  <c r="V10" i="95"/>
  <c r="W10" i="95"/>
  <c r="X10" i="95"/>
  <c r="Y10" i="95"/>
  <c r="Z10" i="95"/>
  <c r="AA10" i="95"/>
  <c r="AB10" i="95"/>
  <c r="AC10" i="95"/>
  <c r="AD10" i="95"/>
  <c r="AE10" i="95"/>
  <c r="AF10" i="95"/>
  <c r="AG10" i="95"/>
  <c r="AH10" i="95"/>
  <c r="AI10" i="95"/>
  <c r="AJ10" i="95"/>
  <c r="AK10" i="95"/>
  <c r="AL10" i="95"/>
  <c r="AM10" i="95"/>
  <c r="AN10" i="95"/>
  <c r="AO10" i="95"/>
  <c r="AP10" i="95"/>
  <c r="AQ10" i="95"/>
  <c r="AR10" i="95"/>
  <c r="C11" i="95"/>
  <c r="D11" i="95"/>
  <c r="E11" i="95"/>
  <c r="F11" i="95"/>
  <c r="G11" i="95"/>
  <c r="H11" i="95"/>
  <c r="I11" i="95"/>
  <c r="J11" i="95"/>
  <c r="K11" i="95"/>
  <c r="L11" i="95"/>
  <c r="M11" i="95"/>
  <c r="N11" i="95"/>
  <c r="O11" i="95"/>
  <c r="P11" i="95"/>
  <c r="Q11" i="95"/>
  <c r="R11" i="95"/>
  <c r="S11" i="95"/>
  <c r="T11" i="95"/>
  <c r="U11" i="95"/>
  <c r="V11" i="95"/>
  <c r="W11" i="95"/>
  <c r="X11" i="95"/>
  <c r="Y11" i="95"/>
  <c r="Z11" i="95"/>
  <c r="AA11" i="95"/>
  <c r="AB11" i="95"/>
  <c r="AC11" i="95"/>
  <c r="AD11" i="95"/>
  <c r="AE11" i="95"/>
  <c r="AF11" i="95"/>
  <c r="AG11" i="95"/>
  <c r="AH11" i="95"/>
  <c r="AI11" i="95"/>
  <c r="AJ11" i="95"/>
  <c r="AK11" i="95"/>
  <c r="AL11" i="95"/>
  <c r="AM11" i="95"/>
  <c r="AN11" i="95"/>
  <c r="AO11" i="95"/>
  <c r="AP11" i="95"/>
  <c r="AQ11" i="95"/>
  <c r="AR11" i="95"/>
  <c r="B3" i="95"/>
  <c r="B4" i="95"/>
  <c r="B5" i="95"/>
  <c r="B6" i="95"/>
  <c r="B7" i="95"/>
  <c r="B8" i="95"/>
  <c r="B9" i="95"/>
  <c r="B10" i="95"/>
  <c r="B11" i="95"/>
  <c r="B2" i="95"/>
  <c r="AI12" i="95"/>
  <c r="W12" i="95"/>
  <c r="K12" i="95"/>
  <c r="AQ12" i="95"/>
  <c r="AP12" i="95"/>
  <c r="AO12" i="95"/>
  <c r="AN12" i="95"/>
  <c r="AM12" i="95"/>
  <c r="AJ12" i="95"/>
  <c r="AH12" i="95"/>
  <c r="AG12" i="95"/>
  <c r="AD12" i="95"/>
  <c r="AC12" i="95"/>
  <c r="AB12" i="95"/>
  <c r="AA12" i="95"/>
  <c r="X12" i="95"/>
  <c r="V12" i="95"/>
  <c r="U12" i="95"/>
  <c r="R12" i="95"/>
  <c r="Q12" i="95"/>
  <c r="P12" i="95"/>
  <c r="O12" i="95"/>
  <c r="L12" i="95"/>
  <c r="J12" i="95"/>
  <c r="I12" i="95"/>
  <c r="F12" i="95"/>
  <c r="E12" i="95"/>
  <c r="D12" i="95"/>
  <c r="C12" i="95"/>
  <c r="B12" i="95"/>
  <c r="AG12" i="94"/>
  <c r="U12" i="94"/>
  <c r="I12" i="94"/>
  <c r="AR6" i="94"/>
  <c r="AQ6" i="94"/>
  <c r="AP6" i="94"/>
  <c r="AO6" i="94"/>
  <c r="AN6" i="94"/>
  <c r="AM6" i="94"/>
  <c r="AL6" i="94"/>
  <c r="AK6" i="94"/>
  <c r="AJ6" i="94"/>
  <c r="AI6" i="94"/>
  <c r="AH6" i="94"/>
  <c r="AG6" i="94"/>
  <c r="AF6" i="94"/>
  <c r="AE6" i="94"/>
  <c r="AD6" i="94"/>
  <c r="AC6" i="94"/>
  <c r="AB6" i="94"/>
  <c r="AA6" i="94"/>
  <c r="Z6" i="94"/>
  <c r="Y6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H6" i="94"/>
  <c r="G6" i="94"/>
  <c r="F6" i="94"/>
  <c r="E6" i="94"/>
  <c r="D6" i="94"/>
  <c r="C6" i="94"/>
  <c r="B6" i="94"/>
  <c r="AR12" i="94"/>
  <c r="AQ12" i="94"/>
  <c r="AP12" i="94"/>
  <c r="AO12" i="94"/>
  <c r="AN12" i="94"/>
  <c r="AM12" i="94"/>
  <c r="AL12" i="94"/>
  <c r="AK12" i="94"/>
  <c r="AJ12" i="94"/>
  <c r="AI12" i="94"/>
  <c r="AH12" i="94"/>
  <c r="AF12" i="94"/>
  <c r="AE12" i="94"/>
  <c r="AD12" i="94"/>
  <c r="AC12" i="94"/>
  <c r="AB12" i="94"/>
  <c r="AA12" i="94"/>
  <c r="Z12" i="94"/>
  <c r="Y12" i="94"/>
  <c r="X12" i="94"/>
  <c r="W12" i="94"/>
  <c r="V12" i="94"/>
  <c r="T12" i="94"/>
  <c r="S12" i="94"/>
  <c r="R12" i="94"/>
  <c r="Q12" i="94"/>
  <c r="P12" i="94"/>
  <c r="O12" i="94"/>
  <c r="N12" i="94"/>
  <c r="M12" i="94"/>
  <c r="L12" i="94"/>
  <c r="K12" i="94"/>
  <c r="J12" i="94"/>
  <c r="H12" i="94"/>
  <c r="G12" i="94"/>
  <c r="F12" i="94"/>
  <c r="E12" i="94"/>
  <c r="D12" i="94"/>
  <c r="C12" i="94"/>
  <c r="B12" i="94"/>
  <c r="AG12" i="93"/>
  <c r="U12" i="93"/>
  <c r="I12" i="93"/>
  <c r="AI12" i="93"/>
  <c r="AH12" i="93"/>
  <c r="W12" i="93"/>
  <c r="V12" i="93"/>
  <c r="K12" i="93"/>
  <c r="J12" i="93"/>
  <c r="AQ12" i="93"/>
  <c r="AP12" i="93"/>
  <c r="AO12" i="93"/>
  <c r="AN12" i="93"/>
  <c r="AM12" i="93"/>
  <c r="AK12" i="93"/>
  <c r="AJ12" i="93"/>
  <c r="AE12" i="93"/>
  <c r="AD12" i="93"/>
  <c r="AC12" i="93"/>
  <c r="AB12" i="93"/>
  <c r="AA12" i="93"/>
  <c r="Y12" i="93"/>
  <c r="X12" i="93"/>
  <c r="S12" i="93"/>
  <c r="R12" i="93"/>
  <c r="Q12" i="93"/>
  <c r="P12" i="93"/>
  <c r="O12" i="93"/>
  <c r="M12" i="93"/>
  <c r="L12" i="93"/>
  <c r="G12" i="93"/>
  <c r="F12" i="93"/>
  <c r="E12" i="93"/>
  <c r="D12" i="93"/>
  <c r="C12" i="93"/>
  <c r="B12" i="93"/>
  <c r="AK12" i="92"/>
  <c r="AJ12" i="92"/>
  <c r="W12" i="92"/>
  <c r="J12" i="92"/>
  <c r="C12" i="92"/>
  <c r="B12" i="92"/>
  <c r="AG12" i="91"/>
  <c r="U12" i="91"/>
  <c r="I12" i="91"/>
  <c r="AR12" i="91"/>
  <c r="AQ12" i="91"/>
  <c r="AP12" i="91"/>
  <c r="AO12" i="91"/>
  <c r="AN12" i="91"/>
  <c r="AL12" i="91"/>
  <c r="AK12" i="91"/>
  <c r="AJ12" i="91"/>
  <c r="AI12" i="91"/>
  <c r="AH12" i="91"/>
  <c r="AF12" i="91"/>
  <c r="AE12" i="91"/>
  <c r="AD12" i="91"/>
  <c r="AC12" i="91"/>
  <c r="AB12" i="91"/>
  <c r="Y12" i="91"/>
  <c r="X12" i="91"/>
  <c r="W12" i="91"/>
  <c r="V12" i="91"/>
  <c r="T12" i="91"/>
  <c r="S12" i="91"/>
  <c r="R12" i="91"/>
  <c r="Q12" i="91"/>
  <c r="P12" i="91"/>
  <c r="M12" i="91"/>
  <c r="L12" i="91"/>
  <c r="K12" i="91"/>
  <c r="J12" i="91"/>
  <c r="H12" i="91"/>
  <c r="G12" i="91"/>
  <c r="F12" i="91"/>
  <c r="E12" i="91"/>
  <c r="D12" i="91"/>
  <c r="C12" i="91"/>
  <c r="B12" i="91"/>
  <c r="AI12" i="90"/>
  <c r="W12" i="90"/>
  <c r="K12" i="90"/>
  <c r="AR12" i="90"/>
  <c r="AQ12" i="90"/>
  <c r="AP12" i="90"/>
  <c r="AO12" i="90"/>
  <c r="AN12" i="90"/>
  <c r="AL12" i="90"/>
  <c r="AK12" i="90"/>
  <c r="AJ12" i="90"/>
  <c r="AH12" i="90"/>
  <c r="AG12" i="90"/>
  <c r="AF12" i="90"/>
  <c r="AE12" i="90"/>
  <c r="AD12" i="90"/>
  <c r="AC12" i="90"/>
  <c r="AB12" i="90"/>
  <c r="Z12" i="90"/>
  <c r="Y12" i="90"/>
  <c r="X12" i="90"/>
  <c r="V12" i="90"/>
  <c r="U12" i="90"/>
  <c r="T12" i="90"/>
  <c r="S12" i="90"/>
  <c r="R12" i="90"/>
  <c r="Q12" i="90"/>
  <c r="P12" i="90"/>
  <c r="N12" i="90"/>
  <c r="M12" i="90"/>
  <c r="L12" i="90"/>
  <c r="J12" i="90"/>
  <c r="I12" i="90"/>
  <c r="H12" i="90"/>
  <c r="G12" i="90"/>
  <c r="F12" i="90"/>
  <c r="E12" i="90"/>
  <c r="D12" i="90"/>
  <c r="C12" i="90"/>
  <c r="B12" i="90"/>
  <c r="AN12" i="86"/>
  <c r="AG12" i="86"/>
  <c r="U12" i="86"/>
  <c r="I12" i="86"/>
  <c r="AO12" i="86"/>
  <c r="AM12" i="86"/>
  <c r="AI12" i="86"/>
  <c r="AH12" i="86"/>
  <c r="AC12" i="86"/>
  <c r="AB12" i="86"/>
  <c r="AA12" i="86"/>
  <c r="Y12" i="86"/>
  <c r="W12" i="86"/>
  <c r="V12" i="86"/>
  <c r="Q12" i="86"/>
  <c r="P12" i="86"/>
  <c r="O12" i="86"/>
  <c r="L12" i="86"/>
  <c r="K12" i="86"/>
  <c r="J12" i="86"/>
  <c r="E12" i="86"/>
  <c r="D12" i="86"/>
  <c r="C12" i="86"/>
  <c r="B12" i="86"/>
  <c r="C16" i="62"/>
  <c r="D16" i="62"/>
  <c r="E16" i="62"/>
  <c r="F16" i="62"/>
  <c r="G16" i="62"/>
  <c r="H16" i="62"/>
  <c r="I16" i="62"/>
  <c r="J16" i="62"/>
  <c r="K16" i="62"/>
  <c r="L16" i="62"/>
  <c r="M16" i="62"/>
  <c r="N16" i="62"/>
  <c r="O16" i="62"/>
  <c r="P16" i="62"/>
  <c r="Q16" i="62"/>
  <c r="R16" i="62"/>
  <c r="S16" i="62"/>
  <c r="T16" i="62"/>
  <c r="U16" i="62"/>
  <c r="V16" i="62"/>
  <c r="W16" i="62"/>
  <c r="X16" i="62"/>
  <c r="Y16" i="62"/>
  <c r="Z16" i="62"/>
  <c r="AA16" i="62"/>
  <c r="AB16" i="62"/>
  <c r="AC16" i="62"/>
  <c r="AD16" i="62"/>
  <c r="AE16" i="62"/>
  <c r="AF16" i="62"/>
  <c r="AG16" i="62"/>
  <c r="AH16" i="62"/>
  <c r="AI16" i="62"/>
  <c r="AJ16" i="62"/>
  <c r="AK16" i="62"/>
  <c r="AL16" i="62"/>
  <c r="AM16" i="62"/>
  <c r="AN16" i="62"/>
  <c r="AO16" i="62"/>
  <c r="AP16" i="62"/>
  <c r="B16" i="62"/>
  <c r="AQ12" i="23"/>
  <c r="AR12" i="23"/>
  <c r="C12" i="23"/>
  <c r="D12" i="23"/>
  <c r="E12" i="23"/>
  <c r="F12" i="23"/>
  <c r="G12" i="23"/>
  <c r="H12" i="23"/>
  <c r="I12" i="23"/>
  <c r="J12" i="23"/>
  <c r="K12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G12" i="23"/>
  <c r="AH12" i="23"/>
  <c r="AI12" i="23"/>
  <c r="AJ12" i="23"/>
  <c r="AK12" i="23"/>
  <c r="AL12" i="23"/>
  <c r="AM12" i="23"/>
  <c r="AN12" i="23"/>
  <c r="AO12" i="23"/>
  <c r="AP12" i="23"/>
  <c r="B12" i="23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B12" i="4"/>
  <c r="C12" i="40"/>
  <c r="D12" i="40"/>
  <c r="E12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AD12" i="40"/>
  <c r="AE12" i="40"/>
  <c r="AF12" i="40"/>
  <c r="AG12" i="40"/>
  <c r="AH12" i="40"/>
  <c r="AI12" i="40"/>
  <c r="AJ12" i="40"/>
  <c r="AK12" i="40"/>
  <c r="AL12" i="40"/>
  <c r="AM12" i="40"/>
  <c r="AN12" i="40"/>
  <c r="AO12" i="40"/>
  <c r="AP12" i="40"/>
  <c r="AQ12" i="40"/>
  <c r="AR12" i="40"/>
  <c r="B12" i="40"/>
  <c r="C12" i="36"/>
  <c r="D12" i="36"/>
  <c r="E12" i="36"/>
  <c r="F12" i="36"/>
  <c r="G12" i="36"/>
  <c r="H12" i="36"/>
  <c r="I12" i="36"/>
  <c r="J12" i="36"/>
  <c r="K12" i="36"/>
  <c r="L12" i="36"/>
  <c r="M12" i="36"/>
  <c r="N12" i="36"/>
  <c r="O12" i="36"/>
  <c r="P12" i="36"/>
  <c r="Q12" i="36"/>
  <c r="R12" i="36"/>
  <c r="S12" i="36"/>
  <c r="T12" i="36"/>
  <c r="U12" i="36"/>
  <c r="V12" i="36"/>
  <c r="W12" i="36"/>
  <c r="X12" i="36"/>
  <c r="Y12" i="36"/>
  <c r="Z12" i="36"/>
  <c r="AA12" i="36"/>
  <c r="AB12" i="36"/>
  <c r="AC12" i="36"/>
  <c r="AD12" i="36"/>
  <c r="AE12" i="36"/>
  <c r="AF12" i="36"/>
  <c r="AG12" i="36"/>
  <c r="AH12" i="36"/>
  <c r="AI12" i="36"/>
  <c r="AJ12" i="36"/>
  <c r="AK12" i="36"/>
  <c r="AL12" i="36"/>
  <c r="AM12" i="36"/>
  <c r="AN12" i="36"/>
  <c r="AO12" i="36"/>
  <c r="AP12" i="36"/>
  <c r="AQ12" i="36"/>
  <c r="AR12" i="36"/>
  <c r="B12" i="36"/>
  <c r="C12" i="37"/>
  <c r="D12" i="37"/>
  <c r="E12" i="37"/>
  <c r="F12" i="37"/>
  <c r="G12" i="37"/>
  <c r="H12" i="37"/>
  <c r="I12" i="37"/>
  <c r="J12" i="37"/>
  <c r="K12" i="37"/>
  <c r="L12" i="37"/>
  <c r="M12" i="37"/>
  <c r="N12" i="37"/>
  <c r="O12" i="37"/>
  <c r="P12" i="37"/>
  <c r="Q12" i="37"/>
  <c r="R12" i="37"/>
  <c r="S12" i="37"/>
  <c r="T12" i="37"/>
  <c r="U12" i="37"/>
  <c r="V12" i="37"/>
  <c r="W12" i="37"/>
  <c r="X12" i="37"/>
  <c r="Y12" i="37"/>
  <c r="Z12" i="37"/>
  <c r="AA12" i="37"/>
  <c r="AB12" i="37"/>
  <c r="AC12" i="37"/>
  <c r="AD12" i="37"/>
  <c r="AE12" i="37"/>
  <c r="AF12" i="37"/>
  <c r="AG12" i="37"/>
  <c r="AH12" i="37"/>
  <c r="AI12" i="37"/>
  <c r="AJ12" i="37"/>
  <c r="AK12" i="37"/>
  <c r="AL12" i="37"/>
  <c r="AM12" i="37"/>
  <c r="AN12" i="37"/>
  <c r="AO12" i="37"/>
  <c r="AP12" i="37"/>
  <c r="AQ12" i="37"/>
  <c r="AR12" i="37"/>
  <c r="B12" i="37"/>
  <c r="C12" i="45"/>
  <c r="D12" i="45"/>
  <c r="E12" i="45"/>
  <c r="F12" i="45"/>
  <c r="G12" i="45"/>
  <c r="H12" i="45"/>
  <c r="I12" i="45"/>
  <c r="J12" i="45"/>
  <c r="K12" i="45"/>
  <c r="L12" i="45"/>
  <c r="M12" i="45"/>
  <c r="N12" i="45"/>
  <c r="O12" i="45"/>
  <c r="P12" i="45"/>
  <c r="Q12" i="45"/>
  <c r="R12" i="45"/>
  <c r="S12" i="45"/>
  <c r="T12" i="45"/>
  <c r="U12" i="45"/>
  <c r="V12" i="45"/>
  <c r="W12" i="45"/>
  <c r="X12" i="45"/>
  <c r="Y12" i="45"/>
  <c r="Z12" i="45"/>
  <c r="AA12" i="45"/>
  <c r="AB12" i="45"/>
  <c r="AC12" i="45"/>
  <c r="AD12" i="45"/>
  <c r="AE12" i="45"/>
  <c r="AF12" i="45"/>
  <c r="AG12" i="45"/>
  <c r="AH12" i="45"/>
  <c r="AI12" i="45"/>
  <c r="AJ12" i="45"/>
  <c r="AK12" i="45"/>
  <c r="AL12" i="45"/>
  <c r="AM12" i="45"/>
  <c r="AN12" i="45"/>
  <c r="AO12" i="45"/>
  <c r="AP12" i="45"/>
  <c r="AQ12" i="45"/>
  <c r="AR12" i="45"/>
  <c r="B12" i="45"/>
  <c r="C12" i="41"/>
  <c r="D12" i="41"/>
  <c r="E12" i="41"/>
  <c r="F12" i="41"/>
  <c r="G12" i="41"/>
  <c r="H12" i="41"/>
  <c r="I12" i="41"/>
  <c r="J12" i="41"/>
  <c r="K12" i="41"/>
  <c r="L12" i="41"/>
  <c r="M12" i="41"/>
  <c r="N12" i="41"/>
  <c r="O12" i="41"/>
  <c r="P12" i="41"/>
  <c r="Q12" i="41"/>
  <c r="R12" i="41"/>
  <c r="S12" i="41"/>
  <c r="T12" i="41"/>
  <c r="U12" i="41"/>
  <c r="V12" i="41"/>
  <c r="W12" i="41"/>
  <c r="X12" i="41"/>
  <c r="Y12" i="41"/>
  <c r="Z12" i="41"/>
  <c r="AA12" i="41"/>
  <c r="AB12" i="41"/>
  <c r="AC12" i="41"/>
  <c r="AD12" i="41"/>
  <c r="AE12" i="41"/>
  <c r="AF12" i="41"/>
  <c r="AG12" i="41"/>
  <c r="AH12" i="41"/>
  <c r="AI12" i="41"/>
  <c r="AJ12" i="41"/>
  <c r="AK12" i="41"/>
  <c r="AL12" i="41"/>
  <c r="AM12" i="41"/>
  <c r="AN12" i="41"/>
  <c r="AO12" i="41"/>
  <c r="AP12" i="41"/>
  <c r="AQ12" i="41"/>
  <c r="AR12" i="41"/>
  <c r="B12" i="41"/>
  <c r="Y2" i="23"/>
  <c r="Z2" i="23"/>
  <c r="AA2" i="23"/>
  <c r="AB2" i="23"/>
  <c r="AC2" i="23"/>
  <c r="AD2" i="23"/>
  <c r="AE2" i="23"/>
  <c r="AF2" i="23"/>
  <c r="AG2" i="23"/>
  <c r="AH2" i="23"/>
  <c r="AI2" i="23"/>
  <c r="AJ2" i="23"/>
  <c r="AK2" i="23"/>
  <c r="AL2" i="23"/>
  <c r="AM2" i="23"/>
  <c r="AN2" i="23"/>
  <c r="AO2" i="23"/>
  <c r="AP2" i="23"/>
  <c r="AQ2" i="23"/>
  <c r="AR2" i="23"/>
  <c r="Y3" i="23"/>
  <c r="Z3" i="23"/>
  <c r="AA3" i="23"/>
  <c r="AB3" i="23"/>
  <c r="AC3" i="23"/>
  <c r="AD3" i="23"/>
  <c r="AE3" i="23"/>
  <c r="AF3" i="23"/>
  <c r="AG3" i="23"/>
  <c r="AH3" i="23"/>
  <c r="AI3" i="23"/>
  <c r="AJ3" i="23"/>
  <c r="AK3" i="23"/>
  <c r="AL3" i="23"/>
  <c r="AM3" i="23"/>
  <c r="AN3" i="23"/>
  <c r="AO3" i="23"/>
  <c r="AP3" i="23"/>
  <c r="AQ3" i="23"/>
  <c r="AR3" i="23"/>
  <c r="Y4" i="23"/>
  <c r="Z4" i="23"/>
  <c r="AA4" i="23"/>
  <c r="AB4" i="23"/>
  <c r="AC4" i="23"/>
  <c r="AD4" i="23"/>
  <c r="AE4" i="23"/>
  <c r="AF4" i="23"/>
  <c r="AG4" i="23"/>
  <c r="AH4" i="23"/>
  <c r="AI4" i="23"/>
  <c r="AJ4" i="23"/>
  <c r="AK4" i="23"/>
  <c r="AL4" i="23"/>
  <c r="AM4" i="23"/>
  <c r="AN4" i="23"/>
  <c r="AO4" i="23"/>
  <c r="AP4" i="23"/>
  <c r="AQ4" i="23"/>
  <c r="AR4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R5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R9" i="23"/>
  <c r="Y10" i="23"/>
  <c r="Z10" i="23"/>
  <c r="AA10" i="23"/>
  <c r="AB10" i="23"/>
  <c r="AC10" i="23"/>
  <c r="AD10" i="23"/>
  <c r="AE10" i="23"/>
  <c r="AF10" i="23"/>
  <c r="AG10" i="23"/>
  <c r="AH10" i="23"/>
  <c r="AI10" i="23"/>
  <c r="AJ10" i="23"/>
  <c r="AK10" i="23"/>
  <c r="AL10" i="23"/>
  <c r="AM10" i="23"/>
  <c r="AN10" i="23"/>
  <c r="AO10" i="23"/>
  <c r="AP10" i="23"/>
  <c r="AQ10" i="23"/>
  <c r="AR10" i="23"/>
  <c r="Y11" i="23"/>
  <c r="Z11" i="23"/>
  <c r="AA11" i="23"/>
  <c r="AB11" i="23"/>
  <c r="AC11" i="23"/>
  <c r="AD11" i="23"/>
  <c r="AE11" i="23"/>
  <c r="AF11" i="23"/>
  <c r="AG11" i="23"/>
  <c r="AH11" i="23"/>
  <c r="AI11" i="23"/>
  <c r="AJ11" i="23"/>
  <c r="AK11" i="23"/>
  <c r="AL11" i="23"/>
  <c r="AM11" i="23"/>
  <c r="AN11" i="23"/>
  <c r="AO11" i="23"/>
  <c r="AP11" i="23"/>
  <c r="AQ11" i="23"/>
  <c r="AR11" i="23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P2" i="40"/>
  <c r="AQ2" i="40"/>
  <c r="AR2" i="40"/>
  <c r="AP3" i="40"/>
  <c r="AQ3" i="40"/>
  <c r="AR3" i="40"/>
  <c r="AP4" i="40"/>
  <c r="AQ4" i="40"/>
  <c r="AR4" i="40"/>
  <c r="AP5" i="40"/>
  <c r="AQ5" i="40"/>
  <c r="AR5" i="40"/>
  <c r="AP6" i="40"/>
  <c r="AQ6" i="40"/>
  <c r="AR6" i="40"/>
  <c r="AP7" i="40"/>
  <c r="AQ7" i="40"/>
  <c r="AR7" i="40"/>
  <c r="AP8" i="40"/>
  <c r="AQ8" i="40"/>
  <c r="AR8" i="40"/>
  <c r="AP9" i="40"/>
  <c r="AQ9" i="40"/>
  <c r="AR9" i="40"/>
  <c r="AP10" i="40"/>
  <c r="AQ10" i="40"/>
  <c r="AR10" i="40"/>
  <c r="AP11" i="40"/>
  <c r="AQ11" i="40"/>
  <c r="AR11" i="40"/>
  <c r="Y2" i="40"/>
  <c r="Z2" i="40"/>
  <c r="AA2" i="40"/>
  <c r="AB2" i="40"/>
  <c r="AC2" i="40"/>
  <c r="AD2" i="40"/>
  <c r="AE2" i="40"/>
  <c r="AF2" i="40"/>
  <c r="AG2" i="40"/>
  <c r="AH2" i="40"/>
  <c r="AI2" i="40"/>
  <c r="AJ2" i="40"/>
  <c r="AK2" i="40"/>
  <c r="AL2" i="40"/>
  <c r="AM2" i="40"/>
  <c r="AN2" i="40"/>
  <c r="AO2" i="40"/>
  <c r="Y3" i="40"/>
  <c r="Z3" i="40"/>
  <c r="AA3" i="40"/>
  <c r="AB3" i="40"/>
  <c r="AC3" i="40"/>
  <c r="AD3" i="40"/>
  <c r="AE3" i="40"/>
  <c r="AF3" i="40"/>
  <c r="AG3" i="40"/>
  <c r="AH3" i="40"/>
  <c r="AI3" i="40"/>
  <c r="AJ3" i="40"/>
  <c r="AK3" i="40"/>
  <c r="AL3" i="40"/>
  <c r="AM3" i="40"/>
  <c r="AN3" i="40"/>
  <c r="AO3" i="40"/>
  <c r="Y4" i="40"/>
  <c r="Z4" i="40"/>
  <c r="AA4" i="40"/>
  <c r="AB4" i="40"/>
  <c r="AC4" i="40"/>
  <c r="AD4" i="40"/>
  <c r="AE4" i="40"/>
  <c r="AF4" i="40"/>
  <c r="AG4" i="40"/>
  <c r="AH4" i="40"/>
  <c r="AI4" i="40"/>
  <c r="AJ4" i="40"/>
  <c r="AK4" i="40"/>
  <c r="AL4" i="40"/>
  <c r="AM4" i="40"/>
  <c r="AN4" i="40"/>
  <c r="AO4" i="40"/>
  <c r="Y5" i="40"/>
  <c r="Z5" i="40"/>
  <c r="AA5" i="40"/>
  <c r="AB5" i="40"/>
  <c r="AC5" i="40"/>
  <c r="AD5" i="40"/>
  <c r="AE5" i="40"/>
  <c r="AF5" i="40"/>
  <c r="AG5" i="40"/>
  <c r="AH5" i="40"/>
  <c r="AI5" i="40"/>
  <c r="AJ5" i="40"/>
  <c r="AK5" i="40"/>
  <c r="AL5" i="40"/>
  <c r="AM5" i="40"/>
  <c r="AN5" i="40"/>
  <c r="AO5" i="40"/>
  <c r="Y6" i="40"/>
  <c r="Z6" i="40"/>
  <c r="AA6" i="40"/>
  <c r="AB6" i="40"/>
  <c r="AC6" i="40"/>
  <c r="AD6" i="40"/>
  <c r="AE6" i="40"/>
  <c r="AF6" i="40"/>
  <c r="AG6" i="40"/>
  <c r="AH6" i="40"/>
  <c r="AI6" i="40"/>
  <c r="AJ6" i="40"/>
  <c r="AK6" i="40"/>
  <c r="AL6" i="40"/>
  <c r="AM6" i="40"/>
  <c r="AN6" i="40"/>
  <c r="AO6" i="40"/>
  <c r="Y7" i="40"/>
  <c r="Z7" i="40"/>
  <c r="AA7" i="40"/>
  <c r="AB7" i="40"/>
  <c r="AC7" i="40"/>
  <c r="AD7" i="40"/>
  <c r="AE7" i="40"/>
  <c r="AF7" i="40"/>
  <c r="AG7" i="40"/>
  <c r="AH7" i="40"/>
  <c r="AI7" i="40"/>
  <c r="AJ7" i="40"/>
  <c r="AK7" i="40"/>
  <c r="AL7" i="40"/>
  <c r="AM7" i="40"/>
  <c r="AN7" i="40"/>
  <c r="AO7" i="40"/>
  <c r="Y8" i="40"/>
  <c r="Z8" i="40"/>
  <c r="AA8" i="40"/>
  <c r="AB8" i="40"/>
  <c r="AC8" i="40"/>
  <c r="AD8" i="40"/>
  <c r="AE8" i="40"/>
  <c r="AF8" i="40"/>
  <c r="AG8" i="40"/>
  <c r="AH8" i="40"/>
  <c r="AI8" i="40"/>
  <c r="AJ8" i="40"/>
  <c r="AK8" i="40"/>
  <c r="AL8" i="40"/>
  <c r="AM8" i="40"/>
  <c r="AN8" i="40"/>
  <c r="AO8" i="40"/>
  <c r="Y9" i="40"/>
  <c r="Z9" i="40"/>
  <c r="AA9" i="40"/>
  <c r="AB9" i="40"/>
  <c r="AC9" i="40"/>
  <c r="AD9" i="40"/>
  <c r="AE9" i="40"/>
  <c r="AF9" i="40"/>
  <c r="AG9" i="40"/>
  <c r="AH9" i="40"/>
  <c r="AI9" i="40"/>
  <c r="AJ9" i="40"/>
  <c r="AK9" i="40"/>
  <c r="AL9" i="40"/>
  <c r="AM9" i="40"/>
  <c r="AN9" i="40"/>
  <c r="AO9" i="40"/>
  <c r="Y10" i="40"/>
  <c r="Z10" i="40"/>
  <c r="AA10" i="40"/>
  <c r="AB10" i="40"/>
  <c r="AC10" i="40"/>
  <c r="AD10" i="40"/>
  <c r="AE10" i="40"/>
  <c r="AF10" i="40"/>
  <c r="AG10" i="40"/>
  <c r="AH10" i="40"/>
  <c r="AI10" i="40"/>
  <c r="AJ10" i="40"/>
  <c r="AK10" i="40"/>
  <c r="AL10" i="40"/>
  <c r="AM10" i="40"/>
  <c r="AN10" i="40"/>
  <c r="AO10" i="40"/>
  <c r="Y11" i="40"/>
  <c r="Z11" i="40"/>
  <c r="AA11" i="40"/>
  <c r="AB11" i="40"/>
  <c r="AC11" i="40"/>
  <c r="AD11" i="40"/>
  <c r="AE11" i="40"/>
  <c r="AF11" i="40"/>
  <c r="AG11" i="40"/>
  <c r="AH11" i="40"/>
  <c r="AI11" i="40"/>
  <c r="AJ11" i="40"/>
  <c r="AK11" i="40"/>
  <c r="AL11" i="40"/>
  <c r="AM11" i="40"/>
  <c r="AN11" i="40"/>
  <c r="AO11" i="40"/>
  <c r="X2" i="36"/>
  <c r="Y2" i="36"/>
  <c r="Z2" i="36"/>
  <c r="AA2" i="36"/>
  <c r="AB2" i="36"/>
  <c r="AC2" i="36"/>
  <c r="AD2" i="36"/>
  <c r="AE2" i="36"/>
  <c r="AF2" i="36"/>
  <c r="AG2" i="36"/>
  <c r="AH2" i="36"/>
  <c r="AI2" i="36"/>
  <c r="AJ2" i="36"/>
  <c r="AK2" i="36"/>
  <c r="AL2" i="36"/>
  <c r="AM2" i="36"/>
  <c r="AN2" i="36"/>
  <c r="AO2" i="36"/>
  <c r="AP2" i="36"/>
  <c r="AQ2" i="36"/>
  <c r="AR2" i="36"/>
  <c r="X3" i="36"/>
  <c r="Y3" i="36"/>
  <c r="Z3" i="36"/>
  <c r="AA3" i="36"/>
  <c r="AB3" i="36"/>
  <c r="AC3" i="36"/>
  <c r="AD3" i="36"/>
  <c r="AE3" i="36"/>
  <c r="AF3" i="36"/>
  <c r="AG3" i="36"/>
  <c r="AH3" i="36"/>
  <c r="AI3" i="36"/>
  <c r="AJ3" i="36"/>
  <c r="AK3" i="36"/>
  <c r="AL3" i="36"/>
  <c r="AM3" i="36"/>
  <c r="AN3" i="36"/>
  <c r="AO3" i="36"/>
  <c r="AP3" i="36"/>
  <c r="AQ3" i="36"/>
  <c r="AR3" i="36"/>
  <c r="X4" i="36"/>
  <c r="Y4" i="36"/>
  <c r="Z4" i="36"/>
  <c r="AA4" i="36"/>
  <c r="AB4" i="36"/>
  <c r="AC4" i="36"/>
  <c r="AD4" i="36"/>
  <c r="AE4" i="36"/>
  <c r="AF4" i="36"/>
  <c r="AG4" i="36"/>
  <c r="AH4" i="36"/>
  <c r="AI4" i="36"/>
  <c r="AJ4" i="36"/>
  <c r="AK4" i="36"/>
  <c r="AL4" i="36"/>
  <c r="AM4" i="36"/>
  <c r="AN4" i="36"/>
  <c r="AO4" i="36"/>
  <c r="AP4" i="36"/>
  <c r="AQ4" i="36"/>
  <c r="AR4" i="36"/>
  <c r="X5" i="36"/>
  <c r="Y5" i="36"/>
  <c r="Z5" i="36"/>
  <c r="AA5" i="36"/>
  <c r="AB5" i="36"/>
  <c r="AC5" i="36"/>
  <c r="AD5" i="36"/>
  <c r="AE5" i="36"/>
  <c r="AF5" i="36"/>
  <c r="AG5" i="36"/>
  <c r="AH5" i="36"/>
  <c r="AI5" i="36"/>
  <c r="AJ5" i="36"/>
  <c r="AK5" i="36"/>
  <c r="AL5" i="36"/>
  <c r="AM5" i="36"/>
  <c r="AN5" i="36"/>
  <c r="AO5" i="36"/>
  <c r="AP5" i="36"/>
  <c r="AQ5" i="36"/>
  <c r="AR5" i="36"/>
  <c r="X6" i="36"/>
  <c r="Y6" i="36"/>
  <c r="Z6" i="36"/>
  <c r="AA6" i="36"/>
  <c r="AB6" i="36"/>
  <c r="AC6" i="36"/>
  <c r="AD6" i="36"/>
  <c r="AE6" i="36"/>
  <c r="AF6" i="36"/>
  <c r="AG6" i="36"/>
  <c r="AH6" i="36"/>
  <c r="AI6" i="36"/>
  <c r="AJ6" i="36"/>
  <c r="AK6" i="36"/>
  <c r="AL6" i="36"/>
  <c r="AM6" i="36"/>
  <c r="AN6" i="36"/>
  <c r="AO6" i="36"/>
  <c r="AP6" i="36"/>
  <c r="AQ6" i="36"/>
  <c r="AR6" i="36"/>
  <c r="X7" i="36"/>
  <c r="Y7" i="36"/>
  <c r="Z7" i="36"/>
  <c r="AA7" i="36"/>
  <c r="AB7" i="36"/>
  <c r="AC7" i="36"/>
  <c r="AD7" i="36"/>
  <c r="AE7" i="36"/>
  <c r="AF7" i="36"/>
  <c r="AG7" i="36"/>
  <c r="AH7" i="36"/>
  <c r="AI7" i="36"/>
  <c r="AJ7" i="36"/>
  <c r="AK7" i="36"/>
  <c r="AL7" i="36"/>
  <c r="AM7" i="36"/>
  <c r="AN7" i="36"/>
  <c r="AO7" i="36"/>
  <c r="AP7" i="36"/>
  <c r="AQ7" i="36"/>
  <c r="AR7" i="36"/>
  <c r="X8" i="36"/>
  <c r="Y8" i="36"/>
  <c r="Z8" i="36"/>
  <c r="AA8" i="36"/>
  <c r="AB8" i="36"/>
  <c r="AC8" i="36"/>
  <c r="AD8" i="36"/>
  <c r="AE8" i="36"/>
  <c r="AF8" i="36"/>
  <c r="AG8" i="36"/>
  <c r="AH8" i="36"/>
  <c r="AI8" i="36"/>
  <c r="AJ8" i="36"/>
  <c r="AK8" i="36"/>
  <c r="AL8" i="36"/>
  <c r="AM8" i="36"/>
  <c r="AN8" i="36"/>
  <c r="AO8" i="36"/>
  <c r="AP8" i="36"/>
  <c r="AQ8" i="36"/>
  <c r="AR8" i="36"/>
  <c r="X9" i="36"/>
  <c r="Y9" i="36"/>
  <c r="Z9" i="36"/>
  <c r="AA9" i="36"/>
  <c r="AB9" i="36"/>
  <c r="AC9" i="36"/>
  <c r="AD9" i="36"/>
  <c r="AE9" i="36"/>
  <c r="AF9" i="36"/>
  <c r="AG9" i="36"/>
  <c r="AH9" i="36"/>
  <c r="AI9" i="36"/>
  <c r="AJ9" i="36"/>
  <c r="AK9" i="36"/>
  <c r="AL9" i="36"/>
  <c r="AM9" i="36"/>
  <c r="AN9" i="36"/>
  <c r="AO9" i="36"/>
  <c r="AP9" i="36"/>
  <c r="AQ9" i="36"/>
  <c r="AR9" i="36"/>
  <c r="X10" i="36"/>
  <c r="Y10" i="36"/>
  <c r="Z10" i="36"/>
  <c r="AA10" i="36"/>
  <c r="AB10" i="36"/>
  <c r="AC10" i="36"/>
  <c r="AD10" i="36"/>
  <c r="AE10" i="36"/>
  <c r="AF10" i="36"/>
  <c r="AG10" i="36"/>
  <c r="AH10" i="36"/>
  <c r="AI10" i="36"/>
  <c r="AJ10" i="36"/>
  <c r="AK10" i="36"/>
  <c r="AL10" i="36"/>
  <c r="AM10" i="36"/>
  <c r="AN10" i="36"/>
  <c r="AO10" i="36"/>
  <c r="AP10" i="36"/>
  <c r="AQ10" i="36"/>
  <c r="AR10" i="36"/>
  <c r="X11" i="36"/>
  <c r="Y11" i="36"/>
  <c r="Z11" i="36"/>
  <c r="AA11" i="36"/>
  <c r="AB11" i="36"/>
  <c r="AC11" i="36"/>
  <c r="AD11" i="36"/>
  <c r="AE11" i="36"/>
  <c r="AF11" i="36"/>
  <c r="AG11" i="36"/>
  <c r="AH11" i="36"/>
  <c r="AI11" i="36"/>
  <c r="AJ11" i="36"/>
  <c r="AK11" i="36"/>
  <c r="AL11" i="36"/>
  <c r="AM11" i="36"/>
  <c r="AN11" i="36"/>
  <c r="AO11" i="36"/>
  <c r="AP11" i="36"/>
  <c r="AQ11" i="36"/>
  <c r="AR11" i="36"/>
  <c r="Y2" i="37"/>
  <c r="Z2" i="37"/>
  <c r="AA2" i="37"/>
  <c r="AB2" i="37"/>
  <c r="AC2" i="37"/>
  <c r="AD2" i="37"/>
  <c r="AE2" i="37"/>
  <c r="AF2" i="37"/>
  <c r="AG2" i="37"/>
  <c r="AH2" i="37"/>
  <c r="AI2" i="37"/>
  <c r="AJ2" i="37"/>
  <c r="AK2" i="37"/>
  <c r="AL2" i="37"/>
  <c r="AM2" i="37"/>
  <c r="AN2" i="37"/>
  <c r="AO2" i="37"/>
  <c r="AP2" i="37"/>
  <c r="AQ2" i="37"/>
  <c r="AR2" i="37"/>
  <c r="Y3" i="37"/>
  <c r="Z3" i="37"/>
  <c r="AA3" i="37"/>
  <c r="AB3" i="37"/>
  <c r="AC3" i="37"/>
  <c r="AD3" i="37"/>
  <c r="AE3" i="37"/>
  <c r="AF3" i="37"/>
  <c r="AG3" i="37"/>
  <c r="AH3" i="37"/>
  <c r="AI3" i="37"/>
  <c r="AJ3" i="37"/>
  <c r="AK3" i="37"/>
  <c r="AL3" i="37"/>
  <c r="AM3" i="37"/>
  <c r="AN3" i="37"/>
  <c r="AO3" i="37"/>
  <c r="AP3" i="37"/>
  <c r="AQ3" i="37"/>
  <c r="AR3" i="37"/>
  <c r="Y4" i="37"/>
  <c r="Z4" i="37"/>
  <c r="AA4" i="37"/>
  <c r="AB4" i="37"/>
  <c r="AC4" i="37"/>
  <c r="AD4" i="37"/>
  <c r="AE4" i="37"/>
  <c r="AF4" i="37"/>
  <c r="AG4" i="37"/>
  <c r="AH4" i="37"/>
  <c r="AI4" i="37"/>
  <c r="AJ4" i="37"/>
  <c r="AK4" i="37"/>
  <c r="AL4" i="37"/>
  <c r="AM4" i="37"/>
  <c r="AN4" i="37"/>
  <c r="AO4" i="37"/>
  <c r="AP4" i="37"/>
  <c r="AQ4" i="37"/>
  <c r="AR4" i="37"/>
  <c r="Y5" i="37"/>
  <c r="Z5" i="37"/>
  <c r="AA5" i="37"/>
  <c r="AB5" i="37"/>
  <c r="AC5" i="37"/>
  <c r="AD5" i="37"/>
  <c r="AE5" i="37"/>
  <c r="AF5" i="37"/>
  <c r="AG5" i="37"/>
  <c r="AH5" i="37"/>
  <c r="AI5" i="37"/>
  <c r="AJ5" i="37"/>
  <c r="AK5" i="37"/>
  <c r="AL5" i="37"/>
  <c r="AM5" i="37"/>
  <c r="AN5" i="37"/>
  <c r="AO5" i="37"/>
  <c r="AP5" i="37"/>
  <c r="AQ5" i="37"/>
  <c r="AR5" i="37"/>
  <c r="Y6" i="37"/>
  <c r="Z6" i="37"/>
  <c r="AA6" i="37"/>
  <c r="AB6" i="37"/>
  <c r="AC6" i="37"/>
  <c r="AD6" i="37"/>
  <c r="AE6" i="37"/>
  <c r="AF6" i="37"/>
  <c r="AG6" i="37"/>
  <c r="AH6" i="37"/>
  <c r="AI6" i="37"/>
  <c r="AJ6" i="37"/>
  <c r="AK6" i="37"/>
  <c r="AL6" i="37"/>
  <c r="AM6" i="37"/>
  <c r="AN6" i="37"/>
  <c r="AO6" i="37"/>
  <c r="AP6" i="37"/>
  <c r="AQ6" i="37"/>
  <c r="AR6" i="37"/>
  <c r="Y7" i="37"/>
  <c r="Z7" i="37"/>
  <c r="AA7" i="37"/>
  <c r="AB7" i="37"/>
  <c r="AC7" i="37"/>
  <c r="AD7" i="37"/>
  <c r="AE7" i="37"/>
  <c r="AF7" i="37"/>
  <c r="AG7" i="37"/>
  <c r="AH7" i="37"/>
  <c r="AI7" i="37"/>
  <c r="AJ7" i="37"/>
  <c r="AK7" i="37"/>
  <c r="AL7" i="37"/>
  <c r="AM7" i="37"/>
  <c r="AN7" i="37"/>
  <c r="AO7" i="37"/>
  <c r="AP7" i="37"/>
  <c r="AQ7" i="37"/>
  <c r="AR7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AO8" i="37"/>
  <c r="AP8" i="37"/>
  <c r="AQ8" i="37"/>
  <c r="AR8" i="37"/>
  <c r="Y9" i="37"/>
  <c r="Z9" i="37"/>
  <c r="AA9" i="37"/>
  <c r="AB9" i="37"/>
  <c r="AC9" i="37"/>
  <c r="AD9" i="37"/>
  <c r="AE9" i="37"/>
  <c r="AF9" i="37"/>
  <c r="AG9" i="37"/>
  <c r="AH9" i="37"/>
  <c r="AI9" i="37"/>
  <c r="AJ9" i="37"/>
  <c r="AK9" i="37"/>
  <c r="AL9" i="37"/>
  <c r="AM9" i="37"/>
  <c r="AN9" i="37"/>
  <c r="AO9" i="37"/>
  <c r="AP9" i="37"/>
  <c r="AQ9" i="37"/>
  <c r="AR9" i="37"/>
  <c r="Y10" i="37"/>
  <c r="Z10" i="37"/>
  <c r="AA10" i="37"/>
  <c r="AB10" i="37"/>
  <c r="AC10" i="37"/>
  <c r="AD10" i="37"/>
  <c r="AE10" i="37"/>
  <c r="AF10" i="37"/>
  <c r="AG10" i="37"/>
  <c r="AH10" i="37"/>
  <c r="AI10" i="37"/>
  <c r="AJ10" i="37"/>
  <c r="AK10" i="37"/>
  <c r="AL10" i="37"/>
  <c r="AM10" i="37"/>
  <c r="AN10" i="37"/>
  <c r="AO10" i="37"/>
  <c r="AP10" i="37"/>
  <c r="AQ10" i="37"/>
  <c r="AR10" i="37"/>
  <c r="Y11" i="37"/>
  <c r="Z11" i="37"/>
  <c r="AA11" i="37"/>
  <c r="AB11" i="37"/>
  <c r="AC11" i="37"/>
  <c r="AD11" i="37"/>
  <c r="AE11" i="37"/>
  <c r="AF11" i="37"/>
  <c r="AG11" i="37"/>
  <c r="AH11" i="37"/>
  <c r="AI11" i="37"/>
  <c r="AJ11" i="37"/>
  <c r="AK11" i="37"/>
  <c r="AL11" i="37"/>
  <c r="AM11" i="37"/>
  <c r="AN11" i="37"/>
  <c r="AO11" i="37"/>
  <c r="AP11" i="37"/>
  <c r="AQ11" i="37"/>
  <c r="AR11" i="37"/>
  <c r="Y2" i="45"/>
  <c r="Z2" i="45"/>
  <c r="AA2" i="45"/>
  <c r="AB2" i="45"/>
  <c r="AC2" i="45"/>
  <c r="AD2" i="45"/>
  <c r="AE2" i="45"/>
  <c r="AF2" i="45"/>
  <c r="AG2" i="45"/>
  <c r="AH2" i="45"/>
  <c r="AI2" i="45"/>
  <c r="AJ2" i="45"/>
  <c r="AK2" i="45"/>
  <c r="AL2" i="45"/>
  <c r="AM2" i="45"/>
  <c r="AN2" i="45"/>
  <c r="AO2" i="45"/>
  <c r="AP2" i="45"/>
  <c r="AQ2" i="45"/>
  <c r="AR2" i="45"/>
  <c r="Y3" i="45"/>
  <c r="Z3" i="45"/>
  <c r="AA3" i="45"/>
  <c r="AB3" i="45"/>
  <c r="AC3" i="45"/>
  <c r="AD3" i="45"/>
  <c r="AE3" i="45"/>
  <c r="AF3" i="45"/>
  <c r="AG3" i="45"/>
  <c r="AH3" i="45"/>
  <c r="AI3" i="45"/>
  <c r="AJ3" i="45"/>
  <c r="AK3" i="45"/>
  <c r="AL3" i="45"/>
  <c r="AM3" i="45"/>
  <c r="AN3" i="45"/>
  <c r="AO3" i="45"/>
  <c r="AP3" i="45"/>
  <c r="AQ3" i="45"/>
  <c r="AR3" i="45"/>
  <c r="Y4" i="45"/>
  <c r="Z4" i="45"/>
  <c r="AA4" i="45"/>
  <c r="AB4" i="45"/>
  <c r="AC4" i="45"/>
  <c r="AD4" i="45"/>
  <c r="AE4" i="45"/>
  <c r="AF4" i="45"/>
  <c r="AG4" i="45"/>
  <c r="AH4" i="45"/>
  <c r="AI4" i="45"/>
  <c r="AJ4" i="45"/>
  <c r="AK4" i="45"/>
  <c r="AL4" i="45"/>
  <c r="AM4" i="45"/>
  <c r="AN4" i="45"/>
  <c r="AO4" i="45"/>
  <c r="AP4" i="45"/>
  <c r="AQ4" i="45"/>
  <c r="AR4" i="45"/>
  <c r="Y5" i="45"/>
  <c r="Z5" i="45"/>
  <c r="AA5" i="45"/>
  <c r="AB5" i="45"/>
  <c r="AC5" i="45"/>
  <c r="AD5" i="45"/>
  <c r="AE5" i="45"/>
  <c r="AF5" i="45"/>
  <c r="AG5" i="45"/>
  <c r="AH5" i="45"/>
  <c r="AI5" i="45"/>
  <c r="AJ5" i="45"/>
  <c r="AK5" i="45"/>
  <c r="AL5" i="45"/>
  <c r="AM5" i="45"/>
  <c r="AN5" i="45"/>
  <c r="AO5" i="45"/>
  <c r="AP5" i="45"/>
  <c r="AQ5" i="45"/>
  <c r="AR5" i="45"/>
  <c r="Y6" i="45"/>
  <c r="Z6" i="45"/>
  <c r="AA6" i="45"/>
  <c r="AB6" i="45"/>
  <c r="AC6" i="45"/>
  <c r="AD6" i="45"/>
  <c r="AE6" i="45"/>
  <c r="AF6" i="45"/>
  <c r="AG6" i="45"/>
  <c r="AH6" i="45"/>
  <c r="AI6" i="45"/>
  <c r="AJ6" i="45"/>
  <c r="AK6" i="45"/>
  <c r="AL6" i="45"/>
  <c r="AM6" i="45"/>
  <c r="AN6" i="45"/>
  <c r="AO6" i="45"/>
  <c r="AP6" i="45"/>
  <c r="AQ6" i="45"/>
  <c r="AR6" i="45"/>
  <c r="Y7" i="45"/>
  <c r="Z7" i="45"/>
  <c r="AA7" i="45"/>
  <c r="AB7" i="45"/>
  <c r="AC7" i="45"/>
  <c r="AD7" i="45"/>
  <c r="AE7" i="45"/>
  <c r="AF7" i="45"/>
  <c r="AG7" i="45"/>
  <c r="AH7" i="45"/>
  <c r="AI7" i="45"/>
  <c r="AJ7" i="45"/>
  <c r="AK7" i="45"/>
  <c r="AL7" i="45"/>
  <c r="AM7" i="45"/>
  <c r="AN7" i="45"/>
  <c r="AO7" i="45"/>
  <c r="AP7" i="45"/>
  <c r="AQ7" i="45"/>
  <c r="AR7" i="45"/>
  <c r="Y8" i="45"/>
  <c r="Z8" i="45"/>
  <c r="AA8" i="45"/>
  <c r="AB8" i="45"/>
  <c r="AC8" i="45"/>
  <c r="AD8" i="45"/>
  <c r="AE8" i="45"/>
  <c r="AF8" i="45"/>
  <c r="AG8" i="45"/>
  <c r="AH8" i="45"/>
  <c r="AI8" i="45"/>
  <c r="AJ8" i="45"/>
  <c r="AK8" i="45"/>
  <c r="AL8" i="45"/>
  <c r="AM8" i="45"/>
  <c r="AN8" i="45"/>
  <c r="AO8" i="45"/>
  <c r="AP8" i="45"/>
  <c r="AQ8" i="45"/>
  <c r="AR8" i="45"/>
  <c r="Y9" i="45"/>
  <c r="Z9" i="45"/>
  <c r="AA9" i="45"/>
  <c r="AB9" i="45"/>
  <c r="AC9" i="45"/>
  <c r="AD9" i="45"/>
  <c r="AE9" i="45"/>
  <c r="AF9" i="45"/>
  <c r="AG9" i="45"/>
  <c r="AH9" i="45"/>
  <c r="AI9" i="45"/>
  <c r="AJ9" i="45"/>
  <c r="AK9" i="45"/>
  <c r="AL9" i="45"/>
  <c r="AM9" i="45"/>
  <c r="AN9" i="45"/>
  <c r="AO9" i="45"/>
  <c r="AP9" i="45"/>
  <c r="AQ9" i="45"/>
  <c r="AR9" i="45"/>
  <c r="Y10" i="45"/>
  <c r="Z10" i="45"/>
  <c r="AA10" i="45"/>
  <c r="AB10" i="45"/>
  <c r="AC10" i="45"/>
  <c r="AD10" i="45"/>
  <c r="AE10" i="45"/>
  <c r="AF10" i="45"/>
  <c r="AG10" i="45"/>
  <c r="AH10" i="45"/>
  <c r="AI10" i="45"/>
  <c r="AJ10" i="45"/>
  <c r="AK10" i="45"/>
  <c r="AL10" i="45"/>
  <c r="AM10" i="45"/>
  <c r="AN10" i="45"/>
  <c r="AO10" i="45"/>
  <c r="AP10" i="45"/>
  <c r="AQ10" i="45"/>
  <c r="AR10" i="45"/>
  <c r="Y11" i="45"/>
  <c r="Z11" i="45"/>
  <c r="AA11" i="45"/>
  <c r="AB11" i="45"/>
  <c r="AC11" i="45"/>
  <c r="AD11" i="45"/>
  <c r="AE11" i="45"/>
  <c r="AF11" i="45"/>
  <c r="AG11" i="45"/>
  <c r="AH11" i="45"/>
  <c r="AI11" i="45"/>
  <c r="AJ11" i="45"/>
  <c r="AK11" i="45"/>
  <c r="AL11" i="45"/>
  <c r="AM11" i="45"/>
  <c r="AN11" i="45"/>
  <c r="AO11" i="45"/>
  <c r="AP11" i="45"/>
  <c r="AQ11" i="45"/>
  <c r="AR11" i="45"/>
  <c r="X11" i="69"/>
  <c r="Y11" i="69"/>
  <c r="Z11" i="69"/>
  <c r="AA11" i="69"/>
  <c r="AB11" i="69"/>
  <c r="AC11" i="69"/>
  <c r="AD11" i="69"/>
  <c r="AE11" i="69"/>
  <c r="AF11" i="69"/>
  <c r="AG11" i="69"/>
  <c r="AH11" i="69"/>
  <c r="AI11" i="69"/>
  <c r="AJ11" i="69"/>
  <c r="AK11" i="69"/>
  <c r="AL11" i="69"/>
  <c r="AM11" i="69"/>
  <c r="AN11" i="69"/>
  <c r="AO11" i="69"/>
  <c r="AP11" i="69"/>
  <c r="AQ11" i="69"/>
  <c r="AR11" i="69"/>
  <c r="Y2" i="41"/>
  <c r="Z2" i="41"/>
  <c r="AA2" i="41"/>
  <c r="AB2" i="41"/>
  <c r="AC2" i="41"/>
  <c r="AD2" i="41"/>
  <c r="AE2" i="41"/>
  <c r="AF2" i="41"/>
  <c r="AG2" i="41"/>
  <c r="AH2" i="41"/>
  <c r="AI2" i="41"/>
  <c r="AJ2" i="41"/>
  <c r="AK2" i="41"/>
  <c r="AL2" i="41"/>
  <c r="AM2" i="41"/>
  <c r="AN2" i="41"/>
  <c r="AO2" i="41"/>
  <c r="AP2" i="41"/>
  <c r="AQ2" i="41"/>
  <c r="AR2" i="41"/>
  <c r="Y3" i="41"/>
  <c r="Z3" i="41"/>
  <c r="AA3" i="41"/>
  <c r="AB3" i="41"/>
  <c r="AC3" i="41"/>
  <c r="AD3" i="41"/>
  <c r="AE3" i="41"/>
  <c r="AF3" i="41"/>
  <c r="AG3" i="41"/>
  <c r="AH3" i="41"/>
  <c r="AI3" i="41"/>
  <c r="AJ3" i="41"/>
  <c r="AK3" i="41"/>
  <c r="AL3" i="41"/>
  <c r="AM3" i="41"/>
  <c r="AN3" i="41"/>
  <c r="AO3" i="41"/>
  <c r="AP3" i="41"/>
  <c r="AQ3" i="41"/>
  <c r="AR3" i="41"/>
  <c r="Y4" i="41"/>
  <c r="Z4" i="41"/>
  <c r="AA4" i="41"/>
  <c r="AB4" i="41"/>
  <c r="AC4" i="41"/>
  <c r="AD4" i="41"/>
  <c r="AE4" i="41"/>
  <c r="AF4" i="41"/>
  <c r="AG4" i="41"/>
  <c r="AH4" i="41"/>
  <c r="AI4" i="41"/>
  <c r="AJ4" i="41"/>
  <c r="AK4" i="41"/>
  <c r="AL4" i="41"/>
  <c r="AM4" i="41"/>
  <c r="AN4" i="41"/>
  <c r="AO4" i="41"/>
  <c r="AP4" i="41"/>
  <c r="AQ4" i="41"/>
  <c r="AR4" i="41"/>
  <c r="Y5" i="41"/>
  <c r="Z5" i="41"/>
  <c r="AA5" i="41"/>
  <c r="AB5" i="41"/>
  <c r="AC5" i="41"/>
  <c r="AD5" i="41"/>
  <c r="AE5" i="41"/>
  <c r="AF5" i="41"/>
  <c r="AG5" i="41"/>
  <c r="AH5" i="41"/>
  <c r="AI5" i="41"/>
  <c r="AJ5" i="41"/>
  <c r="AK5" i="41"/>
  <c r="AL5" i="41"/>
  <c r="AM5" i="41"/>
  <c r="AN5" i="41"/>
  <c r="AO5" i="41"/>
  <c r="AP5" i="41"/>
  <c r="AQ5" i="41"/>
  <c r="AR5" i="41"/>
  <c r="Y6" i="41"/>
  <c r="Z6" i="41"/>
  <c r="AA6" i="41"/>
  <c r="AB6" i="41"/>
  <c r="AC6" i="41"/>
  <c r="AD6" i="41"/>
  <c r="AE6" i="41"/>
  <c r="AF6" i="41"/>
  <c r="AG6" i="41"/>
  <c r="AH6" i="41"/>
  <c r="AI6" i="41"/>
  <c r="AJ6" i="41"/>
  <c r="AK6" i="41"/>
  <c r="AL6" i="41"/>
  <c r="AM6" i="41"/>
  <c r="AN6" i="41"/>
  <c r="AO6" i="41"/>
  <c r="AP6" i="41"/>
  <c r="AQ6" i="41"/>
  <c r="AR6" i="41"/>
  <c r="Y7" i="41"/>
  <c r="Z7" i="41"/>
  <c r="AA7" i="41"/>
  <c r="AB7" i="41"/>
  <c r="AC7" i="41"/>
  <c r="AD7" i="41"/>
  <c r="AE7" i="41"/>
  <c r="AF7" i="41"/>
  <c r="AG7" i="41"/>
  <c r="AH7" i="41"/>
  <c r="AI7" i="41"/>
  <c r="AJ7" i="41"/>
  <c r="AK7" i="41"/>
  <c r="AL7" i="41"/>
  <c r="AM7" i="41"/>
  <c r="AN7" i="41"/>
  <c r="AO7" i="41"/>
  <c r="AP7" i="41"/>
  <c r="AQ7" i="41"/>
  <c r="AR7" i="41"/>
  <c r="Y8" i="41"/>
  <c r="Z8" i="41"/>
  <c r="AA8" i="41"/>
  <c r="AB8" i="41"/>
  <c r="AC8" i="41"/>
  <c r="AD8" i="41"/>
  <c r="AE8" i="41"/>
  <c r="AF8" i="41"/>
  <c r="AG8" i="41"/>
  <c r="AH8" i="41"/>
  <c r="AI8" i="41"/>
  <c r="AJ8" i="41"/>
  <c r="AK8" i="41"/>
  <c r="AL8" i="41"/>
  <c r="AM8" i="41"/>
  <c r="AN8" i="41"/>
  <c r="AO8" i="41"/>
  <c r="AP8" i="41"/>
  <c r="AQ8" i="41"/>
  <c r="AR8" i="41"/>
  <c r="Y9" i="41"/>
  <c r="Z9" i="41"/>
  <c r="AA9" i="41"/>
  <c r="AB9" i="41"/>
  <c r="AC9" i="41"/>
  <c r="AD9" i="41"/>
  <c r="AE9" i="41"/>
  <c r="AF9" i="41"/>
  <c r="AG9" i="41"/>
  <c r="AH9" i="41"/>
  <c r="AI9" i="41"/>
  <c r="AJ9" i="41"/>
  <c r="AK9" i="41"/>
  <c r="AL9" i="41"/>
  <c r="AM9" i="41"/>
  <c r="AN9" i="41"/>
  <c r="AO9" i="41"/>
  <c r="AP9" i="41"/>
  <c r="AQ9" i="41"/>
  <c r="AR9" i="41"/>
  <c r="Y10" i="41"/>
  <c r="Z10" i="41"/>
  <c r="AA10" i="41"/>
  <c r="AB10" i="41"/>
  <c r="AC10" i="41"/>
  <c r="AD10" i="41"/>
  <c r="AE10" i="41"/>
  <c r="AF10" i="41"/>
  <c r="AG10" i="41"/>
  <c r="AH10" i="41"/>
  <c r="AI10" i="41"/>
  <c r="AJ10" i="41"/>
  <c r="AK10" i="41"/>
  <c r="AL10" i="41"/>
  <c r="AM10" i="41"/>
  <c r="AN10" i="41"/>
  <c r="AO10" i="41"/>
  <c r="AP10" i="41"/>
  <c r="AQ10" i="41"/>
  <c r="AR10" i="41"/>
  <c r="Y11" i="41"/>
  <c r="Z11" i="41"/>
  <c r="AA11" i="41"/>
  <c r="AB11" i="41"/>
  <c r="AC11" i="41"/>
  <c r="AD11" i="41"/>
  <c r="AE11" i="41"/>
  <c r="AF11" i="41"/>
  <c r="AG11" i="41"/>
  <c r="AH11" i="41"/>
  <c r="AI11" i="41"/>
  <c r="AJ11" i="41"/>
  <c r="AK11" i="41"/>
  <c r="AL11" i="41"/>
  <c r="AM11" i="41"/>
  <c r="AN11" i="41"/>
  <c r="AO11" i="41"/>
  <c r="AP11" i="41"/>
  <c r="AQ11" i="41"/>
  <c r="AR11" i="41"/>
  <c r="I18" i="55"/>
  <c r="F18" i="55"/>
  <c r="B27" i="53" a="1"/>
  <c r="B27" i="53" s="1"/>
  <c r="B26" i="53" a="1"/>
  <c r="B26" i="53" s="1"/>
  <c r="D29" i="53"/>
  <c r="D30" i="53"/>
  <c r="D255" i="55"/>
  <c r="C19" i="69"/>
  <c r="D19" i="69"/>
  <c r="E19" i="69"/>
  <c r="F19" i="69"/>
  <c r="G19" i="69"/>
  <c r="H19" i="69"/>
  <c r="I19" i="69"/>
  <c r="J19" i="69"/>
  <c r="K19" i="69"/>
  <c r="L19" i="69"/>
  <c r="M19" i="69"/>
  <c r="N19" i="69"/>
  <c r="O19" i="69"/>
  <c r="P19" i="69"/>
  <c r="Q19" i="69"/>
  <c r="R19" i="69"/>
  <c r="S19" i="69"/>
  <c r="T19" i="69"/>
  <c r="U19" i="69"/>
  <c r="V19" i="69"/>
  <c r="W19" i="69"/>
  <c r="X19" i="69"/>
  <c r="Y19" i="69"/>
  <c r="Z19" i="69"/>
  <c r="AA19" i="69"/>
  <c r="AB19" i="69"/>
  <c r="AC19" i="69"/>
  <c r="AD19" i="69"/>
  <c r="AE19" i="69"/>
  <c r="AF19" i="69"/>
  <c r="AG19" i="69"/>
  <c r="AH19" i="69"/>
  <c r="AI19" i="69"/>
  <c r="AJ19" i="69"/>
  <c r="AK19" i="69"/>
  <c r="AL19" i="69"/>
  <c r="AM19" i="69"/>
  <c r="AN19" i="69"/>
  <c r="AO19" i="69"/>
  <c r="AP19" i="69"/>
  <c r="AQ19" i="69"/>
  <c r="AR19" i="69"/>
  <c r="B19" i="69"/>
  <c r="B23" i="68"/>
  <c r="B22" i="68"/>
  <c r="C8" i="48"/>
  <c r="D8" i="48"/>
  <c r="E8" i="48"/>
  <c r="F8" i="48"/>
  <c r="G8" i="48"/>
  <c r="H8" i="48"/>
  <c r="I8" i="48"/>
  <c r="J8" i="48"/>
  <c r="K8" i="48"/>
  <c r="L8" i="48"/>
  <c r="M8" i="48"/>
  <c r="N8" i="48"/>
  <c r="O8" i="48"/>
  <c r="P8" i="48"/>
  <c r="Q8" i="48"/>
  <c r="R8" i="48"/>
  <c r="S8" i="48"/>
  <c r="T8" i="48"/>
  <c r="U8" i="48"/>
  <c r="V8" i="48"/>
  <c r="W8" i="48"/>
  <c r="X8" i="48"/>
  <c r="Y8" i="48"/>
  <c r="Z8" i="48"/>
  <c r="AA8" i="48"/>
  <c r="AB8" i="48"/>
  <c r="AC8" i="48"/>
  <c r="AD8" i="48"/>
  <c r="AE8" i="48"/>
  <c r="AF8" i="48"/>
  <c r="AG8" i="48"/>
  <c r="AH8" i="48"/>
  <c r="AI8" i="48"/>
  <c r="AJ8" i="48"/>
  <c r="AK8" i="48"/>
  <c r="AL8" i="48"/>
  <c r="AM8" i="48"/>
  <c r="AN8" i="48"/>
  <c r="AO8" i="48"/>
  <c r="AP8" i="48"/>
  <c r="AQ8" i="48"/>
  <c r="AR8" i="48"/>
  <c r="AS8" i="48"/>
  <c r="AT8" i="48"/>
  <c r="B8" i="48"/>
  <c r="D55" i="66" l="1"/>
  <c r="D54" i="66"/>
  <c r="D53" i="66"/>
  <c r="AG10" i="62"/>
  <c r="AH10" i="62"/>
  <c r="AI10" i="62"/>
  <c r="AJ10" i="62"/>
  <c r="AK10" i="62"/>
  <c r="AL10" i="62"/>
  <c r="AM10" i="62"/>
  <c r="AN10" i="62"/>
  <c r="AO10" i="62"/>
  <c r="AP10" i="62"/>
  <c r="AF10" i="62"/>
  <c r="W10" i="62"/>
  <c r="X10" i="62"/>
  <c r="Y10" i="62"/>
  <c r="Z10" i="62"/>
  <c r="AA10" i="62"/>
  <c r="AB10" i="62"/>
  <c r="AC10" i="62"/>
  <c r="AD10" i="62"/>
  <c r="AE10" i="62"/>
  <c r="V10" i="62"/>
  <c r="M10" i="62"/>
  <c r="N10" i="62"/>
  <c r="O10" i="62"/>
  <c r="P10" i="62"/>
  <c r="Q10" i="62"/>
  <c r="R10" i="62"/>
  <c r="S10" i="62"/>
  <c r="T10" i="62"/>
  <c r="U10" i="62"/>
  <c r="L10" i="62"/>
  <c r="C10" i="62"/>
  <c r="D10" i="62"/>
  <c r="E10" i="62"/>
  <c r="F10" i="62"/>
  <c r="G10" i="62"/>
  <c r="H10" i="62"/>
  <c r="I10" i="62"/>
  <c r="J10" i="62"/>
  <c r="K10" i="62"/>
  <c r="B10" i="62"/>
  <c r="N91" i="61"/>
  <c r="M91" i="61"/>
  <c r="L91" i="61"/>
  <c r="J91" i="61"/>
  <c r="C91" i="61"/>
  <c r="N90" i="61"/>
  <c r="M90" i="61"/>
  <c r="L90" i="61"/>
  <c r="J90" i="61"/>
  <c r="G90" i="61"/>
  <c r="N89" i="61"/>
  <c r="M89" i="61"/>
  <c r="L89" i="61"/>
  <c r="J89" i="61"/>
  <c r="G89" i="61"/>
  <c r="N88" i="61"/>
  <c r="M88" i="61"/>
  <c r="L88" i="61"/>
  <c r="J88" i="61"/>
  <c r="G88" i="61"/>
  <c r="N87" i="61"/>
  <c r="M87" i="61"/>
  <c r="L87" i="61"/>
  <c r="J87" i="61"/>
  <c r="G87" i="61"/>
  <c r="N86" i="61"/>
  <c r="M86" i="61"/>
  <c r="L86" i="61"/>
  <c r="J86" i="61"/>
  <c r="G86" i="61"/>
  <c r="N85" i="61"/>
  <c r="M85" i="61"/>
  <c r="L85" i="61"/>
  <c r="J85" i="61"/>
  <c r="G85" i="61"/>
  <c r="N84" i="61"/>
  <c r="M84" i="61"/>
  <c r="L84" i="61"/>
  <c r="J84" i="61"/>
  <c r="G84" i="61"/>
  <c r="N83" i="61"/>
  <c r="M83" i="61"/>
  <c r="L83" i="61"/>
  <c r="J83" i="61"/>
  <c r="G83" i="61"/>
  <c r="N82" i="61"/>
  <c r="M82" i="61"/>
  <c r="L82" i="61"/>
  <c r="J82" i="61"/>
  <c r="G82" i="61"/>
  <c r="N81" i="61"/>
  <c r="M81" i="61"/>
  <c r="L81" i="61"/>
  <c r="J81" i="61"/>
  <c r="G81" i="61"/>
  <c r="N80" i="61"/>
  <c r="M80" i="61"/>
  <c r="L80" i="61"/>
  <c r="J80" i="61"/>
  <c r="G80" i="61"/>
  <c r="N79" i="61"/>
  <c r="M79" i="61"/>
  <c r="L79" i="61"/>
  <c r="J79" i="61"/>
  <c r="G79" i="61"/>
  <c r="N78" i="61"/>
  <c r="M78" i="61"/>
  <c r="L78" i="61"/>
  <c r="J78" i="61"/>
  <c r="G78" i="61"/>
  <c r="N77" i="61"/>
  <c r="M77" i="61"/>
  <c r="L77" i="61"/>
  <c r="J77" i="61"/>
  <c r="G77" i="61"/>
  <c r="N76" i="61"/>
  <c r="M76" i="61"/>
  <c r="L76" i="61"/>
  <c r="J76" i="61"/>
  <c r="G76" i="61"/>
  <c r="N75" i="61"/>
  <c r="M75" i="61"/>
  <c r="L75" i="61"/>
  <c r="J75" i="61"/>
  <c r="G75" i="61"/>
  <c r="N74" i="61"/>
  <c r="M74" i="61"/>
  <c r="L74" i="61"/>
  <c r="J74" i="61"/>
  <c r="G74" i="61"/>
  <c r="N73" i="61"/>
  <c r="M73" i="61"/>
  <c r="L73" i="61"/>
  <c r="J73" i="61"/>
  <c r="G73" i="61"/>
  <c r="N72" i="61"/>
  <c r="M72" i="61"/>
  <c r="L72" i="61"/>
  <c r="J72" i="61"/>
  <c r="G72" i="61"/>
  <c r="N71" i="61"/>
  <c r="M71" i="61"/>
  <c r="L71" i="61"/>
  <c r="J71" i="61"/>
  <c r="G71" i="61"/>
  <c r="N70" i="61"/>
  <c r="M70" i="61"/>
  <c r="L70" i="61"/>
  <c r="J70" i="61"/>
  <c r="G70" i="61"/>
  <c r="N69" i="61"/>
  <c r="M69" i="61"/>
  <c r="L69" i="61"/>
  <c r="J69" i="61"/>
  <c r="G69" i="61"/>
  <c r="N68" i="61"/>
  <c r="M68" i="61"/>
  <c r="L68" i="61"/>
  <c r="J68" i="61"/>
  <c r="G68" i="61"/>
  <c r="N67" i="61"/>
  <c r="M67" i="61"/>
  <c r="L67" i="61"/>
  <c r="J67" i="61"/>
  <c r="G67" i="61"/>
  <c r="N66" i="61"/>
  <c r="M66" i="61"/>
  <c r="L66" i="61"/>
  <c r="J66" i="61"/>
  <c r="G66" i="61"/>
  <c r="N65" i="61"/>
  <c r="M65" i="61"/>
  <c r="L65" i="61"/>
  <c r="J65" i="61"/>
  <c r="G65" i="61"/>
  <c r="N64" i="61"/>
  <c r="M64" i="61"/>
  <c r="L64" i="61"/>
  <c r="J64" i="61"/>
  <c r="G64" i="61"/>
  <c r="N63" i="61"/>
  <c r="M63" i="61"/>
  <c r="L63" i="61"/>
  <c r="J63" i="61"/>
  <c r="G63" i="61"/>
  <c r="N62" i="61"/>
  <c r="M62" i="61"/>
  <c r="L62" i="61"/>
  <c r="J62" i="61"/>
  <c r="G62" i="61"/>
  <c r="M61" i="61"/>
  <c r="L61" i="61"/>
  <c r="J61" i="61"/>
  <c r="G61" i="61"/>
  <c r="H60" i="61"/>
  <c r="F60" i="61"/>
  <c r="E60" i="61"/>
  <c r="D60" i="61"/>
  <c r="C60" i="61"/>
  <c r="C42" i="53"/>
  <c r="D42" i="53"/>
  <c r="E42" i="53"/>
  <c r="F42" i="53"/>
  <c r="G42" i="53"/>
  <c r="H42" i="53"/>
  <c r="I42" i="53"/>
  <c r="J42" i="53"/>
  <c r="K42" i="53"/>
  <c r="L42" i="53"/>
  <c r="M42" i="53"/>
  <c r="N42" i="53"/>
  <c r="O42" i="53"/>
  <c r="P42" i="53"/>
  <c r="Q42" i="53"/>
  <c r="R42" i="53"/>
  <c r="S42" i="53"/>
  <c r="T42" i="53"/>
  <c r="U42" i="53"/>
  <c r="V42" i="53"/>
  <c r="W42" i="53"/>
  <c r="X42" i="53"/>
  <c r="Y42" i="53"/>
  <c r="Z42" i="53"/>
  <c r="AA42" i="53"/>
  <c r="AB42" i="53"/>
  <c r="AC42" i="53"/>
  <c r="AD42" i="53"/>
  <c r="AE42" i="53"/>
  <c r="AF42" i="53"/>
  <c r="AG42" i="53"/>
  <c r="AH42" i="53"/>
  <c r="AI42" i="53"/>
  <c r="AJ42" i="53"/>
  <c r="AK42" i="53"/>
  <c r="AL42" i="53"/>
  <c r="AM42" i="53"/>
  <c r="AN42" i="53"/>
  <c r="AO42" i="53"/>
  <c r="AP42" i="53"/>
  <c r="AQ42" i="53"/>
  <c r="AR42" i="53"/>
  <c r="C43" i="53"/>
  <c r="D43" i="53"/>
  <c r="E43" i="53"/>
  <c r="F43" i="53"/>
  <c r="G43" i="53"/>
  <c r="H43" i="53"/>
  <c r="I43" i="53"/>
  <c r="J43" i="53"/>
  <c r="K43" i="53"/>
  <c r="L43" i="53"/>
  <c r="M43" i="53"/>
  <c r="N43" i="53"/>
  <c r="O43" i="53"/>
  <c r="P43" i="53"/>
  <c r="Q43" i="53"/>
  <c r="R43" i="53"/>
  <c r="S43" i="53"/>
  <c r="T43" i="53"/>
  <c r="U43" i="53"/>
  <c r="V43" i="53"/>
  <c r="W43" i="53"/>
  <c r="X43" i="53"/>
  <c r="Y43" i="53"/>
  <c r="Z43" i="53"/>
  <c r="AA43" i="53"/>
  <c r="AB43" i="53"/>
  <c r="AC43" i="53"/>
  <c r="AD43" i="53"/>
  <c r="AE43" i="53"/>
  <c r="AF43" i="53"/>
  <c r="AG43" i="53"/>
  <c r="AH43" i="53"/>
  <c r="AI43" i="53"/>
  <c r="AJ43" i="53"/>
  <c r="AK43" i="53"/>
  <c r="AL43" i="53"/>
  <c r="AM43" i="53"/>
  <c r="AN43" i="53"/>
  <c r="AO43" i="53"/>
  <c r="AP43" i="53"/>
  <c r="AQ43" i="53"/>
  <c r="AR43" i="53"/>
  <c r="C44" i="53"/>
  <c r="D44" i="53"/>
  <c r="E44" i="53"/>
  <c r="F44" i="53"/>
  <c r="G44" i="53"/>
  <c r="H44" i="53"/>
  <c r="I44" i="53"/>
  <c r="J44" i="53"/>
  <c r="K44" i="53"/>
  <c r="L44" i="53"/>
  <c r="M44" i="53"/>
  <c r="N44" i="53"/>
  <c r="O44" i="53"/>
  <c r="P44" i="53"/>
  <c r="Q44" i="53"/>
  <c r="R44" i="53"/>
  <c r="S44" i="53"/>
  <c r="T44" i="53"/>
  <c r="U44" i="53"/>
  <c r="V44" i="53"/>
  <c r="W44" i="53"/>
  <c r="X44" i="53"/>
  <c r="Y44" i="53"/>
  <c r="Z44" i="53"/>
  <c r="AA44" i="53"/>
  <c r="AB44" i="53"/>
  <c r="AC44" i="53"/>
  <c r="AD44" i="53"/>
  <c r="AE44" i="53"/>
  <c r="AF44" i="53"/>
  <c r="AG44" i="53"/>
  <c r="AH44" i="53"/>
  <c r="AI44" i="53"/>
  <c r="AJ44" i="53"/>
  <c r="AK44" i="53"/>
  <c r="AL44" i="53"/>
  <c r="AM44" i="53"/>
  <c r="AN44" i="53"/>
  <c r="AO44" i="53"/>
  <c r="AP44" i="53"/>
  <c r="AQ44" i="53"/>
  <c r="AR44" i="53"/>
  <c r="C45" i="53"/>
  <c r="D45" i="53"/>
  <c r="E45" i="53"/>
  <c r="F45" i="53"/>
  <c r="G45" i="53"/>
  <c r="H45" i="53"/>
  <c r="I45" i="53"/>
  <c r="J45" i="53"/>
  <c r="K45" i="53"/>
  <c r="L45" i="53"/>
  <c r="M45" i="53"/>
  <c r="N45" i="53"/>
  <c r="O45" i="53"/>
  <c r="P45" i="53"/>
  <c r="Q45" i="53"/>
  <c r="R45" i="53"/>
  <c r="S45" i="53"/>
  <c r="T45" i="53"/>
  <c r="U45" i="53"/>
  <c r="V45" i="53"/>
  <c r="W45" i="53"/>
  <c r="X45" i="53"/>
  <c r="Y45" i="53"/>
  <c r="Z45" i="53"/>
  <c r="AA45" i="53"/>
  <c r="AB45" i="53"/>
  <c r="AC45" i="53"/>
  <c r="AD45" i="53"/>
  <c r="AE45" i="53"/>
  <c r="AF45" i="53"/>
  <c r="AG45" i="53"/>
  <c r="AH45" i="53"/>
  <c r="AI45" i="53"/>
  <c r="AJ45" i="53"/>
  <c r="AK45" i="53"/>
  <c r="AL45" i="53"/>
  <c r="AM45" i="53"/>
  <c r="AN45" i="53"/>
  <c r="AO45" i="53"/>
  <c r="AP45" i="53"/>
  <c r="AQ45" i="53"/>
  <c r="AR45" i="53"/>
  <c r="C46" i="53"/>
  <c r="D46" i="53"/>
  <c r="E46" i="53"/>
  <c r="F46" i="53"/>
  <c r="G46" i="53"/>
  <c r="H46" i="53"/>
  <c r="I46" i="53"/>
  <c r="J46" i="53"/>
  <c r="K46" i="53"/>
  <c r="L46" i="53"/>
  <c r="M46" i="53"/>
  <c r="N46" i="53"/>
  <c r="O46" i="53"/>
  <c r="P46" i="53"/>
  <c r="Q46" i="53"/>
  <c r="R46" i="53"/>
  <c r="S46" i="53"/>
  <c r="T46" i="53"/>
  <c r="U46" i="53"/>
  <c r="V46" i="53"/>
  <c r="W46" i="53"/>
  <c r="X46" i="53"/>
  <c r="Y46" i="53"/>
  <c r="Z46" i="53"/>
  <c r="AA46" i="53"/>
  <c r="AB46" i="53"/>
  <c r="AC46" i="53"/>
  <c r="AD46" i="53"/>
  <c r="AE46" i="53"/>
  <c r="AF46" i="53"/>
  <c r="AG46" i="53"/>
  <c r="AH46" i="53"/>
  <c r="AI46" i="53"/>
  <c r="AJ46" i="53"/>
  <c r="AK46" i="53"/>
  <c r="AL46" i="53"/>
  <c r="AM46" i="53"/>
  <c r="AN46" i="53"/>
  <c r="AO46" i="53"/>
  <c r="AP46" i="53"/>
  <c r="AQ46" i="53"/>
  <c r="AR46" i="53"/>
  <c r="B44" i="53"/>
  <c r="B29" i="53"/>
  <c r="B30" i="53" a="1"/>
  <c r="B30" i="53" s="1"/>
  <c r="B18" i="62" l="1"/>
  <c r="B12" i="62"/>
  <c r="C5" i="63" s="1"/>
  <c r="B6" i="62"/>
  <c r="N61" i="61"/>
  <c r="G60" i="61"/>
  <c r="L60" i="61"/>
  <c r="K60" i="61" s="1"/>
  <c r="J60" i="61"/>
  <c r="I60" i="61" s="1"/>
  <c r="M57" i="50"/>
  <c r="M58" i="50"/>
  <c r="M59" i="50"/>
  <c r="M60" i="50"/>
  <c r="M61" i="50"/>
  <c r="M62" i="50"/>
  <c r="M63" i="50"/>
  <c r="M64" i="50"/>
  <c r="M65" i="50"/>
  <c r="M66" i="50"/>
  <c r="M67" i="50"/>
  <c r="M68" i="50"/>
  <c r="M69" i="50"/>
  <c r="M70" i="50"/>
  <c r="M71" i="50"/>
  <c r="M72" i="50"/>
  <c r="M73" i="50"/>
  <c r="M74" i="50"/>
  <c r="M75" i="50"/>
  <c r="M76" i="50"/>
  <c r="M77" i="50"/>
  <c r="M78" i="50"/>
  <c r="M79" i="50"/>
  <c r="M80" i="50"/>
  <c r="M81" i="50"/>
  <c r="M82" i="50"/>
  <c r="M83" i="50"/>
  <c r="M84" i="50"/>
  <c r="M85" i="50"/>
  <c r="M86" i="50"/>
  <c r="M56" i="50"/>
  <c r="N57" i="50"/>
  <c r="N58" i="50"/>
  <c r="N59" i="50"/>
  <c r="N60" i="50"/>
  <c r="N61" i="50"/>
  <c r="N62" i="50"/>
  <c r="N63" i="50"/>
  <c r="N64" i="50"/>
  <c r="N65" i="50"/>
  <c r="N66" i="50"/>
  <c r="N67" i="50"/>
  <c r="N68" i="50"/>
  <c r="N69" i="50"/>
  <c r="N70" i="50"/>
  <c r="N71" i="50"/>
  <c r="N72" i="50"/>
  <c r="N73" i="50"/>
  <c r="N74" i="50"/>
  <c r="N75" i="50"/>
  <c r="N76" i="50"/>
  <c r="N77" i="50"/>
  <c r="N78" i="50"/>
  <c r="N79" i="50"/>
  <c r="N80" i="50"/>
  <c r="N81" i="50"/>
  <c r="N82" i="50"/>
  <c r="N83" i="50"/>
  <c r="N84" i="50"/>
  <c r="N85" i="50"/>
  <c r="N86" i="50"/>
  <c r="N56" i="50"/>
  <c r="C3" i="63" l="1"/>
  <c r="C2" i="63"/>
  <c r="D5" i="63"/>
  <c r="D3" i="63"/>
  <c r="D2" i="63"/>
  <c r="B3" i="63"/>
  <c r="B2" i="63"/>
  <c r="B5" i="63"/>
  <c r="F7" i="48"/>
  <c r="B7" i="48"/>
  <c r="C3" i="48"/>
  <c r="D3" i="48"/>
  <c r="E3" i="48"/>
  <c r="F3" i="48"/>
  <c r="G3" i="48"/>
  <c r="H3" i="48"/>
  <c r="I3" i="48"/>
  <c r="J3" i="48"/>
  <c r="K3" i="48"/>
  <c r="L3" i="48"/>
  <c r="M3" i="48"/>
  <c r="N3" i="48"/>
  <c r="O3" i="48"/>
  <c r="P3" i="48"/>
  <c r="Q3" i="48"/>
  <c r="R3" i="48"/>
  <c r="S3" i="48"/>
  <c r="T3" i="48"/>
  <c r="U3" i="48"/>
  <c r="V3" i="48"/>
  <c r="W3" i="48"/>
  <c r="X3" i="48"/>
  <c r="Y3" i="48"/>
  <c r="Z3" i="48"/>
  <c r="AA3" i="48"/>
  <c r="AB3" i="48"/>
  <c r="AC3" i="48"/>
  <c r="AD3" i="48"/>
  <c r="AE3" i="48"/>
  <c r="AF3" i="48"/>
  <c r="AG3" i="48"/>
  <c r="AH3" i="48"/>
  <c r="AI3" i="48"/>
  <c r="AJ3" i="48"/>
  <c r="AK3" i="48"/>
  <c r="AL3" i="48"/>
  <c r="AM3" i="48"/>
  <c r="AN3" i="48"/>
  <c r="AO3" i="48"/>
  <c r="AP3" i="48"/>
  <c r="AQ3" i="48"/>
  <c r="AR3" i="48"/>
  <c r="AS3" i="48"/>
  <c r="AT3" i="48"/>
  <c r="B3" i="48"/>
  <c r="H2" i="48"/>
  <c r="H7" i="48" s="1"/>
  <c r="I2" i="48"/>
  <c r="I7" i="48" s="1"/>
  <c r="J2" i="48"/>
  <c r="J7" i="48" s="1"/>
  <c r="K2" i="48"/>
  <c r="K7" i="48" s="1"/>
  <c r="L2" i="48"/>
  <c r="L7" i="48" s="1"/>
  <c r="M2" i="48"/>
  <c r="M7" i="48" s="1"/>
  <c r="N2" i="48"/>
  <c r="N7" i="48" s="1"/>
  <c r="O2" i="48"/>
  <c r="O7" i="48" s="1"/>
  <c r="P2" i="48"/>
  <c r="P7" i="48" s="1"/>
  <c r="Q2" i="48"/>
  <c r="Q7" i="48" s="1"/>
  <c r="R2" i="48"/>
  <c r="R7" i="48" s="1"/>
  <c r="S2" i="48"/>
  <c r="S7" i="48" s="1"/>
  <c r="T2" i="48"/>
  <c r="T7" i="48" s="1"/>
  <c r="U2" i="48"/>
  <c r="U7" i="48" s="1"/>
  <c r="V2" i="48"/>
  <c r="V7" i="48" s="1"/>
  <c r="W2" i="48"/>
  <c r="W7" i="48" s="1"/>
  <c r="X2" i="48"/>
  <c r="X7" i="48" s="1"/>
  <c r="Y2" i="48"/>
  <c r="Y7" i="48" s="1"/>
  <c r="Z2" i="48"/>
  <c r="Z7" i="48" s="1"/>
  <c r="AA2" i="48"/>
  <c r="AA7" i="48" s="1"/>
  <c r="AB2" i="48"/>
  <c r="AB7" i="48" s="1"/>
  <c r="AC2" i="48"/>
  <c r="AC7" i="48" s="1"/>
  <c r="AD2" i="48"/>
  <c r="AD7" i="48" s="1"/>
  <c r="AE2" i="48"/>
  <c r="AE7" i="48" s="1"/>
  <c r="AF2" i="48"/>
  <c r="AF7" i="48" s="1"/>
  <c r="AG2" i="48"/>
  <c r="AG7" i="48" s="1"/>
  <c r="AH2" i="48"/>
  <c r="AH7" i="48" s="1"/>
  <c r="AI2" i="48"/>
  <c r="AI7" i="48" s="1"/>
  <c r="AJ2" i="48"/>
  <c r="AJ7" i="48" s="1"/>
  <c r="AK2" i="48"/>
  <c r="AK7" i="48" s="1"/>
  <c r="AL2" i="48"/>
  <c r="AL7" i="48" s="1"/>
  <c r="AM2" i="48"/>
  <c r="AM7" i="48" s="1"/>
  <c r="AN2" i="48"/>
  <c r="AN7" i="48" s="1"/>
  <c r="AO2" i="48"/>
  <c r="AO7" i="48" s="1"/>
  <c r="AP2" i="48"/>
  <c r="AP7" i="48" s="1"/>
  <c r="AQ2" i="48"/>
  <c r="AQ7" i="48" s="1"/>
  <c r="AR2" i="48"/>
  <c r="AR7" i="48" s="1"/>
  <c r="AS2" i="48"/>
  <c r="AS7" i="48" s="1"/>
  <c r="AT2" i="48"/>
  <c r="AT7" i="48" s="1"/>
  <c r="G2" i="48"/>
  <c r="G7" i="48" s="1"/>
  <c r="C14" i="55" l="1"/>
  <c r="D14" i="55"/>
  <c r="E14" i="55"/>
  <c r="F14" i="55"/>
  <c r="G14" i="55"/>
  <c r="H14" i="55"/>
  <c r="I14" i="55"/>
  <c r="J14" i="55"/>
  <c r="K14" i="55"/>
  <c r="L14" i="55"/>
  <c r="M14" i="55"/>
  <c r="N14" i="55"/>
  <c r="O14" i="55"/>
  <c r="P14" i="55"/>
  <c r="Q14" i="55"/>
  <c r="R14" i="55"/>
  <c r="S14" i="55"/>
  <c r="B14" i="55"/>
  <c r="B45" i="53"/>
  <c r="B20" i="53" s="1"/>
  <c r="F4" i="48"/>
  <c r="F5" i="48" s="1"/>
  <c r="C6" i="48"/>
  <c r="D6" i="48"/>
  <c r="E6" i="48"/>
  <c r="F6" i="48"/>
  <c r="G6" i="48"/>
  <c r="H6" i="48"/>
  <c r="I6" i="48"/>
  <c r="J6" i="48"/>
  <c r="K6" i="48"/>
  <c r="L6" i="48"/>
  <c r="M6" i="48"/>
  <c r="N6" i="48"/>
  <c r="O6" i="48"/>
  <c r="P6" i="48"/>
  <c r="Q6" i="48"/>
  <c r="R6" i="48"/>
  <c r="S6" i="48"/>
  <c r="T6" i="48"/>
  <c r="U6" i="48"/>
  <c r="V6" i="48"/>
  <c r="W6" i="48"/>
  <c r="X6" i="48"/>
  <c r="Y6" i="48"/>
  <c r="Z6" i="48"/>
  <c r="AA6" i="48"/>
  <c r="AB6" i="48"/>
  <c r="AC6" i="48"/>
  <c r="AD6" i="48"/>
  <c r="AE6" i="48"/>
  <c r="AF6" i="48"/>
  <c r="AG6" i="48"/>
  <c r="AH6" i="48"/>
  <c r="AI6" i="48"/>
  <c r="AJ6" i="48"/>
  <c r="AK6" i="48"/>
  <c r="AL6" i="48"/>
  <c r="AM6" i="48"/>
  <c r="AN6" i="48"/>
  <c r="AO6" i="48"/>
  <c r="AP6" i="48"/>
  <c r="AQ6" i="48"/>
  <c r="AR6" i="48"/>
  <c r="AS6" i="48"/>
  <c r="AT6" i="48"/>
  <c r="B28" i="53" a="1"/>
  <c r="B28" i="53" s="1"/>
  <c r="D34" i="52"/>
  <c r="E34" i="52" s="1"/>
  <c r="D33" i="52"/>
  <c r="E33" i="52" s="1"/>
  <c r="D32" i="52"/>
  <c r="E32" i="52" s="1"/>
  <c r="D31" i="52"/>
  <c r="E31" i="52" s="1"/>
  <c r="D30" i="52"/>
  <c r="E30" i="52" s="1"/>
  <c r="D29" i="52"/>
  <c r="E29" i="52" s="1"/>
  <c r="E28" i="52"/>
  <c r="D28" i="52"/>
  <c r="E27" i="52"/>
  <c r="D27" i="52"/>
  <c r="E26" i="52"/>
  <c r="D26" i="52"/>
  <c r="E25" i="52"/>
  <c r="D25" i="52"/>
  <c r="D24" i="52"/>
  <c r="E24" i="52" s="1"/>
  <c r="D23" i="52"/>
  <c r="E23" i="52" s="1"/>
  <c r="E22" i="52"/>
  <c r="D22" i="52"/>
  <c r="E21" i="52"/>
  <c r="D21" i="52"/>
  <c r="E20" i="52"/>
  <c r="D20" i="52"/>
  <c r="E19" i="52"/>
  <c r="D19" i="52"/>
  <c r="D18" i="52"/>
  <c r="E18" i="52" s="1"/>
  <c r="D17" i="52"/>
  <c r="E17" i="52" s="1"/>
  <c r="E16" i="52"/>
  <c r="D16" i="52"/>
  <c r="E15" i="52"/>
  <c r="D15" i="52"/>
  <c r="E14" i="52"/>
  <c r="D14" i="52"/>
  <c r="E13" i="52"/>
  <c r="D13" i="52"/>
  <c r="D12" i="52"/>
  <c r="E12" i="52" s="1"/>
  <c r="D11" i="52"/>
  <c r="E11" i="52" s="1"/>
  <c r="E10" i="52"/>
  <c r="D10" i="52"/>
  <c r="E9" i="52"/>
  <c r="D9" i="52"/>
  <c r="E8" i="52"/>
  <c r="D8" i="52"/>
  <c r="E7" i="52"/>
  <c r="D7" i="52"/>
  <c r="D6" i="52"/>
  <c r="E6" i="52" s="1"/>
  <c r="D5" i="52"/>
  <c r="E5" i="52" s="1"/>
  <c r="D4" i="52"/>
  <c r="E4" i="52" s="1"/>
  <c r="G4" i="52" s="1"/>
  <c r="N15" i="55" l="1"/>
  <c r="B15" i="55"/>
  <c r="H15" i="55"/>
  <c r="I16" i="55" s="1"/>
  <c r="O15" i="55"/>
  <c r="S16" i="55" s="1"/>
  <c r="C15" i="55"/>
  <c r="C16" i="55" s="1"/>
  <c r="B46" i="53"/>
  <c r="B21" i="53" s="1"/>
  <c r="B43" i="53"/>
  <c r="B18" i="53" s="1"/>
  <c r="B42" i="53"/>
  <c r="B17" i="53" s="1"/>
  <c r="J56" i="50"/>
  <c r="L56" i="50"/>
  <c r="J57" i="50"/>
  <c r="L57" i="50"/>
  <c r="J58" i="50"/>
  <c r="L58" i="50"/>
  <c r="J59" i="50"/>
  <c r="L59" i="50"/>
  <c r="J60" i="50"/>
  <c r="L60" i="50"/>
  <c r="J61" i="50"/>
  <c r="L61" i="50"/>
  <c r="J62" i="50"/>
  <c r="L62" i="50"/>
  <c r="J63" i="50"/>
  <c r="L63" i="50"/>
  <c r="J64" i="50"/>
  <c r="L64" i="50"/>
  <c r="J65" i="50"/>
  <c r="L65" i="50"/>
  <c r="J66" i="50"/>
  <c r="L66" i="50"/>
  <c r="J67" i="50"/>
  <c r="L67" i="50"/>
  <c r="J68" i="50"/>
  <c r="L68" i="50"/>
  <c r="J69" i="50"/>
  <c r="L69" i="50"/>
  <c r="J70" i="50"/>
  <c r="L70" i="50"/>
  <c r="J71" i="50"/>
  <c r="L71" i="50"/>
  <c r="J72" i="50"/>
  <c r="L72" i="50"/>
  <c r="J73" i="50"/>
  <c r="L73" i="50"/>
  <c r="J74" i="50"/>
  <c r="L74" i="50"/>
  <c r="J75" i="50"/>
  <c r="L75" i="50"/>
  <c r="J76" i="50"/>
  <c r="L76" i="50"/>
  <c r="J77" i="50"/>
  <c r="L77" i="50"/>
  <c r="J78" i="50"/>
  <c r="L78" i="50"/>
  <c r="J79" i="50"/>
  <c r="L79" i="50"/>
  <c r="J80" i="50"/>
  <c r="L80" i="50"/>
  <c r="J81" i="50"/>
  <c r="L81" i="50"/>
  <c r="J82" i="50"/>
  <c r="L82" i="50"/>
  <c r="J83" i="50"/>
  <c r="L83" i="50"/>
  <c r="J84" i="50"/>
  <c r="L84" i="50"/>
  <c r="J85" i="50"/>
  <c r="L85" i="50"/>
  <c r="J86" i="50"/>
  <c r="L86" i="50"/>
  <c r="D55" i="50"/>
  <c r="E55" i="50"/>
  <c r="F55" i="50"/>
  <c r="H55" i="50"/>
  <c r="C86" i="50"/>
  <c r="C55" i="50" s="1"/>
  <c r="G57" i="50"/>
  <c r="G58" i="50"/>
  <c r="G59" i="50"/>
  <c r="G60" i="50"/>
  <c r="G61" i="50"/>
  <c r="G62" i="50"/>
  <c r="G63" i="50"/>
  <c r="G64" i="50"/>
  <c r="G65" i="50"/>
  <c r="G66" i="50"/>
  <c r="G67" i="50"/>
  <c r="G68" i="50"/>
  <c r="G69" i="50"/>
  <c r="G70" i="50"/>
  <c r="G71" i="50"/>
  <c r="G72" i="50"/>
  <c r="G73" i="50"/>
  <c r="G74" i="50"/>
  <c r="G75" i="50"/>
  <c r="G76" i="50"/>
  <c r="G77" i="50"/>
  <c r="G78" i="50"/>
  <c r="G79" i="50"/>
  <c r="G80" i="50"/>
  <c r="G81" i="50"/>
  <c r="G82" i="50"/>
  <c r="G83" i="50"/>
  <c r="G84" i="50"/>
  <c r="G85" i="50"/>
  <c r="G56" i="50"/>
  <c r="B4" i="48"/>
  <c r="B6" i="48"/>
  <c r="D2" i="48"/>
  <c r="E2" i="48"/>
  <c r="C2" i="48"/>
  <c r="H4" i="48"/>
  <c r="I4" i="48"/>
  <c r="J4" i="48"/>
  <c r="K4" i="48"/>
  <c r="L4" i="48"/>
  <c r="M4" i="48"/>
  <c r="N4" i="48"/>
  <c r="O4" i="48"/>
  <c r="P4" i="48"/>
  <c r="Q4" i="48"/>
  <c r="R4" i="48"/>
  <c r="S4" i="48"/>
  <c r="T4" i="48"/>
  <c r="U4" i="48"/>
  <c r="V4" i="48"/>
  <c r="W4" i="48"/>
  <c r="X4" i="48"/>
  <c r="Y4" i="48"/>
  <c r="Z4" i="48"/>
  <c r="AA4" i="48"/>
  <c r="AB4" i="48"/>
  <c r="AC4" i="48"/>
  <c r="AD4" i="48"/>
  <c r="AE4" i="48"/>
  <c r="AF4" i="48"/>
  <c r="AG4" i="48"/>
  <c r="AH4" i="48"/>
  <c r="AI4" i="48"/>
  <c r="AJ4" i="48"/>
  <c r="AK4" i="48"/>
  <c r="AL4" i="48"/>
  <c r="AM4" i="48"/>
  <c r="AN4" i="48"/>
  <c r="AO4" i="48"/>
  <c r="AP4" i="48"/>
  <c r="AQ4" i="48"/>
  <c r="AR4" i="48"/>
  <c r="AS4" i="48"/>
  <c r="AT4" i="48"/>
  <c r="G4" i="48"/>
  <c r="D4" i="48" l="1"/>
  <c r="D7" i="48"/>
  <c r="E4" i="48"/>
  <c r="E7" i="48"/>
  <c r="B51" i="61"/>
  <c r="B49" i="61"/>
  <c r="B46" i="50"/>
  <c r="AH46" i="50" s="1"/>
  <c r="AF36" i="50" s="1"/>
  <c r="B44" i="50"/>
  <c r="AL44" i="50" s="1"/>
  <c r="AJ28" i="50" s="1"/>
  <c r="C4" i="48"/>
  <c r="C7" i="48"/>
  <c r="O16" i="55"/>
  <c r="M16" i="55"/>
  <c r="J16" i="55"/>
  <c r="K16" i="55"/>
  <c r="L16" i="55"/>
  <c r="D16" i="55"/>
  <c r="H16" i="55"/>
  <c r="P16" i="55"/>
  <c r="E16" i="55"/>
  <c r="Q16" i="55"/>
  <c r="F16" i="55"/>
  <c r="R16" i="55"/>
  <c r="G16" i="55"/>
  <c r="Q5" i="48"/>
  <c r="P5" i="48"/>
  <c r="AB5" i="48"/>
  <c r="O5" i="48"/>
  <c r="AN5" i="48"/>
  <c r="AA5" i="48"/>
  <c r="AM5" i="48"/>
  <c r="AD5" i="48"/>
  <c r="X5" i="48"/>
  <c r="L5" i="48"/>
  <c r="AP5" i="48"/>
  <c r="AO5" i="48"/>
  <c r="AI5" i="48"/>
  <c r="W5" i="48"/>
  <c r="K5" i="48"/>
  <c r="AT5" i="48"/>
  <c r="V5" i="48"/>
  <c r="J5" i="48"/>
  <c r="AC5" i="48"/>
  <c r="AS5" i="48"/>
  <c r="U5" i="48"/>
  <c r="I5" i="48"/>
  <c r="R5" i="48"/>
  <c r="AJ5" i="48"/>
  <c r="AH5" i="48"/>
  <c r="AG5" i="48"/>
  <c r="AR5" i="48"/>
  <c r="AF5" i="48"/>
  <c r="T5" i="48"/>
  <c r="H5" i="48"/>
  <c r="G5" i="48"/>
  <c r="AQ5" i="48"/>
  <c r="AE5" i="48"/>
  <c r="S5" i="48"/>
  <c r="C5" i="48"/>
  <c r="E5" i="48"/>
  <c r="D5" i="48"/>
  <c r="AL5" i="48"/>
  <c r="Y5" i="48"/>
  <c r="N5" i="48"/>
  <c r="AK5" i="48"/>
  <c r="M5" i="48"/>
  <c r="Z5" i="48"/>
  <c r="L55" i="50"/>
  <c r="K55" i="50" s="1"/>
  <c r="J55" i="50"/>
  <c r="I55" i="50" s="1"/>
  <c r="G55" i="50"/>
  <c r="B5" i="48"/>
  <c r="B50" i="61" l="1"/>
  <c r="B45" i="50"/>
  <c r="AK49" i="61"/>
  <c r="AC49" i="61"/>
  <c r="AT49" i="61"/>
  <c r="Y49" i="61"/>
  <c r="Q49" i="61"/>
  <c r="H49" i="61"/>
  <c r="AO49" i="61"/>
  <c r="M49" i="61"/>
  <c r="E49" i="61"/>
  <c r="AH49" i="61"/>
  <c r="AJ49" i="61"/>
  <c r="AN49" i="61"/>
  <c r="AR49" i="61"/>
  <c r="X49" i="61"/>
  <c r="AB49" i="61"/>
  <c r="G49" i="61"/>
  <c r="L49" i="61"/>
  <c r="P49" i="61"/>
  <c r="AI49" i="61"/>
  <c r="AS49" i="61"/>
  <c r="D49" i="61"/>
  <c r="AF49" i="61"/>
  <c r="AG49" i="61"/>
  <c r="AM49" i="61"/>
  <c r="W49" i="61"/>
  <c r="U49" i="61"/>
  <c r="AA49" i="61"/>
  <c r="AE49" i="61"/>
  <c r="I49" i="61"/>
  <c r="O49" i="61"/>
  <c r="V49" i="61"/>
  <c r="AQ49" i="61"/>
  <c r="C49" i="61"/>
  <c r="T49" i="61"/>
  <c r="AP49" i="61"/>
  <c r="AL49" i="61"/>
  <c r="S49" i="61"/>
  <c r="AD49" i="61"/>
  <c r="Z49" i="61"/>
  <c r="J49" i="61"/>
  <c r="R49" i="61"/>
  <c r="N49" i="61"/>
  <c r="F49" i="61"/>
  <c r="K49" i="61"/>
  <c r="AO51" i="61"/>
  <c r="Z51" i="61"/>
  <c r="S51" i="61"/>
  <c r="AI51" i="61"/>
  <c r="E51" i="61"/>
  <c r="F51" i="61"/>
  <c r="AA51" i="61"/>
  <c r="C51" i="61"/>
  <c r="AL51" i="61"/>
  <c r="P51" i="61"/>
  <c r="H51" i="61"/>
  <c r="D51" i="61"/>
  <c r="AB51" i="61"/>
  <c r="G51" i="61"/>
  <c r="W51" i="61"/>
  <c r="N51" i="61"/>
  <c r="V51" i="61"/>
  <c r="AM51" i="61"/>
  <c r="AG51" i="61"/>
  <c r="X51" i="61"/>
  <c r="Q51" i="61"/>
  <c r="AN51" i="61"/>
  <c r="AP51" i="61"/>
  <c r="K51" i="61"/>
  <c r="O51" i="61"/>
  <c r="AR51" i="61"/>
  <c r="AD51" i="61"/>
  <c r="AT51" i="61"/>
  <c r="AH51" i="61"/>
  <c r="J51" i="61"/>
  <c r="AS51" i="61"/>
  <c r="AC51" i="61"/>
  <c r="AK51" i="61"/>
  <c r="AF51" i="61"/>
  <c r="R51" i="61"/>
  <c r="AJ51" i="61"/>
  <c r="T51" i="61"/>
  <c r="I51" i="61"/>
  <c r="AE51" i="61"/>
  <c r="AQ51" i="61"/>
  <c r="L51" i="61"/>
  <c r="U51" i="61"/>
  <c r="Y51" i="61"/>
  <c r="M51" i="61"/>
  <c r="I46" i="50"/>
  <c r="G36" i="50" s="1"/>
  <c r="Y44" i="50"/>
  <c r="W28" i="50" s="1"/>
  <c r="AO44" i="50"/>
  <c r="AM28" i="50" s="1"/>
  <c r="G44" i="50"/>
  <c r="E28" i="50" s="1"/>
  <c r="F46" i="50"/>
  <c r="D36" i="50" s="1"/>
  <c r="J44" i="50"/>
  <c r="U46" i="50"/>
  <c r="S36" i="50" s="1"/>
  <c r="AK44" i="50"/>
  <c r="Q44" i="50"/>
  <c r="AI44" i="50"/>
  <c r="AN46" i="50"/>
  <c r="AL36" i="50" s="1"/>
  <c r="O46" i="50"/>
  <c r="S44" i="50"/>
  <c r="R46" i="50"/>
  <c r="P36" i="50" s="1"/>
  <c r="V44" i="50"/>
  <c r="T28" i="50" s="1"/>
  <c r="AG46" i="50"/>
  <c r="AE36" i="50" s="1"/>
  <c r="W46" i="50"/>
  <c r="U36" i="50" s="1"/>
  <c r="AL46" i="50"/>
  <c r="AJ36" i="50" s="1"/>
  <c r="D44" i="50"/>
  <c r="P46" i="50"/>
  <c r="W44" i="50"/>
  <c r="U28" i="50" s="1"/>
  <c r="M44" i="50"/>
  <c r="AC44" i="50"/>
  <c r="AR44" i="50"/>
  <c r="AD46" i="50"/>
  <c r="AH44" i="50"/>
  <c r="AF28" i="50" s="1"/>
  <c r="AS46" i="50"/>
  <c r="AA44" i="50"/>
  <c r="Y28" i="50" s="1"/>
  <c r="AT46" i="50"/>
  <c r="AR36" i="50" s="1"/>
  <c r="AM44" i="50"/>
  <c r="AK28" i="50" s="1"/>
  <c r="AF44" i="50"/>
  <c r="AD28" i="50" s="1"/>
  <c r="AM46" i="50"/>
  <c r="AQ44" i="50"/>
  <c r="AP46" i="50"/>
  <c r="AT44" i="50"/>
  <c r="C44" i="50"/>
  <c r="N44" i="50"/>
  <c r="P44" i="50"/>
  <c r="N28" i="50" s="1"/>
  <c r="F44" i="50"/>
  <c r="D28" i="50" s="1"/>
  <c r="E46" i="50"/>
  <c r="I44" i="50"/>
  <c r="G28" i="50" s="1"/>
  <c r="H46" i="50"/>
  <c r="L44" i="50"/>
  <c r="Z44" i="50"/>
  <c r="H44" i="50"/>
  <c r="K44" i="50"/>
  <c r="E44" i="50"/>
  <c r="S46" i="50"/>
  <c r="Q36" i="50" s="1"/>
  <c r="AQ46" i="50"/>
  <c r="C46" i="50"/>
  <c r="AA46" i="50"/>
  <c r="Y36" i="50" s="1"/>
  <c r="AB44" i="50"/>
  <c r="Z28" i="50" s="1"/>
  <c r="R44" i="50"/>
  <c r="Q46" i="50"/>
  <c r="U44" i="50"/>
  <c r="S28" i="50" s="1"/>
  <c r="T46" i="50"/>
  <c r="X44" i="50"/>
  <c r="L46" i="50"/>
  <c r="AE44" i="50"/>
  <c r="AN44" i="50"/>
  <c r="AL28" i="50" s="1"/>
  <c r="AD44" i="50"/>
  <c r="AB28" i="50" s="1"/>
  <c r="AC46" i="50"/>
  <c r="AG44" i="50"/>
  <c r="AE28" i="50" s="1"/>
  <c r="AF46" i="50"/>
  <c r="AJ44" i="50"/>
  <c r="AH28" i="50" s="1"/>
  <c r="O44" i="50"/>
  <c r="M28" i="50" s="1"/>
  <c r="D46" i="50"/>
  <c r="G46" i="50"/>
  <c r="T44" i="50"/>
  <c r="AB46" i="50"/>
  <c r="Z46" i="50"/>
  <c r="AP44" i="50"/>
  <c r="AO46" i="50"/>
  <c r="AS44" i="50"/>
  <c r="AR46" i="50"/>
  <c r="AP36" i="50" s="1"/>
  <c r="J46" i="50"/>
  <c r="M46" i="50"/>
  <c r="K36" i="50" s="1"/>
  <c r="X46" i="50"/>
  <c r="AJ46" i="50"/>
  <c r="AH36" i="50" s="1"/>
  <c r="K46" i="50"/>
  <c r="Y46" i="50"/>
  <c r="AK46" i="50"/>
  <c r="AI46" i="50"/>
  <c r="V46" i="50"/>
  <c r="T36" i="50" s="1"/>
  <c r="AE46" i="50"/>
  <c r="AF20" i="50"/>
  <c r="K45" i="50"/>
  <c r="I12" i="50" s="1"/>
  <c r="N46" i="50"/>
  <c r="L36" i="50" s="1"/>
  <c r="AJ4" i="50"/>
  <c r="U45" i="50"/>
  <c r="S12" i="50" s="1"/>
  <c r="AG45" i="50"/>
  <c r="AE12" i="50" s="1"/>
  <c r="AH45" i="50"/>
  <c r="AF12" i="50" s="1"/>
  <c r="AT45" i="50"/>
  <c r="AR12" i="50" s="1"/>
  <c r="X45" i="50"/>
  <c r="V12" i="50" s="1"/>
  <c r="AJ45" i="50"/>
  <c r="AH12" i="50" s="1"/>
  <c r="AK45" i="50"/>
  <c r="AI12" i="50" s="1"/>
  <c r="C45" i="50"/>
  <c r="AA45" i="50"/>
  <c r="Y12" i="50" s="1"/>
  <c r="AM45" i="50"/>
  <c r="AK12" i="50" s="1"/>
  <c r="AB45" i="50"/>
  <c r="Z12" i="50" s="1"/>
  <c r="AN45" i="50"/>
  <c r="AL12" i="50" s="1"/>
  <c r="R45" i="50"/>
  <c r="P12" i="50" s="1"/>
  <c r="AD45" i="50"/>
  <c r="AB12" i="50" s="1"/>
  <c r="AE45" i="50"/>
  <c r="AC12" i="50" s="1"/>
  <c r="AQ45" i="50"/>
  <c r="AO12" i="50" s="1"/>
  <c r="T4" i="50" l="1"/>
  <c r="AK4" i="50"/>
  <c r="W4" i="50"/>
  <c r="AE4" i="50"/>
  <c r="D20" i="50"/>
  <c r="AI22" i="61"/>
  <c r="AI40" i="61"/>
  <c r="T40" i="61"/>
  <c r="T22" i="61"/>
  <c r="AM22" i="61"/>
  <c r="AM40" i="61"/>
  <c r="G4" i="61"/>
  <c r="G31" i="61"/>
  <c r="AP31" i="61"/>
  <c r="AP4" i="61"/>
  <c r="AA22" i="61"/>
  <c r="AA40" i="61"/>
  <c r="L40" i="61"/>
  <c r="L22" i="61"/>
  <c r="I31" i="61"/>
  <c r="I4" i="61"/>
  <c r="AC31" i="61"/>
  <c r="AC4" i="61"/>
  <c r="AL31" i="61"/>
  <c r="AL4" i="61"/>
  <c r="AQ40" i="61"/>
  <c r="AQ22" i="61"/>
  <c r="U22" i="61"/>
  <c r="U40" i="61"/>
  <c r="D31" i="61"/>
  <c r="D4" i="61"/>
  <c r="Y4" i="61"/>
  <c r="Y31" i="61"/>
  <c r="AH31" i="61"/>
  <c r="AH4" i="61"/>
  <c r="M4" i="61"/>
  <c r="M31" i="61"/>
  <c r="E40" i="61"/>
  <c r="E22" i="61"/>
  <c r="L31" i="61"/>
  <c r="L4" i="61"/>
  <c r="S31" i="61"/>
  <c r="S4" i="61"/>
  <c r="AF31" i="61"/>
  <c r="AF4" i="61"/>
  <c r="X40" i="61"/>
  <c r="X22" i="61"/>
  <c r="AF40" i="61"/>
  <c r="AF22" i="61"/>
  <c r="Z22" i="61"/>
  <c r="Z40" i="61"/>
  <c r="P31" i="61"/>
  <c r="P4" i="61"/>
  <c r="U31" i="61"/>
  <c r="U4" i="61"/>
  <c r="C31" i="61"/>
  <c r="C4" i="61"/>
  <c r="V31" i="61"/>
  <c r="V4" i="61"/>
  <c r="H40" i="61"/>
  <c r="H22" i="61"/>
  <c r="K22" i="61"/>
  <c r="K40" i="61"/>
  <c r="AR40" i="61"/>
  <c r="AR22" i="61"/>
  <c r="B22" i="61"/>
  <c r="B40" i="61"/>
  <c r="H31" i="61"/>
  <c r="H4" i="61"/>
  <c r="AK4" i="61"/>
  <c r="AK31" i="61"/>
  <c r="K31" i="61"/>
  <c r="K4" i="61"/>
  <c r="W40" i="61"/>
  <c r="W22" i="61"/>
  <c r="AB40" i="61"/>
  <c r="AB22" i="61"/>
  <c r="F22" i="61"/>
  <c r="F40" i="61"/>
  <c r="X31" i="61"/>
  <c r="X4" i="61"/>
  <c r="AE31" i="61"/>
  <c r="AE4" i="61"/>
  <c r="AM31" i="61"/>
  <c r="AM4" i="61"/>
  <c r="AE20" i="50"/>
  <c r="S40" i="61"/>
  <c r="S22" i="61"/>
  <c r="AP22" i="61"/>
  <c r="AP40" i="61"/>
  <c r="N40" i="61"/>
  <c r="N22" i="61"/>
  <c r="AB4" i="61"/>
  <c r="AB31" i="61"/>
  <c r="AD31" i="61"/>
  <c r="AD4" i="61"/>
  <c r="F31" i="61"/>
  <c r="F4" i="61"/>
  <c r="AD22" i="61"/>
  <c r="AD40" i="61"/>
  <c r="Y20" i="50"/>
  <c r="J22" i="61"/>
  <c r="J40" i="61"/>
  <c r="M22" i="61"/>
  <c r="M40" i="61"/>
  <c r="AJ40" i="61"/>
  <c r="AJ22" i="61"/>
  <c r="Q31" i="61"/>
  <c r="Q4" i="61"/>
  <c r="B31" i="61"/>
  <c r="B4" i="61"/>
  <c r="O31" i="61"/>
  <c r="O4" i="61"/>
  <c r="P20" i="50"/>
  <c r="AO22" i="61"/>
  <c r="AO40" i="61"/>
  <c r="I22" i="61"/>
  <c r="I40" i="61"/>
  <c r="AJ4" i="61"/>
  <c r="AJ31" i="61"/>
  <c r="AQ31" i="61"/>
  <c r="AQ4" i="61"/>
  <c r="W31" i="61"/>
  <c r="W4" i="61"/>
  <c r="G20" i="50"/>
  <c r="AC40" i="61"/>
  <c r="AC22" i="61"/>
  <c r="AN40" i="61"/>
  <c r="AN22" i="61"/>
  <c r="Y22" i="61"/>
  <c r="Y40" i="61"/>
  <c r="AN31" i="61"/>
  <c r="AN4" i="61"/>
  <c r="AG31" i="61"/>
  <c r="AG4" i="61"/>
  <c r="AR31" i="61"/>
  <c r="AR4" i="61"/>
  <c r="G40" i="61"/>
  <c r="G22" i="61"/>
  <c r="AL22" i="61"/>
  <c r="AL40" i="61"/>
  <c r="D22" i="61"/>
  <c r="D40" i="61"/>
  <c r="R4" i="61"/>
  <c r="R31" i="61"/>
  <c r="N31" i="61"/>
  <c r="N4" i="61"/>
  <c r="AA4" i="61"/>
  <c r="AA31" i="61"/>
  <c r="AJ20" i="50"/>
  <c r="R22" i="61"/>
  <c r="R40" i="61"/>
  <c r="O22" i="61"/>
  <c r="O40" i="61"/>
  <c r="C40" i="61"/>
  <c r="C22" i="61"/>
  <c r="J31" i="61"/>
  <c r="J4" i="61"/>
  <c r="AI31" i="61"/>
  <c r="AI4" i="61"/>
  <c r="AK40" i="61"/>
  <c r="AK22" i="61"/>
  <c r="AH22" i="61"/>
  <c r="AH40" i="61"/>
  <c r="V22" i="61"/>
  <c r="V40" i="61"/>
  <c r="AG22" i="61"/>
  <c r="AG40" i="61"/>
  <c r="AO31" i="61"/>
  <c r="AO4" i="61"/>
  <c r="E31" i="61"/>
  <c r="E4" i="61"/>
  <c r="P40" i="61"/>
  <c r="P22" i="61"/>
  <c r="AE40" i="61"/>
  <c r="AE22" i="61"/>
  <c r="Q22" i="61"/>
  <c r="Q40" i="61"/>
  <c r="T31" i="61"/>
  <c r="T4" i="61"/>
  <c r="Z4" i="61"/>
  <c r="Z31" i="61"/>
  <c r="C50" i="61"/>
  <c r="G50" i="61"/>
  <c r="E13" i="61" s="1"/>
  <c r="AP50" i="61"/>
  <c r="AN13" i="61" s="1"/>
  <c r="AM50" i="61"/>
  <c r="AK13" i="61" s="1"/>
  <c r="Q50" i="61"/>
  <c r="O13" i="61" s="1"/>
  <c r="AQ50" i="61"/>
  <c r="AO13" i="61" s="1"/>
  <c r="AD50" i="61"/>
  <c r="AB13" i="61" s="1"/>
  <c r="F50" i="61"/>
  <c r="D13" i="61" s="1"/>
  <c r="AO50" i="61"/>
  <c r="AM13" i="61" s="1"/>
  <c r="L50" i="61"/>
  <c r="J13" i="61" s="1"/>
  <c r="P50" i="61"/>
  <c r="N13" i="61" s="1"/>
  <c r="R50" i="61"/>
  <c r="P13" i="61" s="1"/>
  <c r="AA50" i="61"/>
  <c r="Y13" i="61" s="1"/>
  <c r="AC50" i="61"/>
  <c r="AA13" i="61" s="1"/>
  <c r="M50" i="61"/>
  <c r="K13" i="61" s="1"/>
  <c r="E50" i="61"/>
  <c r="C13" i="61" s="1"/>
  <c r="K50" i="61"/>
  <c r="I13" i="61" s="1"/>
  <c r="T50" i="61"/>
  <c r="R13" i="61" s="1"/>
  <c r="S50" i="61"/>
  <c r="Q13" i="61" s="1"/>
  <c r="O50" i="61"/>
  <c r="M13" i="61" s="1"/>
  <c r="AL50" i="61"/>
  <c r="AJ13" i="61" s="1"/>
  <c r="H50" i="61"/>
  <c r="F13" i="61" s="1"/>
  <c r="AF50" i="61"/>
  <c r="AD13" i="61" s="1"/>
  <c r="AI50" i="61"/>
  <c r="AG13" i="61" s="1"/>
  <c r="AG50" i="61"/>
  <c r="AE13" i="61" s="1"/>
  <c r="AR50" i="61"/>
  <c r="AP13" i="61" s="1"/>
  <c r="Z50" i="61"/>
  <c r="X13" i="61" s="1"/>
  <c r="AK50" i="61"/>
  <c r="AI13" i="61" s="1"/>
  <c r="Y50" i="61"/>
  <c r="W13" i="61" s="1"/>
  <c r="AE50" i="61"/>
  <c r="AC13" i="61" s="1"/>
  <c r="I50" i="61"/>
  <c r="G13" i="61" s="1"/>
  <c r="U50" i="61"/>
  <c r="S13" i="61" s="1"/>
  <c r="AS50" i="61"/>
  <c r="AQ13" i="61" s="1"/>
  <c r="D50" i="61"/>
  <c r="B13" i="61" s="1"/>
  <c r="AB50" i="61"/>
  <c r="Z13" i="61" s="1"/>
  <c r="J50" i="61"/>
  <c r="H13" i="61" s="1"/>
  <c r="V50" i="61"/>
  <c r="T13" i="61" s="1"/>
  <c r="AH50" i="61"/>
  <c r="AF13" i="61" s="1"/>
  <c r="AT50" i="61"/>
  <c r="AR13" i="61" s="1"/>
  <c r="AN50" i="61"/>
  <c r="AL13" i="61" s="1"/>
  <c r="X50" i="61"/>
  <c r="V13" i="61" s="1"/>
  <c r="AJ50" i="61"/>
  <c r="AH13" i="61" s="1"/>
  <c r="N50" i="61"/>
  <c r="L13" i="61" s="1"/>
  <c r="W50" i="61"/>
  <c r="U13" i="61" s="1"/>
  <c r="AM4" i="50"/>
  <c r="E4" i="50"/>
  <c r="AF4" i="50"/>
  <c r="AB4" i="50"/>
  <c r="D4" i="50"/>
  <c r="AR20" i="50"/>
  <c r="Z4" i="50"/>
  <c r="Y4" i="50"/>
  <c r="G4" i="50"/>
  <c r="T20" i="50"/>
  <c r="AL4" i="50"/>
  <c r="N20" i="50"/>
  <c r="N36" i="50"/>
  <c r="P4" i="50"/>
  <c r="P28" i="50"/>
  <c r="H4" i="50"/>
  <c r="H28" i="50"/>
  <c r="O4" i="50"/>
  <c r="O28" i="50"/>
  <c r="S20" i="50"/>
  <c r="H20" i="50"/>
  <c r="H36" i="50"/>
  <c r="AD20" i="50"/>
  <c r="AD36" i="50"/>
  <c r="C20" i="50"/>
  <c r="C36" i="50"/>
  <c r="X4" i="50"/>
  <c r="X28" i="50"/>
  <c r="V20" i="50"/>
  <c r="V36" i="50"/>
  <c r="AI4" i="50"/>
  <c r="AI28" i="50"/>
  <c r="AQ4" i="50"/>
  <c r="AQ28" i="50"/>
  <c r="AA20" i="50"/>
  <c r="AA36" i="50"/>
  <c r="AQ20" i="50"/>
  <c r="AQ36" i="50"/>
  <c r="B20" i="50"/>
  <c r="B36" i="50"/>
  <c r="AP20" i="50"/>
  <c r="AO20" i="50"/>
  <c r="AO36" i="50"/>
  <c r="I20" i="50"/>
  <c r="I36" i="50"/>
  <c r="B4" i="50"/>
  <c r="B28" i="50"/>
  <c r="S4" i="50"/>
  <c r="AC20" i="50"/>
  <c r="AC36" i="50"/>
  <c r="AD4" i="50"/>
  <c r="AN4" i="50"/>
  <c r="AN28" i="50"/>
  <c r="L4" i="50"/>
  <c r="L28" i="50"/>
  <c r="AB20" i="50"/>
  <c r="AB36" i="50"/>
  <c r="Q4" i="50"/>
  <c r="Q28" i="50"/>
  <c r="R20" i="50"/>
  <c r="R36" i="50"/>
  <c r="AG20" i="50"/>
  <c r="AG36" i="50"/>
  <c r="X20" i="50"/>
  <c r="X36" i="50"/>
  <c r="AC4" i="50"/>
  <c r="AC28" i="50"/>
  <c r="C4" i="50"/>
  <c r="C28" i="50"/>
  <c r="AP4" i="50"/>
  <c r="AP28" i="50"/>
  <c r="M20" i="50"/>
  <c r="M36" i="50"/>
  <c r="AO4" i="50"/>
  <c r="AO28" i="50"/>
  <c r="AK20" i="50"/>
  <c r="AK36" i="50"/>
  <c r="O20" i="50"/>
  <c r="O36" i="50"/>
  <c r="AI20" i="50"/>
  <c r="AI36" i="50"/>
  <c r="Z20" i="50"/>
  <c r="Z36" i="50"/>
  <c r="J20" i="50"/>
  <c r="J36" i="50"/>
  <c r="I4" i="50"/>
  <c r="I28" i="50"/>
  <c r="AR4" i="50"/>
  <c r="AR28" i="50"/>
  <c r="AA4" i="50"/>
  <c r="AA28" i="50"/>
  <c r="E20" i="50"/>
  <c r="E36" i="50"/>
  <c r="J4" i="50"/>
  <c r="J28" i="50"/>
  <c r="F20" i="50"/>
  <c r="F36" i="50"/>
  <c r="AM20" i="50"/>
  <c r="AM36" i="50"/>
  <c r="M4" i="50"/>
  <c r="AH4" i="50"/>
  <c r="U20" i="50"/>
  <c r="W20" i="50"/>
  <c r="W36" i="50"/>
  <c r="R4" i="50"/>
  <c r="R28" i="50"/>
  <c r="V4" i="50"/>
  <c r="V28" i="50"/>
  <c r="F4" i="50"/>
  <c r="F28" i="50"/>
  <c r="AN20" i="50"/>
  <c r="AN36" i="50"/>
  <c r="K4" i="50"/>
  <c r="K28" i="50"/>
  <c r="AG4" i="50"/>
  <c r="AG28" i="50"/>
  <c r="U4" i="50"/>
  <c r="AH20" i="50"/>
  <c r="K20" i="50"/>
  <c r="N4" i="50"/>
  <c r="AL20" i="50"/>
  <c r="Q20" i="50"/>
  <c r="S45" i="50"/>
  <c r="Q12" i="50" s="1"/>
  <c r="P45" i="50"/>
  <c r="N12" i="50" s="1"/>
  <c r="Y45" i="50"/>
  <c r="W12" i="50" s="1"/>
  <c r="V45" i="50"/>
  <c r="T12" i="50" s="1"/>
  <c r="G45" i="50"/>
  <c r="E12" i="50" s="1"/>
  <c r="D45" i="50"/>
  <c r="B12" i="50" s="1"/>
  <c r="M45" i="50"/>
  <c r="K12" i="50" s="1"/>
  <c r="J45" i="50"/>
  <c r="H12" i="50" s="1"/>
  <c r="AP45" i="50"/>
  <c r="AN12" i="50" s="1"/>
  <c r="H45" i="50"/>
  <c r="F12" i="50" s="1"/>
  <c r="T45" i="50"/>
  <c r="R12" i="50" s="1"/>
  <c r="AS45" i="50"/>
  <c r="AQ12" i="50" s="1"/>
  <c r="F45" i="50"/>
  <c r="D12" i="50" s="1"/>
  <c r="AR45" i="50"/>
  <c r="AP12" i="50" s="1"/>
  <c r="I45" i="50"/>
  <c r="G12" i="50" s="1"/>
  <c r="L45" i="50"/>
  <c r="J12" i="50" s="1"/>
  <c r="AO45" i="50"/>
  <c r="AM12" i="50" s="1"/>
  <c r="AC45" i="50"/>
  <c r="AA12" i="50" s="1"/>
  <c r="AI45" i="50"/>
  <c r="AG12" i="50" s="1"/>
  <c r="Q45" i="50"/>
  <c r="O12" i="50" s="1"/>
  <c r="N45" i="50"/>
  <c r="L12" i="50" s="1"/>
  <c r="W45" i="50"/>
  <c r="U12" i="50" s="1"/>
  <c r="O45" i="50"/>
  <c r="M12" i="50" s="1"/>
  <c r="L20" i="50"/>
  <c r="AL45" i="50"/>
  <c r="AJ12" i="50" s="1"/>
  <c r="Z45" i="50"/>
  <c r="X12" i="50" s="1"/>
  <c r="E45" i="50"/>
  <c r="C12" i="50" s="1"/>
  <c r="AF45" i="50"/>
  <c r="AD12" i="50" s="1"/>
  <c r="T41" i="61" l="1"/>
  <c r="U44" i="61" s="1"/>
  <c r="AI41" i="61"/>
  <c r="AJ44" i="61" s="1"/>
  <c r="AB41" i="61"/>
  <c r="AC44" i="61" s="1"/>
  <c r="H41" i="61"/>
  <c r="I44" i="61" s="1"/>
  <c r="W41" i="61"/>
  <c r="X44" i="61" s="1"/>
  <c r="S41" i="61"/>
  <c r="T42" i="61" s="1"/>
  <c r="AO41" i="61"/>
  <c r="AP44" i="61" s="1"/>
  <c r="K41" i="61"/>
  <c r="L44" i="61" s="1"/>
  <c r="AA41" i="61"/>
  <c r="AB44" i="61" s="1"/>
  <c r="AC41" i="61"/>
  <c r="AD42" i="61" s="1"/>
  <c r="AH41" i="61"/>
  <c r="AI42" i="61" s="1"/>
  <c r="P41" i="61"/>
  <c r="Q42" i="61" s="1"/>
  <c r="Q41" i="61"/>
  <c r="R42" i="61" s="1"/>
  <c r="V41" i="61"/>
  <c r="W42" i="61" s="1"/>
  <c r="O41" i="61"/>
  <c r="P42" i="61" s="1"/>
  <c r="E41" i="61"/>
  <c r="F42" i="61" s="1"/>
  <c r="J41" i="61"/>
  <c r="K42" i="61" s="1"/>
  <c r="R41" i="61"/>
  <c r="S44" i="61" s="1"/>
  <c r="AL41" i="61"/>
  <c r="AM44" i="61" s="1"/>
  <c r="AQ41" i="61"/>
  <c r="AR42" i="61" s="1"/>
  <c r="Z41" i="61"/>
  <c r="AA42" i="61" s="1"/>
  <c r="G41" i="61"/>
  <c r="N41" i="61"/>
  <c r="AP41" i="61"/>
  <c r="AQ42" i="61" s="1"/>
  <c r="B41" i="61"/>
  <c r="C44" i="61" s="1"/>
  <c r="F41" i="61"/>
  <c r="G42" i="61" s="1"/>
  <c r="AK41" i="61"/>
  <c r="AL44" i="61" s="1"/>
  <c r="AN41" i="61"/>
  <c r="AO42" i="61" s="1"/>
  <c r="AG41" i="61"/>
  <c r="AH44" i="61" s="1"/>
  <c r="Y41" i="61"/>
  <c r="Z44" i="61" s="1"/>
  <c r="D41" i="61"/>
  <c r="E44" i="61" s="1"/>
  <c r="U41" i="61"/>
  <c r="V44" i="61" s="1"/>
  <c r="M41" i="61"/>
  <c r="N44" i="61" s="1"/>
  <c r="AD41" i="61"/>
  <c r="AE42" i="61" s="1"/>
  <c r="AF41" i="61"/>
  <c r="AG42" i="61" s="1"/>
  <c r="L41" i="61"/>
  <c r="M42" i="61" s="1"/>
  <c r="AE41" i="61"/>
  <c r="AF44" i="61" s="1"/>
  <c r="I41" i="61"/>
  <c r="J44" i="61" s="1"/>
  <c r="AJ41" i="61"/>
  <c r="AK42" i="61" s="1"/>
  <c r="AM41" i="61"/>
  <c r="AN42" i="61" s="1"/>
  <c r="AR41" i="61"/>
  <c r="X41" i="61"/>
  <c r="Y44" i="61" s="1"/>
  <c r="C41" i="61"/>
  <c r="D44" i="61" s="1"/>
  <c r="B28" i="61"/>
  <c r="AF23" i="61"/>
  <c r="AG24" i="61" s="1"/>
  <c r="AB23" i="61"/>
  <c r="AC26" i="61" s="1"/>
  <c r="T23" i="61"/>
  <c r="U26" i="61" s="1"/>
  <c r="P23" i="61"/>
  <c r="Q26" i="61" s="1"/>
  <c r="H23" i="61"/>
  <c r="I26" i="61" s="1"/>
  <c r="D23" i="61"/>
  <c r="E24" i="61" s="1"/>
  <c r="AQ23" i="61"/>
  <c r="AR26" i="61" s="1"/>
  <c r="M23" i="61"/>
  <c r="N26" i="61" s="1"/>
  <c r="AM23" i="61"/>
  <c r="AN24" i="61" s="1"/>
  <c r="AE23" i="61"/>
  <c r="AF26" i="61" s="1"/>
  <c r="L23" i="61"/>
  <c r="M26" i="61" s="1"/>
  <c r="AA23" i="61"/>
  <c r="AB26" i="61" s="1"/>
  <c r="S23" i="61"/>
  <c r="T26" i="61" s="1"/>
  <c r="AJ23" i="61"/>
  <c r="AK24" i="61" s="1"/>
  <c r="O23" i="61"/>
  <c r="P24" i="61" s="1"/>
  <c r="G23" i="61"/>
  <c r="J23" i="61"/>
  <c r="K24" i="61" s="1"/>
  <c r="C23" i="61"/>
  <c r="D24" i="61" s="1"/>
  <c r="AP23" i="61"/>
  <c r="AQ24" i="61" s="1"/>
  <c r="I23" i="61"/>
  <c r="J26" i="61" s="1"/>
  <c r="AL23" i="61"/>
  <c r="AM26" i="61" s="1"/>
  <c r="AD23" i="61"/>
  <c r="AE24" i="61" s="1"/>
  <c r="AK23" i="61"/>
  <c r="AL24" i="61" s="1"/>
  <c r="Z23" i="61"/>
  <c r="AA26" i="61" s="1"/>
  <c r="R23" i="61"/>
  <c r="S24" i="61" s="1"/>
  <c r="AH23" i="61"/>
  <c r="AI24" i="61" s="1"/>
  <c r="N23" i="61"/>
  <c r="F23" i="61"/>
  <c r="G24" i="61" s="1"/>
  <c r="Y23" i="61"/>
  <c r="Z24" i="61" s="1"/>
  <c r="B23" i="61"/>
  <c r="C26" i="61" s="1"/>
  <c r="AO23" i="61"/>
  <c r="AP26" i="61" s="1"/>
  <c r="AG23" i="61"/>
  <c r="AH26" i="61" s="1"/>
  <c r="AI23" i="61"/>
  <c r="AJ24" i="61" s="1"/>
  <c r="AC23" i="61"/>
  <c r="AD24" i="61" s="1"/>
  <c r="X23" i="61"/>
  <c r="Y26" i="61" s="1"/>
  <c r="AR23" i="61"/>
  <c r="AN23" i="61"/>
  <c r="AO26" i="61" s="1"/>
  <c r="W23" i="61"/>
  <c r="X26" i="61" s="1"/>
  <c r="Q23" i="61"/>
  <c r="R26" i="61" s="1"/>
  <c r="V23" i="61"/>
  <c r="W24" i="61" s="1"/>
  <c r="K23" i="61"/>
  <c r="L24" i="61" s="1"/>
  <c r="E23" i="61"/>
  <c r="F26" i="61" s="1"/>
  <c r="U23" i="61"/>
  <c r="V26" i="61" s="1"/>
  <c r="AA24" i="61"/>
  <c r="R24" i="61"/>
  <c r="AK44" i="61"/>
  <c r="AN26" i="61"/>
  <c r="AA44" i="61"/>
  <c r="AB42" i="61"/>
  <c r="AR44" i="61"/>
  <c r="AB24" i="61"/>
  <c r="AP5" i="61"/>
  <c r="AQ8" i="61" s="1"/>
  <c r="AL5" i="61"/>
  <c r="AM8" i="61" s="1"/>
  <c r="I5" i="61"/>
  <c r="J6" i="61" s="1"/>
  <c r="E5" i="61"/>
  <c r="F6" i="61" s="1"/>
  <c r="U5" i="61"/>
  <c r="V8" i="61" s="1"/>
  <c r="J5" i="61"/>
  <c r="K6" i="61" s="1"/>
  <c r="AD5" i="61"/>
  <c r="AE6" i="61" s="1"/>
  <c r="Z5" i="61"/>
  <c r="AA6" i="61" s="1"/>
  <c r="AF5" i="61"/>
  <c r="AG8" i="61" s="1"/>
  <c r="K5" i="61"/>
  <c r="L6" i="61" s="1"/>
  <c r="R5" i="61"/>
  <c r="S8" i="61" s="1"/>
  <c r="N5" i="61"/>
  <c r="O8" i="61" s="1"/>
  <c r="V5" i="61"/>
  <c r="W6" i="61" s="1"/>
  <c r="X5" i="61"/>
  <c r="Y6" i="61" s="1"/>
  <c r="S5" i="61"/>
  <c r="T8" i="61" s="1"/>
  <c r="M5" i="61"/>
  <c r="N6" i="61" s="1"/>
  <c r="AM5" i="61"/>
  <c r="AN6" i="61" s="1"/>
  <c r="F5" i="61"/>
  <c r="G8" i="61" s="1"/>
  <c r="B5" i="61"/>
  <c r="C8" i="61" s="1"/>
  <c r="AH5" i="61"/>
  <c r="AI8" i="61" s="1"/>
  <c r="AJ5" i="61"/>
  <c r="AK6" i="61" s="1"/>
  <c r="AO5" i="61"/>
  <c r="AP8" i="61" s="1"/>
  <c r="T5" i="61"/>
  <c r="U8" i="61" s="1"/>
  <c r="AA5" i="61"/>
  <c r="AB6" i="61" s="1"/>
  <c r="H5" i="61"/>
  <c r="I8" i="61" s="1"/>
  <c r="O5" i="61"/>
  <c r="P6" i="61" s="1"/>
  <c r="AB5" i="61"/>
  <c r="AC8" i="61" s="1"/>
  <c r="W5" i="61"/>
  <c r="X8" i="61" s="1"/>
  <c r="AC5" i="61"/>
  <c r="AD6" i="61" s="1"/>
  <c r="L5" i="61"/>
  <c r="M8" i="61" s="1"/>
  <c r="AG5" i="61"/>
  <c r="AH6" i="61" s="1"/>
  <c r="Q5" i="61"/>
  <c r="R8" i="61" s="1"/>
  <c r="AI5" i="61"/>
  <c r="AJ8" i="61" s="1"/>
  <c r="G5" i="61"/>
  <c r="H8" i="61" s="1"/>
  <c r="AE5" i="61"/>
  <c r="AF6" i="61" s="1"/>
  <c r="P5" i="61"/>
  <c r="Q8" i="61" s="1"/>
  <c r="AR5" i="61"/>
  <c r="Y5" i="61"/>
  <c r="Z8" i="61" s="1"/>
  <c r="C5" i="61"/>
  <c r="D6" i="61" s="1"/>
  <c r="AN5" i="61"/>
  <c r="AO8" i="61" s="1"/>
  <c r="AK5" i="61"/>
  <c r="AL8" i="61" s="1"/>
  <c r="D5" i="61"/>
  <c r="E6" i="61" s="1"/>
  <c r="AQ5" i="61"/>
  <c r="AR6" i="61" s="1"/>
  <c r="C6" i="61"/>
  <c r="L42" i="61"/>
  <c r="AQ6" i="61"/>
  <c r="AK26" i="61"/>
  <c r="G29" i="50"/>
  <c r="W29" i="50"/>
  <c r="AN29" i="50"/>
  <c r="J29" i="50"/>
  <c r="H29" i="50"/>
  <c r="X29" i="50"/>
  <c r="Y31" i="50" s="1"/>
  <c r="AO29" i="50"/>
  <c r="AQ29" i="50"/>
  <c r="I29" i="50"/>
  <c r="Y29" i="50"/>
  <c r="AP29" i="50"/>
  <c r="Z29" i="50"/>
  <c r="K29" i="50"/>
  <c r="AA29" i="50"/>
  <c r="AR29" i="50"/>
  <c r="Q29" i="50"/>
  <c r="R31" i="50" s="1"/>
  <c r="R29" i="50"/>
  <c r="S29" i="50"/>
  <c r="AK29" i="50"/>
  <c r="F29" i="50"/>
  <c r="L29" i="50"/>
  <c r="AB29" i="50"/>
  <c r="AC31" i="50" s="1"/>
  <c r="AJ29" i="50"/>
  <c r="O29" i="50"/>
  <c r="P29" i="50"/>
  <c r="AH29" i="50"/>
  <c r="C29" i="50"/>
  <c r="T29" i="50"/>
  <c r="AM29" i="50"/>
  <c r="M29" i="50"/>
  <c r="AC29" i="50"/>
  <c r="B29" i="50"/>
  <c r="C33" i="50" s="1"/>
  <c r="N29" i="50"/>
  <c r="AD29" i="50"/>
  <c r="AE29" i="50"/>
  <c r="AF29" i="50"/>
  <c r="AG29" i="50"/>
  <c r="AI29" i="50"/>
  <c r="AJ30" i="50" s="1"/>
  <c r="V29" i="50"/>
  <c r="W30" i="50" s="1"/>
  <c r="D29" i="50"/>
  <c r="E29" i="50"/>
  <c r="U29" i="50"/>
  <c r="AL29" i="50"/>
  <c r="L5" i="50"/>
  <c r="AB5" i="50"/>
  <c r="AR5" i="50"/>
  <c r="M5" i="50"/>
  <c r="AC5" i="50"/>
  <c r="AD7" i="50" s="1"/>
  <c r="AC2" i="60" s="1"/>
  <c r="B5" i="50"/>
  <c r="N5" i="50"/>
  <c r="AD5" i="50"/>
  <c r="O5" i="50"/>
  <c r="AE5" i="50"/>
  <c r="P5" i="50"/>
  <c r="AF5" i="50"/>
  <c r="Q5" i="50"/>
  <c r="AG5" i="50"/>
  <c r="R5" i="50"/>
  <c r="AH5" i="50"/>
  <c r="C5" i="50"/>
  <c r="S5" i="50"/>
  <c r="AI5" i="50"/>
  <c r="D5" i="50"/>
  <c r="T5" i="50"/>
  <c r="U6" i="50" s="1"/>
  <c r="AJ5" i="50"/>
  <c r="E5" i="50"/>
  <c r="U5" i="50"/>
  <c r="V6" i="50" s="1"/>
  <c r="AK5" i="50"/>
  <c r="AQ5" i="50"/>
  <c r="F5" i="50"/>
  <c r="G7" i="50" s="1"/>
  <c r="F2" i="60" s="1"/>
  <c r="V5" i="50"/>
  <c r="W6" i="50" s="1"/>
  <c r="AL5" i="50"/>
  <c r="K5" i="50"/>
  <c r="G5" i="50"/>
  <c r="W5" i="50"/>
  <c r="AM5" i="50"/>
  <c r="H5" i="50"/>
  <c r="X5" i="50"/>
  <c r="AN5" i="50"/>
  <c r="AA5" i="50"/>
  <c r="AB7" i="50" s="1"/>
  <c r="AA2" i="60" s="1"/>
  <c r="I5" i="50"/>
  <c r="Y5" i="50"/>
  <c r="AO5" i="50"/>
  <c r="AP7" i="50" s="1"/>
  <c r="AO2" i="60" s="1"/>
  <c r="J5" i="50"/>
  <c r="Z5" i="50"/>
  <c r="AP5" i="50"/>
  <c r="AQ7" i="50" s="1"/>
  <c r="AP2" i="60" s="1"/>
  <c r="J8" i="61"/>
  <c r="AN32" i="61"/>
  <c r="AO33" i="61" s="1"/>
  <c r="I32" i="61"/>
  <c r="J33" i="61" s="1"/>
  <c r="AB32" i="61"/>
  <c r="AC33" i="61" s="1"/>
  <c r="AQ32" i="61"/>
  <c r="AR33" i="61" s="1"/>
  <c r="U32" i="61"/>
  <c r="V33" i="61" s="1"/>
  <c r="AJ32" i="61"/>
  <c r="AK33" i="61" s="1"/>
  <c r="P32" i="61"/>
  <c r="Q33" i="61" s="1"/>
  <c r="G32" i="61"/>
  <c r="H35" i="61" s="1"/>
  <c r="T32" i="61"/>
  <c r="U35" i="61" s="1"/>
  <c r="H32" i="61"/>
  <c r="I33" i="61" s="1"/>
  <c r="X32" i="61"/>
  <c r="Y33" i="61" s="1"/>
  <c r="D32" i="61"/>
  <c r="E35" i="61" s="1"/>
  <c r="AG32" i="61"/>
  <c r="AH33" i="61" s="1"/>
  <c r="V32" i="61"/>
  <c r="W33" i="61" s="1"/>
  <c r="AK32" i="61"/>
  <c r="AL35" i="61" s="1"/>
  <c r="J32" i="61"/>
  <c r="K33" i="61" s="1"/>
  <c r="L32" i="61"/>
  <c r="M35" i="61" s="1"/>
  <c r="AM32" i="61"/>
  <c r="AN35" i="61" s="1"/>
  <c r="AP32" i="61"/>
  <c r="AQ35" i="61" s="1"/>
  <c r="B32" i="61"/>
  <c r="C33" i="61" s="1"/>
  <c r="AI32" i="61"/>
  <c r="AJ35" i="61" s="1"/>
  <c r="AA32" i="61"/>
  <c r="AB33" i="61" s="1"/>
  <c r="F32" i="61"/>
  <c r="G33" i="61" s="1"/>
  <c r="AL32" i="61"/>
  <c r="AM33" i="61" s="1"/>
  <c r="S32" i="61"/>
  <c r="T33" i="61" s="1"/>
  <c r="W32" i="61"/>
  <c r="X35" i="61" s="1"/>
  <c r="O32" i="61"/>
  <c r="P35" i="61" s="1"/>
  <c r="AH32" i="61"/>
  <c r="AI33" i="61" s="1"/>
  <c r="K32" i="61"/>
  <c r="L35" i="61" s="1"/>
  <c r="C32" i="61"/>
  <c r="D33" i="61" s="1"/>
  <c r="AE32" i="61"/>
  <c r="AF33" i="61" s="1"/>
  <c r="Q32" i="61"/>
  <c r="R33" i="61" s="1"/>
  <c r="AR32" i="61"/>
  <c r="AD32" i="61"/>
  <c r="AE35" i="61" s="1"/>
  <c r="AF32" i="61"/>
  <c r="AG35" i="61" s="1"/>
  <c r="Z32" i="61"/>
  <c r="AA33" i="61" s="1"/>
  <c r="AO32" i="61"/>
  <c r="AP35" i="61" s="1"/>
  <c r="M32" i="61"/>
  <c r="N33" i="61" s="1"/>
  <c r="E32" i="61"/>
  <c r="F33" i="61" s="1"/>
  <c r="N32" i="61"/>
  <c r="O35" i="61" s="1"/>
  <c r="R32" i="61"/>
  <c r="S33" i="61" s="1"/>
  <c r="AC32" i="61"/>
  <c r="AD33" i="61" s="1"/>
  <c r="Y32" i="61"/>
  <c r="Z35" i="61" s="1"/>
  <c r="Y42" i="61"/>
  <c r="D35" i="61"/>
  <c r="P44" i="61"/>
  <c r="R6" i="61"/>
  <c r="AB8" i="61"/>
  <c r="AC6" i="61"/>
  <c r="AC24" i="61"/>
  <c r="H26" i="61"/>
  <c r="G35" i="61"/>
  <c r="E8" i="61"/>
  <c r="Q25" i="61"/>
  <c r="AG25" i="61"/>
  <c r="R25" i="61"/>
  <c r="AH25" i="61"/>
  <c r="S25" i="61"/>
  <c r="AI25" i="61"/>
  <c r="T25" i="61"/>
  <c r="AJ25" i="61"/>
  <c r="E25" i="61"/>
  <c r="U25" i="61"/>
  <c r="AK25" i="61"/>
  <c r="F25" i="61"/>
  <c r="V25" i="61"/>
  <c r="AL25" i="61"/>
  <c r="G25" i="61"/>
  <c r="W25" i="61"/>
  <c r="AM25" i="61"/>
  <c r="H25" i="61"/>
  <c r="X25" i="61"/>
  <c r="AN25" i="61"/>
  <c r="I25" i="61"/>
  <c r="Y25" i="61"/>
  <c r="AO25" i="61"/>
  <c r="J25" i="61"/>
  <c r="Z25" i="61"/>
  <c r="AP25" i="61"/>
  <c r="K25" i="61"/>
  <c r="AA25" i="61"/>
  <c r="AQ25" i="61"/>
  <c r="L25" i="61"/>
  <c r="AB25" i="61"/>
  <c r="AR25" i="61"/>
  <c r="M25" i="61"/>
  <c r="AC25" i="61"/>
  <c r="D25" i="61"/>
  <c r="N25" i="61"/>
  <c r="AD25" i="61"/>
  <c r="O25" i="61"/>
  <c r="AE25" i="61"/>
  <c r="P25" i="61"/>
  <c r="AF25" i="61"/>
  <c r="AL26" i="61"/>
  <c r="Q35" i="61"/>
  <c r="O24" i="61"/>
  <c r="I42" i="61"/>
  <c r="H44" i="61"/>
  <c r="V24" i="61"/>
  <c r="H6" i="61"/>
  <c r="I6" i="61"/>
  <c r="Q44" i="61"/>
  <c r="S43" i="61"/>
  <c r="AI43" i="61"/>
  <c r="T43" i="61"/>
  <c r="AJ43" i="61"/>
  <c r="E43" i="61"/>
  <c r="U43" i="61"/>
  <c r="AK43" i="61"/>
  <c r="AN43" i="61"/>
  <c r="F43" i="61"/>
  <c r="V43" i="61"/>
  <c r="AL43" i="61"/>
  <c r="X43" i="61"/>
  <c r="G43" i="61"/>
  <c r="W43" i="61"/>
  <c r="AM43" i="61"/>
  <c r="H43" i="61"/>
  <c r="I43" i="61"/>
  <c r="Y43" i="61"/>
  <c r="AO43" i="61"/>
  <c r="J43" i="61"/>
  <c r="Z43" i="61"/>
  <c r="AP43" i="61"/>
  <c r="K43" i="61"/>
  <c r="AA43" i="61"/>
  <c r="AQ43" i="61"/>
  <c r="L43" i="61"/>
  <c r="AB43" i="61"/>
  <c r="AR43" i="61"/>
  <c r="M43" i="61"/>
  <c r="AC43" i="61"/>
  <c r="D43" i="61"/>
  <c r="N43" i="61"/>
  <c r="AD43" i="61"/>
  <c r="O43" i="61"/>
  <c r="AE43" i="61"/>
  <c r="AH43" i="61"/>
  <c r="P43" i="61"/>
  <c r="AF43" i="61"/>
  <c r="Q43" i="61"/>
  <c r="AG43" i="61"/>
  <c r="R43" i="61"/>
  <c r="D42" i="61"/>
  <c r="H24" i="61"/>
  <c r="G26" i="61"/>
  <c r="X33" i="61"/>
  <c r="AJ26" i="61"/>
  <c r="O42" i="61"/>
  <c r="W26" i="61"/>
  <c r="X24" i="61"/>
  <c r="AR24" i="61"/>
  <c r="AN44" i="61"/>
  <c r="AP6" i="61"/>
  <c r="O44" i="61"/>
  <c r="G44" i="61"/>
  <c r="H42" i="61"/>
  <c r="W44" i="61"/>
  <c r="X42" i="61"/>
  <c r="V35" i="61"/>
  <c r="AQ44" i="61"/>
  <c r="AN8" i="61"/>
  <c r="AO6" i="61"/>
  <c r="S6" i="61"/>
  <c r="C37" i="50"/>
  <c r="S37" i="50"/>
  <c r="AI37" i="50"/>
  <c r="AJ38" i="50" s="1"/>
  <c r="D37" i="50"/>
  <c r="T37" i="50"/>
  <c r="AJ37" i="50"/>
  <c r="AK38" i="50" s="1"/>
  <c r="AL37" i="50"/>
  <c r="AM39" i="50" s="1"/>
  <c r="E37" i="50"/>
  <c r="U37" i="50"/>
  <c r="AK37" i="50"/>
  <c r="V37" i="50"/>
  <c r="F37" i="50"/>
  <c r="G39" i="50" s="1"/>
  <c r="O37" i="50"/>
  <c r="R37" i="50"/>
  <c r="G37" i="50"/>
  <c r="W37" i="50"/>
  <c r="AM37" i="50"/>
  <c r="AQ37" i="50"/>
  <c r="AR39" i="50" s="1"/>
  <c r="AR37" i="50"/>
  <c r="H37" i="50"/>
  <c r="X37" i="50"/>
  <c r="AN37" i="50"/>
  <c r="AO39" i="50" s="1"/>
  <c r="B37" i="50"/>
  <c r="I37" i="50"/>
  <c r="Y37" i="50"/>
  <c r="Z38" i="50" s="1"/>
  <c r="AO37" i="50"/>
  <c r="AB37" i="50"/>
  <c r="AC37" i="50"/>
  <c r="AD39" i="50" s="1"/>
  <c r="AE37" i="50"/>
  <c r="AF37" i="50"/>
  <c r="J37" i="50"/>
  <c r="Z37" i="50"/>
  <c r="AP37" i="50"/>
  <c r="K37" i="50"/>
  <c r="AA37" i="50"/>
  <c r="L37" i="50"/>
  <c r="AD37" i="50"/>
  <c r="P37" i="50"/>
  <c r="M37" i="50"/>
  <c r="N39" i="50" s="1"/>
  <c r="N37" i="50"/>
  <c r="AH37" i="50"/>
  <c r="Q37" i="50"/>
  <c r="AG37" i="50"/>
  <c r="R21" i="50"/>
  <c r="S23" i="50" s="1"/>
  <c r="R4" i="60" s="1"/>
  <c r="AH21" i="50"/>
  <c r="C21" i="50"/>
  <c r="S21" i="50"/>
  <c r="AI21" i="50"/>
  <c r="D21" i="50"/>
  <c r="T21" i="50"/>
  <c r="AJ21" i="50"/>
  <c r="E21" i="50"/>
  <c r="U21" i="50"/>
  <c r="V22" i="50" s="1"/>
  <c r="AK21" i="50"/>
  <c r="AL22" i="50" s="1"/>
  <c r="F21" i="50"/>
  <c r="G23" i="50" s="1"/>
  <c r="F4" i="60" s="1"/>
  <c r="V21" i="50"/>
  <c r="AL21" i="50"/>
  <c r="G21" i="50"/>
  <c r="W21" i="50"/>
  <c r="AM21" i="50"/>
  <c r="AN23" i="50" s="1"/>
  <c r="AM4" i="60" s="1"/>
  <c r="H21" i="50"/>
  <c r="X21" i="50"/>
  <c r="AN21" i="50"/>
  <c r="I21" i="50"/>
  <c r="Y21" i="50"/>
  <c r="AO21" i="50"/>
  <c r="J21" i="50"/>
  <c r="Z21" i="50"/>
  <c r="AP21" i="50"/>
  <c r="AQ22" i="50" s="1"/>
  <c r="K21" i="50"/>
  <c r="L23" i="50" s="1"/>
  <c r="K4" i="60" s="1"/>
  <c r="AA21" i="50"/>
  <c r="AB23" i="50" s="1"/>
  <c r="AA4" i="60" s="1"/>
  <c r="AQ21" i="50"/>
  <c r="L21" i="50"/>
  <c r="AB21" i="50"/>
  <c r="AR21" i="50"/>
  <c r="M21" i="50"/>
  <c r="AC21" i="50"/>
  <c r="B21" i="50"/>
  <c r="N21" i="50"/>
  <c r="AD21" i="50"/>
  <c r="O21" i="50"/>
  <c r="AE21" i="50"/>
  <c r="AG21" i="50"/>
  <c r="P21" i="50"/>
  <c r="AF21" i="50"/>
  <c r="Q21" i="50"/>
  <c r="R23" i="50" s="1"/>
  <c r="Q4" i="60" s="1"/>
  <c r="AO35" i="61"/>
  <c r="AP33" i="61"/>
  <c r="O26" i="61"/>
  <c r="M44" i="61"/>
  <c r="N42" i="61"/>
  <c r="K8" i="61"/>
  <c r="J7" i="61"/>
  <c r="Z7" i="61"/>
  <c r="AP7" i="61"/>
  <c r="K7" i="61"/>
  <c r="AA7" i="61"/>
  <c r="AQ7" i="61"/>
  <c r="O7" i="61"/>
  <c r="L7" i="61"/>
  <c r="AB7" i="61"/>
  <c r="AR7" i="61"/>
  <c r="AO7" i="61"/>
  <c r="M7" i="61"/>
  <c r="AC7" i="61"/>
  <c r="D7" i="61"/>
  <c r="N7" i="61"/>
  <c r="AD7" i="61"/>
  <c r="AE7" i="61"/>
  <c r="P7" i="61"/>
  <c r="AF7" i="61"/>
  <c r="Q7" i="61"/>
  <c r="AG7" i="61"/>
  <c r="R7" i="61"/>
  <c r="AH7" i="61"/>
  <c r="S7" i="61"/>
  <c r="AI7" i="61"/>
  <c r="T7" i="61"/>
  <c r="AJ7" i="61"/>
  <c r="E7" i="61"/>
  <c r="U7" i="61"/>
  <c r="AK7" i="61"/>
  <c r="F7" i="61"/>
  <c r="V7" i="61"/>
  <c r="AL7" i="61"/>
  <c r="G7" i="61"/>
  <c r="W7" i="61"/>
  <c r="AM7" i="61"/>
  <c r="H7" i="61"/>
  <c r="X7" i="61"/>
  <c r="AN7" i="61"/>
  <c r="I7" i="61"/>
  <c r="Y7" i="61"/>
  <c r="AM6" i="61"/>
  <c r="U24" i="61"/>
  <c r="G13" i="50"/>
  <c r="H15" i="50" s="1"/>
  <c r="G3" i="60" s="1"/>
  <c r="W13" i="50"/>
  <c r="X15" i="50" s="1"/>
  <c r="W3" i="60" s="1"/>
  <c r="AM13" i="50"/>
  <c r="H13" i="50"/>
  <c r="X13" i="50"/>
  <c r="Y15" i="50" s="1"/>
  <c r="X3" i="60" s="1"/>
  <c r="AN13" i="50"/>
  <c r="I13" i="50"/>
  <c r="Y13" i="50"/>
  <c r="AO13" i="50"/>
  <c r="AP15" i="50" s="1"/>
  <c r="AO3" i="60" s="1"/>
  <c r="J13" i="50"/>
  <c r="Z13" i="50"/>
  <c r="AA15" i="50" s="1"/>
  <c r="Z3" i="60" s="1"/>
  <c r="AP13" i="50"/>
  <c r="K13" i="50"/>
  <c r="AA13" i="50"/>
  <c r="AQ13" i="50"/>
  <c r="L13" i="50"/>
  <c r="AB13" i="50"/>
  <c r="AR13" i="50"/>
  <c r="M13" i="50"/>
  <c r="AC13" i="50"/>
  <c r="B13" i="50"/>
  <c r="N13" i="50"/>
  <c r="AD13" i="50"/>
  <c r="V13" i="50"/>
  <c r="O13" i="50"/>
  <c r="P15" i="50" s="1"/>
  <c r="O3" i="60" s="1"/>
  <c r="AE13" i="50"/>
  <c r="F13" i="50"/>
  <c r="G15" i="50" s="1"/>
  <c r="F3" i="60" s="1"/>
  <c r="P13" i="50"/>
  <c r="AF13" i="50"/>
  <c r="Q13" i="50"/>
  <c r="AG13" i="50"/>
  <c r="R13" i="50"/>
  <c r="S15" i="50" s="1"/>
  <c r="R3" i="60" s="1"/>
  <c r="AH13" i="50"/>
  <c r="AL13" i="50"/>
  <c r="C13" i="50"/>
  <c r="S13" i="50"/>
  <c r="AI13" i="50"/>
  <c r="AJ15" i="50" s="1"/>
  <c r="AI3" i="60" s="1"/>
  <c r="D13" i="50"/>
  <c r="E14" i="50" s="1"/>
  <c r="T13" i="50"/>
  <c r="U15" i="50" s="1"/>
  <c r="T3" i="60" s="1"/>
  <c r="AJ13" i="50"/>
  <c r="AK15" i="50" s="1"/>
  <c r="AJ3" i="60" s="1"/>
  <c r="E13" i="50"/>
  <c r="F15" i="50" s="1"/>
  <c r="E3" i="60" s="1"/>
  <c r="U13" i="50"/>
  <c r="AK13" i="50"/>
  <c r="AJ6" i="61"/>
  <c r="Z14" i="61"/>
  <c r="AA17" i="61" s="1"/>
  <c r="I14" i="61"/>
  <c r="J15" i="61" s="1"/>
  <c r="P14" i="61"/>
  <c r="Q15" i="61" s="1"/>
  <c r="N14" i="61"/>
  <c r="O15" i="61" s="1"/>
  <c r="AR14" i="61"/>
  <c r="G14" i="61"/>
  <c r="H17" i="61" s="1"/>
  <c r="B14" i="61"/>
  <c r="C15" i="61" s="1"/>
  <c r="AF14" i="61"/>
  <c r="AG15" i="61" s="1"/>
  <c r="AO14" i="61"/>
  <c r="AP17" i="61" s="1"/>
  <c r="V14" i="61"/>
  <c r="W17" i="61" s="1"/>
  <c r="T14" i="61"/>
  <c r="U17" i="61" s="1"/>
  <c r="F14" i="61"/>
  <c r="G17" i="61" s="1"/>
  <c r="AK14" i="61"/>
  <c r="AL17" i="61" s="1"/>
  <c r="H14" i="61"/>
  <c r="I15" i="61" s="1"/>
  <c r="AN14" i="61"/>
  <c r="AO15" i="61" s="1"/>
  <c r="AL14" i="61"/>
  <c r="AM17" i="61" s="1"/>
  <c r="Y14" i="61"/>
  <c r="Z15" i="61" s="1"/>
  <c r="AB14" i="61"/>
  <c r="AC17" i="61" s="1"/>
  <c r="E14" i="61"/>
  <c r="F17" i="61" s="1"/>
  <c r="M14" i="61"/>
  <c r="N15" i="61" s="1"/>
  <c r="S14" i="61"/>
  <c r="T15" i="61" s="1"/>
  <c r="U14" i="61"/>
  <c r="V15" i="61" s="1"/>
  <c r="AJ14" i="61"/>
  <c r="AK17" i="61" s="1"/>
  <c r="AH14" i="61"/>
  <c r="AI15" i="61" s="1"/>
  <c r="X14" i="61"/>
  <c r="Y17" i="61" s="1"/>
  <c r="AE14" i="61"/>
  <c r="AF15" i="61" s="1"/>
  <c r="L14" i="61"/>
  <c r="M17" i="61" s="1"/>
  <c r="R14" i="61"/>
  <c r="S17" i="61" s="1"/>
  <c r="AI14" i="61"/>
  <c r="AJ15" i="61" s="1"/>
  <c r="AP14" i="61"/>
  <c r="AQ17" i="61" s="1"/>
  <c r="AQ14" i="61"/>
  <c r="AR17" i="61" s="1"/>
  <c r="AM14" i="61"/>
  <c r="AN17" i="61" s="1"/>
  <c r="W14" i="61"/>
  <c r="X17" i="61" s="1"/>
  <c r="AC14" i="61"/>
  <c r="AD17" i="61" s="1"/>
  <c r="AA14" i="61"/>
  <c r="AB15" i="61" s="1"/>
  <c r="K14" i="61"/>
  <c r="L17" i="61" s="1"/>
  <c r="Q14" i="61"/>
  <c r="R15" i="61" s="1"/>
  <c r="O14" i="61"/>
  <c r="P17" i="61" s="1"/>
  <c r="J14" i="61"/>
  <c r="K15" i="61" s="1"/>
  <c r="D14" i="61"/>
  <c r="E17" i="61" s="1"/>
  <c r="C14" i="61"/>
  <c r="D17" i="61" s="1"/>
  <c r="AG14" i="61"/>
  <c r="AH17" i="61" s="1"/>
  <c r="AD14" i="61"/>
  <c r="AE17" i="61" s="1"/>
  <c r="S15" i="61"/>
  <c r="F15" i="61"/>
  <c r="AH42" i="61"/>
  <c r="R44" i="61"/>
  <c r="AR35" i="61"/>
  <c r="N24" i="61"/>
  <c r="S26" i="61"/>
  <c r="T24" i="61"/>
  <c r="J34" i="61"/>
  <c r="Z34" i="61"/>
  <c r="AP34" i="61"/>
  <c r="K34" i="61"/>
  <c r="AA34" i="61"/>
  <c r="AQ34" i="61"/>
  <c r="O34" i="61"/>
  <c r="L34" i="61"/>
  <c r="AB34" i="61"/>
  <c r="AR34" i="61"/>
  <c r="M34" i="61"/>
  <c r="AC34" i="61"/>
  <c r="D34" i="61"/>
  <c r="N34" i="61"/>
  <c r="AD34" i="61"/>
  <c r="AE34" i="61"/>
  <c r="P34" i="61"/>
  <c r="AF34" i="61"/>
  <c r="Q34" i="61"/>
  <c r="AG34" i="61"/>
  <c r="R34" i="61"/>
  <c r="AH34" i="61"/>
  <c r="I34" i="61"/>
  <c r="S34" i="61"/>
  <c r="AI34" i="61"/>
  <c r="T34" i="61"/>
  <c r="AJ34" i="61"/>
  <c r="E34" i="61"/>
  <c r="U34" i="61"/>
  <c r="AK34" i="61"/>
  <c r="F34" i="61"/>
  <c r="V34" i="61"/>
  <c r="AL34" i="61"/>
  <c r="G34" i="61"/>
  <c r="W34" i="61"/>
  <c r="AM34" i="61"/>
  <c r="H34" i="61"/>
  <c r="X34" i="61"/>
  <c r="AN34" i="61"/>
  <c r="Y34" i="61"/>
  <c r="AO34" i="61"/>
  <c r="C35" i="61"/>
  <c r="M33" i="61"/>
  <c r="U42" i="61"/>
  <c r="T44" i="61"/>
  <c r="P33" i="61"/>
  <c r="AH24" i="61"/>
  <c r="AG26" i="61"/>
  <c r="V6" i="61"/>
  <c r="E26" i="61"/>
  <c r="F24" i="61"/>
  <c r="AI44" i="61"/>
  <c r="AF24" i="61"/>
  <c r="AE26" i="61"/>
  <c r="N16" i="61"/>
  <c r="AD16" i="61"/>
  <c r="O16" i="61"/>
  <c r="AE16" i="61"/>
  <c r="P16" i="61"/>
  <c r="AF16" i="61"/>
  <c r="S16" i="61"/>
  <c r="Q16" i="61"/>
  <c r="AG16" i="61"/>
  <c r="R16" i="61"/>
  <c r="AH16" i="61"/>
  <c r="AI16" i="61"/>
  <c r="T16" i="61"/>
  <c r="AJ16" i="61"/>
  <c r="E16" i="61"/>
  <c r="U16" i="61"/>
  <c r="AK16" i="61"/>
  <c r="F16" i="61"/>
  <c r="V16" i="61"/>
  <c r="AL16" i="61"/>
  <c r="D16" i="61"/>
  <c r="G16" i="61"/>
  <c r="W16" i="61"/>
  <c r="AM16" i="61"/>
  <c r="H16" i="61"/>
  <c r="X16" i="61"/>
  <c r="AN16" i="61"/>
  <c r="I16" i="61"/>
  <c r="Y16" i="61"/>
  <c r="AO16" i="61"/>
  <c r="J16" i="61"/>
  <c r="Z16" i="61"/>
  <c r="AP16" i="61"/>
  <c r="M16" i="61"/>
  <c r="K16" i="61"/>
  <c r="AA16" i="61"/>
  <c r="AQ16" i="61"/>
  <c r="L16" i="61"/>
  <c r="AB16" i="61"/>
  <c r="AR16" i="61"/>
  <c r="AC16" i="61"/>
  <c r="D15" i="61"/>
  <c r="C17" i="61"/>
  <c r="J42" i="61"/>
  <c r="AL6" i="61"/>
  <c r="AK8" i="61"/>
  <c r="AC35" i="61"/>
  <c r="AI26" i="61"/>
  <c r="L6" i="50"/>
  <c r="M6" i="50"/>
  <c r="O7" i="50"/>
  <c r="N2" i="60" s="1"/>
  <c r="AE7" i="50"/>
  <c r="AD2" i="60" s="1"/>
  <c r="P7" i="50"/>
  <c r="O2" i="60" s="1"/>
  <c r="Q7" i="50"/>
  <c r="P2" i="60" s="1"/>
  <c r="AG6" i="50"/>
  <c r="AH6" i="50"/>
  <c r="S7" i="50"/>
  <c r="R2" i="60" s="1"/>
  <c r="D27" i="53"/>
  <c r="D38" i="50"/>
  <c r="E38" i="50"/>
  <c r="F38" i="50"/>
  <c r="AL39" i="50"/>
  <c r="W39" i="50"/>
  <c r="X38" i="50"/>
  <c r="I39" i="50"/>
  <c r="Y38" i="50"/>
  <c r="J39" i="50"/>
  <c r="AA39" i="50"/>
  <c r="AB38" i="50"/>
  <c r="AC39" i="50"/>
  <c r="C38" i="50"/>
  <c r="D41" i="50" s="1"/>
  <c r="D14" i="53" s="1"/>
  <c r="O38" i="50"/>
  <c r="P38" i="50"/>
  <c r="R39" i="50"/>
  <c r="B17" i="50"/>
  <c r="D14" i="50"/>
  <c r="T15" i="50"/>
  <c r="S3" i="60" s="1"/>
  <c r="R15" i="50"/>
  <c r="Q3" i="60" s="1"/>
  <c r="AN15" i="50"/>
  <c r="AM3" i="60" s="1"/>
  <c r="I15" i="50"/>
  <c r="H3" i="60" s="1"/>
  <c r="J15" i="50"/>
  <c r="I3" i="60" s="1"/>
  <c r="AB15" i="50"/>
  <c r="AA3" i="60" s="1"/>
  <c r="AR15" i="50"/>
  <c r="AQ3" i="60" s="1"/>
  <c r="M15" i="50"/>
  <c r="L3" i="60" s="1"/>
  <c r="N15" i="50"/>
  <c r="M3" i="60" s="1"/>
  <c r="AD15" i="50"/>
  <c r="AC3" i="60" s="1"/>
  <c r="O15" i="50"/>
  <c r="N3" i="60" s="1"/>
  <c r="AE15" i="50"/>
  <c r="AD3" i="60" s="1"/>
  <c r="C22" i="50"/>
  <c r="O22" i="50"/>
  <c r="Q23" i="50"/>
  <c r="P4" i="60" s="1"/>
  <c r="AH23" i="50"/>
  <c r="AG4" i="60" s="1"/>
  <c r="U23" i="50"/>
  <c r="T4" i="60" s="1"/>
  <c r="AK22" i="50"/>
  <c r="F23" i="50"/>
  <c r="E4" i="60" s="1"/>
  <c r="AC23" i="50"/>
  <c r="AB4" i="60" s="1"/>
  <c r="W23" i="50"/>
  <c r="V4" i="60" s="1"/>
  <c r="AM23" i="50"/>
  <c r="AL4" i="60" s="1"/>
  <c r="X22" i="50"/>
  <c r="Y22" i="50"/>
  <c r="K22" i="50"/>
  <c r="AA23" i="50"/>
  <c r="Z4" i="60" s="1"/>
  <c r="AR22" i="50"/>
  <c r="M23" i="50"/>
  <c r="L4" i="60" s="1"/>
  <c r="D26" i="53"/>
  <c r="I30" i="50"/>
  <c r="AQ31" i="50"/>
  <c r="AB31" i="50"/>
  <c r="AR31" i="50"/>
  <c r="M30" i="50"/>
  <c r="AD31" i="50"/>
  <c r="AH31" i="50"/>
  <c r="S31" i="50"/>
  <c r="AI30" i="50"/>
  <c r="AN31" i="50"/>
  <c r="D31" i="50"/>
  <c r="V31" i="50"/>
  <c r="H31" i="50"/>
  <c r="T23" i="50"/>
  <c r="S4" i="60" s="1"/>
  <c r="I23" i="50"/>
  <c r="H4" i="60" s="1"/>
  <c r="AG22" i="50"/>
  <c r="J22" i="50"/>
  <c r="AD23" i="50"/>
  <c r="AC4" i="60" s="1"/>
  <c r="B25" i="50"/>
  <c r="E23" i="50"/>
  <c r="D4" i="60" s="1"/>
  <c r="AO22" i="50"/>
  <c r="AP23" i="50"/>
  <c r="AO4" i="60" s="1"/>
  <c r="Z23" i="50"/>
  <c r="Y4" i="60" s="1"/>
  <c r="W22" i="50"/>
  <c r="O39" i="50"/>
  <c r="AP39" i="50"/>
  <c r="S38" i="50"/>
  <c r="B41" i="50"/>
  <c r="AG38" i="50"/>
  <c r="AH39" i="50"/>
  <c r="W38" i="50"/>
  <c r="AI38" i="50"/>
  <c r="M38" i="50"/>
  <c r="E22" i="50"/>
  <c r="AO23" i="50"/>
  <c r="AN4" i="60" s="1"/>
  <c r="I22" i="50"/>
  <c r="P31" i="50"/>
  <c r="O30" i="50"/>
  <c r="Q31" i="50"/>
  <c r="AO31" i="50"/>
  <c r="L30" i="50"/>
  <c r="B33" i="50"/>
  <c r="F31" i="50"/>
  <c r="AA38" i="50"/>
  <c r="X6" i="50"/>
  <c r="AI6" i="50"/>
  <c r="J6" i="50"/>
  <c r="C6" i="50"/>
  <c r="I6" i="50"/>
  <c r="B9" i="50"/>
  <c r="T7" i="50"/>
  <c r="S2" i="60" s="1"/>
  <c r="H7" i="50"/>
  <c r="G2" i="60" s="1"/>
  <c r="AO7" i="50"/>
  <c r="AN2" i="60" s="1"/>
  <c r="AC7" i="50"/>
  <c r="AB2" i="60" s="1"/>
  <c r="AN7" i="50"/>
  <c r="AM2" i="60" s="1"/>
  <c r="D7" i="50"/>
  <c r="C2" i="60" s="1"/>
  <c r="N6" i="50"/>
  <c r="U22" i="50"/>
  <c r="Z22" i="50"/>
  <c r="B14" i="53"/>
  <c r="B7" i="53" s="1"/>
  <c r="B188" i="55" s="1"/>
  <c r="AO15" i="50"/>
  <c r="AN3" i="60" s="1"/>
  <c r="Q15" i="50"/>
  <c r="P3" i="60" s="1"/>
  <c r="AM15" i="50"/>
  <c r="AL3" i="60" s="1"/>
  <c r="L15" i="50"/>
  <c r="K3" i="60" s="1"/>
  <c r="K15" i="50"/>
  <c r="J3" i="60" s="1"/>
  <c r="AH15" i="50"/>
  <c r="AG3" i="60" s="1"/>
  <c r="V15" i="50"/>
  <c r="U3" i="60" s="1"/>
  <c r="AG15" i="50"/>
  <c r="AF3" i="60" s="1"/>
  <c r="AQ15" i="50"/>
  <c r="AP3" i="60" s="1"/>
  <c r="D28" i="53"/>
  <c r="C30" i="50" l="1"/>
  <c r="AK35" i="61"/>
  <c r="AN22" i="50"/>
  <c r="J35" i="61"/>
  <c r="B37" i="61"/>
  <c r="C31" i="50"/>
  <c r="D26" i="61"/>
  <c r="C19" i="61"/>
  <c r="Z26" i="61"/>
  <c r="K26" i="61"/>
  <c r="X27" i="61" s="1"/>
  <c r="P26" i="61"/>
  <c r="T6" i="61"/>
  <c r="R17" i="61"/>
  <c r="N35" i="61"/>
  <c r="AF42" i="61"/>
  <c r="Z6" i="61"/>
  <c r="AB35" i="61"/>
  <c r="O17" i="61"/>
  <c r="AH15" i="61"/>
  <c r="N17" i="61"/>
  <c r="C28" i="61"/>
  <c r="AA35" i="61"/>
  <c r="P8" i="61"/>
  <c r="K17" i="61"/>
  <c r="L26" i="61"/>
  <c r="D46" i="61"/>
  <c r="M24" i="61"/>
  <c r="E46" i="61"/>
  <c r="H15" i="61"/>
  <c r="AI6" i="61"/>
  <c r="O6" i="61"/>
  <c r="W10" i="61" s="1"/>
  <c r="V17" i="61"/>
  <c r="AH8" i="61"/>
  <c r="T35" i="61"/>
  <c r="B19" i="61"/>
  <c r="AE33" i="61"/>
  <c r="W15" i="61"/>
  <c r="C42" i="61"/>
  <c r="AN33" i="61"/>
  <c r="AD35" i="61"/>
  <c r="AP42" i="61"/>
  <c r="F15" i="62"/>
  <c r="AA9" i="62"/>
  <c r="F9" i="62"/>
  <c r="AE9" i="62"/>
  <c r="AK3" i="62"/>
  <c r="O3" i="62"/>
  <c r="I3" i="62"/>
  <c r="AC42" i="61"/>
  <c r="K15" i="62"/>
  <c r="AK15" i="62"/>
  <c r="O15" i="62"/>
  <c r="G10" i="61"/>
  <c r="L15" i="61"/>
  <c r="U33" i="61"/>
  <c r="AP9" i="62"/>
  <c r="AK9" i="62"/>
  <c r="O9" i="62"/>
  <c r="AL33" i="61"/>
  <c r="U3" i="62"/>
  <c r="AD3" i="62"/>
  <c r="AN3" i="62"/>
  <c r="AP15" i="62"/>
  <c r="U15" i="62"/>
  <c r="Y8" i="61"/>
  <c r="AL9" i="62"/>
  <c r="AO3" i="62"/>
  <c r="Z9" i="62"/>
  <c r="U9" i="62"/>
  <c r="Q9" i="62"/>
  <c r="E3" i="62"/>
  <c r="N3" i="62"/>
  <c r="X3" i="62"/>
  <c r="Z15" i="62"/>
  <c r="E15" i="62"/>
  <c r="AO17" i="61"/>
  <c r="M15" i="61"/>
  <c r="X15" i="61"/>
  <c r="E18" i="61"/>
  <c r="D18" i="61"/>
  <c r="C18" i="61"/>
  <c r="G18" i="61"/>
  <c r="F18" i="61"/>
  <c r="H18" i="61"/>
  <c r="P3" i="62"/>
  <c r="J9" i="62"/>
  <c r="E9" i="62"/>
  <c r="AD9" i="62"/>
  <c r="AJ3" i="62"/>
  <c r="AC3" i="62"/>
  <c r="H3" i="62"/>
  <c r="P15" i="61"/>
  <c r="X6" i="61"/>
  <c r="J15" i="62"/>
  <c r="AJ15" i="62"/>
  <c r="AP15" i="61"/>
  <c r="F10" i="61"/>
  <c r="I35" i="61"/>
  <c r="AF9" i="62"/>
  <c r="AO9" i="62"/>
  <c r="B9" i="62"/>
  <c r="N9" i="62"/>
  <c r="I17" i="61"/>
  <c r="T3" i="62"/>
  <c r="AB3" i="62"/>
  <c r="AK15" i="61"/>
  <c r="W8" i="61"/>
  <c r="AO15" i="62"/>
  <c r="T15" i="62"/>
  <c r="G15" i="61"/>
  <c r="AM42" i="61"/>
  <c r="D10" i="61"/>
  <c r="AD8" i="61"/>
  <c r="AH35" i="61"/>
  <c r="V15" i="62"/>
  <c r="Y9" i="62"/>
  <c r="AJ9" i="62"/>
  <c r="AC9" i="62"/>
  <c r="AR15" i="61"/>
  <c r="D3" i="62"/>
  <c r="L3" i="62"/>
  <c r="O33" i="61"/>
  <c r="AL15" i="61"/>
  <c r="W35" i="61"/>
  <c r="AJ17" i="61"/>
  <c r="Y15" i="62"/>
  <c r="D15" i="62"/>
  <c r="C27" i="61"/>
  <c r="J27" i="61"/>
  <c r="K27" i="61"/>
  <c r="N27" i="61"/>
  <c r="F27" i="61"/>
  <c r="M27" i="61"/>
  <c r="S27" i="61"/>
  <c r="AB27" i="61"/>
  <c r="I27" i="61"/>
  <c r="AA27" i="61"/>
  <c r="O27" i="61"/>
  <c r="AC27" i="61"/>
  <c r="G27" i="61"/>
  <c r="H27" i="61"/>
  <c r="D27" i="61"/>
  <c r="V27" i="61"/>
  <c r="R27" i="61"/>
  <c r="E27" i="61"/>
  <c r="AM35" i="61"/>
  <c r="L22" i="50"/>
  <c r="I9" i="62"/>
  <c r="T9" i="62"/>
  <c r="M9" i="62"/>
  <c r="K35" i="61"/>
  <c r="AI3" i="62"/>
  <c r="B3" i="62"/>
  <c r="U15" i="61"/>
  <c r="AM24" i="61"/>
  <c r="I15" i="62"/>
  <c r="AI15" i="62"/>
  <c r="AF17" i="61"/>
  <c r="J24" i="61"/>
  <c r="E10" i="61"/>
  <c r="B15" i="62"/>
  <c r="K9" i="62"/>
  <c r="D9" i="62"/>
  <c r="AB9" i="62"/>
  <c r="Y15" i="61"/>
  <c r="L33" i="61"/>
  <c r="S3" i="62"/>
  <c r="AA3" i="62"/>
  <c r="AR8" i="61"/>
  <c r="T17" i="61"/>
  <c r="AN15" i="62"/>
  <c r="S15" i="62"/>
  <c r="AQ15" i="61"/>
  <c r="AB17" i="61"/>
  <c r="C10" i="61"/>
  <c r="E42" i="61"/>
  <c r="H46" i="61" s="1"/>
  <c r="Z33" i="61"/>
  <c r="C24" i="61"/>
  <c r="AD44" i="61"/>
  <c r="P9" i="62"/>
  <c r="AN9" i="62"/>
  <c r="AI9" i="62"/>
  <c r="L9" i="62"/>
  <c r="C3" i="62"/>
  <c r="K3" i="62"/>
  <c r="AD15" i="62"/>
  <c r="X15" i="62"/>
  <c r="C15" i="62"/>
  <c r="AC15" i="61"/>
  <c r="Q24" i="61"/>
  <c r="D8" i="61"/>
  <c r="AI35" i="61"/>
  <c r="Y35" i="61"/>
  <c r="C45" i="61"/>
  <c r="E45" i="61"/>
  <c r="D45" i="61"/>
  <c r="K45" i="61"/>
  <c r="AO44" i="61"/>
  <c r="I24" i="61"/>
  <c r="X9" i="62"/>
  <c r="S9" i="62"/>
  <c r="D19" i="61"/>
  <c r="M6" i="61"/>
  <c r="AH3" i="62"/>
  <c r="AM3" i="62"/>
  <c r="N15" i="62"/>
  <c r="H15" i="62"/>
  <c r="AH15" i="62"/>
  <c r="AE15" i="61"/>
  <c r="Y24" i="61"/>
  <c r="C9" i="61"/>
  <c r="AD9" i="61"/>
  <c r="K9" i="61"/>
  <c r="D9" i="61"/>
  <c r="AJ33" i="61"/>
  <c r="F35" i="61"/>
  <c r="F36" i="61" s="1"/>
  <c r="AE8" i="61"/>
  <c r="V3" i="62"/>
  <c r="H9" i="62"/>
  <c r="C9" i="62"/>
  <c r="AI17" i="61"/>
  <c r="L8" i="61"/>
  <c r="R3" i="62"/>
  <c r="AP3" i="62"/>
  <c r="AM15" i="61"/>
  <c r="AC15" i="62"/>
  <c r="AM15" i="62"/>
  <c r="R15" i="62"/>
  <c r="H33" i="61"/>
  <c r="C37" i="61"/>
  <c r="E15" i="61"/>
  <c r="K44" i="61"/>
  <c r="B10" i="61"/>
  <c r="AO24" i="61"/>
  <c r="AD26" i="61"/>
  <c r="AI27" i="61" s="1"/>
  <c r="V9" i="62"/>
  <c r="F3" i="62"/>
  <c r="AM9" i="62"/>
  <c r="AH9" i="62"/>
  <c r="W3" i="62"/>
  <c r="AG3" i="62"/>
  <c r="Z3" i="62"/>
  <c r="Q17" i="61"/>
  <c r="M15" i="62"/>
  <c r="W15" i="62"/>
  <c r="AG15" i="62"/>
  <c r="V42" i="61"/>
  <c r="J17" i="61"/>
  <c r="D37" i="61"/>
  <c r="AG17" i="61"/>
  <c r="AE44" i="61"/>
  <c r="G6" i="61"/>
  <c r="L10" i="61" s="1"/>
  <c r="AP24" i="61"/>
  <c r="AA8" i="61"/>
  <c r="P15" i="62"/>
  <c r="AG44" i="61"/>
  <c r="AE3" i="62"/>
  <c r="Y3" i="62"/>
  <c r="AA15" i="62"/>
  <c r="AE15" i="62"/>
  <c r="W9" i="62"/>
  <c r="R9" i="62"/>
  <c r="AJ42" i="61"/>
  <c r="D36" i="61"/>
  <c r="E36" i="61"/>
  <c r="C36" i="61"/>
  <c r="E19" i="61"/>
  <c r="G3" i="62"/>
  <c r="Q3" i="62"/>
  <c r="J3" i="62"/>
  <c r="Z17" i="61"/>
  <c r="AF35" i="61"/>
  <c r="AB15" i="62"/>
  <c r="G15" i="62"/>
  <c r="Q15" i="62"/>
  <c r="AF8" i="61"/>
  <c r="AQ33" i="61"/>
  <c r="E37" i="61"/>
  <c r="AN15" i="61"/>
  <c r="R35" i="61"/>
  <c r="F8" i="61"/>
  <c r="I9" i="61" s="1"/>
  <c r="B46" i="61"/>
  <c r="Z42" i="61"/>
  <c r="U6" i="61"/>
  <c r="G9" i="62"/>
  <c r="AG9" i="62"/>
  <c r="S42" i="61"/>
  <c r="AC46" i="61" s="1"/>
  <c r="AL3" i="62"/>
  <c r="AF3" i="62"/>
  <c r="M3" i="62"/>
  <c r="AA15" i="61"/>
  <c r="S35" i="61"/>
  <c r="AQ26" i="61"/>
  <c r="AG33" i="61"/>
  <c r="L15" i="62"/>
  <c r="AL15" i="62"/>
  <c r="AF15" i="62"/>
  <c r="AG6" i="61"/>
  <c r="E33" i="61"/>
  <c r="F44" i="61"/>
  <c r="AP45" i="61" s="1"/>
  <c r="AL42" i="61"/>
  <c r="Q6" i="61"/>
  <c r="C46" i="61"/>
  <c r="N8" i="61"/>
  <c r="AD15" i="61"/>
  <c r="AB22" i="50"/>
  <c r="AH22" i="50"/>
  <c r="AR38" i="50"/>
  <c r="F22" i="50"/>
  <c r="AL23" i="50"/>
  <c r="AK4" i="60" s="1"/>
  <c r="R38" i="50"/>
  <c r="AC22" i="50"/>
  <c r="E39" i="50"/>
  <c r="X23" i="50"/>
  <c r="W4" i="60" s="1"/>
  <c r="Q22" i="50"/>
  <c r="D33" i="50"/>
  <c r="D13" i="53" s="1"/>
  <c r="AR23" i="50"/>
  <c r="AQ4" i="60" s="1"/>
  <c r="F39" i="50"/>
  <c r="I38" i="50"/>
  <c r="R22" i="50"/>
  <c r="AL38" i="50"/>
  <c r="C39" i="50"/>
  <c r="C40" i="50" s="1"/>
  <c r="C41" i="50"/>
  <c r="C14" i="53" s="1"/>
  <c r="AQ23" i="50"/>
  <c r="AP4" i="60" s="1"/>
  <c r="AO38" i="50"/>
  <c r="AK23" i="50"/>
  <c r="AJ4" i="60" s="1"/>
  <c r="N38" i="50"/>
  <c r="AD22" i="50"/>
  <c r="M39" i="50"/>
  <c r="Q30" i="50"/>
  <c r="S39" i="50"/>
  <c r="G22" i="50"/>
  <c r="Q6" i="50"/>
  <c r="C13" i="53"/>
  <c r="AG23" i="50"/>
  <c r="AF4" i="60" s="1"/>
  <c r="B13" i="53"/>
  <c r="B6" i="53" s="1"/>
  <c r="B32" i="55" s="1"/>
  <c r="Y23" i="50"/>
  <c r="X4" i="60" s="1"/>
  <c r="V23" i="50"/>
  <c r="U4" i="60" s="1"/>
  <c r="AM38" i="50"/>
  <c r="G38" i="50"/>
  <c r="H41" i="50" s="1"/>
  <c r="H14" i="53" s="1"/>
  <c r="D30" i="50"/>
  <c r="E33" i="50" s="1"/>
  <c r="E13" i="53" s="1"/>
  <c r="AD38" i="50"/>
  <c r="J7" i="50"/>
  <c r="I2" i="60" s="1"/>
  <c r="AM22" i="50"/>
  <c r="AB30" i="50"/>
  <c r="J38" i="50"/>
  <c r="T22" i="50"/>
  <c r="P6" i="50"/>
  <c r="AK39" i="50"/>
  <c r="AE6" i="50"/>
  <c r="E41" i="50"/>
  <c r="E14" i="53" s="1"/>
  <c r="AB39" i="50"/>
  <c r="AO6" i="50"/>
  <c r="AC6" i="50"/>
  <c r="AH38" i="50"/>
  <c r="S22" i="50"/>
  <c r="I31" i="50"/>
  <c r="AN30" i="50"/>
  <c r="AP22" i="50"/>
  <c r="M22" i="50"/>
  <c r="R30" i="50"/>
  <c r="AQ6" i="50"/>
  <c r="AC30" i="50"/>
  <c r="M7" i="50"/>
  <c r="L2" i="60" s="1"/>
  <c r="T6" i="50"/>
  <c r="AO30" i="50"/>
  <c r="L7" i="50"/>
  <c r="K2" i="60" s="1"/>
  <c r="AN6" i="50"/>
  <c r="L31" i="50"/>
  <c r="AD6" i="50"/>
  <c r="B10" i="53"/>
  <c r="B3" i="53" s="1"/>
  <c r="B201" i="55" s="1"/>
  <c r="X39" i="50"/>
  <c r="W31" i="50"/>
  <c r="AQ30" i="50"/>
  <c r="AI7" i="50"/>
  <c r="AH2" i="60" s="1"/>
  <c r="V7" i="50"/>
  <c r="U2" i="60" s="1"/>
  <c r="H30" i="50"/>
  <c r="J23" i="50"/>
  <c r="I4" i="60" s="1"/>
  <c r="Z39" i="50"/>
  <c r="AP38" i="50"/>
  <c r="S30" i="50"/>
  <c r="D39" i="50"/>
  <c r="AF7" i="50"/>
  <c r="AE2" i="60" s="1"/>
  <c r="AF6" i="50"/>
  <c r="AK6" i="50"/>
  <c r="AK7" i="50"/>
  <c r="AJ2" i="60" s="1"/>
  <c r="H39" i="50"/>
  <c r="H38" i="50"/>
  <c r="AQ38" i="50"/>
  <c r="AQ39" i="50"/>
  <c r="Q39" i="50"/>
  <c r="Q38" i="50"/>
  <c r="N22" i="50"/>
  <c r="N23" i="50"/>
  <c r="M4" i="60" s="1"/>
  <c r="AI22" i="50"/>
  <c r="AI23" i="50"/>
  <c r="AH4" i="60" s="1"/>
  <c r="AF22" i="50"/>
  <c r="AF23" i="50"/>
  <c r="AE4" i="60" s="1"/>
  <c r="R7" i="50"/>
  <c r="Q2" i="60" s="1"/>
  <c r="R6" i="50"/>
  <c r="C32" i="50"/>
  <c r="C20" i="53" s="1"/>
  <c r="D32" i="50"/>
  <c r="D20" i="53" s="1"/>
  <c r="AE39" i="50"/>
  <c r="AE38" i="50"/>
  <c r="P23" i="50"/>
  <c r="O4" i="60" s="1"/>
  <c r="P22" i="50"/>
  <c r="AE23" i="50"/>
  <c r="AD4" i="60" s="1"/>
  <c r="AE22" i="50"/>
  <c r="K6" i="50"/>
  <c r="K7" i="50"/>
  <c r="J2" i="60" s="1"/>
  <c r="B11" i="53"/>
  <c r="B4" i="53" s="1"/>
  <c r="W7" i="50"/>
  <c r="V2" i="60" s="1"/>
  <c r="G41" i="50"/>
  <c r="G14" i="53" s="1"/>
  <c r="AN38" i="50"/>
  <c r="AN39" i="50"/>
  <c r="D22" i="50"/>
  <c r="D23" i="50"/>
  <c r="C4" i="60" s="1"/>
  <c r="H23" i="50"/>
  <c r="H22" i="50"/>
  <c r="F7" i="50"/>
  <c r="E2" i="60" s="1"/>
  <c r="F6" i="50"/>
  <c r="K38" i="50"/>
  <c r="K39" i="50"/>
  <c r="AF31" i="50"/>
  <c r="AF30" i="50"/>
  <c r="J31" i="50"/>
  <c r="J30" i="50"/>
  <c r="N31" i="50"/>
  <c r="N30" i="50"/>
  <c r="AK31" i="50"/>
  <c r="AK30" i="50"/>
  <c r="C23" i="50"/>
  <c r="B4" i="60" s="1"/>
  <c r="C25" i="50"/>
  <c r="C10" i="53" s="1"/>
  <c r="D25" i="50"/>
  <c r="D10" i="53" s="1"/>
  <c r="K23" i="50"/>
  <c r="J4" i="60" s="1"/>
  <c r="V38" i="50"/>
  <c r="V39" i="50"/>
  <c r="G31" i="50"/>
  <c r="G30" i="50"/>
  <c r="X30" i="50"/>
  <c r="X31" i="50"/>
  <c r="AA30" i="50"/>
  <c r="AA31" i="50"/>
  <c r="AC38" i="50"/>
  <c r="AL6" i="50"/>
  <c r="AL7" i="50"/>
  <c r="AK2" i="60" s="1"/>
  <c r="AR7" i="50"/>
  <c r="AQ2" i="60" s="1"/>
  <c r="AR6" i="50"/>
  <c r="Z6" i="50"/>
  <c r="Z7" i="50"/>
  <c r="Y2" i="60" s="1"/>
  <c r="AA7" i="50"/>
  <c r="Z2" i="60" s="1"/>
  <c r="AA6" i="50"/>
  <c r="T31" i="50"/>
  <c r="T30" i="50"/>
  <c r="AM30" i="50"/>
  <c r="AM31" i="50"/>
  <c r="AP31" i="50"/>
  <c r="AP30" i="50"/>
  <c r="K30" i="50"/>
  <c r="K31" i="50"/>
  <c r="AG30" i="50"/>
  <c r="AG31" i="50"/>
  <c r="AE31" i="50"/>
  <c r="AE30" i="50"/>
  <c r="E31" i="50"/>
  <c r="E30" i="50"/>
  <c r="AG39" i="50"/>
  <c r="D9" i="50"/>
  <c r="D11" i="53" s="1"/>
  <c r="AH7" i="50"/>
  <c r="AG2" i="60" s="1"/>
  <c r="U39" i="50"/>
  <c r="U38" i="50"/>
  <c r="AP6" i="50"/>
  <c r="V30" i="50"/>
  <c r="AD30" i="50"/>
  <c r="C7" i="50"/>
  <c r="B2" i="60" s="1"/>
  <c r="X7" i="50"/>
  <c r="W2" i="60" s="1"/>
  <c r="U30" i="50"/>
  <c r="U31" i="50"/>
  <c r="N7" i="50"/>
  <c r="M2" i="60" s="1"/>
  <c r="F30" i="50"/>
  <c r="AH30" i="50"/>
  <c r="L39" i="50"/>
  <c r="L38" i="50"/>
  <c r="AJ39" i="50"/>
  <c r="AI39" i="50"/>
  <c r="D6" i="50"/>
  <c r="H6" i="50"/>
  <c r="O6" i="50"/>
  <c r="U7" i="50"/>
  <c r="T2" i="60" s="1"/>
  <c r="O23" i="50"/>
  <c r="N4" i="60" s="1"/>
  <c r="Y39" i="50"/>
  <c r="AJ6" i="50"/>
  <c r="AJ7" i="50"/>
  <c r="AI2" i="60" s="1"/>
  <c r="Y30" i="50"/>
  <c r="AB6" i="50"/>
  <c r="S6" i="50"/>
  <c r="O31" i="50"/>
  <c r="I7" i="50"/>
  <c r="H2" i="60" s="1"/>
  <c r="E7" i="50"/>
  <c r="D2" i="60" s="1"/>
  <c r="E6" i="50"/>
  <c r="AM7" i="50"/>
  <c r="AL2" i="60" s="1"/>
  <c r="AM6" i="50"/>
  <c r="Z30" i="50"/>
  <c r="Z31" i="50"/>
  <c r="AG7" i="50"/>
  <c r="AF2" i="60" s="1"/>
  <c r="AF38" i="50"/>
  <c r="AF39" i="50"/>
  <c r="AJ31" i="50"/>
  <c r="AJ22" i="50"/>
  <c r="AJ23" i="50"/>
  <c r="AI4" i="60" s="1"/>
  <c r="P30" i="50"/>
  <c r="G6" i="50"/>
  <c r="M31" i="50"/>
  <c r="C9" i="50"/>
  <c r="C11" i="53" s="1"/>
  <c r="F41" i="50"/>
  <c r="F14" i="53" s="1"/>
  <c r="T39" i="50"/>
  <c r="T38" i="50"/>
  <c r="AI31" i="50"/>
  <c r="Y6" i="50"/>
  <c r="Y7" i="50"/>
  <c r="X2" i="60" s="1"/>
  <c r="AL31" i="50"/>
  <c r="AL30" i="50"/>
  <c r="P39" i="50"/>
  <c r="AR30" i="50"/>
  <c r="AA22" i="50"/>
  <c r="B185" i="55"/>
  <c r="B181" i="55"/>
  <c r="B182" i="55"/>
  <c r="B184" i="55"/>
  <c r="B178" i="55"/>
  <c r="B179" i="55"/>
  <c r="B187" i="55"/>
  <c r="B183" i="55"/>
  <c r="B186" i="55"/>
  <c r="B180" i="55"/>
  <c r="B12" i="53"/>
  <c r="B19" i="53"/>
  <c r="Q14" i="50"/>
  <c r="AB14" i="50"/>
  <c r="M14" i="50"/>
  <c r="AR14" i="50"/>
  <c r="R14" i="50"/>
  <c r="Y14" i="50"/>
  <c r="V14" i="50"/>
  <c r="I14" i="50"/>
  <c r="AH14" i="50"/>
  <c r="L14" i="50"/>
  <c r="O14" i="50"/>
  <c r="S14" i="50"/>
  <c r="X14" i="50"/>
  <c r="AP14" i="50"/>
  <c r="H14" i="50"/>
  <c r="AO14" i="50"/>
  <c r="AQ14" i="50"/>
  <c r="F14" i="50"/>
  <c r="C14" i="50"/>
  <c r="F17" i="50" s="1"/>
  <c r="F12" i="53" s="1"/>
  <c r="AN14" i="50"/>
  <c r="P14" i="50"/>
  <c r="N14" i="50"/>
  <c r="AF15" i="50"/>
  <c r="AE3" i="60" s="1"/>
  <c r="AF14" i="50"/>
  <c r="Z15" i="50"/>
  <c r="Y3" i="60" s="1"/>
  <c r="Z14" i="50"/>
  <c r="K14" i="50"/>
  <c r="C17" i="50"/>
  <c r="C12" i="53" s="1"/>
  <c r="AK14" i="50"/>
  <c r="AE14" i="50"/>
  <c r="AM14" i="50"/>
  <c r="W15" i="50"/>
  <c r="V3" i="60" s="1"/>
  <c r="W14" i="50"/>
  <c r="AL15" i="50"/>
  <c r="AK3" i="60" s="1"/>
  <c r="AL14" i="50"/>
  <c r="T14" i="50"/>
  <c r="AA14" i="50"/>
  <c r="U14" i="50"/>
  <c r="AJ14" i="50"/>
  <c r="AI15" i="50"/>
  <c r="AH3" i="60" s="1"/>
  <c r="AI14" i="50"/>
  <c r="AC15" i="50"/>
  <c r="AB3" i="60" s="1"/>
  <c r="AC14" i="50"/>
  <c r="AD14" i="50"/>
  <c r="AG14" i="50"/>
  <c r="G14" i="50"/>
  <c r="J14" i="50"/>
  <c r="C15" i="50"/>
  <c r="D15" i="50"/>
  <c r="C3" i="60" s="1"/>
  <c r="E15" i="50"/>
  <c r="B5" i="37" l="1"/>
  <c r="B9" i="37"/>
  <c r="B8" i="37"/>
  <c r="B4" i="37"/>
  <c r="B10" i="37"/>
  <c r="B7" i="37"/>
  <c r="B6" i="37"/>
  <c r="B11" i="37"/>
  <c r="B3" i="37"/>
  <c r="B2" i="37"/>
  <c r="L46" i="61"/>
  <c r="P46" i="61"/>
  <c r="AM27" i="61"/>
  <c r="X18" i="61"/>
  <c r="AN45" i="61"/>
  <c r="AR28" i="61"/>
  <c r="J45" i="61"/>
  <c r="AO28" i="61"/>
  <c r="AR10" i="61"/>
  <c r="M10" i="61"/>
  <c r="W27" i="61"/>
  <c r="AN10" i="61"/>
  <c r="G36" i="61"/>
  <c r="Y9" i="61"/>
  <c r="T27" i="61"/>
  <c r="H36" i="61"/>
  <c r="AN9" i="61"/>
  <c r="J36" i="61"/>
  <c r="AG19" i="61"/>
  <c r="W45" i="61"/>
  <c r="Y36" i="61"/>
  <c r="AQ9" i="61"/>
  <c r="AA28" i="61"/>
  <c r="H45" i="61"/>
  <c r="O10" i="61"/>
  <c r="V36" i="61"/>
  <c r="N28" i="61"/>
  <c r="AM10" i="61"/>
  <c r="T45" i="61"/>
  <c r="AA9" i="61"/>
  <c r="AC10" i="61"/>
  <c r="AL46" i="61"/>
  <c r="AO36" i="61"/>
  <c r="L36" i="61"/>
  <c r="AR9" i="61"/>
  <c r="AQ46" i="61"/>
  <c r="AL28" i="61"/>
  <c r="G25" i="50"/>
  <c r="G10" i="53" s="1"/>
  <c r="I36" i="61"/>
  <c r="AC18" i="61"/>
  <c r="X9" i="61"/>
  <c r="AF28" i="61"/>
  <c r="K18" i="61"/>
  <c r="M18" i="61"/>
  <c r="S36" i="61"/>
  <c r="J9" i="61"/>
  <c r="R18" i="61"/>
  <c r="M28" i="61"/>
  <c r="AC9" i="61"/>
  <c r="O28" i="61"/>
  <c r="I10" i="61"/>
  <c r="Y27" i="61"/>
  <c r="Q27" i="61"/>
  <c r="S18" i="61"/>
  <c r="S10" i="61"/>
  <c r="AG9" i="61"/>
  <c r="AJ9" i="61"/>
  <c r="L27" i="61"/>
  <c r="P27" i="61"/>
  <c r="V19" i="61"/>
  <c r="AD45" i="61"/>
  <c r="AG45" i="61"/>
  <c r="O9" i="61"/>
  <c r="AR46" i="61"/>
  <c r="L19" i="61"/>
  <c r="Z27" i="61"/>
  <c r="U27" i="61"/>
  <c r="AH37" i="61"/>
  <c r="H10" i="61"/>
  <c r="Q9" i="61"/>
  <c r="R46" i="61"/>
  <c r="I28" i="61"/>
  <c r="AR36" i="61"/>
  <c r="AQ36" i="61"/>
  <c r="O36" i="61"/>
  <c r="AL36" i="61"/>
  <c r="S37" i="61"/>
  <c r="AJ19" i="61"/>
  <c r="AG28" i="61"/>
  <c r="P9" i="61"/>
  <c r="AP9" i="61"/>
  <c r="AK9" i="61"/>
  <c r="O45" i="61"/>
  <c r="AK45" i="61"/>
  <c r="X45" i="61"/>
  <c r="AD10" i="61"/>
  <c r="AN19" i="61"/>
  <c r="O46" i="61"/>
  <c r="O37" i="61"/>
  <c r="I18" i="61"/>
  <c r="AP18" i="61"/>
  <c r="AF46" i="61"/>
  <c r="AF19" i="61"/>
  <c r="AA37" i="61"/>
  <c r="U19" i="61"/>
  <c r="T10" i="61"/>
  <c r="AA36" i="61"/>
  <c r="AK36" i="61"/>
  <c r="X37" i="61"/>
  <c r="N19" i="61"/>
  <c r="Y28" i="61"/>
  <c r="AI9" i="61"/>
  <c r="G9" i="61"/>
  <c r="Z9" i="61"/>
  <c r="L45" i="61"/>
  <c r="S45" i="61"/>
  <c r="AO45" i="61"/>
  <c r="AI19" i="61"/>
  <c r="J28" i="61"/>
  <c r="Y37" i="61"/>
  <c r="AJ27" i="61"/>
  <c r="AO27" i="61"/>
  <c r="AK10" i="61"/>
  <c r="I46" i="61"/>
  <c r="AQ18" i="61"/>
  <c r="Q18" i="61"/>
  <c r="W46" i="61"/>
  <c r="J19" i="61"/>
  <c r="O19" i="61"/>
  <c r="K36" i="61"/>
  <c r="AP46" i="61"/>
  <c r="F9" i="61"/>
  <c r="AE9" i="61"/>
  <c r="AJ45" i="61"/>
  <c r="V45" i="61"/>
  <c r="Y45" i="61"/>
  <c r="AR19" i="61"/>
  <c r="AD28" i="61"/>
  <c r="AO19" i="61"/>
  <c r="Z10" i="61"/>
  <c r="AE46" i="61"/>
  <c r="AB18" i="61"/>
  <c r="AG18" i="61"/>
  <c r="AI10" i="61"/>
  <c r="AB36" i="61"/>
  <c r="X10" i="61"/>
  <c r="AO46" i="61"/>
  <c r="R9" i="61"/>
  <c r="M9" i="61"/>
  <c r="AM9" i="61"/>
  <c r="AB45" i="61"/>
  <c r="AM45" i="61"/>
  <c r="U45" i="61"/>
  <c r="AL37" i="61"/>
  <c r="AK37" i="61"/>
  <c r="U28" i="61"/>
  <c r="AN37" i="61"/>
  <c r="AG27" i="61"/>
  <c r="W19" i="61"/>
  <c r="AH46" i="61"/>
  <c r="AF18" i="61"/>
  <c r="U18" i="61"/>
  <c r="AB37" i="61"/>
  <c r="AC37" i="61"/>
  <c r="AG46" i="61"/>
  <c r="W36" i="61"/>
  <c r="M36" i="61"/>
  <c r="L28" i="61"/>
  <c r="L9" i="61"/>
  <c r="AH9" i="61"/>
  <c r="M45" i="61"/>
  <c r="AH45" i="61"/>
  <c r="AE45" i="61"/>
  <c r="AM37" i="61"/>
  <c r="AB28" i="61"/>
  <c r="E28" i="61"/>
  <c r="B17" i="62"/>
  <c r="AD27" i="61"/>
  <c r="AQ27" i="61"/>
  <c r="L37" i="61"/>
  <c r="R19" i="61"/>
  <c r="F28" i="61"/>
  <c r="T18" i="61"/>
  <c r="AH18" i="61"/>
  <c r="V10" i="61"/>
  <c r="G46" i="61"/>
  <c r="AH10" i="61"/>
  <c r="AN28" i="61"/>
  <c r="AJ36" i="61"/>
  <c r="R37" i="61"/>
  <c r="AN36" i="61"/>
  <c r="AP37" i="61"/>
  <c r="Q37" i="61"/>
  <c r="U36" i="61"/>
  <c r="AH36" i="61"/>
  <c r="X28" i="61"/>
  <c r="S9" i="61"/>
  <c r="M19" i="61"/>
  <c r="AR45" i="61"/>
  <c r="I45" i="61"/>
  <c r="AI37" i="61"/>
  <c r="AA19" i="61"/>
  <c r="T28" i="61"/>
  <c r="AM18" i="61"/>
  <c r="AL18" i="61"/>
  <c r="K10" i="61"/>
  <c r="V46" i="61"/>
  <c r="P37" i="61"/>
  <c r="AM36" i="61"/>
  <c r="S28" i="61"/>
  <c r="AF37" i="61"/>
  <c r="K46" i="61"/>
  <c r="AF27" i="61"/>
  <c r="R10" i="61"/>
  <c r="AQ37" i="61"/>
  <c r="AQ28" i="61"/>
  <c r="AR18" i="61"/>
  <c r="AA18" i="61"/>
  <c r="AD18" i="61"/>
  <c r="AF10" i="61"/>
  <c r="Y19" i="61"/>
  <c r="AD46" i="61"/>
  <c r="F46" i="61"/>
  <c r="V37" i="61"/>
  <c r="AI46" i="61"/>
  <c r="AJ46" i="61"/>
  <c r="AE28" i="61"/>
  <c r="Y46" i="61"/>
  <c r="AD19" i="61"/>
  <c r="AI36" i="61"/>
  <c r="T36" i="61"/>
  <c r="N37" i="61"/>
  <c r="T46" i="61"/>
  <c r="AO37" i="61"/>
  <c r="T19" i="61"/>
  <c r="U9" i="61"/>
  <c r="AL9" i="61"/>
  <c r="Z45" i="61"/>
  <c r="P45" i="61"/>
  <c r="F45" i="61"/>
  <c r="Y10" i="61"/>
  <c r="X19" i="61"/>
  <c r="S46" i="61"/>
  <c r="R28" i="61"/>
  <c r="AN27" i="61"/>
  <c r="AL27" i="61"/>
  <c r="AI18" i="61"/>
  <c r="V18" i="61"/>
  <c r="AK18" i="61"/>
  <c r="J37" i="61"/>
  <c r="D28" i="61"/>
  <c r="AK46" i="61"/>
  <c r="P28" i="61"/>
  <c r="I19" i="61"/>
  <c r="AK19" i="61"/>
  <c r="AE19" i="61"/>
  <c r="AF45" i="61"/>
  <c r="P36" i="61"/>
  <c r="X36" i="61"/>
  <c r="Q36" i="61"/>
  <c r="AJ37" i="61"/>
  <c r="AC19" i="61"/>
  <c r="T9" i="61"/>
  <c r="E9" i="61"/>
  <c r="AA45" i="61"/>
  <c r="AI45" i="61"/>
  <c r="G45" i="61"/>
  <c r="S19" i="61"/>
  <c r="AA46" i="61"/>
  <c r="AR27" i="61"/>
  <c r="AK27" i="61"/>
  <c r="AJ10" i="61"/>
  <c r="P18" i="61"/>
  <c r="L18" i="61"/>
  <c r="J18" i="61"/>
  <c r="U37" i="61"/>
  <c r="AP19" i="61"/>
  <c r="W28" i="61"/>
  <c r="Z46" i="61"/>
  <c r="Z37" i="61"/>
  <c r="AB19" i="61"/>
  <c r="B5" i="62"/>
  <c r="N46" i="61"/>
  <c r="AP27" i="61"/>
  <c r="U10" i="61"/>
  <c r="J46" i="61"/>
  <c r="B11" i="62"/>
  <c r="P10" i="61"/>
  <c r="O18" i="61"/>
  <c r="AE18" i="61"/>
  <c r="AG37" i="61"/>
  <c r="AI28" i="61"/>
  <c r="AP10" i="61"/>
  <c r="AG36" i="61"/>
  <c r="AQ45" i="61"/>
  <c r="AD36" i="61"/>
  <c r="N36" i="61"/>
  <c r="AF36" i="61"/>
  <c r="AC28" i="61"/>
  <c r="N10" i="61"/>
  <c r="H9" i="61"/>
  <c r="N9" i="61"/>
  <c r="AP28" i="61"/>
  <c r="AC45" i="61"/>
  <c r="Q45" i="61"/>
  <c r="K28" i="61"/>
  <c r="AE37" i="61"/>
  <c r="AK28" i="61"/>
  <c r="AN46" i="61"/>
  <c r="AH27" i="61"/>
  <c r="J10" i="61"/>
  <c r="Q46" i="61"/>
  <c r="K37" i="61"/>
  <c r="G19" i="61"/>
  <c r="AJ18" i="61"/>
  <c r="AN18" i="61"/>
  <c r="AL10" i="61"/>
  <c r="AL19" i="61"/>
  <c r="AM28" i="61"/>
  <c r="AC36" i="61"/>
  <c r="V28" i="61"/>
  <c r="Q28" i="61"/>
  <c r="U46" i="61"/>
  <c r="AE10" i="61"/>
  <c r="AM19" i="61"/>
  <c r="AB46" i="61"/>
  <c r="AR37" i="61"/>
  <c r="K19" i="61"/>
  <c r="Z18" i="61"/>
  <c r="AO18" i="61"/>
  <c r="AA10" i="61"/>
  <c r="Q19" i="61"/>
  <c r="AQ10" i="61"/>
  <c r="F19" i="61"/>
  <c r="R36" i="61"/>
  <c r="AE36" i="61"/>
  <c r="V9" i="61"/>
  <c r="AB9" i="61"/>
  <c r="AO9" i="61"/>
  <c r="AL45" i="61"/>
  <c r="N45" i="61"/>
  <c r="Z28" i="61"/>
  <c r="AB10" i="61"/>
  <c r="H28" i="61"/>
  <c r="AE27" i="61"/>
  <c r="M37" i="61"/>
  <c r="AH19" i="61"/>
  <c r="G28" i="61"/>
  <c r="N18" i="61"/>
  <c r="Y18" i="61"/>
  <c r="Q10" i="61"/>
  <c r="Z19" i="61"/>
  <c r="AG10" i="61"/>
  <c r="P19" i="61"/>
  <c r="G37" i="61"/>
  <c r="W37" i="61"/>
  <c r="T37" i="61"/>
  <c r="AP36" i="61"/>
  <c r="Z36" i="61"/>
  <c r="X46" i="61"/>
  <c r="AM46" i="61"/>
  <c r="AF9" i="61"/>
  <c r="W9" i="61"/>
  <c r="M46" i="61"/>
  <c r="R45" i="61"/>
  <c r="AO10" i="61"/>
  <c r="H19" i="61"/>
  <c r="AH28" i="61"/>
  <c r="AD37" i="61"/>
  <c r="AQ19" i="61"/>
  <c r="AJ28" i="61"/>
  <c r="W18" i="61"/>
  <c r="I37" i="61"/>
  <c r="H37" i="61"/>
  <c r="F37" i="61"/>
  <c r="K40" i="50"/>
  <c r="E40" i="50"/>
  <c r="B54" i="53"/>
  <c r="G4" i="60"/>
  <c r="B9" i="60" s="1"/>
  <c r="B53" i="53"/>
  <c r="D3" i="60"/>
  <c r="C16" i="50"/>
  <c r="C19" i="53" s="1"/>
  <c r="C5" i="53" s="1"/>
  <c r="B3" i="60"/>
  <c r="B7" i="60"/>
  <c r="B3" i="56" s="1"/>
  <c r="D6" i="53"/>
  <c r="D32" i="55" s="1"/>
  <c r="C6" i="53"/>
  <c r="C32" i="55" s="1"/>
  <c r="C24" i="55" s="1"/>
  <c r="J41" i="50"/>
  <c r="J14" i="53" s="1"/>
  <c r="F33" i="50"/>
  <c r="F13" i="53" s="1"/>
  <c r="J40" i="50"/>
  <c r="AD41" i="50"/>
  <c r="AD14" i="53" s="1"/>
  <c r="R25" i="50"/>
  <c r="R10" i="53" s="1"/>
  <c r="H40" i="50"/>
  <c r="F40" i="50"/>
  <c r="I40" i="50"/>
  <c r="D40" i="50"/>
  <c r="J25" i="50"/>
  <c r="J10" i="53" s="1"/>
  <c r="G40" i="50"/>
  <c r="L25" i="50"/>
  <c r="L10" i="53" s="1"/>
  <c r="H25" i="50"/>
  <c r="H10" i="53" s="1"/>
  <c r="F25" i="50"/>
  <c r="F10" i="53" s="1"/>
  <c r="AL25" i="50"/>
  <c r="AL10" i="53" s="1"/>
  <c r="M32" i="50"/>
  <c r="M20" i="53" s="1"/>
  <c r="X41" i="50"/>
  <c r="X14" i="53" s="1"/>
  <c r="B227" i="55"/>
  <c r="B224" i="55" s="1"/>
  <c r="B9" i="39" s="1"/>
  <c r="Y25" i="50"/>
  <c r="Y10" i="53" s="1"/>
  <c r="G32" i="50"/>
  <c r="G20" i="53" s="1"/>
  <c r="G33" i="50"/>
  <c r="G13" i="53" s="1"/>
  <c r="U25" i="50"/>
  <c r="U10" i="53" s="1"/>
  <c r="O32" i="50"/>
  <c r="O20" i="53" s="1"/>
  <c r="N9" i="50"/>
  <c r="N11" i="53" s="1"/>
  <c r="W25" i="50"/>
  <c r="W10" i="53" s="1"/>
  <c r="O25" i="50"/>
  <c r="O10" i="53" s="1"/>
  <c r="AE41" i="50"/>
  <c r="AE14" i="53" s="1"/>
  <c r="U40" i="50"/>
  <c r="T25" i="50"/>
  <c r="T10" i="53" s="1"/>
  <c r="B25" i="55"/>
  <c r="B27" i="55"/>
  <c r="B30" i="55"/>
  <c r="B23" i="55"/>
  <c r="B22" i="55"/>
  <c r="B26" i="55"/>
  <c r="B28" i="55"/>
  <c r="B29" i="55"/>
  <c r="B24" i="55"/>
  <c r="B31" i="55"/>
  <c r="B253" i="55"/>
  <c r="B244" i="55" s="1"/>
  <c r="B3" i="40" s="1"/>
  <c r="Q40" i="50"/>
  <c r="Q9" i="50"/>
  <c r="Q11" i="53" s="1"/>
  <c r="J32" i="50"/>
  <c r="J20" i="53" s="1"/>
  <c r="AP33" i="50"/>
  <c r="AP13" i="53" s="1"/>
  <c r="O9" i="50"/>
  <c r="O11" i="53" s="1"/>
  <c r="B240" i="55"/>
  <c r="B237" i="55" s="1"/>
  <c r="B9" i="36" s="1"/>
  <c r="W40" i="50"/>
  <c r="AG9" i="50"/>
  <c r="AG11" i="53" s="1"/>
  <c r="Y40" i="50"/>
  <c r="I33" i="50"/>
  <c r="I13" i="53" s="1"/>
  <c r="V41" i="50"/>
  <c r="V14" i="53" s="1"/>
  <c r="S40" i="50"/>
  <c r="AF25" i="50"/>
  <c r="AF10" i="53" s="1"/>
  <c r="B52" i="53"/>
  <c r="AG40" i="50"/>
  <c r="AC33" i="50"/>
  <c r="AC13" i="53" s="1"/>
  <c r="AI25" i="50"/>
  <c r="AI10" i="53" s="1"/>
  <c r="V40" i="50"/>
  <c r="Y33" i="50"/>
  <c r="Y13" i="53" s="1"/>
  <c r="AJ25" i="50"/>
  <c r="AJ10" i="53" s="1"/>
  <c r="AC25" i="50"/>
  <c r="AC10" i="53" s="1"/>
  <c r="R40" i="50"/>
  <c r="AA25" i="50"/>
  <c r="AA10" i="53" s="1"/>
  <c r="Z25" i="50"/>
  <c r="Z10" i="53" s="1"/>
  <c r="B214" i="55"/>
  <c r="B212" i="55" s="1"/>
  <c r="AJ41" i="50"/>
  <c r="AJ14" i="53" s="1"/>
  <c r="Q33" i="50"/>
  <c r="Q13" i="53" s="1"/>
  <c r="AE25" i="50"/>
  <c r="AE10" i="53" s="1"/>
  <c r="X17" i="50"/>
  <c r="X12" i="53" s="1"/>
  <c r="AL9" i="50"/>
  <c r="AL11" i="53" s="1"/>
  <c r="AI9" i="50"/>
  <c r="AI11" i="53" s="1"/>
  <c r="AJ40" i="50"/>
  <c r="AM40" i="50"/>
  <c r="AL40" i="50"/>
  <c r="AJ33" i="50"/>
  <c r="AJ13" i="53" s="1"/>
  <c r="AA33" i="50"/>
  <c r="AA13" i="53" s="1"/>
  <c r="AO33" i="50"/>
  <c r="AO13" i="53" s="1"/>
  <c r="AF33" i="50"/>
  <c r="AF13" i="53" s="1"/>
  <c r="AD33" i="50"/>
  <c r="AD13" i="53" s="1"/>
  <c r="AR41" i="50"/>
  <c r="AR14" i="53" s="1"/>
  <c r="O41" i="50"/>
  <c r="O14" i="53" s="1"/>
  <c r="Y41" i="50"/>
  <c r="Y14" i="53" s="1"/>
  <c r="AF41" i="50"/>
  <c r="AF14" i="53" s="1"/>
  <c r="Z41" i="50"/>
  <c r="Z14" i="53" s="1"/>
  <c r="AQ41" i="50"/>
  <c r="AQ14" i="53" s="1"/>
  <c r="P41" i="50"/>
  <c r="P14" i="53" s="1"/>
  <c r="AM41" i="50"/>
  <c r="AM14" i="53" s="1"/>
  <c r="Q41" i="50"/>
  <c r="Q14" i="53" s="1"/>
  <c r="AA41" i="50"/>
  <c r="AA14" i="53" s="1"/>
  <c r="W41" i="50"/>
  <c r="W14" i="53" s="1"/>
  <c r="AK41" i="50"/>
  <c r="AK14" i="53" s="1"/>
  <c r="M41" i="50"/>
  <c r="M14" i="53" s="1"/>
  <c r="U41" i="50"/>
  <c r="U14" i="53" s="1"/>
  <c r="L41" i="50"/>
  <c r="L14" i="53" s="1"/>
  <c r="I41" i="50"/>
  <c r="I14" i="53" s="1"/>
  <c r="R41" i="50"/>
  <c r="R14" i="53" s="1"/>
  <c r="AO41" i="50"/>
  <c r="AO14" i="53" s="1"/>
  <c r="AC41" i="50"/>
  <c r="AC14" i="53" s="1"/>
  <c r="N41" i="50"/>
  <c r="N14" i="53" s="1"/>
  <c r="K41" i="50"/>
  <c r="K14" i="53" s="1"/>
  <c r="S41" i="50"/>
  <c r="S14" i="53" s="1"/>
  <c r="AN41" i="50"/>
  <c r="AN14" i="53" s="1"/>
  <c r="AB41" i="50"/>
  <c r="AB14" i="53" s="1"/>
  <c r="AL41" i="50"/>
  <c r="AL14" i="53" s="1"/>
  <c r="T41" i="50"/>
  <c r="T14" i="53" s="1"/>
  <c r="AP41" i="50"/>
  <c r="AP14" i="53" s="1"/>
  <c r="AH41" i="50"/>
  <c r="AH14" i="53" s="1"/>
  <c r="AM9" i="50"/>
  <c r="AM11" i="53" s="1"/>
  <c r="AF9" i="50"/>
  <c r="AF11" i="53" s="1"/>
  <c r="U32" i="50"/>
  <c r="U20" i="53" s="1"/>
  <c r="Z8" i="50"/>
  <c r="Z18" i="53" s="1"/>
  <c r="K8" i="50"/>
  <c r="K18" i="53" s="1"/>
  <c r="AQ8" i="50"/>
  <c r="AQ18" i="53" s="1"/>
  <c r="E8" i="50"/>
  <c r="E18" i="53" s="1"/>
  <c r="AE8" i="50"/>
  <c r="AE18" i="53" s="1"/>
  <c r="AM8" i="50"/>
  <c r="AM18" i="53" s="1"/>
  <c r="S8" i="50"/>
  <c r="S18" i="53" s="1"/>
  <c r="G8" i="50"/>
  <c r="G18" i="53" s="1"/>
  <c r="R8" i="50"/>
  <c r="R18" i="53" s="1"/>
  <c r="H8" i="50"/>
  <c r="H18" i="53" s="1"/>
  <c r="Q8" i="50"/>
  <c r="Q18" i="53" s="1"/>
  <c r="N8" i="50"/>
  <c r="N18" i="53" s="1"/>
  <c r="AH8" i="50"/>
  <c r="AH18" i="53" s="1"/>
  <c r="AN8" i="50"/>
  <c r="AN18" i="53" s="1"/>
  <c r="AB8" i="50"/>
  <c r="AB18" i="53" s="1"/>
  <c r="P8" i="50"/>
  <c r="P18" i="53" s="1"/>
  <c r="M8" i="50"/>
  <c r="M18" i="53" s="1"/>
  <c r="X8" i="50"/>
  <c r="X18" i="53" s="1"/>
  <c r="O8" i="50"/>
  <c r="O18" i="53" s="1"/>
  <c r="V8" i="50"/>
  <c r="V18" i="53" s="1"/>
  <c r="J8" i="50"/>
  <c r="J18" i="53" s="1"/>
  <c r="AC8" i="50"/>
  <c r="AC18" i="53" s="1"/>
  <c r="AK8" i="50"/>
  <c r="AK18" i="53" s="1"/>
  <c r="T8" i="50"/>
  <c r="T18" i="53" s="1"/>
  <c r="AL8" i="50"/>
  <c r="AL18" i="53" s="1"/>
  <c r="Y8" i="50"/>
  <c r="Y18" i="53" s="1"/>
  <c r="AG8" i="50"/>
  <c r="AG18" i="53" s="1"/>
  <c r="C8" i="50"/>
  <c r="C18" i="53" s="1"/>
  <c r="C4" i="53" s="1"/>
  <c r="D8" i="50"/>
  <c r="D18" i="53" s="1"/>
  <c r="D4" i="53" s="1"/>
  <c r="AP8" i="50"/>
  <c r="AP18" i="53" s="1"/>
  <c r="AR8" i="50"/>
  <c r="AR18" i="53" s="1"/>
  <c r="AA8" i="50"/>
  <c r="AA18" i="53" s="1"/>
  <c r="W8" i="50"/>
  <c r="W18" i="53" s="1"/>
  <c r="U8" i="50"/>
  <c r="U18" i="53" s="1"/>
  <c r="AJ8" i="50"/>
  <c r="AJ18" i="53" s="1"/>
  <c r="I8" i="50"/>
  <c r="I18" i="53" s="1"/>
  <c r="AD8" i="50"/>
  <c r="AD18" i="53" s="1"/>
  <c r="AI8" i="50"/>
  <c r="AI18" i="53" s="1"/>
  <c r="L8" i="50"/>
  <c r="L18" i="53" s="1"/>
  <c r="AF8" i="50"/>
  <c r="AF18" i="53" s="1"/>
  <c r="F8" i="50"/>
  <c r="F18" i="53" s="1"/>
  <c r="AO8" i="50"/>
  <c r="AO18" i="53" s="1"/>
  <c r="AO32" i="50"/>
  <c r="AO20" i="53" s="1"/>
  <c r="AI41" i="50"/>
  <c r="AI14" i="53" s="1"/>
  <c r="AI32" i="50"/>
  <c r="AI20" i="53" s="1"/>
  <c r="AK9" i="50"/>
  <c r="AK11" i="53" s="1"/>
  <c r="R32" i="50"/>
  <c r="R20" i="53" s="1"/>
  <c r="AP9" i="50"/>
  <c r="AP11" i="53" s="1"/>
  <c r="AH32" i="50"/>
  <c r="AH20" i="53" s="1"/>
  <c r="AA32" i="50"/>
  <c r="AA20" i="53" s="1"/>
  <c r="AM32" i="50"/>
  <c r="AM20" i="53" s="1"/>
  <c r="Z32" i="50"/>
  <c r="Z20" i="53" s="1"/>
  <c r="S33" i="50"/>
  <c r="S13" i="53" s="1"/>
  <c r="P33" i="50"/>
  <c r="P13" i="53" s="1"/>
  <c r="AR33" i="50"/>
  <c r="AR13" i="53" s="1"/>
  <c r="T33" i="50"/>
  <c r="T13" i="53" s="1"/>
  <c r="AQ33" i="50"/>
  <c r="AQ13" i="53" s="1"/>
  <c r="U33" i="50"/>
  <c r="U13" i="53" s="1"/>
  <c r="AI33" i="50"/>
  <c r="AI13" i="53" s="1"/>
  <c r="AG33" i="50"/>
  <c r="AG13" i="53" s="1"/>
  <c r="V33" i="50"/>
  <c r="V13" i="53" s="1"/>
  <c r="AB33" i="50"/>
  <c r="AB13" i="53" s="1"/>
  <c r="AN33" i="50"/>
  <c r="AN13" i="53" s="1"/>
  <c r="O33" i="50"/>
  <c r="O13" i="53" s="1"/>
  <c r="R33" i="50"/>
  <c r="R13" i="53" s="1"/>
  <c r="W33" i="50"/>
  <c r="W13" i="53" s="1"/>
  <c r="AM33" i="50"/>
  <c r="AM13" i="53" s="1"/>
  <c r="J33" i="50"/>
  <c r="J13" i="53" s="1"/>
  <c r="AG41" i="50"/>
  <c r="AG14" i="53" s="1"/>
  <c r="C30" i="55"/>
  <c r="U9" i="50"/>
  <c r="U11" i="53" s="1"/>
  <c r="X9" i="50"/>
  <c r="X11" i="53" s="1"/>
  <c r="AA9" i="50"/>
  <c r="AA11" i="53" s="1"/>
  <c r="F9" i="50"/>
  <c r="F11" i="53" s="1"/>
  <c r="AO40" i="50"/>
  <c r="AF40" i="50"/>
  <c r="AI40" i="50"/>
  <c r="P9" i="50"/>
  <c r="P11" i="53" s="1"/>
  <c r="J9" i="50"/>
  <c r="J11" i="53" s="1"/>
  <c r="N40" i="50"/>
  <c r="AB40" i="50"/>
  <c r="AA40" i="50"/>
  <c r="B45" i="55"/>
  <c r="B97" i="55"/>
  <c r="B84" i="55"/>
  <c r="B71" i="55"/>
  <c r="B58" i="55"/>
  <c r="X32" i="50"/>
  <c r="X20" i="53" s="1"/>
  <c r="Y32" i="50"/>
  <c r="Y20" i="53" s="1"/>
  <c r="L32" i="50"/>
  <c r="L20" i="53" s="1"/>
  <c r="P32" i="50"/>
  <c r="P20" i="53" s="1"/>
  <c r="AE40" i="50"/>
  <c r="AD40" i="50"/>
  <c r="L40" i="50"/>
  <c r="H9" i="50"/>
  <c r="H11" i="53" s="1"/>
  <c r="L33" i="50"/>
  <c r="L13" i="53" s="1"/>
  <c r="AK25" i="50"/>
  <c r="AK10" i="53" s="1"/>
  <c r="AP32" i="50"/>
  <c r="AP20" i="53" s="1"/>
  <c r="E32" i="50"/>
  <c r="E20" i="53" s="1"/>
  <c r="E6" i="53" s="1"/>
  <c r="E32" i="55" s="1"/>
  <c r="AR32" i="50"/>
  <c r="AR20" i="53" s="1"/>
  <c r="K32" i="50"/>
  <c r="K20" i="53" s="1"/>
  <c r="I9" i="50"/>
  <c r="I11" i="53" s="1"/>
  <c r="AR40" i="50"/>
  <c r="AN40" i="50"/>
  <c r="AJ9" i="50"/>
  <c r="AJ11" i="53" s="1"/>
  <c r="AH33" i="50"/>
  <c r="AH13" i="53" s="1"/>
  <c r="N33" i="50"/>
  <c r="N13" i="53" s="1"/>
  <c r="AH25" i="50"/>
  <c r="AH10" i="53" s="1"/>
  <c r="L9" i="50"/>
  <c r="L11" i="53" s="1"/>
  <c r="AB32" i="50"/>
  <c r="AB20" i="53" s="1"/>
  <c r="AG32" i="50"/>
  <c r="AG20" i="53" s="1"/>
  <c r="AC32" i="50"/>
  <c r="AC20" i="53" s="1"/>
  <c r="AL32" i="50"/>
  <c r="AL20" i="53" s="1"/>
  <c r="AH9" i="50"/>
  <c r="AH11" i="53" s="1"/>
  <c r="S9" i="50"/>
  <c r="S11" i="53" s="1"/>
  <c r="E9" i="50"/>
  <c r="E11" i="53" s="1"/>
  <c r="B55" i="53"/>
  <c r="T40" i="50"/>
  <c r="T9" i="50"/>
  <c r="T11" i="53" s="1"/>
  <c r="AB9" i="50"/>
  <c r="AB11" i="53" s="1"/>
  <c r="AJ32" i="50"/>
  <c r="AJ20" i="53" s="1"/>
  <c r="AK32" i="50"/>
  <c r="AK20" i="53" s="1"/>
  <c r="AQ32" i="50"/>
  <c r="AQ20" i="53" s="1"/>
  <c r="AN32" i="50"/>
  <c r="AN20" i="53" s="1"/>
  <c r="AC9" i="50"/>
  <c r="AC11" i="53" s="1"/>
  <c r="AE9" i="50"/>
  <c r="AE11" i="53" s="1"/>
  <c r="M33" i="50"/>
  <c r="M13" i="53" s="1"/>
  <c r="D27" i="55"/>
  <c r="AH40" i="50"/>
  <c r="M40" i="50"/>
  <c r="X40" i="50"/>
  <c r="H33" i="50"/>
  <c r="H13" i="53" s="1"/>
  <c r="Z33" i="50"/>
  <c r="Z13" i="53" s="1"/>
  <c r="K33" i="50"/>
  <c r="K13" i="53" s="1"/>
  <c r="Y9" i="50"/>
  <c r="Y11" i="53" s="1"/>
  <c r="Z9" i="50"/>
  <c r="Z11" i="53" s="1"/>
  <c r="AD25" i="50"/>
  <c r="AD10" i="53" s="1"/>
  <c r="N24" i="50"/>
  <c r="J24" i="50"/>
  <c r="AE24" i="50"/>
  <c r="AN24" i="50"/>
  <c r="D24" i="50"/>
  <c r="K24" i="50"/>
  <c r="AL24" i="50"/>
  <c r="AK24" i="50"/>
  <c r="AM24" i="50"/>
  <c r="S24" i="50"/>
  <c r="AB24" i="50"/>
  <c r="AC24" i="50"/>
  <c r="Y24" i="50"/>
  <c r="AG24" i="50"/>
  <c r="G24" i="50"/>
  <c r="P24" i="50"/>
  <c r="AH24" i="50"/>
  <c r="M24" i="50"/>
  <c r="U24" i="50"/>
  <c r="AP24" i="50"/>
  <c r="O24" i="50"/>
  <c r="Q24" i="50"/>
  <c r="Z24" i="50"/>
  <c r="AJ24" i="50"/>
  <c r="I24" i="50"/>
  <c r="AD24" i="50"/>
  <c r="C24" i="50"/>
  <c r="R24" i="50"/>
  <c r="H24" i="50"/>
  <c r="AQ24" i="50"/>
  <c r="X24" i="50"/>
  <c r="L24" i="50"/>
  <c r="AR24" i="50"/>
  <c r="F24" i="50"/>
  <c r="AI24" i="50"/>
  <c r="AF24" i="50"/>
  <c r="AA24" i="50"/>
  <c r="V24" i="50"/>
  <c r="W24" i="50"/>
  <c r="T24" i="50"/>
  <c r="AO24" i="50"/>
  <c r="E24" i="50"/>
  <c r="M9" i="50"/>
  <c r="M11" i="53" s="1"/>
  <c r="I25" i="50"/>
  <c r="I10" i="53" s="1"/>
  <c r="AG25" i="50"/>
  <c r="AG10" i="53" s="1"/>
  <c r="K25" i="50"/>
  <c r="K10" i="53" s="1"/>
  <c r="N25" i="50"/>
  <c r="N10" i="53" s="1"/>
  <c r="Q25" i="50"/>
  <c r="Q10" i="53" s="1"/>
  <c r="AO25" i="50"/>
  <c r="AO10" i="53" s="1"/>
  <c r="P25" i="50"/>
  <c r="P10" i="53" s="1"/>
  <c r="AR25" i="50"/>
  <c r="AR10" i="53" s="1"/>
  <c r="M25" i="50"/>
  <c r="M10" i="53" s="1"/>
  <c r="E25" i="50"/>
  <c r="E10" i="53" s="1"/>
  <c r="AM25" i="50"/>
  <c r="AM10" i="53" s="1"/>
  <c r="F32" i="50"/>
  <c r="F20" i="53" s="1"/>
  <c r="T32" i="50"/>
  <c r="T20" i="53" s="1"/>
  <c r="V32" i="50"/>
  <c r="V20" i="53" s="1"/>
  <c r="H32" i="50"/>
  <c r="H20" i="53" s="1"/>
  <c r="AL33" i="50"/>
  <c r="AL13" i="53" s="1"/>
  <c r="V9" i="50"/>
  <c r="V11" i="53" s="1"/>
  <c r="AD9" i="50"/>
  <c r="AD11" i="53" s="1"/>
  <c r="Z40" i="50"/>
  <c r="P40" i="50"/>
  <c r="AK33" i="50"/>
  <c r="AK13" i="53" s="1"/>
  <c r="R9" i="50"/>
  <c r="R11" i="53" s="1"/>
  <c r="AQ25" i="50"/>
  <c r="AQ10" i="53" s="1"/>
  <c r="V25" i="50"/>
  <c r="V10" i="53" s="1"/>
  <c r="AN25" i="50"/>
  <c r="AN10" i="53" s="1"/>
  <c r="AD32" i="50"/>
  <c r="AD20" i="53" s="1"/>
  <c r="S32" i="50"/>
  <c r="S20" i="53" s="1"/>
  <c r="N32" i="50"/>
  <c r="N20" i="53" s="1"/>
  <c r="W32" i="50"/>
  <c r="W20" i="53" s="1"/>
  <c r="X25" i="50"/>
  <c r="X10" i="53" s="1"/>
  <c r="AO9" i="50"/>
  <c r="AO11" i="53" s="1"/>
  <c r="AR9" i="50"/>
  <c r="AR11" i="53" s="1"/>
  <c r="O40" i="50"/>
  <c r="AC40" i="50"/>
  <c r="AE33" i="50"/>
  <c r="AE13" i="53" s="1"/>
  <c r="AB25" i="50"/>
  <c r="AB10" i="53" s="1"/>
  <c r="K9" i="50"/>
  <c r="K11" i="53" s="1"/>
  <c r="AP25" i="50"/>
  <c r="AP10" i="53" s="1"/>
  <c r="W9" i="50"/>
  <c r="W11" i="53" s="1"/>
  <c r="Q32" i="50"/>
  <c r="Q20" i="53" s="1"/>
  <c r="AF32" i="50"/>
  <c r="AF20" i="53" s="1"/>
  <c r="X33" i="50"/>
  <c r="X13" i="53" s="1"/>
  <c r="AQ40" i="50"/>
  <c r="AK40" i="50"/>
  <c r="AP40" i="50"/>
  <c r="S25" i="50"/>
  <c r="S10" i="53" s="1"/>
  <c r="G9" i="50"/>
  <c r="G11" i="53" s="1"/>
  <c r="I32" i="50"/>
  <c r="I20" i="53" s="1"/>
  <c r="AE32" i="50"/>
  <c r="AE20" i="53" s="1"/>
  <c r="AQ9" i="50"/>
  <c r="AQ11" i="53" s="1"/>
  <c r="AN9" i="50"/>
  <c r="AN11" i="53" s="1"/>
  <c r="B243" i="55"/>
  <c r="B2" i="40" s="1"/>
  <c r="B193" i="55"/>
  <c r="B4" i="38" s="1"/>
  <c r="B194" i="55"/>
  <c r="B5" i="38" s="1"/>
  <c r="B195" i="55"/>
  <c r="B6" i="38" s="1"/>
  <c r="B196" i="55"/>
  <c r="B7" i="38" s="1"/>
  <c r="B197" i="55"/>
  <c r="B8" i="38" s="1"/>
  <c r="B198" i="55"/>
  <c r="B9" i="38" s="1"/>
  <c r="B199" i="55"/>
  <c r="B10" i="38" s="1"/>
  <c r="B191" i="55"/>
  <c r="B2" i="38" s="1"/>
  <c r="B200" i="55"/>
  <c r="B11" i="38" s="1"/>
  <c r="B192" i="55"/>
  <c r="B3" i="38" s="1"/>
  <c r="B5" i="53"/>
  <c r="AF17" i="50"/>
  <c r="AF12" i="53" s="1"/>
  <c r="G17" i="50"/>
  <c r="G12" i="53" s="1"/>
  <c r="J17" i="50"/>
  <c r="J12" i="53" s="1"/>
  <c r="N17" i="50"/>
  <c r="N12" i="53" s="1"/>
  <c r="L17" i="50"/>
  <c r="L12" i="53" s="1"/>
  <c r="AB17" i="50"/>
  <c r="AB12" i="53" s="1"/>
  <c r="AA17" i="50"/>
  <c r="AA12" i="53" s="1"/>
  <c r="AL17" i="50"/>
  <c r="AL12" i="53" s="1"/>
  <c r="S17" i="50"/>
  <c r="S12" i="53" s="1"/>
  <c r="AP17" i="50"/>
  <c r="AP12" i="53" s="1"/>
  <c r="R17" i="50"/>
  <c r="R12" i="53" s="1"/>
  <c r="AM17" i="50"/>
  <c r="AM12" i="53" s="1"/>
  <c r="E17" i="50"/>
  <c r="E12" i="53" s="1"/>
  <c r="AH17" i="50"/>
  <c r="AH12" i="53" s="1"/>
  <c r="AG17" i="50"/>
  <c r="AG12" i="53" s="1"/>
  <c r="AJ17" i="50"/>
  <c r="AJ12" i="53" s="1"/>
  <c r="M17" i="50"/>
  <c r="M12" i="53" s="1"/>
  <c r="AQ17" i="50"/>
  <c r="AQ12" i="53" s="1"/>
  <c r="AC17" i="50"/>
  <c r="AC12" i="53" s="1"/>
  <c r="U17" i="50"/>
  <c r="U12" i="53" s="1"/>
  <c r="V17" i="50"/>
  <c r="V12" i="53" s="1"/>
  <c r="T17" i="50"/>
  <c r="T12" i="53" s="1"/>
  <c r="P17" i="50"/>
  <c r="P12" i="53" s="1"/>
  <c r="AI17" i="50"/>
  <c r="AI12" i="53" s="1"/>
  <c r="AK17" i="50"/>
  <c r="AK12" i="53" s="1"/>
  <c r="D17" i="50"/>
  <c r="D12" i="53" s="1"/>
  <c r="AR17" i="50"/>
  <c r="AR12" i="53" s="1"/>
  <c r="Y17" i="50"/>
  <c r="Y12" i="53" s="1"/>
  <c r="Z17" i="50"/>
  <c r="Z12" i="53" s="1"/>
  <c r="K17" i="50"/>
  <c r="K12" i="53" s="1"/>
  <c r="I17" i="50"/>
  <c r="I12" i="53" s="1"/>
  <c r="O17" i="50"/>
  <c r="O12" i="53" s="1"/>
  <c r="Q17" i="50"/>
  <c r="Q12" i="53" s="1"/>
  <c r="W17" i="50"/>
  <c r="W12" i="53" s="1"/>
  <c r="AN17" i="50"/>
  <c r="AN12" i="53" s="1"/>
  <c r="AE17" i="50"/>
  <c r="AE12" i="53" s="1"/>
  <c r="H17" i="50"/>
  <c r="H12" i="53" s="1"/>
  <c r="AO17" i="50"/>
  <c r="AO12" i="53" s="1"/>
  <c r="AD17" i="50"/>
  <c r="AD12" i="53" s="1"/>
  <c r="AL16" i="50"/>
  <c r="AL19" i="53" s="1"/>
  <c r="AG16" i="50"/>
  <c r="AG19" i="53" s="1"/>
  <c r="N16" i="50"/>
  <c r="N19" i="53" s="1"/>
  <c r="J16" i="50"/>
  <c r="J19" i="53" s="1"/>
  <c r="V16" i="50"/>
  <c r="V19" i="53" s="1"/>
  <c r="AH16" i="50"/>
  <c r="AH19" i="53" s="1"/>
  <c r="E16" i="50"/>
  <c r="E19" i="53" s="1"/>
  <c r="Q16" i="50"/>
  <c r="Q19" i="53" s="1"/>
  <c r="M16" i="50"/>
  <c r="M19" i="53" s="1"/>
  <c r="O16" i="50"/>
  <c r="O19" i="53" s="1"/>
  <c r="Y16" i="50"/>
  <c r="Y19" i="53" s="1"/>
  <c r="AA16" i="50"/>
  <c r="AA19" i="53" s="1"/>
  <c r="AK16" i="50"/>
  <c r="AK19" i="53" s="1"/>
  <c r="AP16" i="50"/>
  <c r="AP19" i="53" s="1"/>
  <c r="AD16" i="50"/>
  <c r="AD19" i="53" s="1"/>
  <c r="U16" i="50"/>
  <c r="U19" i="53" s="1"/>
  <c r="L16" i="50"/>
  <c r="L19" i="53" s="1"/>
  <c r="R16" i="50"/>
  <c r="R19" i="53" s="1"/>
  <c r="AR16" i="50"/>
  <c r="AR19" i="53" s="1"/>
  <c r="H16" i="50"/>
  <c r="H19" i="53" s="1"/>
  <c r="AM16" i="50"/>
  <c r="AM19" i="53" s="1"/>
  <c r="AI16" i="50"/>
  <c r="AI19" i="53" s="1"/>
  <c r="G16" i="50"/>
  <c r="G19" i="53" s="1"/>
  <c r="AC16" i="50"/>
  <c r="AC19" i="53" s="1"/>
  <c r="AQ16" i="50"/>
  <c r="AQ19" i="53" s="1"/>
  <c r="P16" i="50"/>
  <c r="P19" i="53" s="1"/>
  <c r="AN16" i="50"/>
  <c r="AN19" i="53" s="1"/>
  <c r="T16" i="50"/>
  <c r="T19" i="53" s="1"/>
  <c r="F16" i="50"/>
  <c r="F19" i="53" s="1"/>
  <c r="F5" i="53" s="1"/>
  <c r="I16" i="50"/>
  <c r="I19" i="53" s="1"/>
  <c r="D16" i="50"/>
  <c r="D19" i="53" s="1"/>
  <c r="AB16" i="50"/>
  <c r="AB19" i="53" s="1"/>
  <c r="Z16" i="50"/>
  <c r="Z19" i="53" s="1"/>
  <c r="AJ16" i="50"/>
  <c r="AJ19" i="53" s="1"/>
  <c r="S16" i="50"/>
  <c r="S19" i="53" s="1"/>
  <c r="W16" i="50"/>
  <c r="W19" i="53" s="1"/>
  <c r="AF16" i="50"/>
  <c r="AF19" i="53" s="1"/>
  <c r="X16" i="50"/>
  <c r="X19" i="53" s="1"/>
  <c r="AO16" i="50"/>
  <c r="AO19" i="53" s="1"/>
  <c r="AE16" i="50"/>
  <c r="AE19" i="53" s="1"/>
  <c r="K16" i="50"/>
  <c r="K19" i="53" s="1"/>
  <c r="B208" i="55" l="1"/>
  <c r="B210" i="55"/>
  <c r="B223" i="55"/>
  <c r="B8" i="39" s="1"/>
  <c r="B219" i="55"/>
  <c r="B4" i="39" s="1"/>
  <c r="D25" i="55"/>
  <c r="B221" i="55"/>
  <c r="B6" i="39" s="1"/>
  <c r="B220" i="55"/>
  <c r="B5" i="39" s="1"/>
  <c r="B222" i="55"/>
  <c r="B7" i="39" s="1"/>
  <c r="B218" i="55"/>
  <c r="B3" i="39" s="1"/>
  <c r="B217" i="55"/>
  <c r="B2" i="39" s="1"/>
  <c r="B226" i="55"/>
  <c r="B11" i="39" s="1"/>
  <c r="B225" i="55"/>
  <c r="B10" i="39" s="1"/>
  <c r="D30" i="55"/>
  <c r="D10" i="4" s="1"/>
  <c r="D28" i="55"/>
  <c r="D8" i="4" s="1"/>
  <c r="D24" i="55"/>
  <c r="D4" i="4" s="1"/>
  <c r="D31" i="55"/>
  <c r="D11" i="4" s="1"/>
  <c r="D22" i="55"/>
  <c r="D23" i="55"/>
  <c r="D3" i="4" s="1"/>
  <c r="D26" i="55"/>
  <c r="D6" i="4" s="1"/>
  <c r="C22" i="55"/>
  <c r="C2" i="4" s="1"/>
  <c r="C27" i="55"/>
  <c r="C7" i="4" s="1"/>
  <c r="C28" i="55"/>
  <c r="C8" i="4" s="1"/>
  <c r="D7" i="4"/>
  <c r="B11" i="4"/>
  <c r="B4" i="4"/>
  <c r="B9" i="4"/>
  <c r="D2" i="4"/>
  <c r="C10" i="4"/>
  <c r="B8" i="4"/>
  <c r="B6" i="4"/>
  <c r="B2" i="4"/>
  <c r="B3" i="4"/>
  <c r="B10" i="4"/>
  <c r="C4" i="4"/>
  <c r="B7" i="4"/>
  <c r="D5" i="4"/>
  <c r="B5" i="4"/>
  <c r="B205" i="55"/>
  <c r="B209" i="55"/>
  <c r="B207" i="55"/>
  <c r="B206" i="55"/>
  <c r="B204" i="55"/>
  <c r="B213" i="55"/>
  <c r="B8" i="60"/>
  <c r="C5" i="56" s="1"/>
  <c r="B211" i="55"/>
  <c r="C23" i="55"/>
  <c r="D29" i="55"/>
  <c r="C25" i="55"/>
  <c r="C29" i="55"/>
  <c r="C31" i="55"/>
  <c r="C26" i="55"/>
  <c r="X5" i="53"/>
  <c r="X123" i="55" s="1"/>
  <c r="W4" i="53"/>
  <c r="W71" i="55" s="1"/>
  <c r="F6" i="53"/>
  <c r="F32" i="55" s="1"/>
  <c r="F30" i="55" s="1"/>
  <c r="D3" i="56"/>
  <c r="D4" i="56"/>
  <c r="D5" i="56"/>
  <c r="D6" i="56"/>
  <c r="D7" i="56"/>
  <c r="D2" i="56"/>
  <c r="G5" i="53"/>
  <c r="G123" i="55" s="1"/>
  <c r="C7" i="56"/>
  <c r="C3" i="56"/>
  <c r="C4" i="56"/>
  <c r="O4" i="53"/>
  <c r="O84" i="55" s="1"/>
  <c r="B5" i="56"/>
  <c r="B2" i="56"/>
  <c r="E4" i="53"/>
  <c r="E84" i="55" s="1"/>
  <c r="B6" i="56"/>
  <c r="B4" i="56"/>
  <c r="B7" i="56"/>
  <c r="AO4" i="53"/>
  <c r="AO71" i="55" s="1"/>
  <c r="B232" i="55"/>
  <c r="B4" i="36" s="1"/>
  <c r="Q4" i="53"/>
  <c r="Q58" i="55" s="1"/>
  <c r="Q6" i="53"/>
  <c r="Q32" i="55" s="1"/>
  <c r="Q24" i="55" s="1"/>
  <c r="AP6" i="53"/>
  <c r="AP32" i="55" s="1"/>
  <c r="AP25" i="55" s="1"/>
  <c r="B234" i="55"/>
  <c r="B6" i="36" s="1"/>
  <c r="B235" i="55"/>
  <c r="B7" i="36" s="1"/>
  <c r="J6" i="53"/>
  <c r="J32" i="55" s="1"/>
  <c r="J26" i="55" s="1"/>
  <c r="B236" i="55"/>
  <c r="B8" i="36" s="1"/>
  <c r="AG4" i="53"/>
  <c r="AG71" i="55" s="1"/>
  <c r="N4" i="53"/>
  <c r="N45" i="55" s="1"/>
  <c r="B233" i="55"/>
  <c r="B5" i="36" s="1"/>
  <c r="B231" i="55"/>
  <c r="B3" i="36" s="1"/>
  <c r="B239" i="55"/>
  <c r="B11" i="36" s="1"/>
  <c r="B230" i="55"/>
  <c r="B2" i="36" s="1"/>
  <c r="B238" i="55"/>
  <c r="B10" i="36" s="1"/>
  <c r="R4" i="53"/>
  <c r="R71" i="55" s="1"/>
  <c r="AC6" i="53"/>
  <c r="AC32" i="55" s="1"/>
  <c r="AC27" i="55" s="1"/>
  <c r="G4" i="53"/>
  <c r="G58" i="55" s="1"/>
  <c r="O6" i="53"/>
  <c r="O32" i="55" s="1"/>
  <c r="O29" i="55" s="1"/>
  <c r="Y6" i="53"/>
  <c r="Y32" i="55" s="1"/>
  <c r="Y25" i="55" s="1"/>
  <c r="V4" i="53"/>
  <c r="V84" i="55" s="1"/>
  <c r="AP4" i="53"/>
  <c r="AP84" i="55" s="1"/>
  <c r="AK5" i="53"/>
  <c r="AK110" i="55" s="1"/>
  <c r="S4" i="53"/>
  <c r="S84" i="55" s="1"/>
  <c r="AC4" i="53"/>
  <c r="AC71" i="55" s="1"/>
  <c r="H4" i="53"/>
  <c r="H84" i="55" s="1"/>
  <c r="U4" i="53"/>
  <c r="U97" i="55" s="1"/>
  <c r="J4" i="53"/>
  <c r="J58" i="55" s="1"/>
  <c r="AA4" i="53"/>
  <c r="AA45" i="55" s="1"/>
  <c r="AR5" i="53"/>
  <c r="AR162" i="55" s="1"/>
  <c r="AD4" i="53"/>
  <c r="AD71" i="55" s="1"/>
  <c r="B250" i="55"/>
  <c r="B9" i="40" s="1"/>
  <c r="U6" i="53"/>
  <c r="U32" i="55" s="1"/>
  <c r="U29" i="55" s="1"/>
  <c r="J5" i="53"/>
  <c r="J123" i="55" s="1"/>
  <c r="X4" i="53"/>
  <c r="X71" i="55" s="1"/>
  <c r="B252" i="55"/>
  <c r="B11" i="40" s="1"/>
  <c r="B251" i="55"/>
  <c r="B10" i="40" s="1"/>
  <c r="T4" i="53"/>
  <c r="T58" i="55" s="1"/>
  <c r="AQ5" i="53"/>
  <c r="AQ162" i="55" s="1"/>
  <c r="AG5" i="53"/>
  <c r="AG110" i="55" s="1"/>
  <c r="B247" i="55"/>
  <c r="B6" i="40" s="1"/>
  <c r="AM6" i="53"/>
  <c r="AM32" i="55" s="1"/>
  <c r="AM29" i="55" s="1"/>
  <c r="Y5" i="53"/>
  <c r="Y149" i="55" s="1"/>
  <c r="B249" i="55"/>
  <c r="B8" i="40" s="1"/>
  <c r="AJ4" i="53"/>
  <c r="AJ71" i="55" s="1"/>
  <c r="B246" i="55"/>
  <c r="B5" i="40" s="1"/>
  <c r="M6" i="53"/>
  <c r="M32" i="55" s="1"/>
  <c r="M28" i="55" s="1"/>
  <c r="B245" i="55"/>
  <c r="B4" i="40" s="1"/>
  <c r="I4" i="53"/>
  <c r="I45" i="55" s="1"/>
  <c r="B248" i="55"/>
  <c r="B7" i="40" s="1"/>
  <c r="S5" i="53"/>
  <c r="S175" i="55" s="1"/>
  <c r="T5" i="53"/>
  <c r="T149" i="55" s="1"/>
  <c r="Z4" i="53"/>
  <c r="Z45" i="55" s="1"/>
  <c r="AI6" i="53"/>
  <c r="AI32" i="55" s="1"/>
  <c r="AI25" i="55" s="1"/>
  <c r="AK4" i="53"/>
  <c r="AK45" i="55" s="1"/>
  <c r="K5" i="53"/>
  <c r="K110" i="55" s="1"/>
  <c r="L5" i="53"/>
  <c r="L110" i="55" s="1"/>
  <c r="I6" i="53"/>
  <c r="I32" i="55" s="1"/>
  <c r="I27" i="55" s="1"/>
  <c r="G6" i="53"/>
  <c r="G32" i="55" s="1"/>
  <c r="D5" i="53"/>
  <c r="D162" i="55" s="1"/>
  <c r="AF5" i="53"/>
  <c r="AF110" i="55" s="1"/>
  <c r="AE5" i="53"/>
  <c r="AE110" i="55" s="1"/>
  <c r="AR4" i="53"/>
  <c r="AR97" i="55" s="1"/>
  <c r="P4" i="53"/>
  <c r="P58" i="55" s="1"/>
  <c r="Q5" i="53"/>
  <c r="Q123" i="55" s="1"/>
  <c r="R5" i="53"/>
  <c r="R123" i="55" s="1"/>
  <c r="AD5" i="53"/>
  <c r="AD175" i="55" s="1"/>
  <c r="AO5" i="53"/>
  <c r="AO110" i="55" s="1"/>
  <c r="AM4" i="53"/>
  <c r="AM97" i="55" s="1"/>
  <c r="E5" i="53"/>
  <c r="E123" i="55" s="1"/>
  <c r="K6" i="53"/>
  <c r="K32" i="55" s="1"/>
  <c r="K22" i="55" s="1"/>
  <c r="M5" i="53"/>
  <c r="M123" i="55" s="1"/>
  <c r="AI5" i="53"/>
  <c r="AI149" i="55" s="1"/>
  <c r="AM5" i="53"/>
  <c r="AM123" i="55" s="1"/>
  <c r="T6" i="53"/>
  <c r="T32" i="55" s="1"/>
  <c r="T28" i="55" s="1"/>
  <c r="AJ5" i="53"/>
  <c r="AJ110" i="55" s="1"/>
  <c r="AN5" i="53"/>
  <c r="AN123" i="55" s="1"/>
  <c r="AP5" i="53"/>
  <c r="AP136" i="55" s="1"/>
  <c r="O5" i="53"/>
  <c r="O110" i="55" s="1"/>
  <c r="U5" i="53"/>
  <c r="U110" i="55" s="1"/>
  <c r="AL5" i="53"/>
  <c r="AL110" i="55" s="1"/>
  <c r="P5" i="53"/>
  <c r="P123" i="55" s="1"/>
  <c r="I5" i="53"/>
  <c r="I175" i="55" s="1"/>
  <c r="AC5" i="53"/>
  <c r="AC149" i="55" s="1"/>
  <c r="AA5" i="53"/>
  <c r="AA149" i="55" s="1"/>
  <c r="AH4" i="53"/>
  <c r="AH84" i="55" s="1"/>
  <c r="AO6" i="53"/>
  <c r="AO32" i="55" s="1"/>
  <c r="AO30" i="55" s="1"/>
  <c r="N5" i="53"/>
  <c r="N123" i="55" s="1"/>
  <c r="Z5" i="53"/>
  <c r="Z110" i="55" s="1"/>
  <c r="H5" i="53"/>
  <c r="H123" i="55" s="1"/>
  <c r="AB5" i="53"/>
  <c r="AB175" i="55" s="1"/>
  <c r="W5" i="53"/>
  <c r="V5" i="53"/>
  <c r="V123" i="55" s="1"/>
  <c r="AH5" i="53"/>
  <c r="D45" i="55"/>
  <c r="D97" i="55"/>
  <c r="D71" i="55"/>
  <c r="D84" i="55"/>
  <c r="D58" i="55"/>
  <c r="AF17" i="53"/>
  <c r="AF3" i="53" s="1"/>
  <c r="AF21" i="53"/>
  <c r="AF7" i="53" s="1"/>
  <c r="AF188" i="55" s="1"/>
  <c r="AJ17" i="53"/>
  <c r="AJ3" i="53" s="1"/>
  <c r="AJ21" i="53"/>
  <c r="AJ7" i="53" s="1"/>
  <c r="AJ188" i="55" s="1"/>
  <c r="AC17" i="53"/>
  <c r="AC3" i="53" s="1"/>
  <c r="AC21" i="53"/>
  <c r="AC7" i="53" s="1"/>
  <c r="AC188" i="55" s="1"/>
  <c r="E23" i="55"/>
  <c r="E25" i="55"/>
  <c r="E31" i="55"/>
  <c r="E29" i="55"/>
  <c r="E30" i="55"/>
  <c r="E28" i="55"/>
  <c r="E27" i="55"/>
  <c r="E26" i="55"/>
  <c r="E24" i="55"/>
  <c r="E22" i="55"/>
  <c r="AJ6" i="53"/>
  <c r="AJ32" i="55" s="1"/>
  <c r="F21" i="53"/>
  <c r="F7" i="53" s="1"/>
  <c r="F188" i="55" s="1"/>
  <c r="F17" i="53"/>
  <c r="F3" i="53" s="1"/>
  <c r="Q21" i="53"/>
  <c r="Q7" i="53" s="1"/>
  <c r="Q188" i="55" s="1"/>
  <c r="Q17" i="53"/>
  <c r="Q3" i="53" s="1"/>
  <c r="S21" i="53"/>
  <c r="S7" i="53" s="1"/>
  <c r="S188" i="55" s="1"/>
  <c r="S17" i="53"/>
  <c r="S3" i="53" s="1"/>
  <c r="Y4" i="53"/>
  <c r="AR21" i="53"/>
  <c r="AR7" i="53" s="1"/>
  <c r="AR188" i="55" s="1"/>
  <c r="AR17" i="53"/>
  <c r="AR3" i="53" s="1"/>
  <c r="O21" i="53"/>
  <c r="O7" i="53" s="1"/>
  <c r="O188" i="55" s="1"/>
  <c r="O17" i="53"/>
  <c r="O3" i="53" s="1"/>
  <c r="AM21" i="53"/>
  <c r="AM7" i="53" s="1"/>
  <c r="AM188" i="55" s="1"/>
  <c r="AM17" i="53"/>
  <c r="AM3" i="53" s="1"/>
  <c r="AB4" i="53"/>
  <c r="K4" i="53"/>
  <c r="AR6" i="53"/>
  <c r="AR32" i="55" s="1"/>
  <c r="AL6" i="53"/>
  <c r="AL32" i="55" s="1"/>
  <c r="AI17" i="53"/>
  <c r="AI3" i="53" s="1"/>
  <c r="AI21" i="53"/>
  <c r="AI7" i="53" s="1"/>
  <c r="AI188" i="55" s="1"/>
  <c r="Z21" i="53"/>
  <c r="Z7" i="53" s="1"/>
  <c r="Z188" i="55" s="1"/>
  <c r="Z17" i="53"/>
  <c r="Z3" i="53" s="1"/>
  <c r="AB17" i="53"/>
  <c r="AB3" i="53" s="1"/>
  <c r="AB21" i="53"/>
  <c r="AB7" i="53" s="1"/>
  <c r="AB188" i="55" s="1"/>
  <c r="AQ6" i="53"/>
  <c r="AQ32" i="55" s="1"/>
  <c r="AA6" i="53"/>
  <c r="AA32" i="55" s="1"/>
  <c r="AE6" i="53"/>
  <c r="AE32" i="55" s="1"/>
  <c r="L21" i="53"/>
  <c r="L7" i="53" s="1"/>
  <c r="L188" i="55" s="1"/>
  <c r="L17" i="53"/>
  <c r="L3" i="53" s="1"/>
  <c r="AP21" i="53"/>
  <c r="AP7" i="53" s="1"/>
  <c r="AP188" i="55" s="1"/>
  <c r="AP17" i="53"/>
  <c r="AP3" i="53" s="1"/>
  <c r="AK21" i="53"/>
  <c r="AK7" i="53" s="1"/>
  <c r="AK188" i="55" s="1"/>
  <c r="AK17" i="53"/>
  <c r="AK3" i="53" s="1"/>
  <c r="Z6" i="53"/>
  <c r="Z32" i="55" s="1"/>
  <c r="L4" i="53"/>
  <c r="B49" i="55"/>
  <c r="B50" i="55"/>
  <c r="B48" i="55"/>
  <c r="B55" i="55"/>
  <c r="B51" i="55"/>
  <c r="B52" i="55"/>
  <c r="B53" i="55"/>
  <c r="B57" i="55"/>
  <c r="B54" i="55"/>
  <c r="B56" i="55"/>
  <c r="W6" i="53"/>
  <c r="W32" i="55" s="1"/>
  <c r="P6" i="53"/>
  <c r="P32" i="55" s="1"/>
  <c r="M4" i="53"/>
  <c r="X21" i="53"/>
  <c r="X7" i="53" s="1"/>
  <c r="X188" i="55" s="1"/>
  <c r="X17" i="53"/>
  <c r="X3" i="53" s="1"/>
  <c r="U21" i="53"/>
  <c r="U7" i="53" s="1"/>
  <c r="U188" i="55" s="1"/>
  <c r="U17" i="53"/>
  <c r="U3" i="53" s="1"/>
  <c r="AL17" i="53"/>
  <c r="AL3" i="53" s="1"/>
  <c r="AL21" i="53"/>
  <c r="AL7" i="53" s="1"/>
  <c r="AL188" i="55" s="1"/>
  <c r="H6" i="53"/>
  <c r="H32" i="55" s="1"/>
  <c r="B69" i="55"/>
  <c r="B10" i="25" s="1"/>
  <c r="B61" i="55"/>
  <c r="B2" i="25" s="1"/>
  <c r="B62" i="55"/>
  <c r="B3" i="25" s="1"/>
  <c r="B63" i="55"/>
  <c r="B4" i="25" s="1"/>
  <c r="B70" i="55"/>
  <c r="B11" i="25" s="1"/>
  <c r="B66" i="55"/>
  <c r="B7" i="25" s="1"/>
  <c r="B64" i="55"/>
  <c r="B5" i="25" s="1"/>
  <c r="B67" i="55"/>
  <c r="B8" i="25" s="1"/>
  <c r="B68" i="55"/>
  <c r="B9" i="25" s="1"/>
  <c r="B65" i="55"/>
  <c r="B6" i="25" s="1"/>
  <c r="R6" i="53"/>
  <c r="R32" i="55" s="1"/>
  <c r="S6" i="53"/>
  <c r="S32" i="55" s="1"/>
  <c r="X6" i="53"/>
  <c r="X32" i="55" s="1"/>
  <c r="E21" i="53"/>
  <c r="E7" i="53" s="1"/>
  <c r="E188" i="55" s="1"/>
  <c r="E17" i="53"/>
  <c r="E3" i="53" s="1"/>
  <c r="AQ21" i="53"/>
  <c r="AQ7" i="53" s="1"/>
  <c r="AQ188" i="55" s="1"/>
  <c r="AQ17" i="53"/>
  <c r="AQ3" i="53" s="1"/>
  <c r="M21" i="53"/>
  <c r="M7" i="53" s="1"/>
  <c r="M188" i="55" s="1"/>
  <c r="M17" i="53"/>
  <c r="M3" i="53" s="1"/>
  <c r="K21" i="53"/>
  <c r="K7" i="53" s="1"/>
  <c r="K188" i="55" s="1"/>
  <c r="K17" i="53"/>
  <c r="K3" i="53" s="1"/>
  <c r="B76" i="55"/>
  <c r="B4" i="24" s="1"/>
  <c r="B77" i="55"/>
  <c r="B5" i="24" s="1"/>
  <c r="B78" i="55"/>
  <c r="B6" i="24" s="1"/>
  <c r="B79" i="55"/>
  <c r="B7" i="24" s="1"/>
  <c r="B80" i="55"/>
  <c r="B8" i="24" s="1"/>
  <c r="B81" i="55"/>
  <c r="B9" i="24" s="1"/>
  <c r="B75" i="55"/>
  <c r="B3" i="24" s="1"/>
  <c r="B74" i="55"/>
  <c r="B2" i="24" s="1"/>
  <c r="B82" i="55"/>
  <c r="B10" i="24" s="1"/>
  <c r="B83" i="55"/>
  <c r="B11" i="24" s="1"/>
  <c r="AK6" i="53"/>
  <c r="AK32" i="55" s="1"/>
  <c r="AO21" i="53"/>
  <c r="AO7" i="53" s="1"/>
  <c r="AO188" i="55" s="1"/>
  <c r="AO17" i="53"/>
  <c r="AO3" i="53" s="1"/>
  <c r="H21" i="53"/>
  <c r="H7" i="53" s="1"/>
  <c r="H188" i="55" s="1"/>
  <c r="H17" i="53"/>
  <c r="H3" i="53" s="1"/>
  <c r="AH21" i="53"/>
  <c r="AH7" i="53" s="1"/>
  <c r="AH188" i="55" s="1"/>
  <c r="AH17" i="53"/>
  <c r="AH3" i="53" s="1"/>
  <c r="D21" i="53"/>
  <c r="D17" i="53"/>
  <c r="N6" i="53"/>
  <c r="N32" i="55" s="1"/>
  <c r="L6" i="53"/>
  <c r="L32" i="55" s="1"/>
  <c r="B96" i="55"/>
  <c r="B11" i="23" s="1"/>
  <c r="B90" i="55"/>
  <c r="B5" i="23" s="1"/>
  <c r="B91" i="55"/>
  <c r="B6" i="23" s="1"/>
  <c r="B92" i="55"/>
  <c r="B7" i="23" s="1"/>
  <c r="B93" i="55"/>
  <c r="B8" i="23" s="1"/>
  <c r="B88" i="55"/>
  <c r="B3" i="23" s="1"/>
  <c r="B95" i="55"/>
  <c r="B10" i="23" s="1"/>
  <c r="B89" i="55"/>
  <c r="B4" i="23" s="1"/>
  <c r="B94" i="55"/>
  <c r="B9" i="23" s="1"/>
  <c r="B87" i="55"/>
  <c r="B2" i="23" s="1"/>
  <c r="AN6" i="53"/>
  <c r="AN32" i="55" s="1"/>
  <c r="AO84" i="55"/>
  <c r="AO97" i="55"/>
  <c r="AO45" i="55"/>
  <c r="AO58" i="55"/>
  <c r="T21" i="53"/>
  <c r="T7" i="53" s="1"/>
  <c r="T188" i="55" s="1"/>
  <c r="T17" i="53"/>
  <c r="T3" i="53" s="1"/>
  <c r="R17" i="53"/>
  <c r="R3" i="53" s="1"/>
  <c r="R21" i="53"/>
  <c r="R7" i="53" s="1"/>
  <c r="R188" i="55" s="1"/>
  <c r="P21" i="53"/>
  <c r="P7" i="53" s="1"/>
  <c r="P188" i="55" s="1"/>
  <c r="P17" i="53"/>
  <c r="P3" i="53" s="1"/>
  <c r="AN17" i="53"/>
  <c r="AN3" i="53" s="1"/>
  <c r="AN21" i="53"/>
  <c r="AN7" i="53" s="1"/>
  <c r="AN188" i="55" s="1"/>
  <c r="AE4" i="53"/>
  <c r="AH6" i="53"/>
  <c r="AH32" i="55" s="1"/>
  <c r="B43" i="55"/>
  <c r="B10" i="26" s="1"/>
  <c r="B35" i="55"/>
  <c r="B2" i="26" s="1"/>
  <c r="B37" i="55"/>
  <c r="B4" i="26" s="1"/>
  <c r="B39" i="55"/>
  <c r="B6" i="26" s="1"/>
  <c r="B36" i="55"/>
  <c r="B3" i="26" s="1"/>
  <c r="B38" i="55"/>
  <c r="B5" i="26" s="1"/>
  <c r="B42" i="55"/>
  <c r="B9" i="26" s="1"/>
  <c r="B44" i="55"/>
  <c r="B11" i="26" s="1"/>
  <c r="B40" i="55"/>
  <c r="B7" i="26" s="1"/>
  <c r="B41" i="55"/>
  <c r="B8" i="26" s="1"/>
  <c r="AB6" i="53"/>
  <c r="AB32" i="55" s="1"/>
  <c r="AI4" i="53"/>
  <c r="AN4" i="53"/>
  <c r="W17" i="53"/>
  <c r="W3" i="53" s="1"/>
  <c r="W21" i="53"/>
  <c r="W7" i="53" s="1"/>
  <c r="W188" i="55" s="1"/>
  <c r="C21" i="53"/>
  <c r="C7" i="53" s="1"/>
  <c r="C188" i="55" s="1"/>
  <c r="C17" i="53"/>
  <c r="C3" i="53" s="1"/>
  <c r="G21" i="53"/>
  <c r="G7" i="53" s="1"/>
  <c r="G188" i="55" s="1"/>
  <c r="G17" i="53"/>
  <c r="G3" i="53" s="1"/>
  <c r="AE21" i="53"/>
  <c r="AE7" i="53" s="1"/>
  <c r="AE188" i="55" s="1"/>
  <c r="AE17" i="53"/>
  <c r="AE3" i="53" s="1"/>
  <c r="C71" i="55"/>
  <c r="C45" i="55"/>
  <c r="C58" i="55"/>
  <c r="C97" i="55"/>
  <c r="C84" i="55"/>
  <c r="V6" i="53"/>
  <c r="V32" i="55" s="1"/>
  <c r="AL4" i="53"/>
  <c r="AQ4" i="53"/>
  <c r="V21" i="53"/>
  <c r="V7" i="53" s="1"/>
  <c r="V188" i="55" s="1"/>
  <c r="V17" i="53"/>
  <c r="V3" i="53" s="1"/>
  <c r="AD21" i="53"/>
  <c r="AD7" i="53" s="1"/>
  <c r="AD188" i="55" s="1"/>
  <c r="AD17" i="53"/>
  <c r="AD3" i="53" s="1"/>
  <c r="AG17" i="53"/>
  <c r="AG3" i="53" s="1"/>
  <c r="AG21" i="53"/>
  <c r="AG7" i="53" s="1"/>
  <c r="AG188" i="55" s="1"/>
  <c r="J17" i="53"/>
  <c r="J3" i="53" s="1"/>
  <c r="J21" i="53"/>
  <c r="J7" i="53" s="1"/>
  <c r="J188" i="55" s="1"/>
  <c r="AG6" i="53"/>
  <c r="AG32" i="55" s="1"/>
  <c r="AF4" i="53"/>
  <c r="AD6" i="53"/>
  <c r="AD32" i="55" s="1"/>
  <c r="AA17" i="53"/>
  <c r="AA3" i="53" s="1"/>
  <c r="AA21" i="53"/>
  <c r="AA7" i="53" s="1"/>
  <c r="AA188" i="55" s="1"/>
  <c r="I17" i="53"/>
  <c r="I3" i="53" s="1"/>
  <c r="I21" i="53"/>
  <c r="I7" i="53" s="1"/>
  <c r="I188" i="55" s="1"/>
  <c r="Y17" i="53"/>
  <c r="Y3" i="53" s="1"/>
  <c r="Y21" i="53"/>
  <c r="Y7" i="53" s="1"/>
  <c r="Y188" i="55" s="1"/>
  <c r="N17" i="53"/>
  <c r="N3" i="53" s="1"/>
  <c r="N21" i="53"/>
  <c r="N7" i="53" s="1"/>
  <c r="N188" i="55" s="1"/>
  <c r="F4" i="53"/>
  <c r="AF6" i="53"/>
  <c r="AF32" i="55" s="1"/>
  <c r="F110" i="55"/>
  <c r="F123" i="55"/>
  <c r="F175" i="55"/>
  <c r="F162" i="55"/>
  <c r="F136" i="55"/>
  <c r="F149" i="55"/>
  <c r="R149" i="55"/>
  <c r="AC136" i="55"/>
  <c r="C123" i="55"/>
  <c r="C110" i="55"/>
  <c r="C162" i="55"/>
  <c r="C175" i="55"/>
  <c r="C136" i="55"/>
  <c r="C149" i="55"/>
  <c r="B110" i="55"/>
  <c r="B123" i="55"/>
  <c r="B175" i="55"/>
  <c r="B162" i="55"/>
  <c r="B136" i="55"/>
  <c r="B149" i="55"/>
  <c r="O175" i="55"/>
  <c r="O149" i="55"/>
  <c r="AR175" i="55" l="1"/>
  <c r="AR123" i="55"/>
  <c r="AR110" i="55"/>
  <c r="H110" i="55"/>
  <c r="F27" i="55"/>
  <c r="F7" i="4" s="1"/>
  <c r="F23" i="55"/>
  <c r="F28" i="55"/>
  <c r="F24" i="55"/>
  <c r="F26" i="55"/>
  <c r="F29" i="55"/>
  <c r="F9" i="4" s="1"/>
  <c r="F31" i="55"/>
  <c r="F11" i="4" s="1"/>
  <c r="F25" i="55"/>
  <c r="F5" i="4" s="1"/>
  <c r="F22" i="55"/>
  <c r="Q23" i="55"/>
  <c r="Q3" i="4" s="1"/>
  <c r="Q25" i="55"/>
  <c r="Q5" i="4" s="1"/>
  <c r="Q31" i="55"/>
  <c r="Q11" i="4" s="1"/>
  <c r="Q30" i="55"/>
  <c r="Q29" i="55"/>
  <c r="D149" i="55"/>
  <c r="D146" i="55" s="1"/>
  <c r="D9" i="43" s="1"/>
  <c r="AF123" i="55"/>
  <c r="AF122" i="55" s="1"/>
  <c r="AF11" i="42" s="1"/>
  <c r="AB110" i="55"/>
  <c r="AB104" i="55" s="1"/>
  <c r="X149" i="55"/>
  <c r="X143" i="55" s="1"/>
  <c r="X6" i="43" s="1"/>
  <c r="X136" i="55"/>
  <c r="X175" i="55"/>
  <c r="X162" i="55"/>
  <c r="X110" i="55"/>
  <c r="Y136" i="55"/>
  <c r="Y131" i="55" s="1"/>
  <c r="Y175" i="55"/>
  <c r="Y123" i="55"/>
  <c r="E58" i="55"/>
  <c r="E52" i="55" s="1"/>
  <c r="T8" i="4"/>
  <c r="C6" i="4"/>
  <c r="I7" i="4"/>
  <c r="C11" i="4"/>
  <c r="F10" i="4"/>
  <c r="C9" i="4"/>
  <c r="E97" i="55"/>
  <c r="E2" i="4"/>
  <c r="C5" i="4"/>
  <c r="E45" i="55"/>
  <c r="E4" i="4"/>
  <c r="K2" i="4"/>
  <c r="J6" i="4"/>
  <c r="D9" i="4"/>
  <c r="C3" i="4"/>
  <c r="E7" i="4"/>
  <c r="E71" i="55"/>
  <c r="E8" i="4"/>
  <c r="E10" i="4"/>
  <c r="O9" i="4"/>
  <c r="Q4" i="4"/>
  <c r="F3" i="4"/>
  <c r="E9" i="4"/>
  <c r="F8" i="4"/>
  <c r="E11" i="4"/>
  <c r="U9" i="4"/>
  <c r="F4" i="4"/>
  <c r="E5" i="4"/>
  <c r="W58" i="55"/>
  <c r="F6" i="4"/>
  <c r="E3" i="4"/>
  <c r="Q10" i="4"/>
  <c r="M8" i="4"/>
  <c r="E6" i="4"/>
  <c r="W84" i="55"/>
  <c r="W82" i="55" s="1"/>
  <c r="W10" i="24" s="1"/>
  <c r="W97" i="55"/>
  <c r="W45" i="55"/>
  <c r="C2" i="56"/>
  <c r="C6" i="56"/>
  <c r="O136" i="55"/>
  <c r="AA136" i="55"/>
  <c r="AO123" i="55"/>
  <c r="AO117" i="55" s="1"/>
  <c r="AO6" i="42" s="1"/>
  <c r="G136" i="55"/>
  <c r="G132" i="55" s="1"/>
  <c r="G175" i="55"/>
  <c r="G174" i="55" s="1"/>
  <c r="G11" i="45" s="1"/>
  <c r="Q45" i="55"/>
  <c r="Q36" i="55" s="1"/>
  <c r="Q3" i="26" s="1"/>
  <c r="G149" i="55"/>
  <c r="G162" i="55"/>
  <c r="G110" i="55"/>
  <c r="AQ149" i="55"/>
  <c r="AD123" i="55"/>
  <c r="AD115" i="55" s="1"/>
  <c r="AD4" i="42" s="1"/>
  <c r="AD110" i="55"/>
  <c r="J136" i="55"/>
  <c r="J162" i="55"/>
  <c r="J159" i="55" s="1"/>
  <c r="J9" i="44" s="1"/>
  <c r="AC162" i="55"/>
  <c r="AC160" i="55" s="1"/>
  <c r="AC10" i="44" s="1"/>
  <c r="J175" i="55"/>
  <c r="Q71" i="55"/>
  <c r="Q64" i="55" s="1"/>
  <c r="Q5" i="25" s="1"/>
  <c r="AR45" i="55"/>
  <c r="O97" i="55"/>
  <c r="O94" i="55" s="1"/>
  <c r="O9" i="23" s="1"/>
  <c r="AC110" i="55"/>
  <c r="AC108" i="55" s="1"/>
  <c r="AP23" i="55"/>
  <c r="AP22" i="55"/>
  <c r="Q26" i="55"/>
  <c r="AP29" i="55"/>
  <c r="AP30" i="55"/>
  <c r="AP24" i="55"/>
  <c r="O58" i="55"/>
  <c r="O57" i="55" s="1"/>
  <c r="O45" i="55"/>
  <c r="O39" i="55" s="1"/>
  <c r="O6" i="26" s="1"/>
  <c r="O71" i="55"/>
  <c r="AP27" i="55"/>
  <c r="AG149" i="55"/>
  <c r="AG144" i="55" s="1"/>
  <c r="AG7" i="43" s="1"/>
  <c r="L162" i="55"/>
  <c r="L155" i="55" s="1"/>
  <c r="L5" i="44" s="1"/>
  <c r="H45" i="55"/>
  <c r="H39" i="55" s="1"/>
  <c r="H6" i="26" s="1"/>
  <c r="AG162" i="55"/>
  <c r="AG97" i="55"/>
  <c r="AG89" i="55" s="1"/>
  <c r="AG45" i="55"/>
  <c r="AG37" i="55" s="1"/>
  <c r="AG4" i="26" s="1"/>
  <c r="AP28" i="55"/>
  <c r="Q28" i="55"/>
  <c r="AP31" i="55"/>
  <c r="Q22" i="55"/>
  <c r="AP26" i="55"/>
  <c r="J25" i="55"/>
  <c r="J29" i="55"/>
  <c r="J31" i="55"/>
  <c r="J23" i="55"/>
  <c r="Q27" i="55"/>
  <c r="J27" i="55"/>
  <c r="J22" i="55"/>
  <c r="J30" i="55"/>
  <c r="J28" i="55"/>
  <c r="J24" i="55"/>
  <c r="U28" i="55"/>
  <c r="O123" i="55"/>
  <c r="O113" i="55" s="1"/>
  <c r="O2" i="42" s="1"/>
  <c r="AB162" i="55"/>
  <c r="AB158" i="55" s="1"/>
  <c r="AB8" i="44" s="1"/>
  <c r="AR149" i="55"/>
  <c r="AR136" i="55"/>
  <c r="Q97" i="55"/>
  <c r="Q91" i="55" s="1"/>
  <c r="Q6" i="23" s="1"/>
  <c r="Q84" i="55"/>
  <c r="L175" i="55"/>
  <c r="L169" i="55" s="1"/>
  <c r="L6" i="45" s="1"/>
  <c r="O162" i="55"/>
  <c r="AB123" i="55"/>
  <c r="Y162" i="55"/>
  <c r="Y159" i="55" s="1"/>
  <c r="Y9" i="44" s="1"/>
  <c r="Y110" i="55"/>
  <c r="AK149" i="55"/>
  <c r="AD149" i="55"/>
  <c r="AD139" i="55" s="1"/>
  <c r="AD2" i="43" s="1"/>
  <c r="AD136" i="55"/>
  <c r="AD129" i="55" s="1"/>
  <c r="AD162" i="55"/>
  <c r="AD160" i="55" s="1"/>
  <c r="AD10" i="44" s="1"/>
  <c r="AB149" i="55"/>
  <c r="AB139" i="55" s="1"/>
  <c r="AB2" i="43" s="1"/>
  <c r="AB136" i="55"/>
  <c r="AB127" i="55" s="1"/>
  <c r="AP45" i="55"/>
  <c r="AP42" i="55" s="1"/>
  <c r="AP9" i="26" s="1"/>
  <c r="AP97" i="55"/>
  <c r="AG84" i="55"/>
  <c r="AG79" i="55" s="1"/>
  <c r="AG7" i="24" s="1"/>
  <c r="AJ97" i="55"/>
  <c r="AJ93" i="55" s="1"/>
  <c r="V71" i="55"/>
  <c r="AJ58" i="55"/>
  <c r="AJ54" i="55" s="1"/>
  <c r="AG58" i="55"/>
  <c r="AG57" i="55" s="1"/>
  <c r="N84" i="55"/>
  <c r="N75" i="55" s="1"/>
  <c r="N3" i="24" s="1"/>
  <c r="I110" i="55"/>
  <c r="I100" i="55" s="1"/>
  <c r="N58" i="55"/>
  <c r="N52" i="55" s="1"/>
  <c r="AK136" i="55"/>
  <c r="N97" i="55"/>
  <c r="N93" i="55" s="1"/>
  <c r="N8" i="23" s="1"/>
  <c r="N71" i="55"/>
  <c r="N65" i="55" s="1"/>
  <c r="N6" i="25" s="1"/>
  <c r="P149" i="55"/>
  <c r="P146" i="55" s="1"/>
  <c r="P9" i="43" s="1"/>
  <c r="P136" i="55"/>
  <c r="P130" i="55" s="1"/>
  <c r="AP58" i="55"/>
  <c r="AP54" i="55" s="1"/>
  <c r="E149" i="55"/>
  <c r="E140" i="55" s="1"/>
  <c r="E3" i="43" s="1"/>
  <c r="AP71" i="55"/>
  <c r="E136" i="55"/>
  <c r="E132" i="55" s="1"/>
  <c r="V58" i="55"/>
  <c r="V48" i="55" s="1"/>
  <c r="AM84" i="55"/>
  <c r="AM80" i="55" s="1"/>
  <c r="AM8" i="24" s="1"/>
  <c r="V45" i="55"/>
  <c r="V37" i="55" s="1"/>
  <c r="V4" i="26" s="1"/>
  <c r="V97" i="55"/>
  <c r="V94" i="55" s="1"/>
  <c r="V9" i="23" s="1"/>
  <c r="AA110" i="55"/>
  <c r="AA100" i="55" s="1"/>
  <c r="V136" i="55"/>
  <c r="V126" i="55" s="1"/>
  <c r="V175" i="55"/>
  <c r="V174" i="55" s="1"/>
  <c r="V11" i="45" s="1"/>
  <c r="V162" i="55"/>
  <c r="AI136" i="55"/>
  <c r="AI126" i="55" s="1"/>
  <c r="AI123" i="55"/>
  <c r="AI120" i="55" s="1"/>
  <c r="AI9" i="42" s="1"/>
  <c r="AF136" i="55"/>
  <c r="AF131" i="55" s="1"/>
  <c r="M23" i="55"/>
  <c r="M31" i="55"/>
  <c r="M27" i="55"/>
  <c r="M22" i="55"/>
  <c r="M29" i="55"/>
  <c r="M30" i="55"/>
  <c r="M24" i="55"/>
  <c r="M25" i="55"/>
  <c r="M26" i="55"/>
  <c r="X45" i="55"/>
  <c r="X35" i="55" s="1"/>
  <c r="X2" i="26" s="1"/>
  <c r="X97" i="55"/>
  <c r="X94" i="55" s="1"/>
  <c r="X9" i="23" s="1"/>
  <c r="S58" i="55"/>
  <c r="S50" i="55" s="1"/>
  <c r="AC84" i="55"/>
  <c r="AC75" i="55" s="1"/>
  <c r="AC3" i="24" s="1"/>
  <c r="AC97" i="55"/>
  <c r="AC91" i="55" s="1"/>
  <c r="AC45" i="55"/>
  <c r="AC38" i="55" s="1"/>
  <c r="AC5" i="26" s="1"/>
  <c r="AC58" i="55"/>
  <c r="AC53" i="55" s="1"/>
  <c r="AC175" i="55"/>
  <c r="AC171" i="55" s="1"/>
  <c r="D136" i="55"/>
  <c r="D135" i="55" s="1"/>
  <c r="AC123" i="55"/>
  <c r="AC113" i="55" s="1"/>
  <c r="AC2" i="42" s="1"/>
  <c r="J149" i="55"/>
  <c r="J142" i="55" s="1"/>
  <c r="J5" i="43" s="1"/>
  <c r="V110" i="55"/>
  <c r="D175" i="55"/>
  <c r="M136" i="55"/>
  <c r="M162" i="55"/>
  <c r="M155" i="55" s="1"/>
  <c r="M5" i="44" s="1"/>
  <c r="P162" i="55"/>
  <c r="P160" i="55" s="1"/>
  <c r="P10" i="44" s="1"/>
  <c r="J110" i="55"/>
  <c r="E175" i="55"/>
  <c r="E169" i="55" s="1"/>
  <c r="E6" i="45" s="1"/>
  <c r="AK162" i="55"/>
  <c r="AK157" i="55" s="1"/>
  <c r="AK7" i="44" s="1"/>
  <c r="AJ175" i="55"/>
  <c r="AJ172" i="55" s="1"/>
  <c r="AK175" i="55"/>
  <c r="AK174" i="55" s="1"/>
  <c r="I149" i="55"/>
  <c r="I144" i="55" s="1"/>
  <c r="I7" i="43" s="1"/>
  <c r="AE123" i="55"/>
  <c r="AE115" i="55" s="1"/>
  <c r="AE4" i="42" s="1"/>
  <c r="M175" i="55"/>
  <c r="M173" i="55" s="1"/>
  <c r="M10" i="45" s="1"/>
  <c r="P175" i="55"/>
  <c r="P169" i="55" s="1"/>
  <c r="P6" i="45" s="1"/>
  <c r="E162" i="55"/>
  <c r="E160" i="55" s="1"/>
  <c r="E10" i="44" s="1"/>
  <c r="AK123" i="55"/>
  <c r="AK116" i="55" s="1"/>
  <c r="AK5" i="42" s="1"/>
  <c r="I136" i="55"/>
  <c r="N175" i="55"/>
  <c r="N168" i="55" s="1"/>
  <c r="N5" i="45" s="1"/>
  <c r="M110" i="55"/>
  <c r="M102" i="55" s="1"/>
  <c r="P110" i="55"/>
  <c r="P101" i="55" s="1"/>
  <c r="E110" i="55"/>
  <c r="E101" i="55" s="1"/>
  <c r="T110" i="55"/>
  <c r="AJ162" i="55"/>
  <c r="AJ153" i="55" s="1"/>
  <c r="AJ3" i="44" s="1"/>
  <c r="M149" i="55"/>
  <c r="M145" i="55" s="1"/>
  <c r="M8" i="43" s="1"/>
  <c r="D123" i="55"/>
  <c r="D113" i="55" s="1"/>
  <c r="D2" i="42" s="1"/>
  <c r="I162" i="55"/>
  <c r="I155" i="55" s="1"/>
  <c r="I5" i="44" s="1"/>
  <c r="N110" i="55"/>
  <c r="D110" i="55"/>
  <c r="D103" i="55" s="1"/>
  <c r="I123" i="55"/>
  <c r="I114" i="55" s="1"/>
  <c r="I3" i="42" s="1"/>
  <c r="V149" i="55"/>
  <c r="V142" i="55" s="1"/>
  <c r="V5" i="43" s="1"/>
  <c r="H97" i="55"/>
  <c r="H89" i="55" s="1"/>
  <c r="H4" i="23" s="1"/>
  <c r="X58" i="55"/>
  <c r="S71" i="55"/>
  <c r="S62" i="55" s="1"/>
  <c r="S3" i="25" s="1"/>
  <c r="H58" i="55"/>
  <c r="H54" i="55" s="1"/>
  <c r="S97" i="55"/>
  <c r="S90" i="55" s="1"/>
  <c r="S5" i="23" s="1"/>
  <c r="H71" i="55"/>
  <c r="H61" i="55" s="1"/>
  <c r="H2" i="25" s="1"/>
  <c r="T45" i="55"/>
  <c r="T36" i="55" s="1"/>
  <c r="T3" i="26" s="1"/>
  <c r="X84" i="55"/>
  <c r="X81" i="55" s="1"/>
  <c r="X9" i="24" s="1"/>
  <c r="S45" i="55"/>
  <c r="T84" i="55"/>
  <c r="T80" i="55" s="1"/>
  <c r="T8" i="24" s="1"/>
  <c r="T71" i="55"/>
  <c r="T65" i="55" s="1"/>
  <c r="T6" i="25" s="1"/>
  <c r="T97" i="55"/>
  <c r="T93" i="55" s="1"/>
  <c r="T8" i="23" s="1"/>
  <c r="K31" i="55"/>
  <c r="AA58" i="55"/>
  <c r="AA51" i="55" s="1"/>
  <c r="G84" i="55"/>
  <c r="G82" i="55" s="1"/>
  <c r="G10" i="24" s="1"/>
  <c r="AC29" i="55"/>
  <c r="G45" i="55"/>
  <c r="G35" i="55" s="1"/>
  <c r="G2" i="26" s="1"/>
  <c r="AC22" i="55"/>
  <c r="AC23" i="55"/>
  <c r="AP162" i="55"/>
  <c r="AP155" i="55" s="1"/>
  <c r="AP5" i="44" s="1"/>
  <c r="AM24" i="55"/>
  <c r="AI27" i="55"/>
  <c r="AC30" i="55"/>
  <c r="AC28" i="55"/>
  <c r="AC31" i="55"/>
  <c r="AC26" i="55"/>
  <c r="AC24" i="55"/>
  <c r="AC25" i="55"/>
  <c r="G97" i="55"/>
  <c r="G93" i="55" s="1"/>
  <c r="G8" i="23" s="1"/>
  <c r="G71" i="55"/>
  <c r="G62" i="55" s="1"/>
  <c r="G3" i="25" s="1"/>
  <c r="AD58" i="55"/>
  <c r="AD56" i="55" s="1"/>
  <c r="AK71" i="55"/>
  <c r="AK65" i="55" s="1"/>
  <c r="AK6" i="25" s="1"/>
  <c r="AD84" i="55"/>
  <c r="AD83" i="55" s="1"/>
  <c r="AD11" i="24" s="1"/>
  <c r="AK84" i="55"/>
  <c r="AK81" i="55" s="1"/>
  <c r="AK9" i="24" s="1"/>
  <c r="O23" i="55"/>
  <c r="AD97" i="55"/>
  <c r="AD91" i="55" s="1"/>
  <c r="O27" i="55"/>
  <c r="AD45" i="55"/>
  <c r="AD43" i="55" s="1"/>
  <c r="AD10" i="26" s="1"/>
  <c r="O25" i="55"/>
  <c r="O26" i="55"/>
  <c r="O28" i="55"/>
  <c r="O22" i="55"/>
  <c r="O30" i="55"/>
  <c r="O24" i="55"/>
  <c r="AK58" i="55"/>
  <c r="AK52" i="55" s="1"/>
  <c r="O31" i="55"/>
  <c r="AK97" i="55"/>
  <c r="AK96" i="55" s="1"/>
  <c r="U149" i="55"/>
  <c r="U140" i="55" s="1"/>
  <c r="U3" i="43" s="1"/>
  <c r="U136" i="55"/>
  <c r="U127" i="55" s="1"/>
  <c r="U162" i="55"/>
  <c r="U153" i="55" s="1"/>
  <c r="U3" i="44" s="1"/>
  <c r="K149" i="55"/>
  <c r="K141" i="55" s="1"/>
  <c r="K4" i="43" s="1"/>
  <c r="AO149" i="55"/>
  <c r="AO145" i="55" s="1"/>
  <c r="AO8" i="43" s="1"/>
  <c r="U175" i="55"/>
  <c r="K123" i="55"/>
  <c r="K118" i="55" s="1"/>
  <c r="K7" i="42" s="1"/>
  <c r="AO162" i="55"/>
  <c r="U123" i="55"/>
  <c r="U122" i="55" s="1"/>
  <c r="U11" i="42" s="1"/>
  <c r="AO136" i="55"/>
  <c r="AO132" i="55" s="1"/>
  <c r="AO175" i="55"/>
  <c r="AO170" i="55" s="1"/>
  <c r="Y26" i="55"/>
  <c r="Y24" i="55"/>
  <c r="Y22" i="55"/>
  <c r="Y28" i="55"/>
  <c r="Y23" i="55"/>
  <c r="R58" i="55"/>
  <c r="R51" i="55" s="1"/>
  <c r="Y29" i="55"/>
  <c r="R97" i="55"/>
  <c r="R95" i="55" s="1"/>
  <c r="R10" i="23" s="1"/>
  <c r="R84" i="55"/>
  <c r="R77" i="55" s="1"/>
  <c r="R5" i="24" s="1"/>
  <c r="R45" i="55"/>
  <c r="R42" i="55" s="1"/>
  <c r="R9" i="26" s="1"/>
  <c r="Y30" i="55"/>
  <c r="Y31" i="55"/>
  <c r="Y27" i="55"/>
  <c r="I22" i="55"/>
  <c r="I29" i="55"/>
  <c r="I25" i="55"/>
  <c r="I23" i="55"/>
  <c r="I30" i="55"/>
  <c r="I26" i="55"/>
  <c r="I24" i="55"/>
  <c r="I28" i="55"/>
  <c r="I31" i="55"/>
  <c r="AQ123" i="55"/>
  <c r="AQ114" i="55" s="1"/>
  <c r="AQ3" i="42" s="1"/>
  <c r="S149" i="55"/>
  <c r="S136" i="55"/>
  <c r="S127" i="55" s="1"/>
  <c r="S162" i="55"/>
  <c r="S160" i="55" s="1"/>
  <c r="S10" i="44" s="1"/>
  <c r="S110" i="55"/>
  <c r="S123" i="55"/>
  <c r="S120" i="55" s="1"/>
  <c r="S9" i="42" s="1"/>
  <c r="AQ175" i="55"/>
  <c r="AQ110" i="55"/>
  <c r="AQ104" i="55" s="1"/>
  <c r="AQ136" i="55"/>
  <c r="AQ134" i="55" s="1"/>
  <c r="AR58" i="55"/>
  <c r="AR48" i="55" s="1"/>
  <c r="T31" i="55"/>
  <c r="T25" i="55"/>
  <c r="T23" i="55"/>
  <c r="AL149" i="55"/>
  <c r="AL141" i="55" s="1"/>
  <c r="AL4" i="43" s="1"/>
  <c r="AL162" i="55"/>
  <c r="AL153" i="55" s="1"/>
  <c r="AL3" i="44" s="1"/>
  <c r="AL123" i="55"/>
  <c r="AL118" i="55" s="1"/>
  <c r="AL7" i="42" s="1"/>
  <c r="T24" i="55"/>
  <c r="K175" i="55"/>
  <c r="T26" i="55"/>
  <c r="K136" i="55"/>
  <c r="K162" i="55"/>
  <c r="AR71" i="55"/>
  <c r="AR69" i="55" s="1"/>
  <c r="AR10" i="25" s="1"/>
  <c r="T30" i="55"/>
  <c r="K30" i="55"/>
  <c r="AR84" i="55"/>
  <c r="AR74" i="55" s="1"/>
  <c r="AR2" i="24" s="1"/>
  <c r="T29" i="55"/>
  <c r="U58" i="55"/>
  <c r="U54" i="55" s="1"/>
  <c r="K27" i="55"/>
  <c r="T27" i="55"/>
  <c r="U84" i="55"/>
  <c r="U80" i="55" s="1"/>
  <c r="U8" i="24" s="1"/>
  <c r="K25" i="55"/>
  <c r="U71" i="55"/>
  <c r="U63" i="55" s="1"/>
  <c r="U4" i="25" s="1"/>
  <c r="K26" i="55"/>
  <c r="U45" i="55"/>
  <c r="U35" i="55" s="1"/>
  <c r="U2" i="26" s="1"/>
  <c r="K24" i="55"/>
  <c r="T22" i="55"/>
  <c r="K28" i="55"/>
  <c r="N149" i="55"/>
  <c r="N145" i="55" s="1"/>
  <c r="N8" i="43" s="1"/>
  <c r="K29" i="55"/>
  <c r="J84" i="55"/>
  <c r="J79" i="55" s="1"/>
  <c r="J7" i="24" s="1"/>
  <c r="AJ149" i="55"/>
  <c r="AJ145" i="55" s="1"/>
  <c r="AJ8" i="43" s="1"/>
  <c r="N162" i="55"/>
  <c r="N152" i="55" s="1"/>
  <c r="N2" i="44" s="1"/>
  <c r="J45" i="55"/>
  <c r="J36" i="55" s="1"/>
  <c r="J3" i="26" s="1"/>
  <c r="Z149" i="55"/>
  <c r="Z143" i="55" s="1"/>
  <c r="Z6" i="43" s="1"/>
  <c r="J71" i="55"/>
  <c r="J66" i="55" s="1"/>
  <c r="J7" i="25" s="1"/>
  <c r="J97" i="55"/>
  <c r="J93" i="55" s="1"/>
  <c r="J8" i="23" s="1"/>
  <c r="K23" i="55"/>
  <c r="Q136" i="55"/>
  <c r="Q130" i="55" s="1"/>
  <c r="Z123" i="55"/>
  <c r="Z120" i="55" s="1"/>
  <c r="Z9" i="42" s="1"/>
  <c r="AA71" i="55"/>
  <c r="AA66" i="55" s="1"/>
  <c r="AA7" i="25" s="1"/>
  <c r="AJ123" i="55"/>
  <c r="Q110" i="55"/>
  <c r="AA97" i="55"/>
  <c r="AA91" i="55" s="1"/>
  <c r="T136" i="55"/>
  <c r="T135" i="55" s="1"/>
  <c r="P84" i="55"/>
  <c r="P79" i="55" s="1"/>
  <c r="P7" i="24" s="1"/>
  <c r="AN136" i="55"/>
  <c r="AN126" i="55" s="1"/>
  <c r="T175" i="55"/>
  <c r="T171" i="55" s="1"/>
  <c r="T8" i="45" s="1"/>
  <c r="AA84" i="55"/>
  <c r="AA77" i="55" s="1"/>
  <c r="AA5" i="24" s="1"/>
  <c r="Q149" i="55"/>
  <c r="Z162" i="55"/>
  <c r="Z161" i="55" s="1"/>
  <c r="Z11" i="44" s="1"/>
  <c r="AN162" i="55"/>
  <c r="AN152" i="55" s="1"/>
  <c r="AN2" i="44" s="1"/>
  <c r="K103" i="55"/>
  <c r="K101" i="55"/>
  <c r="K104" i="55"/>
  <c r="K105" i="55"/>
  <c r="K108" i="55"/>
  <c r="AL136" i="55"/>
  <c r="AJ84" i="55"/>
  <c r="AJ79" i="55" s="1"/>
  <c r="AJ7" i="24" s="1"/>
  <c r="U27" i="55"/>
  <c r="AL175" i="55"/>
  <c r="AL172" i="55" s="1"/>
  <c r="L149" i="55"/>
  <c r="AJ45" i="55"/>
  <c r="AJ42" i="55" s="1"/>
  <c r="AJ9" i="26" s="1"/>
  <c r="U23" i="55"/>
  <c r="L136" i="55"/>
  <c r="L129" i="55" s="1"/>
  <c r="U31" i="55"/>
  <c r="U26" i="55"/>
  <c r="U25" i="55"/>
  <c r="L123" i="55"/>
  <c r="L121" i="55" s="1"/>
  <c r="L10" i="42" s="1"/>
  <c r="U30" i="55"/>
  <c r="AM45" i="55"/>
  <c r="AM37" i="55" s="1"/>
  <c r="AM4" i="26" s="1"/>
  <c r="U24" i="55"/>
  <c r="AM58" i="55"/>
  <c r="AM53" i="55" s="1"/>
  <c r="U22" i="55"/>
  <c r="AM71" i="55"/>
  <c r="AM62" i="55" s="1"/>
  <c r="AM3" i="25" s="1"/>
  <c r="AA162" i="55"/>
  <c r="AA156" i="55" s="1"/>
  <c r="AA6" i="44" s="1"/>
  <c r="AI175" i="55"/>
  <c r="AI174" i="55" s="1"/>
  <c r="AA175" i="55"/>
  <c r="AI162" i="55"/>
  <c r="AF149" i="55"/>
  <c r="AF148" i="55" s="1"/>
  <c r="AF11" i="43" s="1"/>
  <c r="I84" i="55"/>
  <c r="I76" i="55" s="1"/>
  <c r="I4" i="24" s="1"/>
  <c r="I71" i="55"/>
  <c r="I64" i="55" s="1"/>
  <c r="I5" i="25" s="1"/>
  <c r="AA123" i="55"/>
  <c r="AA122" i="55" s="1"/>
  <c r="AA11" i="42" s="1"/>
  <c r="AI110" i="55"/>
  <c r="AI107" i="55" s="1"/>
  <c r="AF162" i="55"/>
  <c r="AF157" i="55" s="1"/>
  <c r="AF7" i="44" s="1"/>
  <c r="I58" i="55"/>
  <c r="I48" i="55" s="1"/>
  <c r="AF175" i="55"/>
  <c r="AF170" i="55" s="1"/>
  <c r="AJ136" i="55"/>
  <c r="AJ132" i="55" s="1"/>
  <c r="N136" i="55"/>
  <c r="N134" i="55" s="1"/>
  <c r="T162" i="55"/>
  <c r="P45" i="55"/>
  <c r="P41" i="55" s="1"/>
  <c r="P8" i="26" s="1"/>
  <c r="T123" i="55"/>
  <c r="T121" i="55" s="1"/>
  <c r="T10" i="42" s="1"/>
  <c r="AG136" i="55"/>
  <c r="AG130" i="55" s="1"/>
  <c r="I97" i="55"/>
  <c r="I92" i="55" s="1"/>
  <c r="I7" i="23" s="1"/>
  <c r="P97" i="55"/>
  <c r="P87" i="55" s="1"/>
  <c r="P2" i="23" s="1"/>
  <c r="AG175" i="55"/>
  <c r="AG173" i="55" s="1"/>
  <c r="AG123" i="55"/>
  <c r="AG116" i="55" s="1"/>
  <c r="AG5" i="42" s="1"/>
  <c r="P71" i="55"/>
  <c r="P65" i="55" s="1"/>
  <c r="P6" i="25" s="1"/>
  <c r="AH45" i="55"/>
  <c r="AH39" i="55" s="1"/>
  <c r="AH6" i="26" s="1"/>
  <c r="R136" i="55"/>
  <c r="R130" i="55" s="1"/>
  <c r="Q162" i="55"/>
  <c r="Q152" i="55" s="1"/>
  <c r="Q2" i="44" s="1"/>
  <c r="K102" i="55"/>
  <c r="AP123" i="55"/>
  <c r="AP121" i="55" s="1"/>
  <c r="AP10" i="42" s="1"/>
  <c r="AI30" i="55"/>
  <c r="Z97" i="55"/>
  <c r="Z91" i="55" s="1"/>
  <c r="AM22" i="55"/>
  <c r="AI28" i="55"/>
  <c r="AM27" i="55"/>
  <c r="R175" i="55"/>
  <c r="R170" i="55" s="1"/>
  <c r="R7" i="45" s="1"/>
  <c r="Q175" i="55"/>
  <c r="Q165" i="55" s="1"/>
  <c r="Q2" i="45" s="1"/>
  <c r="K100" i="55"/>
  <c r="AP110" i="55"/>
  <c r="AP108" i="55" s="1"/>
  <c r="AI24" i="55"/>
  <c r="Z58" i="55"/>
  <c r="Z48" i="55" s="1"/>
  <c r="AM31" i="55"/>
  <c r="R162" i="55"/>
  <c r="R153" i="55" s="1"/>
  <c r="R3" i="44" s="1"/>
  <c r="R110" i="55"/>
  <c r="R101" i="55" s="1"/>
  <c r="K107" i="55"/>
  <c r="AI23" i="55"/>
  <c r="Z84" i="55"/>
  <c r="Z75" i="55" s="1"/>
  <c r="Z3" i="24" s="1"/>
  <c r="AM25" i="55"/>
  <c r="AP175" i="55"/>
  <c r="AI22" i="55"/>
  <c r="Z71" i="55"/>
  <c r="Z70" i="55" s="1"/>
  <c r="Z11" i="25" s="1"/>
  <c r="AM23" i="55"/>
  <c r="H149" i="55"/>
  <c r="H140" i="55" s="1"/>
  <c r="H3" i="43" s="1"/>
  <c r="K106" i="55"/>
  <c r="Z136" i="55"/>
  <c r="Z132" i="55" s="1"/>
  <c r="H136" i="55"/>
  <c r="H127" i="55" s="1"/>
  <c r="AN149" i="55"/>
  <c r="K109" i="55"/>
  <c r="Z175" i="55"/>
  <c r="Z171" i="55" s="1"/>
  <c r="AI26" i="55"/>
  <c r="AM26" i="55"/>
  <c r="H175" i="55"/>
  <c r="H174" i="55" s="1"/>
  <c r="H11" i="45" s="1"/>
  <c r="AM30" i="55"/>
  <c r="H162" i="55"/>
  <c r="H159" i="55" s="1"/>
  <c r="H9" i="44" s="1"/>
  <c r="AN175" i="55"/>
  <c r="AM28" i="55"/>
  <c r="AI31" i="55"/>
  <c r="AN110" i="55"/>
  <c r="AN108" i="55" s="1"/>
  <c r="AP149" i="55"/>
  <c r="AI29" i="55"/>
  <c r="AO27" i="55"/>
  <c r="AH58" i="55"/>
  <c r="AH49" i="55" s="1"/>
  <c r="G29" i="55"/>
  <c r="G26" i="55"/>
  <c r="G31" i="55"/>
  <c r="G30" i="55"/>
  <c r="G22" i="55"/>
  <c r="G25" i="55"/>
  <c r="G24" i="55"/>
  <c r="G27" i="55"/>
  <c r="G23" i="55"/>
  <c r="G28" i="55"/>
  <c r="AH71" i="55"/>
  <c r="AH62" i="55" s="1"/>
  <c r="AH3" i="25" s="1"/>
  <c r="AM149" i="55"/>
  <c r="AM143" i="55" s="1"/>
  <c r="AM6" i="43" s="1"/>
  <c r="AM136" i="55"/>
  <c r="AM133" i="55" s="1"/>
  <c r="AE149" i="55"/>
  <c r="AM162" i="55"/>
  <c r="AM157" i="55" s="1"/>
  <c r="AM7" i="44" s="1"/>
  <c r="AE136" i="55"/>
  <c r="AE132" i="55" s="1"/>
  <c r="AM175" i="55"/>
  <c r="AM110" i="55"/>
  <c r="AM101" i="55" s="1"/>
  <c r="AE175" i="55"/>
  <c r="AE168" i="55" s="1"/>
  <c r="AE162" i="55"/>
  <c r="AE160" i="55" s="1"/>
  <c r="AE10" i="44" s="1"/>
  <c r="AH97" i="55"/>
  <c r="AH92" i="55" s="1"/>
  <c r="AO25" i="55"/>
  <c r="AO29" i="55"/>
  <c r="AO26" i="55"/>
  <c r="AO23" i="55"/>
  <c r="AO28" i="55"/>
  <c r="AO24" i="55"/>
  <c r="AO22" i="55"/>
  <c r="AO31" i="55"/>
  <c r="AH181" i="55"/>
  <c r="AH186" i="55"/>
  <c r="AH185" i="55"/>
  <c r="AH179" i="55"/>
  <c r="AH187" i="55"/>
  <c r="AH178" i="55"/>
  <c r="AH184" i="55"/>
  <c r="AH180" i="55"/>
  <c r="AH182" i="55"/>
  <c r="AH183" i="55"/>
  <c r="K214" i="55"/>
  <c r="K201" i="55"/>
  <c r="K253" i="55"/>
  <c r="K240" i="55"/>
  <c r="K227" i="55"/>
  <c r="Z186" i="55"/>
  <c r="Z179" i="55"/>
  <c r="Z183" i="55"/>
  <c r="Z180" i="55"/>
  <c r="Z185" i="55"/>
  <c r="Z178" i="55"/>
  <c r="Z181" i="55"/>
  <c r="Z187" i="55"/>
  <c r="Z184" i="55"/>
  <c r="Z182" i="55"/>
  <c r="AN182" i="55"/>
  <c r="AN181" i="55"/>
  <c r="AN183" i="55"/>
  <c r="AN179" i="55"/>
  <c r="AN184" i="55"/>
  <c r="AN178" i="55"/>
  <c r="AN186" i="55"/>
  <c r="AN187" i="55"/>
  <c r="AN185" i="55"/>
  <c r="AN180" i="55"/>
  <c r="K178" i="55"/>
  <c r="K187" i="55"/>
  <c r="K179" i="55"/>
  <c r="K183" i="55"/>
  <c r="K184" i="55"/>
  <c r="K180" i="55"/>
  <c r="K185" i="55"/>
  <c r="K186" i="55"/>
  <c r="K182" i="55"/>
  <c r="K181" i="55"/>
  <c r="AK185" i="55"/>
  <c r="AK181" i="55"/>
  <c r="AK186" i="55"/>
  <c r="AK180" i="55"/>
  <c r="AK182" i="55"/>
  <c r="AK187" i="55"/>
  <c r="AK183" i="55"/>
  <c r="AK184" i="55"/>
  <c r="AK178" i="55"/>
  <c r="AK179" i="55"/>
  <c r="W186" i="55"/>
  <c r="W181" i="55"/>
  <c r="W178" i="55"/>
  <c r="W187" i="55"/>
  <c r="W183" i="55"/>
  <c r="W182" i="55"/>
  <c r="W180" i="55"/>
  <c r="W179" i="55"/>
  <c r="W184" i="55"/>
  <c r="W185" i="55"/>
  <c r="X253" i="55"/>
  <c r="X240" i="55"/>
  <c r="X201" i="55"/>
  <c r="X227" i="55"/>
  <c r="X214" i="55"/>
  <c r="AP227" i="55"/>
  <c r="AP240" i="55"/>
  <c r="AP253" i="55"/>
  <c r="AP201" i="55"/>
  <c r="AP214" i="55"/>
  <c r="AM227" i="55"/>
  <c r="AM240" i="55"/>
  <c r="AM253" i="55"/>
  <c r="AM201" i="55"/>
  <c r="AM214" i="55"/>
  <c r="S240" i="55"/>
  <c r="S214" i="55"/>
  <c r="S253" i="55"/>
  <c r="S227" i="55"/>
  <c r="S201" i="55"/>
  <c r="AA179" i="55"/>
  <c r="AA184" i="55"/>
  <c r="AA180" i="55"/>
  <c r="AA185" i="55"/>
  <c r="AA181" i="55"/>
  <c r="AA186" i="55"/>
  <c r="AA187" i="55"/>
  <c r="AA182" i="55"/>
  <c r="AA178" i="55"/>
  <c r="AA183" i="55"/>
  <c r="AB214" i="55"/>
  <c r="AB201" i="55"/>
  <c r="AB253" i="55"/>
  <c r="AB227" i="55"/>
  <c r="AB240" i="55"/>
  <c r="AO178" i="55"/>
  <c r="AO187" i="55"/>
  <c r="AO182" i="55"/>
  <c r="AO179" i="55"/>
  <c r="AO184" i="55"/>
  <c r="AO180" i="55"/>
  <c r="AO183" i="55"/>
  <c r="AO185" i="55"/>
  <c r="AO181" i="55"/>
  <c r="AO186" i="55"/>
  <c r="M183" i="55"/>
  <c r="M179" i="55"/>
  <c r="M186" i="55"/>
  <c r="M187" i="55"/>
  <c r="M185" i="55"/>
  <c r="M181" i="55"/>
  <c r="M178" i="55"/>
  <c r="M184" i="55"/>
  <c r="M182" i="55"/>
  <c r="M180" i="55"/>
  <c r="AP178" i="55"/>
  <c r="AP179" i="55"/>
  <c r="AP184" i="55"/>
  <c r="AP180" i="55"/>
  <c r="AP185" i="55"/>
  <c r="AP181" i="55"/>
  <c r="AP186" i="55"/>
  <c r="AP182" i="55"/>
  <c r="AP183" i="55"/>
  <c r="AP187" i="55"/>
  <c r="AB185" i="55"/>
  <c r="AB180" i="55"/>
  <c r="AB181" i="55"/>
  <c r="AB186" i="55"/>
  <c r="AB187" i="55"/>
  <c r="AB182" i="55"/>
  <c r="AB183" i="55"/>
  <c r="AB179" i="55"/>
  <c r="AB178" i="55"/>
  <c r="AB184" i="55"/>
  <c r="AQ240" i="55"/>
  <c r="AQ253" i="55"/>
  <c r="AQ227" i="55"/>
  <c r="AQ214" i="55"/>
  <c r="AQ201" i="55"/>
  <c r="Q240" i="55"/>
  <c r="Q227" i="55"/>
  <c r="Q214" i="55"/>
  <c r="Q201" i="55"/>
  <c r="Q253" i="55"/>
  <c r="R186" i="55"/>
  <c r="R187" i="55"/>
  <c r="R182" i="55"/>
  <c r="R178" i="55"/>
  <c r="R183" i="55"/>
  <c r="R179" i="55"/>
  <c r="R184" i="55"/>
  <c r="R180" i="55"/>
  <c r="R185" i="55"/>
  <c r="R181" i="55"/>
  <c r="O178" i="55"/>
  <c r="O187" i="55"/>
  <c r="O179" i="55"/>
  <c r="O184" i="55"/>
  <c r="O180" i="55"/>
  <c r="O185" i="55"/>
  <c r="O183" i="55"/>
  <c r="O186" i="55"/>
  <c r="O182" i="55"/>
  <c r="O181" i="55"/>
  <c r="AG227" i="55"/>
  <c r="AG253" i="55"/>
  <c r="AG240" i="55"/>
  <c r="AG214" i="55"/>
  <c r="AG201" i="55"/>
  <c r="E240" i="55"/>
  <c r="E253" i="55"/>
  <c r="E227" i="55"/>
  <c r="E201" i="55"/>
  <c r="E214" i="55"/>
  <c r="AF183" i="55"/>
  <c r="AF181" i="55"/>
  <c r="AF179" i="55"/>
  <c r="AF185" i="55"/>
  <c r="AF186" i="55"/>
  <c r="AF182" i="55"/>
  <c r="AF184" i="55"/>
  <c r="AF178" i="55"/>
  <c r="AF187" i="55"/>
  <c r="AF180" i="55"/>
  <c r="AH214" i="55"/>
  <c r="AH240" i="55"/>
  <c r="AH253" i="55"/>
  <c r="AH227" i="55"/>
  <c r="AH201" i="55"/>
  <c r="I240" i="55"/>
  <c r="I253" i="55"/>
  <c r="I201" i="55"/>
  <c r="I227" i="55"/>
  <c r="I214" i="55"/>
  <c r="T180" i="55"/>
  <c r="T186" i="55"/>
  <c r="T182" i="55"/>
  <c r="T181" i="55"/>
  <c r="T184" i="55"/>
  <c r="T178" i="55"/>
  <c r="T187" i="55"/>
  <c r="T185" i="55"/>
  <c r="T179" i="55"/>
  <c r="T183" i="55"/>
  <c r="U240" i="55"/>
  <c r="U253" i="55"/>
  <c r="U227" i="55"/>
  <c r="U214" i="55"/>
  <c r="U201" i="55"/>
  <c r="AL179" i="55"/>
  <c r="AL185" i="55"/>
  <c r="AL178" i="55"/>
  <c r="AL181" i="55"/>
  <c r="AL187" i="55"/>
  <c r="AL184" i="55"/>
  <c r="AL182" i="55"/>
  <c r="AL183" i="55"/>
  <c r="AL186" i="55"/>
  <c r="AL180" i="55"/>
  <c r="J55" i="55"/>
  <c r="J57" i="55"/>
  <c r="J48" i="55"/>
  <c r="J49" i="55"/>
  <c r="J50" i="55"/>
  <c r="J52" i="55"/>
  <c r="J51" i="55"/>
  <c r="J54" i="55"/>
  <c r="J56" i="55"/>
  <c r="J53" i="55"/>
  <c r="Z26" i="55"/>
  <c r="Z31" i="55"/>
  <c r="Z23" i="55"/>
  <c r="Z27" i="55"/>
  <c r="Z30" i="55"/>
  <c r="Z29" i="55"/>
  <c r="Z25" i="55"/>
  <c r="Z22" i="55"/>
  <c r="Z24" i="55"/>
  <c r="Z28" i="55"/>
  <c r="I186" i="55"/>
  <c r="I182" i="55"/>
  <c r="I187" i="55"/>
  <c r="I178" i="55"/>
  <c r="I183" i="55"/>
  <c r="I184" i="55"/>
  <c r="I179" i="55"/>
  <c r="I180" i="55"/>
  <c r="I185" i="55"/>
  <c r="I181" i="55"/>
  <c r="V240" i="55"/>
  <c r="V253" i="55"/>
  <c r="V227" i="55"/>
  <c r="V201" i="55"/>
  <c r="V214" i="55"/>
  <c r="Q43" i="55"/>
  <c r="Q10" i="26" s="1"/>
  <c r="N41" i="55"/>
  <c r="N8" i="26" s="1"/>
  <c r="N42" i="55"/>
  <c r="N9" i="26" s="1"/>
  <c r="N44" i="55"/>
  <c r="N11" i="26" s="1"/>
  <c r="N38" i="55"/>
  <c r="N5" i="26" s="1"/>
  <c r="N35" i="55"/>
  <c r="N2" i="26" s="1"/>
  <c r="N43" i="55"/>
  <c r="N10" i="26" s="1"/>
  <c r="N37" i="55"/>
  <c r="N4" i="26" s="1"/>
  <c r="N40" i="55"/>
  <c r="N7" i="26" s="1"/>
  <c r="N39" i="55"/>
  <c r="N6" i="26" s="1"/>
  <c r="N36" i="55"/>
  <c r="N3" i="26" s="1"/>
  <c r="V66" i="55"/>
  <c r="V7" i="25" s="1"/>
  <c r="V68" i="55"/>
  <c r="V9" i="25" s="1"/>
  <c r="V70" i="55"/>
  <c r="V11" i="25" s="1"/>
  <c r="V61" i="55"/>
  <c r="V2" i="25" s="1"/>
  <c r="V65" i="55"/>
  <c r="V6" i="25" s="1"/>
  <c r="V63" i="55"/>
  <c r="V4" i="25" s="1"/>
  <c r="V69" i="55"/>
  <c r="V10" i="25" s="1"/>
  <c r="V67" i="55"/>
  <c r="V8" i="25" s="1"/>
  <c r="V62" i="55"/>
  <c r="V3" i="25" s="1"/>
  <c r="V64" i="55"/>
  <c r="V5" i="25" s="1"/>
  <c r="AG62" i="55"/>
  <c r="AG3" i="25" s="1"/>
  <c r="AG64" i="55"/>
  <c r="AG5" i="25" s="1"/>
  <c r="AG66" i="55"/>
  <c r="AG7" i="25" s="1"/>
  <c r="AG68" i="55"/>
  <c r="AG9" i="25" s="1"/>
  <c r="AG67" i="55"/>
  <c r="AG8" i="25" s="1"/>
  <c r="AG63" i="55"/>
  <c r="AG4" i="25" s="1"/>
  <c r="AG69" i="55"/>
  <c r="AG10" i="25" s="1"/>
  <c r="AG61" i="55"/>
  <c r="AG2" i="25" s="1"/>
  <c r="AG70" i="55"/>
  <c r="AG11" i="25" s="1"/>
  <c r="AG65" i="55"/>
  <c r="AG6" i="25" s="1"/>
  <c r="P240" i="55"/>
  <c r="P253" i="55"/>
  <c r="P227" i="55"/>
  <c r="P214" i="55"/>
  <c r="P201" i="55"/>
  <c r="AL58" i="55"/>
  <c r="AL84" i="55"/>
  <c r="AL45" i="55"/>
  <c r="AL97" i="55"/>
  <c r="AL71" i="55"/>
  <c r="E69" i="55"/>
  <c r="E10" i="25" s="1"/>
  <c r="E66" i="55"/>
  <c r="E7" i="25" s="1"/>
  <c r="E67" i="55"/>
  <c r="E8" i="25" s="1"/>
  <c r="E63" i="55"/>
  <c r="E4" i="25" s="1"/>
  <c r="E62" i="55"/>
  <c r="E3" i="25" s="1"/>
  <c r="E64" i="55"/>
  <c r="E5" i="25" s="1"/>
  <c r="E61" i="55"/>
  <c r="E2" i="25" s="1"/>
  <c r="E65" i="55"/>
  <c r="E6" i="25" s="1"/>
  <c r="E68" i="55"/>
  <c r="E9" i="25" s="1"/>
  <c r="E70" i="55"/>
  <c r="E11" i="25" s="1"/>
  <c r="C240" i="55"/>
  <c r="C253" i="55"/>
  <c r="C227" i="55"/>
  <c r="C201" i="55"/>
  <c r="C214" i="55"/>
  <c r="M227" i="55"/>
  <c r="M214" i="55"/>
  <c r="M201" i="55"/>
  <c r="M240" i="55"/>
  <c r="M253" i="55"/>
  <c r="L25" i="55"/>
  <c r="L29" i="55"/>
  <c r="L24" i="55"/>
  <c r="L27" i="55"/>
  <c r="L26" i="55"/>
  <c r="L22" i="55"/>
  <c r="L30" i="55"/>
  <c r="L31" i="55"/>
  <c r="L28" i="55"/>
  <c r="L23" i="55"/>
  <c r="D3" i="53"/>
  <c r="Z44" i="55"/>
  <c r="Z11" i="26" s="1"/>
  <c r="Z40" i="55"/>
  <c r="Z7" i="26" s="1"/>
  <c r="Z39" i="55"/>
  <c r="Z6" i="26" s="1"/>
  <c r="Z37" i="55"/>
  <c r="Z4" i="26" s="1"/>
  <c r="Z42" i="55"/>
  <c r="Z9" i="26" s="1"/>
  <c r="Z38" i="55"/>
  <c r="Z5" i="26" s="1"/>
  <c r="Z36" i="55"/>
  <c r="Z3" i="26" s="1"/>
  <c r="Z41" i="55"/>
  <c r="Z8" i="26" s="1"/>
  <c r="Z35" i="55"/>
  <c r="Z2" i="26" s="1"/>
  <c r="Z43" i="55"/>
  <c r="Z10" i="26" s="1"/>
  <c r="AA37" i="55"/>
  <c r="AA4" i="26" s="1"/>
  <c r="AA39" i="55"/>
  <c r="AA6" i="26" s="1"/>
  <c r="AA41" i="55"/>
  <c r="AA8" i="26" s="1"/>
  <c r="AA43" i="55"/>
  <c r="AA10" i="26" s="1"/>
  <c r="AA40" i="55"/>
  <c r="AA7" i="26" s="1"/>
  <c r="AA42" i="55"/>
  <c r="AA9" i="26" s="1"/>
  <c r="AA38" i="55"/>
  <c r="AA5" i="26" s="1"/>
  <c r="AA35" i="55"/>
  <c r="AA2" i="26" s="1"/>
  <c r="AA36" i="55"/>
  <c r="AA3" i="26" s="1"/>
  <c r="AA44" i="55"/>
  <c r="AA11" i="26" s="1"/>
  <c r="AQ71" i="55"/>
  <c r="AQ84" i="55"/>
  <c r="AQ45" i="55"/>
  <c r="AQ97" i="55"/>
  <c r="AQ58" i="55"/>
  <c r="C178" i="55"/>
  <c r="C182" i="55"/>
  <c r="C181" i="55"/>
  <c r="C187" i="55"/>
  <c r="C183" i="55"/>
  <c r="C179" i="55"/>
  <c r="C184" i="55"/>
  <c r="C185" i="55"/>
  <c r="C180" i="55"/>
  <c r="C186" i="55"/>
  <c r="AP77" i="55"/>
  <c r="AP5" i="24" s="1"/>
  <c r="AP81" i="55"/>
  <c r="AP9" i="24" s="1"/>
  <c r="AP79" i="55"/>
  <c r="AP7" i="24" s="1"/>
  <c r="AP83" i="55"/>
  <c r="AP11" i="24" s="1"/>
  <c r="AP75" i="55"/>
  <c r="AP3" i="24" s="1"/>
  <c r="AP74" i="55"/>
  <c r="AP2" i="24" s="1"/>
  <c r="AP82" i="55"/>
  <c r="AP10" i="24" s="1"/>
  <c r="AP76" i="55"/>
  <c r="AP4" i="24" s="1"/>
  <c r="AP78" i="55"/>
  <c r="AP6" i="24" s="1"/>
  <c r="AP80" i="55"/>
  <c r="AP8" i="24" s="1"/>
  <c r="AC181" i="55"/>
  <c r="AC184" i="55"/>
  <c r="AC178" i="55"/>
  <c r="AC186" i="55"/>
  <c r="AC187" i="55"/>
  <c r="AC183" i="55"/>
  <c r="AC179" i="55"/>
  <c r="AC185" i="55"/>
  <c r="AC180" i="55"/>
  <c r="AC182" i="55"/>
  <c r="AC69" i="55"/>
  <c r="AC10" i="25" s="1"/>
  <c r="AC70" i="55"/>
  <c r="AC11" i="25" s="1"/>
  <c r="AC63" i="55"/>
  <c r="AC4" i="25" s="1"/>
  <c r="AC66" i="55"/>
  <c r="AC7" i="25" s="1"/>
  <c r="AC67" i="55"/>
  <c r="AC8" i="25" s="1"/>
  <c r="AC61" i="55"/>
  <c r="AC2" i="25" s="1"/>
  <c r="AC65" i="55"/>
  <c r="AC6" i="25" s="1"/>
  <c r="AC68" i="55"/>
  <c r="AC9" i="25" s="1"/>
  <c r="AC62" i="55"/>
  <c r="AC3" i="25" s="1"/>
  <c r="AC64" i="55"/>
  <c r="AC5" i="25" s="1"/>
  <c r="AI180" i="55"/>
  <c r="AI185" i="55"/>
  <c r="AI186" i="55"/>
  <c r="AI181" i="55"/>
  <c r="AI182" i="55"/>
  <c r="AI178" i="55"/>
  <c r="AI187" i="55"/>
  <c r="AI184" i="55"/>
  <c r="AI183" i="55"/>
  <c r="AI179" i="55"/>
  <c r="C75" i="55"/>
  <c r="C3" i="24" s="1"/>
  <c r="C77" i="55"/>
  <c r="C5" i="24" s="1"/>
  <c r="C79" i="55"/>
  <c r="C7" i="24" s="1"/>
  <c r="C81" i="55"/>
  <c r="C9" i="24" s="1"/>
  <c r="C82" i="55"/>
  <c r="C10" i="24" s="1"/>
  <c r="C83" i="55"/>
  <c r="C11" i="24" s="1"/>
  <c r="C76" i="55"/>
  <c r="C4" i="24" s="1"/>
  <c r="C74" i="55"/>
  <c r="C2" i="24" s="1"/>
  <c r="C78" i="55"/>
  <c r="C6" i="24" s="1"/>
  <c r="C80" i="55"/>
  <c r="C8" i="24" s="1"/>
  <c r="W253" i="55"/>
  <c r="W240" i="55"/>
  <c r="W227" i="55"/>
  <c r="W214" i="55"/>
  <c r="W201" i="55"/>
  <c r="AE58" i="55"/>
  <c r="AE71" i="55"/>
  <c r="AE97" i="55"/>
  <c r="AE84" i="55"/>
  <c r="AE45" i="55"/>
  <c r="AO35" i="55"/>
  <c r="AO2" i="26" s="1"/>
  <c r="AO37" i="55"/>
  <c r="AO4" i="26" s="1"/>
  <c r="AO44" i="55"/>
  <c r="AO11" i="26" s="1"/>
  <c r="AO39" i="55"/>
  <c r="AO6" i="26" s="1"/>
  <c r="AO41" i="55"/>
  <c r="AO8" i="26" s="1"/>
  <c r="AO43" i="55"/>
  <c r="AO10" i="26" s="1"/>
  <c r="AO36" i="55"/>
  <c r="AO3" i="26" s="1"/>
  <c r="AO38" i="55"/>
  <c r="AO5" i="26" s="1"/>
  <c r="AO40" i="55"/>
  <c r="AO7" i="26" s="1"/>
  <c r="AO42" i="55"/>
  <c r="AO9" i="26" s="1"/>
  <c r="M84" i="55"/>
  <c r="M71" i="55"/>
  <c r="M97" i="55"/>
  <c r="M45" i="55"/>
  <c r="M58" i="55"/>
  <c r="X57" i="55"/>
  <c r="X49" i="55"/>
  <c r="X56" i="55"/>
  <c r="X52" i="55"/>
  <c r="X48" i="55"/>
  <c r="X51" i="55"/>
  <c r="X53" i="55"/>
  <c r="X50" i="55"/>
  <c r="X55" i="55"/>
  <c r="X54" i="55"/>
  <c r="Z201" i="55"/>
  <c r="Z253" i="55"/>
  <c r="Z240" i="55"/>
  <c r="Z227" i="55"/>
  <c r="Z214" i="55"/>
  <c r="O89" i="55"/>
  <c r="O4" i="23" s="1"/>
  <c r="O93" i="55"/>
  <c r="O8" i="23" s="1"/>
  <c r="O88" i="55"/>
  <c r="O3" i="23" s="1"/>
  <c r="O240" i="55"/>
  <c r="O253" i="55"/>
  <c r="O214" i="55"/>
  <c r="O227" i="55"/>
  <c r="O201" i="55"/>
  <c r="AJ22" i="55"/>
  <c r="AJ24" i="55"/>
  <c r="AJ30" i="55"/>
  <c r="AJ31" i="55"/>
  <c r="AJ28" i="55"/>
  <c r="AJ29" i="55"/>
  <c r="AJ23" i="55"/>
  <c r="AJ26" i="55"/>
  <c r="AJ27" i="55"/>
  <c r="AJ25" i="55"/>
  <c r="D61" i="55"/>
  <c r="D2" i="25" s="1"/>
  <c r="D63" i="55"/>
  <c r="D4" i="25" s="1"/>
  <c r="D65" i="55"/>
  <c r="D6" i="25" s="1"/>
  <c r="D69" i="55"/>
  <c r="D10" i="25" s="1"/>
  <c r="D66" i="55"/>
  <c r="D7" i="25" s="1"/>
  <c r="D64" i="55"/>
  <c r="D5" i="25" s="1"/>
  <c r="D67" i="55"/>
  <c r="D8" i="25" s="1"/>
  <c r="D62" i="55"/>
  <c r="D3" i="25" s="1"/>
  <c r="D68" i="55"/>
  <c r="D9" i="25" s="1"/>
  <c r="D70" i="55"/>
  <c r="D11" i="25" s="1"/>
  <c r="N22" i="55"/>
  <c r="N28" i="55"/>
  <c r="N25" i="55"/>
  <c r="N31" i="55"/>
  <c r="N23" i="55"/>
  <c r="N26" i="55"/>
  <c r="N27" i="55"/>
  <c r="N29" i="55"/>
  <c r="N30" i="55"/>
  <c r="N24" i="55"/>
  <c r="U180" i="55"/>
  <c r="U185" i="55"/>
  <c r="U186" i="55"/>
  <c r="U182" i="55"/>
  <c r="U187" i="55"/>
  <c r="U181" i="55"/>
  <c r="U184" i="55"/>
  <c r="U183" i="55"/>
  <c r="U179" i="55"/>
  <c r="U178" i="55"/>
  <c r="AK40" i="55"/>
  <c r="AK7" i="26" s="1"/>
  <c r="AK38" i="55"/>
  <c r="AK5" i="26" s="1"/>
  <c r="AK43" i="55"/>
  <c r="AK10" i="26" s="1"/>
  <c r="AK39" i="55"/>
  <c r="AK6" i="26" s="1"/>
  <c r="AK35" i="55"/>
  <c r="AK2" i="26" s="1"/>
  <c r="AK37" i="55"/>
  <c r="AK4" i="26" s="1"/>
  <c r="AK42" i="55"/>
  <c r="AK9" i="26" s="1"/>
  <c r="AK44" i="55"/>
  <c r="AK11" i="26" s="1"/>
  <c r="AK36" i="55"/>
  <c r="AK3" i="26" s="1"/>
  <c r="AK41" i="55"/>
  <c r="AK8" i="26" s="1"/>
  <c r="AB45" i="55"/>
  <c r="AB84" i="55"/>
  <c r="AB97" i="55"/>
  <c r="AB71" i="55"/>
  <c r="AB58" i="55"/>
  <c r="AF71" i="55"/>
  <c r="AF84" i="55"/>
  <c r="AF97" i="55"/>
  <c r="AF45" i="55"/>
  <c r="AF58" i="55"/>
  <c r="J179" i="55"/>
  <c r="J178" i="55"/>
  <c r="J183" i="55"/>
  <c r="J184" i="55"/>
  <c r="J180" i="55"/>
  <c r="J182" i="55"/>
  <c r="J181" i="55"/>
  <c r="J187" i="55"/>
  <c r="J186" i="55"/>
  <c r="J185" i="55"/>
  <c r="AD67" i="55"/>
  <c r="AD8" i="25" s="1"/>
  <c r="AD61" i="55"/>
  <c r="AD2" i="25" s="1"/>
  <c r="AD69" i="55"/>
  <c r="AD10" i="25" s="1"/>
  <c r="AD62" i="55"/>
  <c r="AD3" i="25" s="1"/>
  <c r="AD64" i="55"/>
  <c r="AD5" i="25" s="1"/>
  <c r="AD66" i="55"/>
  <c r="AD7" i="25" s="1"/>
  <c r="AD70" i="55"/>
  <c r="AD11" i="25" s="1"/>
  <c r="AD68" i="55"/>
  <c r="AD9" i="25" s="1"/>
  <c r="AD63" i="55"/>
  <c r="AD4" i="25" s="1"/>
  <c r="AD65" i="55"/>
  <c r="AD6" i="25" s="1"/>
  <c r="V22" i="55"/>
  <c r="V30" i="55"/>
  <c r="V24" i="55"/>
  <c r="V27" i="55"/>
  <c r="V23" i="55"/>
  <c r="V25" i="55"/>
  <c r="V26" i="55"/>
  <c r="V31" i="55"/>
  <c r="V28" i="55"/>
  <c r="V29" i="55"/>
  <c r="C88" i="55"/>
  <c r="C3" i="23" s="1"/>
  <c r="C90" i="55"/>
  <c r="C5" i="23" s="1"/>
  <c r="C92" i="55"/>
  <c r="C7" i="23" s="1"/>
  <c r="C94" i="55"/>
  <c r="C9" i="23" s="1"/>
  <c r="C96" i="55"/>
  <c r="C11" i="23" s="1"/>
  <c r="C87" i="55"/>
  <c r="C2" i="23" s="1"/>
  <c r="C91" i="55"/>
  <c r="C6" i="23" s="1"/>
  <c r="C95" i="55"/>
  <c r="C10" i="23" s="1"/>
  <c r="C89" i="55"/>
  <c r="C4" i="23" s="1"/>
  <c r="C93" i="55"/>
  <c r="C8" i="23" s="1"/>
  <c r="AR227" i="55"/>
  <c r="AR214" i="55"/>
  <c r="AR201" i="55"/>
  <c r="AR240" i="55"/>
  <c r="AR253" i="55"/>
  <c r="AO96" i="55"/>
  <c r="AO87" i="55"/>
  <c r="AO91" i="55"/>
  <c r="AO95" i="55"/>
  <c r="AO93" i="55"/>
  <c r="AO89" i="55"/>
  <c r="AO88" i="55"/>
  <c r="AO90" i="55"/>
  <c r="AO92" i="55"/>
  <c r="AO94" i="55"/>
  <c r="H201" i="55"/>
  <c r="H214" i="55"/>
  <c r="H240" i="55"/>
  <c r="H253" i="55"/>
  <c r="H227" i="55"/>
  <c r="X27" i="55"/>
  <c r="X28" i="55"/>
  <c r="X30" i="55"/>
  <c r="X31" i="55"/>
  <c r="X23" i="55"/>
  <c r="X25" i="55"/>
  <c r="X24" i="55"/>
  <c r="X22" i="55"/>
  <c r="X29" i="55"/>
  <c r="X26" i="55"/>
  <c r="L240" i="55"/>
  <c r="L227" i="55"/>
  <c r="L253" i="55"/>
  <c r="L201" i="55"/>
  <c r="L214" i="55"/>
  <c r="X42" i="55"/>
  <c r="X9" i="26" s="1"/>
  <c r="X41" i="55"/>
  <c r="X8" i="26" s="1"/>
  <c r="X39" i="55"/>
  <c r="X6" i="26" s="1"/>
  <c r="O80" i="55"/>
  <c r="O8" i="24" s="1"/>
  <c r="O74" i="55"/>
  <c r="O2" i="24" s="1"/>
  <c r="O78" i="55"/>
  <c r="O6" i="24" s="1"/>
  <c r="O82" i="55"/>
  <c r="O10" i="24" s="1"/>
  <c r="O75" i="55"/>
  <c r="O3" i="24" s="1"/>
  <c r="O79" i="55"/>
  <c r="O7" i="24" s="1"/>
  <c r="O77" i="55"/>
  <c r="O5" i="24" s="1"/>
  <c r="O81" i="55"/>
  <c r="O9" i="24" s="1"/>
  <c r="O83" i="55"/>
  <c r="O11" i="24" s="1"/>
  <c r="O76" i="55"/>
  <c r="O4" i="24" s="1"/>
  <c r="AP92" i="55"/>
  <c r="AP96" i="55"/>
  <c r="AP95" i="55"/>
  <c r="AP89" i="55"/>
  <c r="AP93" i="55"/>
  <c r="AP88" i="55"/>
  <c r="AP87" i="55"/>
  <c r="AP90" i="55"/>
  <c r="AP94" i="55"/>
  <c r="AP91" i="55"/>
  <c r="AC201" i="55"/>
  <c r="AC240" i="55"/>
  <c r="AC253" i="55"/>
  <c r="AC227" i="55"/>
  <c r="AC214" i="55"/>
  <c r="D93" i="55"/>
  <c r="D8" i="23" s="1"/>
  <c r="D88" i="55"/>
  <c r="D3" i="23" s="1"/>
  <c r="D90" i="55"/>
  <c r="D5" i="23" s="1"/>
  <c r="D94" i="55"/>
  <c r="D9" i="23" s="1"/>
  <c r="D96" i="55"/>
  <c r="D11" i="23" s="1"/>
  <c r="D91" i="55"/>
  <c r="D6" i="23" s="1"/>
  <c r="D87" i="55"/>
  <c r="D2" i="23" s="1"/>
  <c r="D89" i="55"/>
  <c r="D4" i="23" s="1"/>
  <c r="D92" i="55"/>
  <c r="D7" i="23" s="1"/>
  <c r="D95" i="55"/>
  <c r="D10" i="23" s="1"/>
  <c r="I95" i="55"/>
  <c r="I10" i="23" s="1"/>
  <c r="G186" i="55"/>
  <c r="G183" i="55"/>
  <c r="G181" i="55"/>
  <c r="G179" i="55"/>
  <c r="G180" i="55"/>
  <c r="G182" i="55"/>
  <c r="G185" i="55"/>
  <c r="G184" i="55"/>
  <c r="G178" i="55"/>
  <c r="G187" i="55"/>
  <c r="D7" i="53"/>
  <c r="D188" i="55" s="1"/>
  <c r="AK240" i="55"/>
  <c r="AK253" i="55"/>
  <c r="AK227" i="55"/>
  <c r="AK201" i="55"/>
  <c r="AK214" i="55"/>
  <c r="D49" i="55"/>
  <c r="D51" i="55"/>
  <c r="D53" i="55"/>
  <c r="D55" i="55"/>
  <c r="D57" i="55"/>
  <c r="D50" i="55"/>
  <c r="D52" i="55"/>
  <c r="D54" i="55"/>
  <c r="D56" i="55"/>
  <c r="D48" i="55"/>
  <c r="AG186" i="55"/>
  <c r="AG180" i="55"/>
  <c r="AG185" i="55"/>
  <c r="AG179" i="55"/>
  <c r="AG181" i="55"/>
  <c r="AG182" i="55"/>
  <c r="AG183" i="55"/>
  <c r="AG184" i="55"/>
  <c r="AG187" i="55"/>
  <c r="AG178" i="55"/>
  <c r="K45" i="55"/>
  <c r="K58" i="55"/>
  <c r="K71" i="55"/>
  <c r="K97" i="55"/>
  <c r="K84" i="55"/>
  <c r="AG31" i="55"/>
  <c r="AG29" i="55"/>
  <c r="AG27" i="55"/>
  <c r="AG25" i="55"/>
  <c r="AG24" i="55"/>
  <c r="AG23" i="55"/>
  <c r="AG26" i="55"/>
  <c r="AG30" i="55"/>
  <c r="AG22" i="55"/>
  <c r="AG28" i="55"/>
  <c r="J227" i="55"/>
  <c r="J253" i="55"/>
  <c r="J240" i="55"/>
  <c r="J201" i="55"/>
  <c r="J214" i="55"/>
  <c r="C57" i="55"/>
  <c r="C54" i="55"/>
  <c r="C55" i="55"/>
  <c r="C51" i="55"/>
  <c r="C52" i="55"/>
  <c r="C48" i="55"/>
  <c r="C53" i="55"/>
  <c r="C50" i="55"/>
  <c r="C49" i="55"/>
  <c r="C56" i="55"/>
  <c r="AO81" i="55"/>
  <c r="AO9" i="24" s="1"/>
  <c r="AO79" i="55"/>
  <c r="AO7" i="24" s="1"/>
  <c r="AO74" i="55"/>
  <c r="AO2" i="24" s="1"/>
  <c r="AO76" i="55"/>
  <c r="AO4" i="24" s="1"/>
  <c r="AO78" i="55"/>
  <c r="AO6" i="24" s="1"/>
  <c r="AO80" i="55"/>
  <c r="AO8" i="24" s="1"/>
  <c r="AO82" i="55"/>
  <c r="AO10" i="24" s="1"/>
  <c r="AO75" i="55"/>
  <c r="AO3" i="24" s="1"/>
  <c r="AO77" i="55"/>
  <c r="AO5" i="24" s="1"/>
  <c r="AO83" i="55"/>
  <c r="AO11" i="24" s="1"/>
  <c r="H179" i="55"/>
  <c r="H183" i="55"/>
  <c r="H187" i="55"/>
  <c r="H185" i="55"/>
  <c r="H184" i="55"/>
  <c r="H186" i="55"/>
  <c r="H180" i="55"/>
  <c r="H182" i="55"/>
  <c r="H178" i="55"/>
  <c r="H181" i="55"/>
  <c r="R87" i="55"/>
  <c r="R2" i="23" s="1"/>
  <c r="P26" i="55"/>
  <c r="P25" i="55"/>
  <c r="P23" i="55"/>
  <c r="P29" i="55"/>
  <c r="P31" i="55"/>
  <c r="P28" i="55"/>
  <c r="P30" i="55"/>
  <c r="P27" i="55"/>
  <c r="P24" i="55"/>
  <c r="P22" i="55"/>
  <c r="X87" i="55"/>
  <c r="X2" i="23" s="1"/>
  <c r="AJ179" i="55"/>
  <c r="AJ181" i="55"/>
  <c r="AJ186" i="55"/>
  <c r="AJ182" i="55"/>
  <c r="AJ187" i="55"/>
  <c r="AJ178" i="55"/>
  <c r="AJ184" i="55"/>
  <c r="AJ183" i="55"/>
  <c r="AJ185" i="55"/>
  <c r="AJ180" i="55"/>
  <c r="D39" i="55"/>
  <c r="D6" i="26" s="1"/>
  <c r="D35" i="55"/>
  <c r="D2" i="26" s="1"/>
  <c r="D40" i="55"/>
  <c r="D7" i="26" s="1"/>
  <c r="D36" i="55"/>
  <c r="D3" i="26" s="1"/>
  <c r="D44" i="55"/>
  <c r="D11" i="26" s="1"/>
  <c r="D43" i="55"/>
  <c r="D10" i="26" s="1"/>
  <c r="D38" i="55"/>
  <c r="D5" i="26" s="1"/>
  <c r="D41" i="55"/>
  <c r="D8" i="26" s="1"/>
  <c r="D37" i="55"/>
  <c r="D4" i="26" s="1"/>
  <c r="D42" i="55"/>
  <c r="D9" i="26" s="1"/>
  <c r="I41" i="55"/>
  <c r="I8" i="26" s="1"/>
  <c r="I35" i="55"/>
  <c r="I2" i="26" s="1"/>
  <c r="I36" i="55"/>
  <c r="I3" i="26" s="1"/>
  <c r="I38" i="55"/>
  <c r="I5" i="26" s="1"/>
  <c r="I40" i="55"/>
  <c r="I7" i="26" s="1"/>
  <c r="I42" i="55"/>
  <c r="I9" i="26" s="1"/>
  <c r="I43" i="55"/>
  <c r="I10" i="26" s="1"/>
  <c r="I44" i="55"/>
  <c r="I11" i="26" s="1"/>
  <c r="I37" i="55"/>
  <c r="I4" i="26" s="1"/>
  <c r="I39" i="55"/>
  <c r="I6" i="26" s="1"/>
  <c r="AH80" i="55"/>
  <c r="AH8" i="24" s="1"/>
  <c r="AH75" i="55"/>
  <c r="AH3" i="24" s="1"/>
  <c r="AH77" i="55"/>
  <c r="AH5" i="24" s="1"/>
  <c r="AH81" i="55"/>
  <c r="AH9" i="24" s="1"/>
  <c r="AH83" i="55"/>
  <c r="AH11" i="24" s="1"/>
  <c r="AH82" i="55"/>
  <c r="AH10" i="24" s="1"/>
  <c r="AH76" i="55"/>
  <c r="AH4" i="24" s="1"/>
  <c r="AH79" i="55"/>
  <c r="AH7" i="24" s="1"/>
  <c r="AH74" i="55"/>
  <c r="AH2" i="24" s="1"/>
  <c r="AH78" i="55"/>
  <c r="AH6" i="24" s="1"/>
  <c r="AQ25" i="55"/>
  <c r="AQ26" i="55"/>
  <c r="AQ24" i="55"/>
  <c r="AQ28" i="55"/>
  <c r="AQ27" i="55"/>
  <c r="AQ23" i="55"/>
  <c r="AQ30" i="55"/>
  <c r="AQ29" i="55"/>
  <c r="AQ22" i="55"/>
  <c r="AQ31" i="55"/>
  <c r="X179" i="55"/>
  <c r="X181" i="55"/>
  <c r="X182" i="55"/>
  <c r="X178" i="55"/>
  <c r="X183" i="55"/>
  <c r="X185" i="55"/>
  <c r="X184" i="55"/>
  <c r="X187" i="55"/>
  <c r="X186" i="55"/>
  <c r="X180" i="55"/>
  <c r="AD240" i="55"/>
  <c r="AD253" i="55"/>
  <c r="AD227" i="55"/>
  <c r="AD201" i="55"/>
  <c r="AD214" i="55"/>
  <c r="V77" i="55"/>
  <c r="V5" i="24" s="1"/>
  <c r="V79" i="55"/>
  <c r="V7" i="24" s="1"/>
  <c r="V81" i="55"/>
  <c r="V9" i="24" s="1"/>
  <c r="V83" i="55"/>
  <c r="V11" i="24" s="1"/>
  <c r="V76" i="55"/>
  <c r="V4" i="24" s="1"/>
  <c r="V80" i="55"/>
  <c r="V8" i="24" s="1"/>
  <c r="V74" i="55"/>
  <c r="V2" i="24" s="1"/>
  <c r="V78" i="55"/>
  <c r="V6" i="24" s="1"/>
  <c r="V82" i="55"/>
  <c r="V10" i="24" s="1"/>
  <c r="V75" i="55"/>
  <c r="V3" i="24" s="1"/>
  <c r="D83" i="55"/>
  <c r="D11" i="24" s="1"/>
  <c r="D74" i="55"/>
  <c r="D2" i="24" s="1"/>
  <c r="D78" i="55"/>
  <c r="D6" i="24" s="1"/>
  <c r="D76" i="55"/>
  <c r="D4" i="24" s="1"/>
  <c r="D82" i="55"/>
  <c r="D10" i="24" s="1"/>
  <c r="D81" i="55"/>
  <c r="D9" i="24" s="1"/>
  <c r="D75" i="55"/>
  <c r="D3" i="24" s="1"/>
  <c r="D79" i="55"/>
  <c r="D7" i="24" s="1"/>
  <c r="D80" i="55"/>
  <c r="D8" i="24" s="1"/>
  <c r="D77" i="55"/>
  <c r="D5" i="24" s="1"/>
  <c r="Y227" i="55"/>
  <c r="Y214" i="55"/>
  <c r="Y201" i="55"/>
  <c r="Y240" i="55"/>
  <c r="Y253" i="55"/>
  <c r="S53" i="55"/>
  <c r="W49" i="55"/>
  <c r="W51" i="55"/>
  <c r="W56" i="55"/>
  <c r="W57" i="55"/>
  <c r="W55" i="55"/>
  <c r="W53" i="55"/>
  <c r="W50" i="55"/>
  <c r="W52" i="55"/>
  <c r="W54" i="55"/>
  <c r="W48" i="55"/>
  <c r="C39" i="55"/>
  <c r="C6" i="26" s="1"/>
  <c r="C43" i="55"/>
  <c r="C10" i="26" s="1"/>
  <c r="C36" i="55"/>
  <c r="C3" i="26" s="1"/>
  <c r="C41" i="55"/>
  <c r="C8" i="26" s="1"/>
  <c r="C44" i="55"/>
  <c r="C11" i="26" s="1"/>
  <c r="C38" i="55"/>
  <c r="C5" i="26" s="1"/>
  <c r="C35" i="55"/>
  <c r="C2" i="26" s="1"/>
  <c r="C40" i="55"/>
  <c r="C7" i="26" s="1"/>
  <c r="C42" i="55"/>
  <c r="C9" i="26" s="1"/>
  <c r="C37" i="55"/>
  <c r="C4" i="26" s="1"/>
  <c r="AN84" i="55"/>
  <c r="AN45" i="55"/>
  <c r="AN97" i="55"/>
  <c r="AN71" i="55"/>
  <c r="AN58" i="55"/>
  <c r="T52" i="55"/>
  <c r="T54" i="55"/>
  <c r="T56" i="55"/>
  <c r="T49" i="55"/>
  <c r="T53" i="55"/>
  <c r="T48" i="55"/>
  <c r="T55" i="55"/>
  <c r="T57" i="55"/>
  <c r="T51" i="55"/>
  <c r="T50" i="55"/>
  <c r="W27" i="55"/>
  <c r="W31" i="55"/>
  <c r="W25" i="55"/>
  <c r="W28" i="55"/>
  <c r="W22" i="55"/>
  <c r="W23" i="55"/>
  <c r="W30" i="55"/>
  <c r="W26" i="55"/>
  <c r="W24" i="55"/>
  <c r="W29" i="55"/>
  <c r="X77" i="55"/>
  <c r="X5" i="24" s="1"/>
  <c r="AI240" i="55"/>
  <c r="AI253" i="55"/>
  <c r="AI227" i="55"/>
  <c r="AI214" i="55"/>
  <c r="AI201" i="55"/>
  <c r="O63" i="55"/>
  <c r="O4" i="25" s="1"/>
  <c r="O65" i="55"/>
  <c r="O6" i="25" s="1"/>
  <c r="O67" i="55"/>
  <c r="O8" i="25" s="1"/>
  <c r="O68" i="55"/>
  <c r="O9" i="25" s="1"/>
  <c r="O62" i="55"/>
  <c r="O3" i="25" s="1"/>
  <c r="O66" i="55"/>
  <c r="O7" i="25" s="1"/>
  <c r="O70" i="55"/>
  <c r="O11" i="25" s="1"/>
  <c r="O64" i="55"/>
  <c r="O5" i="25" s="1"/>
  <c r="O61" i="55"/>
  <c r="O2" i="25" s="1"/>
  <c r="O69" i="55"/>
  <c r="O10" i="25" s="1"/>
  <c r="F253" i="55"/>
  <c r="F227" i="55"/>
  <c r="F201" i="55"/>
  <c r="F214" i="55"/>
  <c r="F240" i="55"/>
  <c r="AJ240" i="55"/>
  <c r="AJ253" i="55"/>
  <c r="AJ227" i="55"/>
  <c r="AJ201" i="55"/>
  <c r="AJ214" i="55"/>
  <c r="AH123" i="55"/>
  <c r="AH110" i="55"/>
  <c r="AH162" i="55"/>
  <c r="AH149" i="55"/>
  <c r="AH175" i="55"/>
  <c r="AH136" i="55"/>
  <c r="W123" i="55"/>
  <c r="W162" i="55"/>
  <c r="W175" i="55"/>
  <c r="W136" i="55"/>
  <c r="W149" i="55"/>
  <c r="W110" i="55"/>
  <c r="V180" i="55"/>
  <c r="V186" i="55"/>
  <c r="V178" i="55"/>
  <c r="V179" i="55"/>
  <c r="V182" i="55"/>
  <c r="V187" i="55"/>
  <c r="V183" i="55"/>
  <c r="V184" i="55"/>
  <c r="V185" i="55"/>
  <c r="V181" i="55"/>
  <c r="P48" i="55"/>
  <c r="P51" i="55"/>
  <c r="P53" i="55"/>
  <c r="P55" i="55"/>
  <c r="P57" i="55"/>
  <c r="P50" i="55"/>
  <c r="P52" i="55"/>
  <c r="P54" i="55"/>
  <c r="P56" i="55"/>
  <c r="P49" i="55"/>
  <c r="AD29" i="55"/>
  <c r="AD24" i="55"/>
  <c r="AD25" i="55"/>
  <c r="AD22" i="55"/>
  <c r="AD30" i="55"/>
  <c r="AD27" i="55"/>
  <c r="AD23" i="55"/>
  <c r="AD26" i="55"/>
  <c r="AD31" i="55"/>
  <c r="AD28" i="55"/>
  <c r="H75" i="55"/>
  <c r="H3" i="24" s="1"/>
  <c r="H83" i="55"/>
  <c r="H11" i="24" s="1"/>
  <c r="H79" i="55"/>
  <c r="H7" i="24" s="1"/>
  <c r="H77" i="55"/>
  <c r="H5" i="24" s="1"/>
  <c r="H81" i="55"/>
  <c r="H9" i="24" s="1"/>
  <c r="H74" i="55"/>
  <c r="H2" i="24" s="1"/>
  <c r="H80" i="55"/>
  <c r="H8" i="24" s="1"/>
  <c r="H76" i="55"/>
  <c r="H4" i="24" s="1"/>
  <c r="H78" i="55"/>
  <c r="H6" i="24" s="1"/>
  <c r="H82" i="55"/>
  <c r="H10" i="24" s="1"/>
  <c r="P178" i="55"/>
  <c r="P184" i="55"/>
  <c r="P181" i="55"/>
  <c r="P186" i="55"/>
  <c r="P180" i="55"/>
  <c r="P187" i="55"/>
  <c r="P185" i="55"/>
  <c r="P182" i="55"/>
  <c r="P179" i="55"/>
  <c r="P183" i="55"/>
  <c r="E40" i="55"/>
  <c r="E7" i="26" s="1"/>
  <c r="E42" i="55"/>
  <c r="E9" i="26" s="1"/>
  <c r="E44" i="55"/>
  <c r="E11" i="26" s="1"/>
  <c r="E41" i="55"/>
  <c r="E8" i="26" s="1"/>
  <c r="E35" i="55"/>
  <c r="E2" i="26" s="1"/>
  <c r="E37" i="55"/>
  <c r="E4" i="26" s="1"/>
  <c r="E39" i="55"/>
  <c r="E6" i="26" s="1"/>
  <c r="E36" i="55"/>
  <c r="E3" i="26" s="1"/>
  <c r="E43" i="55"/>
  <c r="E10" i="26" s="1"/>
  <c r="E38" i="55"/>
  <c r="E5" i="26" s="1"/>
  <c r="S68" i="55"/>
  <c r="S9" i="25" s="1"/>
  <c r="S70" i="55"/>
  <c r="S11" i="25" s="1"/>
  <c r="S65" i="55"/>
  <c r="S6" i="25" s="1"/>
  <c r="S69" i="55"/>
  <c r="S10" i="25" s="1"/>
  <c r="W78" i="55"/>
  <c r="W6" i="24" s="1"/>
  <c r="C70" i="55"/>
  <c r="C11" i="25" s="1"/>
  <c r="C62" i="55"/>
  <c r="C3" i="25" s="1"/>
  <c r="C66" i="55"/>
  <c r="C7" i="25" s="1"/>
  <c r="C68" i="55"/>
  <c r="C9" i="25" s="1"/>
  <c r="C61" i="55"/>
  <c r="C2" i="25" s="1"/>
  <c r="C63" i="55"/>
  <c r="C4" i="25" s="1"/>
  <c r="C65" i="55"/>
  <c r="C6" i="25" s="1"/>
  <c r="C69" i="55"/>
  <c r="C10" i="25" s="1"/>
  <c r="C67" i="55"/>
  <c r="C8" i="25" s="1"/>
  <c r="C64" i="55"/>
  <c r="C5" i="25" s="1"/>
  <c r="AI45" i="55"/>
  <c r="AI71" i="55"/>
  <c r="AI97" i="55"/>
  <c r="AI84" i="55"/>
  <c r="AI58" i="55"/>
  <c r="S178" i="55"/>
  <c r="S181" i="55"/>
  <c r="S185" i="55"/>
  <c r="S187" i="55"/>
  <c r="S179" i="55"/>
  <c r="S183" i="55"/>
  <c r="S182" i="55"/>
  <c r="S184" i="55"/>
  <c r="S180" i="55"/>
  <c r="S186" i="55"/>
  <c r="S24" i="55"/>
  <c r="S25" i="55"/>
  <c r="S26" i="55"/>
  <c r="S29" i="55"/>
  <c r="S31" i="55"/>
  <c r="S27" i="55"/>
  <c r="S23" i="55"/>
  <c r="S28" i="55"/>
  <c r="S22" i="55"/>
  <c r="S30" i="55"/>
  <c r="J83" i="55"/>
  <c r="J11" i="24" s="1"/>
  <c r="X70" i="55"/>
  <c r="X11" i="25" s="1"/>
  <c r="X65" i="55"/>
  <c r="X6" i="25" s="1"/>
  <c r="X67" i="55"/>
  <c r="X8" i="25" s="1"/>
  <c r="X69" i="55"/>
  <c r="X10" i="25" s="1"/>
  <c r="X62" i="55"/>
  <c r="X3" i="25" s="1"/>
  <c r="X64" i="55"/>
  <c r="X5" i="25" s="1"/>
  <c r="X68" i="55"/>
  <c r="X9" i="25" s="1"/>
  <c r="X63" i="55"/>
  <c r="X4" i="25" s="1"/>
  <c r="X61" i="55"/>
  <c r="X2" i="25" s="1"/>
  <c r="X66" i="55"/>
  <c r="X7" i="25" s="1"/>
  <c r="N227" i="55"/>
  <c r="N214" i="55"/>
  <c r="N201" i="55"/>
  <c r="N240" i="55"/>
  <c r="N253" i="55"/>
  <c r="G55" i="55"/>
  <c r="G51" i="55"/>
  <c r="G56" i="55"/>
  <c r="G52" i="55"/>
  <c r="G57" i="55"/>
  <c r="G53" i="55"/>
  <c r="G49" i="55"/>
  <c r="G54" i="55"/>
  <c r="G50" i="55"/>
  <c r="G48" i="55"/>
  <c r="Y179" i="55"/>
  <c r="Y182" i="55"/>
  <c r="Y178" i="55"/>
  <c r="Y184" i="55"/>
  <c r="Y181" i="55"/>
  <c r="Y187" i="55"/>
  <c r="Y183" i="55"/>
  <c r="Y180" i="55"/>
  <c r="Y185" i="55"/>
  <c r="Y186" i="55"/>
  <c r="U78" i="55"/>
  <c r="U6" i="24" s="1"/>
  <c r="F178" i="55"/>
  <c r="F187" i="55"/>
  <c r="F179" i="55"/>
  <c r="F184" i="55"/>
  <c r="F180" i="55"/>
  <c r="F182" i="55"/>
  <c r="F183" i="55"/>
  <c r="F181" i="55"/>
  <c r="F185" i="55"/>
  <c r="F186" i="55"/>
  <c r="N80" i="55"/>
  <c r="N8" i="24" s="1"/>
  <c r="N74" i="55"/>
  <c r="N2" i="24" s="1"/>
  <c r="N82" i="55"/>
  <c r="N10" i="24" s="1"/>
  <c r="AO240" i="55"/>
  <c r="AO214" i="55"/>
  <c r="AO201" i="55"/>
  <c r="AO253" i="55"/>
  <c r="AO227" i="55"/>
  <c r="E75" i="55"/>
  <c r="E3" i="24" s="1"/>
  <c r="E74" i="55"/>
  <c r="E2" i="24" s="1"/>
  <c r="E76" i="55"/>
  <c r="E4" i="24" s="1"/>
  <c r="E78" i="55"/>
  <c r="E6" i="24" s="1"/>
  <c r="E82" i="55"/>
  <c r="E10" i="24" s="1"/>
  <c r="E81" i="55"/>
  <c r="E9" i="24" s="1"/>
  <c r="E83" i="55"/>
  <c r="E11" i="24" s="1"/>
  <c r="E80" i="55"/>
  <c r="E8" i="24" s="1"/>
  <c r="E77" i="55"/>
  <c r="E5" i="24" s="1"/>
  <c r="E79" i="55"/>
  <c r="E7" i="24" s="1"/>
  <c r="AM181" i="55"/>
  <c r="AM178" i="55"/>
  <c r="AM183" i="55"/>
  <c r="AM180" i="55"/>
  <c r="AM185" i="55"/>
  <c r="AM184" i="55"/>
  <c r="AM187" i="55"/>
  <c r="AM179" i="55"/>
  <c r="AM186" i="55"/>
  <c r="AM182" i="55"/>
  <c r="AF23" i="55"/>
  <c r="AF25" i="55"/>
  <c r="AF28" i="55"/>
  <c r="AF29" i="55"/>
  <c r="AF22" i="55"/>
  <c r="AF31" i="55"/>
  <c r="AF30" i="55"/>
  <c r="AF27" i="55"/>
  <c r="AF24" i="55"/>
  <c r="AF26" i="55"/>
  <c r="W95" i="55"/>
  <c r="W10" i="23" s="1"/>
  <c r="W88" i="55"/>
  <c r="W3" i="23" s="1"/>
  <c r="W96" i="55"/>
  <c r="W11" i="23" s="1"/>
  <c r="W92" i="55"/>
  <c r="W7" i="23" s="1"/>
  <c r="W94" i="55"/>
  <c r="W9" i="23" s="1"/>
  <c r="W90" i="55"/>
  <c r="W5" i="23" s="1"/>
  <c r="W87" i="55"/>
  <c r="W2" i="23" s="1"/>
  <c r="W91" i="55"/>
  <c r="W6" i="23" s="1"/>
  <c r="W89" i="55"/>
  <c r="W4" i="23" s="1"/>
  <c r="W93" i="55"/>
  <c r="W8" i="23" s="1"/>
  <c r="AE240" i="55"/>
  <c r="AE253" i="55"/>
  <c r="AE227" i="55"/>
  <c r="AE214" i="55"/>
  <c r="AE201" i="55"/>
  <c r="Q184" i="55"/>
  <c r="Q187" i="55"/>
  <c r="Q185" i="55"/>
  <c r="Q180" i="55"/>
  <c r="Q181" i="55"/>
  <c r="Q178" i="55"/>
  <c r="Q183" i="55"/>
  <c r="Q186" i="55"/>
  <c r="Q182" i="55"/>
  <c r="Q179" i="55"/>
  <c r="AN26" i="55"/>
  <c r="AN29" i="55"/>
  <c r="AN25" i="55"/>
  <c r="AN31" i="55"/>
  <c r="AN22" i="55"/>
  <c r="AN24" i="55"/>
  <c r="AN28" i="55"/>
  <c r="AN30" i="55"/>
  <c r="AN23" i="55"/>
  <c r="AN27" i="55"/>
  <c r="R31" i="55"/>
  <c r="R29" i="55"/>
  <c r="R22" i="55"/>
  <c r="R28" i="55"/>
  <c r="R30" i="55"/>
  <c r="R24" i="55"/>
  <c r="R25" i="55"/>
  <c r="R26" i="55"/>
  <c r="R27" i="55"/>
  <c r="R23" i="55"/>
  <c r="H30" i="55"/>
  <c r="H27" i="55"/>
  <c r="H22" i="55"/>
  <c r="H28" i="55"/>
  <c r="H29" i="55"/>
  <c r="H23" i="55"/>
  <c r="H25" i="55"/>
  <c r="H24" i="55"/>
  <c r="H26" i="55"/>
  <c r="H31" i="55"/>
  <c r="R66" i="55"/>
  <c r="R7" i="25" s="1"/>
  <c r="R61" i="55"/>
  <c r="R2" i="25" s="1"/>
  <c r="R63" i="55"/>
  <c r="R4" i="25" s="1"/>
  <c r="R67" i="55"/>
  <c r="R8" i="25" s="1"/>
  <c r="R65" i="55"/>
  <c r="R6" i="25" s="1"/>
  <c r="R64" i="55"/>
  <c r="R5" i="25" s="1"/>
  <c r="R69" i="55"/>
  <c r="R10" i="25" s="1"/>
  <c r="R70" i="55"/>
  <c r="R11" i="25" s="1"/>
  <c r="R62" i="55"/>
  <c r="R3" i="25" s="1"/>
  <c r="R68" i="55"/>
  <c r="R9" i="25" s="1"/>
  <c r="J44" i="55"/>
  <c r="J11" i="26" s="1"/>
  <c r="J37" i="55"/>
  <c r="J4" i="26" s="1"/>
  <c r="J43" i="55"/>
  <c r="J10" i="26" s="1"/>
  <c r="AE27" i="55"/>
  <c r="AE25" i="55"/>
  <c r="AE28" i="55"/>
  <c r="AE29" i="55"/>
  <c r="AE24" i="55"/>
  <c r="AE23" i="55"/>
  <c r="AE30" i="55"/>
  <c r="AE26" i="55"/>
  <c r="AE31" i="55"/>
  <c r="AE22" i="55"/>
  <c r="Z87" i="55"/>
  <c r="AL26" i="55"/>
  <c r="AL28" i="55"/>
  <c r="AL29" i="55"/>
  <c r="AL24" i="55"/>
  <c r="AL25" i="55"/>
  <c r="AL30" i="55"/>
  <c r="AL27" i="55"/>
  <c r="AL31" i="55"/>
  <c r="AL23" i="55"/>
  <c r="AL22" i="55"/>
  <c r="G80" i="55"/>
  <c r="G8" i="24" s="1"/>
  <c r="G79" i="55"/>
  <c r="G7" i="24" s="1"/>
  <c r="G81" i="55"/>
  <c r="G9" i="24" s="1"/>
  <c r="G83" i="55"/>
  <c r="G11" i="24" s="1"/>
  <c r="G77" i="55"/>
  <c r="G5" i="24" s="1"/>
  <c r="AR22" i="55"/>
  <c r="AR30" i="55"/>
  <c r="AR29" i="55"/>
  <c r="AR25" i="55"/>
  <c r="AR26" i="55"/>
  <c r="AR23" i="55"/>
  <c r="AR31" i="55"/>
  <c r="AR24" i="55"/>
  <c r="AR28" i="55"/>
  <c r="AR27" i="55"/>
  <c r="L179" i="55"/>
  <c r="L180" i="55"/>
  <c r="L185" i="55"/>
  <c r="L186" i="55"/>
  <c r="L182" i="55"/>
  <c r="L187" i="55"/>
  <c r="L184" i="55"/>
  <c r="L183" i="55"/>
  <c r="L181" i="55"/>
  <c r="L178" i="55"/>
  <c r="Q54" i="55"/>
  <c r="Q48" i="55"/>
  <c r="Q55" i="55"/>
  <c r="Q52" i="55"/>
  <c r="Q49" i="55"/>
  <c r="Q57" i="55"/>
  <c r="Q56" i="55"/>
  <c r="Q51" i="55"/>
  <c r="Q50" i="55"/>
  <c r="Q53" i="55"/>
  <c r="N48" i="55"/>
  <c r="N51" i="55"/>
  <c r="N53" i="55"/>
  <c r="N55" i="55"/>
  <c r="N57" i="55"/>
  <c r="N54" i="55"/>
  <c r="N50" i="55"/>
  <c r="AF240" i="55"/>
  <c r="AF253" i="55"/>
  <c r="AF227" i="55"/>
  <c r="AF201" i="55"/>
  <c r="AF214" i="55"/>
  <c r="AN240" i="55"/>
  <c r="AN253" i="55"/>
  <c r="AN201" i="55"/>
  <c r="AN227" i="55"/>
  <c r="AN214" i="55"/>
  <c r="AH31" i="55"/>
  <c r="AH24" i="55"/>
  <c r="AH22" i="55"/>
  <c r="AH29" i="55"/>
  <c r="AH28" i="55"/>
  <c r="AH30" i="55"/>
  <c r="AH27" i="55"/>
  <c r="AH26" i="55"/>
  <c r="AH23" i="55"/>
  <c r="AH25" i="55"/>
  <c r="AO57" i="55"/>
  <c r="AO49" i="55"/>
  <c r="AO54" i="55"/>
  <c r="AO48" i="55"/>
  <c r="AO51" i="55"/>
  <c r="AO50" i="55"/>
  <c r="AO52" i="55"/>
  <c r="AO56" i="55"/>
  <c r="AO53" i="55"/>
  <c r="AO55" i="55"/>
  <c r="E186" i="55"/>
  <c r="E178" i="55"/>
  <c r="E181" i="55"/>
  <c r="E187" i="55"/>
  <c r="E182" i="55"/>
  <c r="E183" i="55"/>
  <c r="E184" i="55"/>
  <c r="E185" i="55"/>
  <c r="E180" i="55"/>
  <c r="E179" i="55"/>
  <c r="S88" i="55"/>
  <c r="S3" i="23" s="1"/>
  <c r="AQ182" i="55"/>
  <c r="AQ186" i="55"/>
  <c r="AQ179" i="55"/>
  <c r="AQ178" i="55"/>
  <c r="AQ183" i="55"/>
  <c r="AQ185" i="55"/>
  <c r="AQ187" i="55"/>
  <c r="AQ184" i="55"/>
  <c r="AQ181" i="55"/>
  <c r="AQ180" i="55"/>
  <c r="F71" i="55"/>
  <c r="F97" i="55"/>
  <c r="F84" i="55"/>
  <c r="F45" i="55"/>
  <c r="F58" i="55"/>
  <c r="S35" i="55"/>
  <c r="S2" i="26" s="1"/>
  <c r="S38" i="55"/>
  <c r="S5" i="26" s="1"/>
  <c r="S40" i="55"/>
  <c r="S7" i="26" s="1"/>
  <c r="S42" i="55"/>
  <c r="S9" i="26" s="1"/>
  <c r="S37" i="55"/>
  <c r="S4" i="26" s="1"/>
  <c r="S36" i="55"/>
  <c r="S3" i="26" s="1"/>
  <c r="S39" i="55"/>
  <c r="S6" i="26" s="1"/>
  <c r="S43" i="55"/>
  <c r="S10" i="26" s="1"/>
  <c r="S44" i="55"/>
  <c r="S11" i="26" s="1"/>
  <c r="S41" i="55"/>
  <c r="S8" i="26" s="1"/>
  <c r="AD184" i="55"/>
  <c r="AD181" i="55"/>
  <c r="AD179" i="55"/>
  <c r="AD187" i="55"/>
  <c r="AD182" i="55"/>
  <c r="AD178" i="55"/>
  <c r="AD183" i="55"/>
  <c r="AD180" i="55"/>
  <c r="AD185" i="55"/>
  <c r="AD186" i="55"/>
  <c r="W37" i="55"/>
  <c r="W4" i="26" s="1"/>
  <c r="W39" i="55"/>
  <c r="W6" i="26" s="1"/>
  <c r="W40" i="55"/>
  <c r="W7" i="26" s="1"/>
  <c r="W41" i="55"/>
  <c r="W8" i="26" s="1"/>
  <c r="W43" i="55"/>
  <c r="W10" i="26" s="1"/>
  <c r="W36" i="55"/>
  <c r="W3" i="26" s="1"/>
  <c r="W38" i="55"/>
  <c r="W5" i="26" s="1"/>
  <c r="W44" i="55"/>
  <c r="W11" i="26" s="1"/>
  <c r="W35" i="55"/>
  <c r="W2" i="26" s="1"/>
  <c r="W42" i="55"/>
  <c r="W9" i="26" s="1"/>
  <c r="AJ67" i="55"/>
  <c r="AJ8" i="25" s="1"/>
  <c r="AJ69" i="55"/>
  <c r="AJ10" i="25" s="1"/>
  <c r="AJ62" i="55"/>
  <c r="AJ3" i="25" s="1"/>
  <c r="AJ68" i="55"/>
  <c r="AJ9" i="25" s="1"/>
  <c r="AJ70" i="55"/>
  <c r="AJ11" i="25" s="1"/>
  <c r="AJ64" i="55"/>
  <c r="AJ5" i="25" s="1"/>
  <c r="AJ66" i="55"/>
  <c r="AJ7" i="25" s="1"/>
  <c r="AJ63" i="55"/>
  <c r="AJ4" i="25" s="1"/>
  <c r="AJ61" i="55"/>
  <c r="AJ2" i="25" s="1"/>
  <c r="AJ65" i="55"/>
  <c r="AJ6" i="25" s="1"/>
  <c r="AE178" i="55"/>
  <c r="AE181" i="55"/>
  <c r="AE187" i="55"/>
  <c r="AE179" i="55"/>
  <c r="AE183" i="55"/>
  <c r="AE182" i="55"/>
  <c r="AE184" i="55"/>
  <c r="AE185" i="55"/>
  <c r="AE180" i="55"/>
  <c r="AE186" i="55"/>
  <c r="R253" i="55"/>
  <c r="R227" i="55"/>
  <c r="R201" i="55"/>
  <c r="R214" i="55"/>
  <c r="R240" i="55"/>
  <c r="AK28" i="55"/>
  <c r="AK30" i="55"/>
  <c r="AK27" i="55"/>
  <c r="AK23" i="55"/>
  <c r="AK22" i="55"/>
  <c r="AK26" i="55"/>
  <c r="AK31" i="55"/>
  <c r="AK29" i="55"/>
  <c r="AK24" i="55"/>
  <c r="AK25" i="55"/>
  <c r="AR185" i="55"/>
  <c r="AR184" i="55"/>
  <c r="AR178" i="55"/>
  <c r="AR183" i="55"/>
  <c r="AR187" i="55"/>
  <c r="AR179" i="55"/>
  <c r="AR181" i="55"/>
  <c r="AR186" i="55"/>
  <c r="AR182" i="55"/>
  <c r="AR180" i="55"/>
  <c r="AA27" i="55"/>
  <c r="AA31" i="55"/>
  <c r="AA25" i="55"/>
  <c r="AA24" i="55"/>
  <c r="AA28" i="55"/>
  <c r="AA26" i="55"/>
  <c r="AA23" i="55"/>
  <c r="AA30" i="55"/>
  <c r="AA29" i="55"/>
  <c r="AA22" i="55"/>
  <c r="U38" i="55"/>
  <c r="U5" i="26" s="1"/>
  <c r="AM91" i="55"/>
  <c r="AM95" i="55"/>
  <c r="AM88" i="55"/>
  <c r="AM90" i="55"/>
  <c r="AM92" i="55"/>
  <c r="AM94" i="55"/>
  <c r="AM89" i="55"/>
  <c r="AM96" i="55"/>
  <c r="AM93" i="55"/>
  <c r="AM87" i="55"/>
  <c r="Q96" i="55"/>
  <c r="Q11" i="23" s="1"/>
  <c r="AG87" i="55"/>
  <c r="AH50" i="55"/>
  <c r="E89" i="55"/>
  <c r="E4" i="23" s="1"/>
  <c r="E93" i="55"/>
  <c r="E8" i="23" s="1"/>
  <c r="E91" i="55"/>
  <c r="E6" i="23" s="1"/>
  <c r="E95" i="55"/>
  <c r="E10" i="23" s="1"/>
  <c r="E92" i="55"/>
  <c r="E7" i="23" s="1"/>
  <c r="E87" i="55"/>
  <c r="E2" i="23" s="1"/>
  <c r="E88" i="55"/>
  <c r="E3" i="23" s="1"/>
  <c r="E96" i="55"/>
  <c r="E11" i="23" s="1"/>
  <c r="E90" i="55"/>
  <c r="E5" i="23" s="1"/>
  <c r="E94" i="55"/>
  <c r="E9" i="23" s="1"/>
  <c r="AO62" i="55"/>
  <c r="AO3" i="25" s="1"/>
  <c r="AO68" i="55"/>
  <c r="AO9" i="25" s="1"/>
  <c r="AO64" i="55"/>
  <c r="AO5" i="25" s="1"/>
  <c r="AO63" i="55"/>
  <c r="AO4" i="25" s="1"/>
  <c r="AO70" i="55"/>
  <c r="AO11" i="25" s="1"/>
  <c r="AO65" i="55"/>
  <c r="AO6" i="25" s="1"/>
  <c r="AO61" i="55"/>
  <c r="AO2" i="25" s="1"/>
  <c r="AO69" i="55"/>
  <c r="AO10" i="25" s="1"/>
  <c r="AO66" i="55"/>
  <c r="AO7" i="25" s="1"/>
  <c r="AO67" i="55"/>
  <c r="AO8" i="25" s="1"/>
  <c r="AA54" i="55"/>
  <c r="Y71" i="55"/>
  <c r="Y97" i="55"/>
  <c r="Y45" i="55"/>
  <c r="Y58" i="55"/>
  <c r="Y84" i="55"/>
  <c r="AP64" i="55"/>
  <c r="AP5" i="25" s="1"/>
  <c r="AP66" i="55"/>
  <c r="AP7" i="25" s="1"/>
  <c r="AP68" i="55"/>
  <c r="AP9" i="25" s="1"/>
  <c r="AP70" i="55"/>
  <c r="AP11" i="25" s="1"/>
  <c r="AP65" i="55"/>
  <c r="AP6" i="25" s="1"/>
  <c r="AP69" i="55"/>
  <c r="AP10" i="25" s="1"/>
  <c r="AP61" i="55"/>
  <c r="AP2" i="25" s="1"/>
  <c r="AP67" i="55"/>
  <c r="AP8" i="25" s="1"/>
  <c r="AP63" i="55"/>
  <c r="AP4" i="25" s="1"/>
  <c r="AP62" i="55"/>
  <c r="AP3" i="25" s="1"/>
  <c r="I81" i="55"/>
  <c r="I9" i="24" s="1"/>
  <c r="I79" i="55"/>
  <c r="I7" i="24" s="1"/>
  <c r="N179" i="55"/>
  <c r="N185" i="55"/>
  <c r="N186" i="55"/>
  <c r="N184" i="55"/>
  <c r="N181" i="55"/>
  <c r="N187" i="55"/>
  <c r="N180" i="55"/>
  <c r="N183" i="55"/>
  <c r="N182" i="55"/>
  <c r="N178" i="55"/>
  <c r="AR94" i="55"/>
  <c r="AR96" i="55"/>
  <c r="AR91" i="55"/>
  <c r="AR93" i="55"/>
  <c r="AR92" i="55"/>
  <c r="AR87" i="55"/>
  <c r="AR95" i="55"/>
  <c r="AR89" i="55"/>
  <c r="AR88" i="55"/>
  <c r="AR90" i="55"/>
  <c r="AH88" i="55"/>
  <c r="AA227" i="55"/>
  <c r="AA201" i="55"/>
  <c r="AA214" i="55"/>
  <c r="AA240" i="55"/>
  <c r="AA253" i="55"/>
  <c r="S74" i="55"/>
  <c r="S2" i="24" s="1"/>
  <c r="S76" i="55"/>
  <c r="S4" i="24" s="1"/>
  <c r="S78" i="55"/>
  <c r="S6" i="24" s="1"/>
  <c r="S80" i="55"/>
  <c r="S8" i="24" s="1"/>
  <c r="S82" i="55"/>
  <c r="S10" i="24" s="1"/>
  <c r="S77" i="55"/>
  <c r="S5" i="24" s="1"/>
  <c r="S81" i="55"/>
  <c r="S9" i="24" s="1"/>
  <c r="S79" i="55"/>
  <c r="S7" i="24" s="1"/>
  <c r="S83" i="55"/>
  <c r="S11" i="24" s="1"/>
  <c r="S75" i="55"/>
  <c r="S3" i="24" s="1"/>
  <c r="W63" i="55"/>
  <c r="W4" i="25" s="1"/>
  <c r="W66" i="55"/>
  <c r="W7" i="25" s="1"/>
  <c r="W69" i="55"/>
  <c r="W10" i="25" s="1"/>
  <c r="W64" i="55"/>
  <c r="W5" i="25" s="1"/>
  <c r="W67" i="55"/>
  <c r="W8" i="25" s="1"/>
  <c r="W68" i="55"/>
  <c r="W9" i="25" s="1"/>
  <c r="W65" i="55"/>
  <c r="W6" i="25" s="1"/>
  <c r="W62" i="55"/>
  <c r="W3" i="25" s="1"/>
  <c r="W61" i="55"/>
  <c r="W2" i="25" s="1"/>
  <c r="W70" i="55"/>
  <c r="W11" i="25" s="1"/>
  <c r="G253" i="55"/>
  <c r="G240" i="55"/>
  <c r="G214" i="55"/>
  <c r="G201" i="55"/>
  <c r="G227" i="55"/>
  <c r="AB22" i="55"/>
  <c r="AB30" i="55"/>
  <c r="AB27" i="55"/>
  <c r="AB25" i="55"/>
  <c r="AB23" i="55"/>
  <c r="AB26" i="55"/>
  <c r="AB24" i="55"/>
  <c r="AB31" i="55"/>
  <c r="AB28" i="55"/>
  <c r="AB29" i="55"/>
  <c r="H42" i="55"/>
  <c r="H9" i="26" s="1"/>
  <c r="T240" i="55"/>
  <c r="T253" i="55"/>
  <c r="T227" i="55"/>
  <c r="T201" i="55"/>
  <c r="T214" i="55"/>
  <c r="P67" i="55"/>
  <c r="P8" i="25" s="1"/>
  <c r="P63" i="55"/>
  <c r="P4" i="25" s="1"/>
  <c r="P69" i="55"/>
  <c r="P10" i="25" s="1"/>
  <c r="P68" i="55"/>
  <c r="P9" i="25" s="1"/>
  <c r="P62" i="55"/>
  <c r="P3" i="25" s="1"/>
  <c r="P70" i="55"/>
  <c r="P11" i="25" s="1"/>
  <c r="P64" i="55"/>
  <c r="P5" i="25" s="1"/>
  <c r="P66" i="55"/>
  <c r="P7" i="25" s="1"/>
  <c r="P61" i="55"/>
  <c r="P2" i="25" s="1"/>
  <c r="AR40" i="55"/>
  <c r="AR7" i="26" s="1"/>
  <c r="AR37" i="55"/>
  <c r="AR4" i="26" s="1"/>
  <c r="AR36" i="55"/>
  <c r="AR3" i="26" s="1"/>
  <c r="AR42" i="55"/>
  <c r="AR9" i="26" s="1"/>
  <c r="AR38" i="55"/>
  <c r="AR5" i="26" s="1"/>
  <c r="AR44" i="55"/>
  <c r="AR11" i="26" s="1"/>
  <c r="AR41" i="55"/>
  <c r="AR8" i="26" s="1"/>
  <c r="AR35" i="55"/>
  <c r="AR2" i="26" s="1"/>
  <c r="AR43" i="55"/>
  <c r="AR10" i="26" s="1"/>
  <c r="AR39" i="55"/>
  <c r="AR6" i="26" s="1"/>
  <c r="AL227" i="55"/>
  <c r="AL240" i="55"/>
  <c r="AL253" i="55"/>
  <c r="AL201" i="55"/>
  <c r="AL214" i="55"/>
  <c r="L45" i="55"/>
  <c r="L71" i="55"/>
  <c r="L97" i="55"/>
  <c r="L84" i="55"/>
  <c r="L58" i="55"/>
  <c r="U87" i="55"/>
  <c r="U2" i="23" s="1"/>
  <c r="U89" i="55"/>
  <c r="U4" i="23" s="1"/>
  <c r="U91" i="55"/>
  <c r="U6" i="23" s="1"/>
  <c r="U93" i="55"/>
  <c r="U8" i="23" s="1"/>
  <c r="U95" i="55"/>
  <c r="U10" i="23" s="1"/>
  <c r="U90" i="55"/>
  <c r="U5" i="23" s="1"/>
  <c r="U92" i="55"/>
  <c r="U7" i="23" s="1"/>
  <c r="U94" i="55"/>
  <c r="U9" i="23" s="1"/>
  <c r="U88" i="55"/>
  <c r="U3" i="23" s="1"/>
  <c r="U96" i="55"/>
  <c r="U11" i="23" s="1"/>
  <c r="AM79" i="55"/>
  <c r="AM7" i="24" s="1"/>
  <c r="Q80" i="55"/>
  <c r="Q8" i="24" s="1"/>
  <c r="Q82" i="55"/>
  <c r="Q10" i="24" s="1"/>
  <c r="Q74" i="55"/>
  <c r="Q2" i="24" s="1"/>
  <c r="Q78" i="55"/>
  <c r="Q6" i="24" s="1"/>
  <c r="Q75" i="55"/>
  <c r="Q3" i="24" s="1"/>
  <c r="Q79" i="55"/>
  <c r="Q7" i="24" s="1"/>
  <c r="Q83" i="55"/>
  <c r="Q11" i="24" s="1"/>
  <c r="Q81" i="55"/>
  <c r="Q9" i="24" s="1"/>
  <c r="Q77" i="55"/>
  <c r="Q5" i="24" s="1"/>
  <c r="Q76" i="55"/>
  <c r="Q4" i="24" s="1"/>
  <c r="AG82" i="55"/>
  <c r="AG10" i="24" s="1"/>
  <c r="AG75" i="55"/>
  <c r="AG3" i="24" s="1"/>
  <c r="AG77" i="55"/>
  <c r="AG5" i="24" s="1"/>
  <c r="AG81" i="55"/>
  <c r="AG9" i="24" s="1"/>
  <c r="AG76" i="55"/>
  <c r="AG4" i="24" s="1"/>
  <c r="AQ106" i="55"/>
  <c r="O109" i="55"/>
  <c r="O101" i="55"/>
  <c r="O106" i="55"/>
  <c r="O107" i="55"/>
  <c r="O105" i="55"/>
  <c r="O104" i="55"/>
  <c r="O100" i="55"/>
  <c r="O108" i="55"/>
  <c r="O103" i="55"/>
  <c r="O102" i="55"/>
  <c r="AO107" i="55"/>
  <c r="AO103" i="55"/>
  <c r="AO101" i="55"/>
  <c r="AO108" i="55"/>
  <c r="AO106" i="55"/>
  <c r="AO105" i="55"/>
  <c r="AO100" i="55"/>
  <c r="AO102" i="55"/>
  <c r="AO109" i="55"/>
  <c r="AO104" i="55"/>
  <c r="C101" i="55"/>
  <c r="C107" i="55"/>
  <c r="C105" i="55"/>
  <c r="C106" i="55"/>
  <c r="C109" i="55"/>
  <c r="C100" i="55"/>
  <c r="C102" i="55"/>
  <c r="C104" i="55"/>
  <c r="C108" i="55"/>
  <c r="C103" i="55"/>
  <c r="AE141" i="55"/>
  <c r="AE4" i="43" s="1"/>
  <c r="AE147" i="55"/>
  <c r="AE10" i="43" s="1"/>
  <c r="AE143" i="55"/>
  <c r="AE6" i="43" s="1"/>
  <c r="AE139" i="55"/>
  <c r="AE2" i="43" s="1"/>
  <c r="AE140" i="55"/>
  <c r="AE3" i="43" s="1"/>
  <c r="AE146" i="55"/>
  <c r="AE9" i="43" s="1"/>
  <c r="AE144" i="55"/>
  <c r="AE7" i="43" s="1"/>
  <c r="AE142" i="55"/>
  <c r="AE5" i="43" s="1"/>
  <c r="AE148" i="55"/>
  <c r="AE11" i="43" s="1"/>
  <c r="AE145" i="55"/>
  <c r="AE8" i="43" s="1"/>
  <c r="AC158" i="55"/>
  <c r="AC8" i="44" s="1"/>
  <c r="P159" i="55"/>
  <c r="P9" i="44" s="1"/>
  <c r="X104" i="55"/>
  <c r="X100" i="55"/>
  <c r="X108" i="55"/>
  <c r="X106" i="55"/>
  <c r="X101" i="55"/>
  <c r="X105" i="55"/>
  <c r="X109" i="55"/>
  <c r="X102" i="55"/>
  <c r="X103" i="55"/>
  <c r="X107" i="55"/>
  <c r="G108" i="55"/>
  <c r="G109" i="55"/>
  <c r="G100" i="55"/>
  <c r="G102" i="55"/>
  <c r="G104" i="55"/>
  <c r="G103" i="55"/>
  <c r="G107" i="55"/>
  <c r="G105" i="55"/>
  <c r="G106" i="55"/>
  <c r="G101" i="55"/>
  <c r="J143" i="55"/>
  <c r="J6" i="43" s="1"/>
  <c r="J139" i="55"/>
  <c r="J2" i="43" s="1"/>
  <c r="J146" i="55"/>
  <c r="J9" i="43" s="1"/>
  <c r="J147" i="55"/>
  <c r="J10" i="43" s="1"/>
  <c r="AR142" i="55"/>
  <c r="AR5" i="43" s="1"/>
  <c r="AR144" i="55"/>
  <c r="AR7" i="43" s="1"/>
  <c r="AR148" i="55"/>
  <c r="AR11" i="43" s="1"/>
  <c r="AR147" i="55"/>
  <c r="AR10" i="43" s="1"/>
  <c r="AR143" i="55"/>
  <c r="AR6" i="43" s="1"/>
  <c r="AR145" i="55"/>
  <c r="AR8" i="43" s="1"/>
  <c r="AR141" i="55"/>
  <c r="AR4" i="43" s="1"/>
  <c r="AR139" i="55"/>
  <c r="AR2" i="43" s="1"/>
  <c r="AR140" i="55"/>
  <c r="AR3" i="43" s="1"/>
  <c r="AR146" i="55"/>
  <c r="AR9" i="43" s="1"/>
  <c r="AF113" i="55"/>
  <c r="AF2" i="42" s="1"/>
  <c r="AF116" i="55"/>
  <c r="AF5" i="42" s="1"/>
  <c r="AB103" i="55"/>
  <c r="AB109" i="55"/>
  <c r="F155" i="55"/>
  <c r="F5" i="44" s="1"/>
  <c r="F160" i="55"/>
  <c r="F10" i="44" s="1"/>
  <c r="F156" i="55"/>
  <c r="F6" i="44" s="1"/>
  <c r="F161" i="55"/>
  <c r="F11" i="44" s="1"/>
  <c r="F152" i="55"/>
  <c r="F2" i="44" s="1"/>
  <c r="F159" i="55"/>
  <c r="F9" i="44" s="1"/>
  <c r="F157" i="55"/>
  <c r="F7" i="44" s="1"/>
  <c r="F153" i="55"/>
  <c r="F3" i="44" s="1"/>
  <c r="F158" i="55"/>
  <c r="F8" i="44" s="1"/>
  <c r="F154" i="55"/>
  <c r="F4" i="44" s="1"/>
  <c r="L159" i="55"/>
  <c r="L9" i="44" s="1"/>
  <c r="L154" i="55"/>
  <c r="L4" i="44" s="1"/>
  <c r="L158" i="55"/>
  <c r="L8" i="44" s="1"/>
  <c r="L153" i="55"/>
  <c r="L3" i="44" s="1"/>
  <c r="L156" i="55"/>
  <c r="L6" i="44" s="1"/>
  <c r="T154" i="55"/>
  <c r="T4" i="44" s="1"/>
  <c r="T152" i="55"/>
  <c r="T2" i="44" s="1"/>
  <c r="T157" i="55"/>
  <c r="T7" i="44" s="1"/>
  <c r="T155" i="55"/>
  <c r="T5" i="44" s="1"/>
  <c r="T161" i="55"/>
  <c r="T11" i="44" s="1"/>
  <c r="T153" i="55"/>
  <c r="T3" i="44" s="1"/>
  <c r="T159" i="55"/>
  <c r="T9" i="44" s="1"/>
  <c r="T160" i="55"/>
  <c r="T10" i="44" s="1"/>
  <c r="T156" i="55"/>
  <c r="T6" i="44" s="1"/>
  <c r="T158" i="55"/>
  <c r="T8" i="44" s="1"/>
  <c r="U157" i="55"/>
  <c r="U7" i="44" s="1"/>
  <c r="O116" i="55"/>
  <c r="O5" i="42" s="1"/>
  <c r="O119" i="55"/>
  <c r="O8" i="42" s="1"/>
  <c r="O120" i="55"/>
  <c r="O9" i="42" s="1"/>
  <c r="AO113" i="55"/>
  <c r="AO2" i="42" s="1"/>
  <c r="AO116" i="55"/>
  <c r="AO5" i="42" s="1"/>
  <c r="AO119" i="55"/>
  <c r="AO8" i="42" s="1"/>
  <c r="C122" i="55"/>
  <c r="C11" i="42" s="1"/>
  <c r="C120" i="55"/>
  <c r="C9" i="42" s="1"/>
  <c r="C116" i="55"/>
  <c r="C5" i="42" s="1"/>
  <c r="C115" i="55"/>
  <c r="C4" i="42" s="1"/>
  <c r="C113" i="55"/>
  <c r="C2" i="42" s="1"/>
  <c r="C114" i="55"/>
  <c r="C3" i="42" s="1"/>
  <c r="C117" i="55"/>
  <c r="C6" i="42" s="1"/>
  <c r="C121" i="55"/>
  <c r="C10" i="42" s="1"/>
  <c r="C118" i="55"/>
  <c r="C7" i="42" s="1"/>
  <c r="C119" i="55"/>
  <c r="C8" i="42" s="1"/>
  <c r="AD132" i="55"/>
  <c r="P173" i="55"/>
  <c r="P10" i="45" s="1"/>
  <c r="X114" i="55"/>
  <c r="X3" i="42" s="1"/>
  <c r="X118" i="55"/>
  <c r="X7" i="42" s="1"/>
  <c r="X121" i="55"/>
  <c r="X10" i="42" s="1"/>
  <c r="X116" i="55"/>
  <c r="X5" i="42" s="1"/>
  <c r="X119" i="55"/>
  <c r="X8" i="42" s="1"/>
  <c r="X113" i="55"/>
  <c r="X2" i="42" s="1"/>
  <c r="X122" i="55"/>
  <c r="X11" i="42" s="1"/>
  <c r="X120" i="55"/>
  <c r="X9" i="42" s="1"/>
  <c r="X117" i="55"/>
  <c r="X6" i="42" s="1"/>
  <c r="X115" i="55"/>
  <c r="X4" i="42" s="1"/>
  <c r="G116" i="55"/>
  <c r="G5" i="42" s="1"/>
  <c r="G113" i="55"/>
  <c r="G2" i="42" s="1"/>
  <c r="G119" i="55"/>
  <c r="G8" i="42" s="1"/>
  <c r="G122" i="55"/>
  <c r="G11" i="42" s="1"/>
  <c r="G120" i="55"/>
  <c r="G9" i="42" s="1"/>
  <c r="G114" i="55"/>
  <c r="G3" i="42" s="1"/>
  <c r="G118" i="55"/>
  <c r="G7" i="42" s="1"/>
  <c r="G121" i="55"/>
  <c r="G10" i="42" s="1"/>
  <c r="G117" i="55"/>
  <c r="G6" i="42" s="1"/>
  <c r="G115" i="55"/>
  <c r="G4" i="42" s="1"/>
  <c r="J126" i="55"/>
  <c r="J128" i="55"/>
  <c r="J130" i="55"/>
  <c r="J132" i="55"/>
  <c r="J134" i="55"/>
  <c r="J127" i="55"/>
  <c r="J129" i="55"/>
  <c r="J131" i="55"/>
  <c r="J133" i="55"/>
  <c r="J135" i="55"/>
  <c r="AR130" i="55"/>
  <c r="AR126" i="55"/>
  <c r="AR128" i="55"/>
  <c r="AR127" i="55"/>
  <c r="AR129" i="55"/>
  <c r="AR131" i="55"/>
  <c r="AR133" i="55"/>
  <c r="AR135" i="55"/>
  <c r="AR134" i="55"/>
  <c r="AR132" i="55"/>
  <c r="V160" i="55"/>
  <c r="V10" i="44" s="1"/>
  <c r="V155" i="55"/>
  <c r="V5" i="44" s="1"/>
  <c r="V156" i="55"/>
  <c r="V6" i="44" s="1"/>
  <c r="V152" i="55"/>
  <c r="V2" i="44" s="1"/>
  <c r="V161" i="55"/>
  <c r="V11" i="44" s="1"/>
  <c r="V157" i="55"/>
  <c r="V7" i="44" s="1"/>
  <c r="V159" i="55"/>
  <c r="V9" i="44" s="1"/>
  <c r="V158" i="55"/>
  <c r="V8" i="44" s="1"/>
  <c r="V154" i="55"/>
  <c r="V4" i="44" s="1"/>
  <c r="V153" i="55"/>
  <c r="V3" i="44" s="1"/>
  <c r="AF104" i="55"/>
  <c r="AF108" i="55"/>
  <c r="AF101" i="55"/>
  <c r="AF103" i="55"/>
  <c r="AF105" i="55"/>
  <c r="AF107" i="55"/>
  <c r="AF109" i="55"/>
  <c r="AF106" i="55"/>
  <c r="AF102" i="55"/>
  <c r="AF100" i="55"/>
  <c r="AN118" i="55"/>
  <c r="AN7" i="42" s="1"/>
  <c r="AN121" i="55"/>
  <c r="AN10" i="42" s="1"/>
  <c r="AN122" i="55"/>
  <c r="AN11" i="42" s="1"/>
  <c r="AN117" i="55"/>
  <c r="AN6" i="42" s="1"/>
  <c r="AN119" i="55"/>
  <c r="AN8" i="42" s="1"/>
  <c r="AN114" i="55"/>
  <c r="AN3" i="42" s="1"/>
  <c r="AN113" i="55"/>
  <c r="AN2" i="42" s="1"/>
  <c r="AN120" i="55"/>
  <c r="AN9" i="42" s="1"/>
  <c r="AN116" i="55"/>
  <c r="AN5" i="42" s="1"/>
  <c r="AN115" i="55"/>
  <c r="AN4" i="42" s="1"/>
  <c r="AB113" i="55"/>
  <c r="AB2" i="42" s="1"/>
  <c r="AB117" i="55"/>
  <c r="AB6" i="42" s="1"/>
  <c r="AB120" i="55"/>
  <c r="AB9" i="42" s="1"/>
  <c r="AB114" i="55"/>
  <c r="AB3" i="42" s="1"/>
  <c r="AB118" i="55"/>
  <c r="AB7" i="42" s="1"/>
  <c r="AB121" i="55"/>
  <c r="AB10" i="42" s="1"/>
  <c r="AB119" i="55"/>
  <c r="AB8" i="42" s="1"/>
  <c r="AB116" i="55"/>
  <c r="AB5" i="42" s="1"/>
  <c r="AB115" i="55"/>
  <c r="AB4" i="42" s="1"/>
  <c r="AB122" i="55"/>
  <c r="AB11" i="42" s="1"/>
  <c r="F165" i="55"/>
  <c r="F2" i="45" s="1"/>
  <c r="F171" i="55"/>
  <c r="F8" i="45" s="1"/>
  <c r="F174" i="55"/>
  <c r="F11" i="45" s="1"/>
  <c r="F167" i="55"/>
  <c r="F4" i="45" s="1"/>
  <c r="F170" i="55"/>
  <c r="F7" i="45" s="1"/>
  <c r="F173" i="55"/>
  <c r="F10" i="45" s="1"/>
  <c r="F166" i="55"/>
  <c r="F3" i="45" s="1"/>
  <c r="F168" i="55"/>
  <c r="F5" i="45" s="1"/>
  <c r="F169" i="55"/>
  <c r="F6" i="45" s="1"/>
  <c r="F172" i="55"/>
  <c r="F9" i="45" s="1"/>
  <c r="L168" i="55"/>
  <c r="L5" i="45" s="1"/>
  <c r="U165" i="55"/>
  <c r="U2" i="45" s="1"/>
  <c r="U172" i="55"/>
  <c r="U9" i="45" s="1"/>
  <c r="U171" i="55"/>
  <c r="U8" i="45" s="1"/>
  <c r="U166" i="55"/>
  <c r="U3" i="45" s="1"/>
  <c r="U168" i="55"/>
  <c r="U5" i="45" s="1"/>
  <c r="U167" i="55"/>
  <c r="U4" i="45" s="1"/>
  <c r="U174" i="55"/>
  <c r="U11" i="45" s="1"/>
  <c r="U173" i="55"/>
  <c r="U10" i="45" s="1"/>
  <c r="U170" i="55"/>
  <c r="U7" i="45" s="1"/>
  <c r="U169" i="55"/>
  <c r="U6" i="45" s="1"/>
  <c r="AM130" i="55"/>
  <c r="AM132" i="55"/>
  <c r="AM134" i="55"/>
  <c r="AI128" i="55"/>
  <c r="AI134" i="55"/>
  <c r="F100" i="55"/>
  <c r="F102" i="55"/>
  <c r="F104" i="55"/>
  <c r="F106" i="55"/>
  <c r="F108" i="55"/>
  <c r="F103" i="55"/>
  <c r="F101" i="55"/>
  <c r="F105" i="55"/>
  <c r="F107" i="55"/>
  <c r="F109" i="55"/>
  <c r="AJ154" i="55"/>
  <c r="AJ4" i="44" s="1"/>
  <c r="AJ159" i="55"/>
  <c r="AJ9" i="44" s="1"/>
  <c r="AJ158" i="55"/>
  <c r="AJ8" i="44" s="1"/>
  <c r="J158" i="55"/>
  <c r="J8" i="44" s="1"/>
  <c r="J154" i="55"/>
  <c r="J4" i="44" s="1"/>
  <c r="J157" i="55"/>
  <c r="J7" i="44" s="1"/>
  <c r="J153" i="55"/>
  <c r="J3" i="44" s="1"/>
  <c r="AA135" i="55"/>
  <c r="AA133" i="55"/>
  <c r="AA131" i="55"/>
  <c r="AA129" i="55"/>
  <c r="AA127" i="55"/>
  <c r="AA126" i="55"/>
  <c r="AA128" i="55"/>
  <c r="AA130" i="55"/>
  <c r="AA132" i="55"/>
  <c r="AA134" i="55"/>
  <c r="U109" i="55"/>
  <c r="U106" i="55"/>
  <c r="U105" i="55"/>
  <c r="U101" i="55"/>
  <c r="U103" i="55"/>
  <c r="U107" i="55"/>
  <c r="U102" i="55"/>
  <c r="U100" i="55"/>
  <c r="U104" i="55"/>
  <c r="U108" i="55"/>
  <c r="AE100" i="55"/>
  <c r="AE102" i="55"/>
  <c r="AE104" i="55"/>
  <c r="AE106" i="55"/>
  <c r="AE103" i="55"/>
  <c r="AE101" i="55"/>
  <c r="AE105" i="55"/>
  <c r="AE107" i="55"/>
  <c r="AE109" i="55"/>
  <c r="AE108" i="55"/>
  <c r="AR115" i="55"/>
  <c r="AR4" i="42" s="1"/>
  <c r="AR116" i="55"/>
  <c r="AR5" i="42" s="1"/>
  <c r="AR113" i="55"/>
  <c r="AR2" i="42" s="1"/>
  <c r="AR122" i="55"/>
  <c r="AR11" i="42" s="1"/>
  <c r="AR117" i="55"/>
  <c r="AR6" i="42" s="1"/>
  <c r="AR114" i="55"/>
  <c r="AR3" i="42" s="1"/>
  <c r="AR119" i="55"/>
  <c r="AR8" i="42" s="1"/>
  <c r="AR121" i="55"/>
  <c r="AR10" i="42" s="1"/>
  <c r="AR120" i="55"/>
  <c r="AR9" i="42" s="1"/>
  <c r="AR118" i="55"/>
  <c r="AR7" i="42" s="1"/>
  <c r="S143" i="55"/>
  <c r="S6" i="43" s="1"/>
  <c r="S139" i="55"/>
  <c r="S2" i="43" s="1"/>
  <c r="S144" i="55"/>
  <c r="S7" i="43" s="1"/>
  <c r="S142" i="55"/>
  <c r="S5" i="43" s="1"/>
  <c r="S148" i="55"/>
  <c r="S11" i="43" s="1"/>
  <c r="S140" i="55"/>
  <c r="S3" i="43" s="1"/>
  <c r="S146" i="55"/>
  <c r="S9" i="43" s="1"/>
  <c r="S145" i="55"/>
  <c r="S8" i="43" s="1"/>
  <c r="S141" i="55"/>
  <c r="S4" i="43" s="1"/>
  <c r="S147" i="55"/>
  <c r="S10" i="43" s="1"/>
  <c r="D167" i="55"/>
  <c r="D4" i="45" s="1"/>
  <c r="D174" i="55"/>
  <c r="D11" i="45" s="1"/>
  <c r="D165" i="55"/>
  <c r="D2" i="45" s="1"/>
  <c r="D173" i="55"/>
  <c r="D10" i="45" s="1"/>
  <c r="D170" i="55"/>
  <c r="D7" i="45" s="1"/>
  <c r="D169" i="55"/>
  <c r="D6" i="45" s="1"/>
  <c r="D172" i="55"/>
  <c r="D9" i="45" s="1"/>
  <c r="D171" i="55"/>
  <c r="D8" i="45" s="1"/>
  <c r="D166" i="55"/>
  <c r="D3" i="45" s="1"/>
  <c r="D168" i="55"/>
  <c r="D5" i="45" s="1"/>
  <c r="AJ169" i="55"/>
  <c r="B172" i="55"/>
  <c r="B9" i="45" s="1"/>
  <c r="B169" i="55"/>
  <c r="B6" i="45" s="1"/>
  <c r="B170" i="55"/>
  <c r="B7" i="45" s="1"/>
  <c r="B173" i="55"/>
  <c r="B10" i="45" s="1"/>
  <c r="B174" i="55"/>
  <c r="B11" i="45" s="1"/>
  <c r="B165" i="55"/>
  <c r="B2" i="45" s="1"/>
  <c r="B166" i="55"/>
  <c r="B3" i="45" s="1"/>
  <c r="B167" i="55"/>
  <c r="B4" i="45" s="1"/>
  <c r="B168" i="55"/>
  <c r="B5" i="45" s="1"/>
  <c r="B171" i="55"/>
  <c r="B8" i="45" s="1"/>
  <c r="AD102" i="55"/>
  <c r="AD104" i="55"/>
  <c r="AD106" i="55"/>
  <c r="AD108" i="55"/>
  <c r="AD101" i="55"/>
  <c r="AD105" i="55"/>
  <c r="AD109" i="55"/>
  <c r="AD103" i="55"/>
  <c r="AD100" i="55"/>
  <c r="AD107" i="55"/>
  <c r="AL134" i="55"/>
  <c r="AL132" i="55"/>
  <c r="AL131" i="55"/>
  <c r="AL133" i="55"/>
  <c r="AL135" i="55"/>
  <c r="AL129" i="55"/>
  <c r="AL127" i="55"/>
  <c r="AL126" i="55"/>
  <c r="AL128" i="55"/>
  <c r="AL130" i="55"/>
  <c r="AA166" i="55"/>
  <c r="AA173" i="55"/>
  <c r="AA169" i="55"/>
  <c r="AA172" i="55"/>
  <c r="AA168" i="55"/>
  <c r="AA165" i="55"/>
  <c r="AA174" i="55"/>
  <c r="AA171" i="55"/>
  <c r="AA170" i="55"/>
  <c r="AA167" i="55"/>
  <c r="AI153" i="55"/>
  <c r="AI3" i="44" s="1"/>
  <c r="AI160" i="55"/>
  <c r="AI10" i="44" s="1"/>
  <c r="AI156" i="55"/>
  <c r="AI6" i="44" s="1"/>
  <c r="AI159" i="55"/>
  <c r="AI9" i="44" s="1"/>
  <c r="AI152" i="55"/>
  <c r="AI2" i="44" s="1"/>
  <c r="AI155" i="55"/>
  <c r="AI5" i="44" s="1"/>
  <c r="AI161" i="55"/>
  <c r="AI11" i="44" s="1"/>
  <c r="AI157" i="55"/>
  <c r="AI7" i="44" s="1"/>
  <c r="AI154" i="55"/>
  <c r="AI4" i="44" s="1"/>
  <c r="AI158" i="55"/>
  <c r="AI8" i="44" s="1"/>
  <c r="J115" i="55"/>
  <c r="J4" i="42" s="1"/>
  <c r="J116" i="55"/>
  <c r="J5" i="42" s="1"/>
  <c r="J121" i="55"/>
  <c r="J10" i="42" s="1"/>
  <c r="J119" i="55"/>
  <c r="J8" i="42" s="1"/>
  <c r="J122" i="55"/>
  <c r="J11" i="42" s="1"/>
  <c r="J117" i="55"/>
  <c r="J6" i="42" s="1"/>
  <c r="J120" i="55"/>
  <c r="J9" i="42" s="1"/>
  <c r="J113" i="55"/>
  <c r="J2" i="42" s="1"/>
  <c r="J118" i="55"/>
  <c r="J7" i="42" s="1"/>
  <c r="J114" i="55"/>
  <c r="J3" i="42" s="1"/>
  <c r="AR105" i="55"/>
  <c r="AR107" i="55"/>
  <c r="AR109" i="55"/>
  <c r="AR104" i="55"/>
  <c r="AR100" i="55"/>
  <c r="AR102" i="55"/>
  <c r="AR106" i="55"/>
  <c r="AR108" i="55"/>
  <c r="AR101" i="55"/>
  <c r="AR103" i="55"/>
  <c r="R157" i="55"/>
  <c r="R7" i="44" s="1"/>
  <c r="Q173" i="55"/>
  <c r="Q10" i="45" s="1"/>
  <c r="D154" i="55"/>
  <c r="D4" i="44" s="1"/>
  <c r="D161" i="55"/>
  <c r="D11" i="44" s="1"/>
  <c r="D156" i="55"/>
  <c r="D6" i="44" s="1"/>
  <c r="D155" i="55"/>
  <c r="D5" i="44" s="1"/>
  <c r="D160" i="55"/>
  <c r="D10" i="44" s="1"/>
  <c r="D152" i="55"/>
  <c r="D2" i="44" s="1"/>
  <c r="D157" i="55"/>
  <c r="D7" i="44" s="1"/>
  <c r="D153" i="55"/>
  <c r="D3" i="44" s="1"/>
  <c r="D158" i="55"/>
  <c r="D8" i="44" s="1"/>
  <c r="D159" i="55"/>
  <c r="D9" i="44" s="1"/>
  <c r="Y135" i="55"/>
  <c r="Y133" i="55"/>
  <c r="Y129" i="55"/>
  <c r="Y126" i="55"/>
  <c r="Y128" i="55"/>
  <c r="Y130" i="55"/>
  <c r="Y132" i="55"/>
  <c r="AM119" i="55"/>
  <c r="AM8" i="42" s="1"/>
  <c r="AM122" i="55"/>
  <c r="AM11" i="42" s="1"/>
  <c r="AM117" i="55"/>
  <c r="AM6" i="42" s="1"/>
  <c r="AM120" i="55"/>
  <c r="AM9" i="42" s="1"/>
  <c r="AM116" i="55"/>
  <c r="AM5" i="42" s="1"/>
  <c r="AM114" i="55"/>
  <c r="AM3" i="42" s="1"/>
  <c r="AM118" i="55"/>
  <c r="AM7" i="42" s="1"/>
  <c r="AM121" i="55"/>
  <c r="AM10" i="42" s="1"/>
  <c r="AM113" i="55"/>
  <c r="AM2" i="42" s="1"/>
  <c r="AM115" i="55"/>
  <c r="AM4" i="42" s="1"/>
  <c r="AI139" i="55"/>
  <c r="AI2" i="43" s="1"/>
  <c r="AI145" i="55"/>
  <c r="AI8" i="43" s="1"/>
  <c r="AI146" i="55"/>
  <c r="AI9" i="43" s="1"/>
  <c r="AI141" i="55"/>
  <c r="AI4" i="43" s="1"/>
  <c r="AI142" i="55"/>
  <c r="AI5" i="43" s="1"/>
  <c r="AI140" i="55"/>
  <c r="AI3" i="43" s="1"/>
  <c r="AI147" i="55"/>
  <c r="AI10" i="43" s="1"/>
  <c r="AI148" i="55"/>
  <c r="AI11" i="43" s="1"/>
  <c r="AI143" i="55"/>
  <c r="AI6" i="43" s="1"/>
  <c r="AI144" i="55"/>
  <c r="AI7" i="43" s="1"/>
  <c r="AR159" i="55"/>
  <c r="AR9" i="44" s="1"/>
  <c r="AR154" i="55"/>
  <c r="AR4" i="44" s="1"/>
  <c r="AR160" i="55"/>
  <c r="AR10" i="44" s="1"/>
  <c r="AR152" i="55"/>
  <c r="AR2" i="44" s="1"/>
  <c r="AR157" i="55"/>
  <c r="AR7" i="44" s="1"/>
  <c r="AR155" i="55"/>
  <c r="AR5" i="44" s="1"/>
  <c r="AR161" i="55"/>
  <c r="AR11" i="44" s="1"/>
  <c r="AR153" i="55"/>
  <c r="AR3" i="44" s="1"/>
  <c r="AR156" i="55"/>
  <c r="AR6" i="44" s="1"/>
  <c r="AR158" i="55"/>
  <c r="AR8" i="44" s="1"/>
  <c r="AK114" i="55"/>
  <c r="AK3" i="42" s="1"/>
  <c r="AK115" i="55"/>
  <c r="AK4" i="42" s="1"/>
  <c r="AK121" i="55"/>
  <c r="AK10" i="42" s="1"/>
  <c r="J173" i="55"/>
  <c r="J10" i="45" s="1"/>
  <c r="J169" i="55"/>
  <c r="J6" i="45" s="1"/>
  <c r="J165" i="55"/>
  <c r="J2" i="45" s="1"/>
  <c r="J172" i="55"/>
  <c r="J9" i="45" s="1"/>
  <c r="J168" i="55"/>
  <c r="J5" i="45" s="1"/>
  <c r="J166" i="55"/>
  <c r="J3" i="45" s="1"/>
  <c r="J174" i="55"/>
  <c r="J11" i="45" s="1"/>
  <c r="J171" i="55"/>
  <c r="J8" i="45" s="1"/>
  <c r="J170" i="55"/>
  <c r="J7" i="45" s="1"/>
  <c r="J167" i="55"/>
  <c r="J4" i="45" s="1"/>
  <c r="D126" i="55"/>
  <c r="AM167" i="55"/>
  <c r="AM166" i="55"/>
  <c r="AM173" i="55"/>
  <c r="AM172" i="55"/>
  <c r="AM168" i="55"/>
  <c r="AM174" i="55"/>
  <c r="AM169" i="55"/>
  <c r="AM165" i="55"/>
  <c r="AM171" i="55"/>
  <c r="AM170" i="55"/>
  <c r="B122" i="55"/>
  <c r="B11" i="42" s="1"/>
  <c r="B113" i="55"/>
  <c r="B2" i="42" s="1"/>
  <c r="B114" i="55"/>
  <c r="B3" i="42" s="1"/>
  <c r="B115" i="55"/>
  <c r="B4" i="42" s="1"/>
  <c r="B116" i="55"/>
  <c r="B5" i="42" s="1"/>
  <c r="B120" i="55"/>
  <c r="B9" i="42" s="1"/>
  <c r="B119" i="55"/>
  <c r="B8" i="42" s="1"/>
  <c r="B121" i="55"/>
  <c r="B10" i="42" s="1"/>
  <c r="B117" i="55"/>
  <c r="B6" i="42" s="1"/>
  <c r="B118" i="55"/>
  <c r="B7" i="42" s="1"/>
  <c r="AA102" i="55"/>
  <c r="AA107" i="55"/>
  <c r="AA104" i="55"/>
  <c r="AA103" i="55"/>
  <c r="AI119" i="55"/>
  <c r="AI8" i="42" s="1"/>
  <c r="AI122" i="55"/>
  <c r="AI11" i="42" s="1"/>
  <c r="AI114" i="55"/>
  <c r="AI3" i="42" s="1"/>
  <c r="AI118" i="55"/>
  <c r="AI7" i="42" s="1"/>
  <c r="AI121" i="55"/>
  <c r="AI10" i="42" s="1"/>
  <c r="AI115" i="55"/>
  <c r="AI4" i="42" s="1"/>
  <c r="AI116" i="55"/>
  <c r="AI5" i="42" s="1"/>
  <c r="AG140" i="55"/>
  <c r="AG3" i="43" s="1"/>
  <c r="AG139" i="55"/>
  <c r="AG2" i="43" s="1"/>
  <c r="AG148" i="55"/>
  <c r="AG11" i="43" s="1"/>
  <c r="AG145" i="55"/>
  <c r="AG8" i="43" s="1"/>
  <c r="AG141" i="55"/>
  <c r="AG4" i="43" s="1"/>
  <c r="S174" i="55"/>
  <c r="S11" i="45" s="1"/>
  <c r="S169" i="55"/>
  <c r="S6" i="45" s="1"/>
  <c r="S170" i="55"/>
  <c r="S7" i="45" s="1"/>
  <c r="S166" i="55"/>
  <c r="S3" i="45" s="1"/>
  <c r="S171" i="55"/>
  <c r="S8" i="45" s="1"/>
  <c r="S167" i="55"/>
  <c r="S4" i="45" s="1"/>
  <c r="S173" i="55"/>
  <c r="S10" i="45" s="1"/>
  <c r="S172" i="55"/>
  <c r="S9" i="45" s="1"/>
  <c r="S168" i="55"/>
  <c r="S5" i="45" s="1"/>
  <c r="S165" i="55"/>
  <c r="S2" i="45" s="1"/>
  <c r="Q106" i="55"/>
  <c r="Q107" i="55"/>
  <c r="Q105" i="55"/>
  <c r="Q100" i="55"/>
  <c r="Q104" i="55"/>
  <c r="Q108" i="55"/>
  <c r="Q103" i="55"/>
  <c r="Q101" i="55"/>
  <c r="Q102" i="55"/>
  <c r="Q109" i="55"/>
  <c r="Z173" i="55"/>
  <c r="Y167" i="55"/>
  <c r="Y172" i="55"/>
  <c r="Y173" i="55"/>
  <c r="Y168" i="55"/>
  <c r="Y169" i="55"/>
  <c r="Y171" i="55"/>
  <c r="Y170" i="55"/>
  <c r="Y174" i="55"/>
  <c r="Y165" i="55"/>
  <c r="Y166" i="55"/>
  <c r="AP148" i="55"/>
  <c r="AP11" i="43" s="1"/>
  <c r="AP144" i="55"/>
  <c r="AP7" i="43" s="1"/>
  <c r="AP145" i="55"/>
  <c r="AP8" i="43" s="1"/>
  <c r="AP142" i="55"/>
  <c r="AP5" i="43" s="1"/>
  <c r="AP141" i="55"/>
  <c r="AP4" i="43" s="1"/>
  <c r="AP146" i="55"/>
  <c r="AP9" i="43" s="1"/>
  <c r="AP139" i="55"/>
  <c r="AP2" i="43" s="1"/>
  <c r="AP140" i="55"/>
  <c r="AP3" i="43" s="1"/>
  <c r="AP147" i="55"/>
  <c r="AP10" i="43" s="1"/>
  <c r="AP143" i="55"/>
  <c r="AP6" i="43" s="1"/>
  <c r="AE172" i="55"/>
  <c r="D143" i="55"/>
  <c r="D6" i="43" s="1"/>
  <c r="D144" i="55"/>
  <c r="D7" i="43" s="1"/>
  <c r="D140" i="55"/>
  <c r="D3" i="43" s="1"/>
  <c r="D145" i="55"/>
  <c r="D8" i="43" s="1"/>
  <c r="AM154" i="55"/>
  <c r="AM4" i="44" s="1"/>
  <c r="L106" i="55"/>
  <c r="L108" i="55"/>
  <c r="L100" i="55"/>
  <c r="L102" i="55"/>
  <c r="L104" i="55"/>
  <c r="L101" i="55"/>
  <c r="L103" i="55"/>
  <c r="L107" i="55"/>
  <c r="L105" i="55"/>
  <c r="L109" i="55"/>
  <c r="Y141" i="55"/>
  <c r="Y4" i="43" s="1"/>
  <c r="Y148" i="55"/>
  <c r="Y11" i="43" s="1"/>
  <c r="Y144" i="55"/>
  <c r="Y7" i="43" s="1"/>
  <c r="Y140" i="55"/>
  <c r="Y3" i="43" s="1"/>
  <c r="Y143" i="55"/>
  <c r="Y6" i="43" s="1"/>
  <c r="Y146" i="55"/>
  <c r="Y9" i="43" s="1"/>
  <c r="Y147" i="55"/>
  <c r="Y10" i="43" s="1"/>
  <c r="Y145" i="55"/>
  <c r="Y8" i="43" s="1"/>
  <c r="Y142" i="55"/>
  <c r="Y5" i="43" s="1"/>
  <c r="Y139" i="55"/>
  <c r="Y2" i="43" s="1"/>
  <c r="H107" i="55"/>
  <c r="H109" i="55"/>
  <c r="H106" i="55"/>
  <c r="H104" i="55"/>
  <c r="H100" i="55"/>
  <c r="H102" i="55"/>
  <c r="H108" i="55"/>
  <c r="H101" i="55"/>
  <c r="H103" i="55"/>
  <c r="H105" i="55"/>
  <c r="AJ116" i="55"/>
  <c r="AJ5" i="42" s="1"/>
  <c r="AJ113" i="55"/>
  <c r="AJ2" i="42" s="1"/>
  <c r="AJ114" i="55"/>
  <c r="AJ3" i="42" s="1"/>
  <c r="AJ115" i="55"/>
  <c r="AJ4" i="42" s="1"/>
  <c r="AJ118" i="55"/>
  <c r="AJ7" i="42" s="1"/>
  <c r="AJ121" i="55"/>
  <c r="AJ10" i="42" s="1"/>
  <c r="AJ119" i="55"/>
  <c r="AJ8" i="42" s="1"/>
  <c r="AJ122" i="55"/>
  <c r="AJ11" i="42" s="1"/>
  <c r="AJ117" i="55"/>
  <c r="AJ6" i="42" s="1"/>
  <c r="AJ120" i="55"/>
  <c r="AJ9" i="42" s="1"/>
  <c r="B102" i="55"/>
  <c r="B104" i="55"/>
  <c r="B101" i="55"/>
  <c r="B103" i="55"/>
  <c r="B105" i="55"/>
  <c r="B106" i="55"/>
  <c r="B109" i="55"/>
  <c r="B100" i="55"/>
  <c r="B107" i="55"/>
  <c r="B108" i="55"/>
  <c r="H113" i="55"/>
  <c r="H2" i="42" s="1"/>
  <c r="H116" i="55"/>
  <c r="H5" i="42" s="1"/>
  <c r="H118" i="55"/>
  <c r="H7" i="42" s="1"/>
  <c r="H121" i="55"/>
  <c r="H10" i="42" s="1"/>
  <c r="H115" i="55"/>
  <c r="H4" i="42" s="1"/>
  <c r="H119" i="55"/>
  <c r="H8" i="42" s="1"/>
  <c r="H122" i="55"/>
  <c r="H11" i="42" s="1"/>
  <c r="H114" i="55"/>
  <c r="H3" i="42" s="1"/>
  <c r="H120" i="55"/>
  <c r="H9" i="42" s="1"/>
  <c r="H117" i="55"/>
  <c r="H6" i="42" s="1"/>
  <c r="M134" i="55"/>
  <c r="M133" i="55"/>
  <c r="M135" i="55"/>
  <c r="M127" i="55"/>
  <c r="M129" i="55"/>
  <c r="M131" i="55"/>
  <c r="M130" i="55"/>
  <c r="M132" i="55"/>
  <c r="M126" i="55"/>
  <c r="M128" i="55"/>
  <c r="AL165" i="55"/>
  <c r="AI102" i="55"/>
  <c r="E135" i="55"/>
  <c r="E127" i="55"/>
  <c r="S158" i="55"/>
  <c r="S8" i="44" s="1"/>
  <c r="R171" i="55"/>
  <c r="R8" i="45" s="1"/>
  <c r="Q114" i="55"/>
  <c r="Q3" i="42" s="1"/>
  <c r="Q119" i="55"/>
  <c r="Q8" i="42" s="1"/>
  <c r="Q122" i="55"/>
  <c r="Q11" i="42" s="1"/>
  <c r="Q121" i="55"/>
  <c r="Q10" i="42" s="1"/>
  <c r="Q117" i="55"/>
  <c r="Q6" i="42" s="1"/>
  <c r="Q116" i="55"/>
  <c r="Q5" i="42" s="1"/>
  <c r="Q113" i="55"/>
  <c r="Q2" i="42" s="1"/>
  <c r="Q120" i="55"/>
  <c r="Q9" i="42" s="1"/>
  <c r="Q115" i="55"/>
  <c r="Q4" i="42" s="1"/>
  <c r="Q118" i="55"/>
  <c r="Q7" i="42" s="1"/>
  <c r="D108" i="55"/>
  <c r="Y158" i="55"/>
  <c r="Y8" i="44" s="1"/>
  <c r="Y156" i="55"/>
  <c r="Y6" i="44" s="1"/>
  <c r="Y153" i="55"/>
  <c r="Y3" i="44" s="1"/>
  <c r="Y152" i="55"/>
  <c r="Y2" i="44" s="1"/>
  <c r="AP134" i="55"/>
  <c r="AP127" i="55"/>
  <c r="AP129" i="55"/>
  <c r="AP131" i="55"/>
  <c r="AP133" i="55"/>
  <c r="AP135" i="55"/>
  <c r="AP126" i="55"/>
  <c r="AP128" i="55"/>
  <c r="AP130" i="55"/>
  <c r="AP132" i="55"/>
  <c r="P102" i="55"/>
  <c r="P108" i="55"/>
  <c r="P105" i="55"/>
  <c r="P103" i="55"/>
  <c r="V100" i="55"/>
  <c r="V102" i="55"/>
  <c r="V104" i="55"/>
  <c r="V106" i="55"/>
  <c r="V108" i="55"/>
  <c r="V101" i="55"/>
  <c r="V103" i="55"/>
  <c r="V107" i="55"/>
  <c r="V105" i="55"/>
  <c r="V109" i="55"/>
  <c r="F118" i="55"/>
  <c r="F7" i="42" s="1"/>
  <c r="F122" i="55"/>
  <c r="F11" i="42" s="1"/>
  <c r="F119" i="55"/>
  <c r="F8" i="42" s="1"/>
  <c r="F116" i="55"/>
  <c r="F5" i="42" s="1"/>
  <c r="F115" i="55"/>
  <c r="F4" i="42" s="1"/>
  <c r="F114" i="55"/>
  <c r="F3" i="42" s="1"/>
  <c r="F113" i="55"/>
  <c r="F2" i="42" s="1"/>
  <c r="F121" i="55"/>
  <c r="F10" i="42" s="1"/>
  <c r="F120" i="55"/>
  <c r="F9" i="42" s="1"/>
  <c r="F117" i="55"/>
  <c r="F6" i="42" s="1"/>
  <c r="AD170" i="55"/>
  <c r="AD173" i="55"/>
  <c r="AD166" i="55"/>
  <c r="AD169" i="55"/>
  <c r="AD171" i="55"/>
  <c r="AD172" i="55"/>
  <c r="AD168" i="55"/>
  <c r="AD165" i="55"/>
  <c r="AD174" i="55"/>
  <c r="AD167" i="55"/>
  <c r="V114" i="55"/>
  <c r="V3" i="42" s="1"/>
  <c r="V115" i="55"/>
  <c r="V4" i="42" s="1"/>
  <c r="V116" i="55"/>
  <c r="V5" i="42" s="1"/>
  <c r="V119" i="55"/>
  <c r="V8" i="42" s="1"/>
  <c r="V113" i="55"/>
  <c r="V2" i="42" s="1"/>
  <c r="V122" i="55"/>
  <c r="V11" i="42" s="1"/>
  <c r="V121" i="55"/>
  <c r="V10" i="42" s="1"/>
  <c r="V117" i="55"/>
  <c r="V6" i="42" s="1"/>
  <c r="V120" i="55"/>
  <c r="V9" i="42" s="1"/>
  <c r="V118" i="55"/>
  <c r="V7" i="42" s="1"/>
  <c r="J102" i="55"/>
  <c r="J104" i="55"/>
  <c r="J106" i="55"/>
  <c r="J108" i="55"/>
  <c r="J101" i="55"/>
  <c r="J105" i="55"/>
  <c r="J109" i="55"/>
  <c r="J100" i="55"/>
  <c r="J103" i="55"/>
  <c r="J107" i="55"/>
  <c r="AQ140" i="55"/>
  <c r="AQ3" i="43" s="1"/>
  <c r="AQ146" i="55"/>
  <c r="AQ9" i="43" s="1"/>
  <c r="AQ144" i="55"/>
  <c r="AQ7" i="43" s="1"/>
  <c r="AQ142" i="55"/>
  <c r="AQ5" i="43" s="1"/>
  <c r="AQ148" i="55"/>
  <c r="AQ11" i="43" s="1"/>
  <c r="AQ141" i="55"/>
  <c r="AQ4" i="43" s="1"/>
  <c r="AQ147" i="55"/>
  <c r="AQ10" i="43" s="1"/>
  <c r="AQ143" i="55"/>
  <c r="AQ6" i="43" s="1"/>
  <c r="AQ145" i="55"/>
  <c r="AQ8" i="43" s="1"/>
  <c r="AQ139" i="55"/>
  <c r="AQ2" i="43" s="1"/>
  <c r="O139" i="55"/>
  <c r="O2" i="43" s="1"/>
  <c r="O148" i="55"/>
  <c r="O11" i="43" s="1"/>
  <c r="O141" i="55"/>
  <c r="O4" i="43" s="1"/>
  <c r="O144" i="55"/>
  <c r="O7" i="43" s="1"/>
  <c r="O147" i="55"/>
  <c r="O10" i="43" s="1"/>
  <c r="O140" i="55"/>
  <c r="O3" i="43" s="1"/>
  <c r="O143" i="55"/>
  <c r="O6" i="43" s="1"/>
  <c r="O145" i="55"/>
  <c r="O8" i="43" s="1"/>
  <c r="O142" i="55"/>
  <c r="O5" i="43" s="1"/>
  <c r="O146" i="55"/>
  <c r="O9" i="43" s="1"/>
  <c r="AO147" i="55"/>
  <c r="AO10" i="43" s="1"/>
  <c r="I147" i="55"/>
  <c r="I10" i="43" s="1"/>
  <c r="I143" i="55"/>
  <c r="I6" i="43" s="1"/>
  <c r="I139" i="55"/>
  <c r="I2" i="43" s="1"/>
  <c r="I145" i="55"/>
  <c r="I8" i="43" s="1"/>
  <c r="I142" i="55"/>
  <c r="I5" i="43" s="1"/>
  <c r="I146" i="55"/>
  <c r="I9" i="43" s="1"/>
  <c r="I140" i="55"/>
  <c r="I3" i="43" s="1"/>
  <c r="I148" i="55"/>
  <c r="I11" i="43" s="1"/>
  <c r="I141" i="55"/>
  <c r="I4" i="43" s="1"/>
  <c r="C146" i="55"/>
  <c r="C9" i="43" s="1"/>
  <c r="C142" i="55"/>
  <c r="C5" i="43" s="1"/>
  <c r="C145" i="55"/>
  <c r="C8" i="43" s="1"/>
  <c r="C139" i="55"/>
  <c r="C2" i="43" s="1"/>
  <c r="C148" i="55"/>
  <c r="C11" i="43" s="1"/>
  <c r="C141" i="55"/>
  <c r="C4" i="43" s="1"/>
  <c r="C144" i="55"/>
  <c r="C7" i="43" s="1"/>
  <c r="C147" i="55"/>
  <c r="C10" i="43" s="1"/>
  <c r="C140" i="55"/>
  <c r="C3" i="43" s="1"/>
  <c r="C143" i="55"/>
  <c r="C6" i="43" s="1"/>
  <c r="N172" i="55"/>
  <c r="N9" i="45" s="1"/>
  <c r="N170" i="55"/>
  <c r="N7" i="45" s="1"/>
  <c r="M156" i="55"/>
  <c r="M6" i="44" s="1"/>
  <c r="M154" i="55"/>
  <c r="M4" i="44" s="1"/>
  <c r="AL101" i="55"/>
  <c r="AL105" i="55"/>
  <c r="AL107" i="55"/>
  <c r="AL109" i="55"/>
  <c r="AL100" i="55"/>
  <c r="AL104" i="55"/>
  <c r="AL108" i="55"/>
  <c r="AL103" i="55"/>
  <c r="AL102" i="55"/>
  <c r="AL106" i="55"/>
  <c r="X147" i="55"/>
  <c r="X10" i="43" s="1"/>
  <c r="G146" i="55"/>
  <c r="G9" i="43" s="1"/>
  <c r="G145" i="55"/>
  <c r="G8" i="43" s="1"/>
  <c r="G141" i="55"/>
  <c r="G4" i="43" s="1"/>
  <c r="G147" i="55"/>
  <c r="G10" i="43" s="1"/>
  <c r="G143" i="55"/>
  <c r="G6" i="43" s="1"/>
  <c r="G139" i="55"/>
  <c r="G2" i="43" s="1"/>
  <c r="G144" i="55"/>
  <c r="G7" i="43" s="1"/>
  <c r="G142" i="55"/>
  <c r="G5" i="43" s="1"/>
  <c r="G148" i="55"/>
  <c r="G11" i="43" s="1"/>
  <c r="G140" i="55"/>
  <c r="G3" i="43" s="1"/>
  <c r="AG152" i="55"/>
  <c r="AG2" i="44" s="1"/>
  <c r="AG155" i="55"/>
  <c r="AG5" i="44" s="1"/>
  <c r="AG158" i="55"/>
  <c r="AG8" i="44" s="1"/>
  <c r="AG161" i="55"/>
  <c r="AG11" i="44" s="1"/>
  <c r="AG154" i="55"/>
  <c r="AG4" i="44" s="1"/>
  <c r="AG157" i="55"/>
  <c r="AG7" i="44" s="1"/>
  <c r="AG159" i="55"/>
  <c r="AG9" i="44" s="1"/>
  <c r="AG156" i="55"/>
  <c r="AG6" i="44" s="1"/>
  <c r="AG153" i="55"/>
  <c r="AG3" i="44" s="1"/>
  <c r="AG160" i="55"/>
  <c r="AG10" i="44" s="1"/>
  <c r="E173" i="55"/>
  <c r="E10" i="45" s="1"/>
  <c r="E168" i="55"/>
  <c r="E5" i="45" s="1"/>
  <c r="S107" i="55"/>
  <c r="S101" i="55"/>
  <c r="S105" i="55"/>
  <c r="S100" i="55"/>
  <c r="S102" i="55"/>
  <c r="S104" i="55"/>
  <c r="S106" i="55"/>
  <c r="S103" i="55"/>
  <c r="S108" i="55"/>
  <c r="S109" i="55"/>
  <c r="AF140" i="55"/>
  <c r="AF3" i="43" s="1"/>
  <c r="AF146" i="55"/>
  <c r="AF9" i="43" s="1"/>
  <c r="AF144" i="55"/>
  <c r="AF7" i="43" s="1"/>
  <c r="AF142" i="55"/>
  <c r="AF5" i="43" s="1"/>
  <c r="AN141" i="55"/>
  <c r="AN4" i="43" s="1"/>
  <c r="AN147" i="55"/>
  <c r="AN10" i="43" s="1"/>
  <c r="AN148" i="55"/>
  <c r="AN11" i="43" s="1"/>
  <c r="AN143" i="55"/>
  <c r="AN6" i="43" s="1"/>
  <c r="AN142" i="55"/>
  <c r="AN5" i="43" s="1"/>
  <c r="AN139" i="55"/>
  <c r="AN2" i="43" s="1"/>
  <c r="AN144" i="55"/>
  <c r="AN7" i="43" s="1"/>
  <c r="AN140" i="55"/>
  <c r="AN3" i="43" s="1"/>
  <c r="AN145" i="55"/>
  <c r="AN8" i="43" s="1"/>
  <c r="AN146" i="55"/>
  <c r="AN9" i="43" s="1"/>
  <c r="Z103" i="55"/>
  <c r="Z101" i="55"/>
  <c r="Z100" i="55"/>
  <c r="Z102" i="55"/>
  <c r="Z104" i="55"/>
  <c r="Z108" i="55"/>
  <c r="Z109" i="55"/>
  <c r="Z107" i="55"/>
  <c r="Z106" i="55"/>
  <c r="Z105" i="55"/>
  <c r="Y108" i="55"/>
  <c r="Y109" i="55"/>
  <c r="Y101" i="55"/>
  <c r="Y103" i="55"/>
  <c r="Y105" i="55"/>
  <c r="Y107" i="55"/>
  <c r="Y104" i="55"/>
  <c r="Y100" i="55"/>
  <c r="Y106" i="55"/>
  <c r="Y102" i="55"/>
  <c r="AP158" i="55"/>
  <c r="AP8" i="44" s="1"/>
  <c r="AP159" i="55"/>
  <c r="AP9" i="44" s="1"/>
  <c r="B146" i="55"/>
  <c r="B9" i="43" s="1"/>
  <c r="B143" i="55"/>
  <c r="B6" i="43" s="1"/>
  <c r="B148" i="55"/>
  <c r="B11" i="43" s="1"/>
  <c r="B139" i="55"/>
  <c r="B2" i="43" s="1"/>
  <c r="B140" i="55"/>
  <c r="B3" i="43" s="1"/>
  <c r="B142" i="55"/>
  <c r="B5" i="43" s="1"/>
  <c r="B144" i="55"/>
  <c r="B7" i="43" s="1"/>
  <c r="B145" i="55"/>
  <c r="B8" i="43" s="1"/>
  <c r="B147" i="55"/>
  <c r="B10" i="43" s="1"/>
  <c r="B141" i="55"/>
  <c r="B4" i="43" s="1"/>
  <c r="AA148" i="55"/>
  <c r="AA11" i="43" s="1"/>
  <c r="AA139" i="55"/>
  <c r="AA2" i="43" s="1"/>
  <c r="AA144" i="55"/>
  <c r="AA7" i="43" s="1"/>
  <c r="AA147" i="55"/>
  <c r="AA10" i="43" s="1"/>
  <c r="AA140" i="55"/>
  <c r="AA3" i="43" s="1"/>
  <c r="AA143" i="55"/>
  <c r="AA6" i="43" s="1"/>
  <c r="AA146" i="55"/>
  <c r="AA9" i="43" s="1"/>
  <c r="AA142" i="55"/>
  <c r="AA5" i="43" s="1"/>
  <c r="AA145" i="55"/>
  <c r="AA8" i="43" s="1"/>
  <c r="AA141" i="55"/>
  <c r="AA4" i="43" s="1"/>
  <c r="T102" i="55"/>
  <c r="T104" i="55"/>
  <c r="T100" i="55"/>
  <c r="T106" i="55"/>
  <c r="T101" i="55"/>
  <c r="T103" i="55"/>
  <c r="T105" i="55"/>
  <c r="T107" i="55"/>
  <c r="T109" i="55"/>
  <c r="T108" i="55"/>
  <c r="P120" i="55"/>
  <c r="P9" i="42" s="1"/>
  <c r="P117" i="55"/>
  <c r="P6" i="42" s="1"/>
  <c r="P115" i="55"/>
  <c r="P4" i="42" s="1"/>
  <c r="P118" i="55"/>
  <c r="P7" i="42" s="1"/>
  <c r="P121" i="55"/>
  <c r="P10" i="42" s="1"/>
  <c r="P119" i="55"/>
  <c r="P8" i="42" s="1"/>
  <c r="P122" i="55"/>
  <c r="P11" i="42" s="1"/>
  <c r="P114" i="55"/>
  <c r="P3" i="42" s="1"/>
  <c r="P113" i="55"/>
  <c r="P2" i="42" s="1"/>
  <c r="P116" i="55"/>
  <c r="P5" i="42" s="1"/>
  <c r="AK109" i="55"/>
  <c r="AK106" i="55"/>
  <c r="AK100" i="55"/>
  <c r="AK102" i="55"/>
  <c r="AK101" i="55"/>
  <c r="AK103" i="55"/>
  <c r="AK105" i="55"/>
  <c r="AK104" i="55"/>
  <c r="AK107" i="55"/>
  <c r="AK108" i="55"/>
  <c r="B160" i="55"/>
  <c r="B10" i="44" s="1"/>
  <c r="B161" i="55"/>
  <c r="B11" i="44" s="1"/>
  <c r="B152" i="55"/>
  <c r="B2" i="44" s="1"/>
  <c r="B154" i="55"/>
  <c r="B4" i="44" s="1"/>
  <c r="B155" i="55"/>
  <c r="B5" i="44" s="1"/>
  <c r="B153" i="55"/>
  <c r="B3" i="44" s="1"/>
  <c r="B156" i="55"/>
  <c r="B6" i="44" s="1"/>
  <c r="B157" i="55"/>
  <c r="B7" i="44" s="1"/>
  <c r="B158" i="55"/>
  <c r="B8" i="44" s="1"/>
  <c r="B159" i="55"/>
  <c r="B9" i="44" s="1"/>
  <c r="O135" i="55"/>
  <c r="O133" i="55"/>
  <c r="O131" i="55"/>
  <c r="O126" i="55"/>
  <c r="O128" i="55"/>
  <c r="O130" i="55"/>
  <c r="O132" i="55"/>
  <c r="O134" i="55"/>
  <c r="O129" i="55"/>
  <c r="O127" i="55"/>
  <c r="AO152" i="55"/>
  <c r="AO2" i="44" s="1"/>
  <c r="AO153" i="55"/>
  <c r="AO3" i="44" s="1"/>
  <c r="AO156" i="55"/>
  <c r="AO6" i="44" s="1"/>
  <c r="AO159" i="55"/>
  <c r="AO9" i="44" s="1"/>
  <c r="AO155" i="55"/>
  <c r="AO5" i="44" s="1"/>
  <c r="AO158" i="55"/>
  <c r="AO8" i="44" s="1"/>
  <c r="AO161" i="55"/>
  <c r="AO11" i="44" s="1"/>
  <c r="AO157" i="55"/>
  <c r="AO7" i="44" s="1"/>
  <c r="AO160" i="55"/>
  <c r="AO10" i="44" s="1"/>
  <c r="AO154" i="55"/>
  <c r="AO4" i="44" s="1"/>
  <c r="I127" i="55"/>
  <c r="I129" i="55"/>
  <c r="I131" i="55"/>
  <c r="I133" i="55"/>
  <c r="I135" i="55"/>
  <c r="I134" i="55"/>
  <c r="I132" i="55"/>
  <c r="I130" i="55"/>
  <c r="I128" i="55"/>
  <c r="I126" i="55"/>
  <c r="C135" i="55"/>
  <c r="C133" i="55"/>
  <c r="C127" i="55"/>
  <c r="C131" i="55"/>
  <c r="C126" i="55"/>
  <c r="C128" i="55"/>
  <c r="C130" i="55"/>
  <c r="C132" i="55"/>
  <c r="C134" i="55"/>
  <c r="C129" i="55"/>
  <c r="AL116" i="55"/>
  <c r="AL5" i="42" s="1"/>
  <c r="X126" i="55"/>
  <c r="X128" i="55"/>
  <c r="X130" i="55"/>
  <c r="X132" i="55"/>
  <c r="X134" i="55"/>
  <c r="X127" i="55"/>
  <c r="X129" i="55"/>
  <c r="X131" i="55"/>
  <c r="X133" i="55"/>
  <c r="X135" i="55"/>
  <c r="R121" i="55"/>
  <c r="R10" i="42" s="1"/>
  <c r="R115" i="55"/>
  <c r="R4" i="42" s="1"/>
  <c r="R116" i="55"/>
  <c r="R5" i="42" s="1"/>
  <c r="R113" i="55"/>
  <c r="R2" i="42" s="1"/>
  <c r="R114" i="55"/>
  <c r="R3" i="42" s="1"/>
  <c r="R120" i="55"/>
  <c r="R9" i="42" s="1"/>
  <c r="R117" i="55"/>
  <c r="R6" i="42" s="1"/>
  <c r="R122" i="55"/>
  <c r="R11" i="42" s="1"/>
  <c r="R119" i="55"/>
  <c r="R8" i="42" s="1"/>
  <c r="R118" i="55"/>
  <c r="R7" i="42" s="1"/>
  <c r="AF129" i="55"/>
  <c r="AN133" i="55"/>
  <c r="AB133" i="55"/>
  <c r="AB128" i="55"/>
  <c r="AB130" i="55"/>
  <c r="AB132" i="55"/>
  <c r="AB134" i="55"/>
  <c r="Y118" i="55"/>
  <c r="Y7" i="42" s="1"/>
  <c r="Y121" i="55"/>
  <c r="Y10" i="42" s="1"/>
  <c r="Y116" i="55"/>
  <c r="Y5" i="42" s="1"/>
  <c r="Y119" i="55"/>
  <c r="Y8" i="42" s="1"/>
  <c r="Y115" i="55"/>
  <c r="Y4" i="42" s="1"/>
  <c r="Y122" i="55"/>
  <c r="Y11" i="42" s="1"/>
  <c r="Y120" i="55"/>
  <c r="Y9" i="42" s="1"/>
  <c r="Y113" i="55"/>
  <c r="Y2" i="42" s="1"/>
  <c r="Y114" i="55"/>
  <c r="Y3" i="42" s="1"/>
  <c r="Y117" i="55"/>
  <c r="Y6" i="42" s="1"/>
  <c r="AP165" i="55"/>
  <c r="AP170" i="55"/>
  <c r="AP173" i="55"/>
  <c r="AP166" i="55"/>
  <c r="AP169" i="55"/>
  <c r="AP172" i="55"/>
  <c r="AP168" i="55"/>
  <c r="AP174" i="55"/>
  <c r="AP167" i="55"/>
  <c r="AP171" i="55"/>
  <c r="H139" i="55"/>
  <c r="H2" i="43" s="1"/>
  <c r="B134" i="55"/>
  <c r="B126" i="55"/>
  <c r="B127" i="55"/>
  <c r="B128" i="55"/>
  <c r="B130" i="55"/>
  <c r="B132" i="55"/>
  <c r="B133" i="55"/>
  <c r="B135" i="55"/>
  <c r="B131" i="55"/>
  <c r="B129" i="55"/>
  <c r="AR170" i="55"/>
  <c r="AR173" i="55"/>
  <c r="AR169" i="55"/>
  <c r="AR171" i="55"/>
  <c r="AR167" i="55"/>
  <c r="AR165" i="55"/>
  <c r="AR166" i="55"/>
  <c r="AR172" i="55"/>
  <c r="AR168" i="55"/>
  <c r="AR174" i="55"/>
  <c r="AD117" i="55"/>
  <c r="AD6" i="42" s="1"/>
  <c r="AD120" i="55"/>
  <c r="AD9" i="42" s="1"/>
  <c r="AD121" i="55"/>
  <c r="AD10" i="42" s="1"/>
  <c r="AD119" i="55"/>
  <c r="AD8" i="42" s="1"/>
  <c r="AD122" i="55"/>
  <c r="AD11" i="42" s="1"/>
  <c r="C172" i="55"/>
  <c r="C9" i="45" s="1"/>
  <c r="C165" i="55"/>
  <c r="C2" i="45" s="1"/>
  <c r="C174" i="55"/>
  <c r="C11" i="45" s="1"/>
  <c r="C171" i="55"/>
  <c r="C8" i="45" s="1"/>
  <c r="C170" i="55"/>
  <c r="C7" i="45" s="1"/>
  <c r="C167" i="55"/>
  <c r="C4" i="45" s="1"/>
  <c r="C168" i="55"/>
  <c r="C5" i="45" s="1"/>
  <c r="C166" i="55"/>
  <c r="C3" i="45" s="1"/>
  <c r="C173" i="55"/>
  <c r="C10" i="45" s="1"/>
  <c r="C169" i="55"/>
  <c r="C6" i="45" s="1"/>
  <c r="N113" i="55"/>
  <c r="N2" i="42" s="1"/>
  <c r="N119" i="55"/>
  <c r="N8" i="42" s="1"/>
  <c r="N117" i="55"/>
  <c r="N6" i="42" s="1"/>
  <c r="N114" i="55"/>
  <c r="N3" i="42" s="1"/>
  <c r="N115" i="55"/>
  <c r="N4" i="42" s="1"/>
  <c r="N116" i="55"/>
  <c r="N5" i="42" s="1"/>
  <c r="N121" i="55"/>
  <c r="N10" i="42" s="1"/>
  <c r="N120" i="55"/>
  <c r="N9" i="42" s="1"/>
  <c r="N118" i="55"/>
  <c r="N7" i="42" s="1"/>
  <c r="N122" i="55"/>
  <c r="N11" i="42" s="1"/>
  <c r="M108" i="55"/>
  <c r="AC147" i="55"/>
  <c r="AC10" i="43" s="1"/>
  <c r="AC141" i="55"/>
  <c r="AC4" i="43" s="1"/>
  <c r="AC146" i="55"/>
  <c r="AC9" i="43" s="1"/>
  <c r="AC148" i="55"/>
  <c r="AC11" i="43" s="1"/>
  <c r="AC142" i="55"/>
  <c r="AC5" i="43" s="1"/>
  <c r="AC143" i="55"/>
  <c r="AC6" i="43" s="1"/>
  <c r="AC139" i="55"/>
  <c r="AC2" i="43" s="1"/>
  <c r="AC144" i="55"/>
  <c r="AC7" i="43" s="1"/>
  <c r="AC145" i="55"/>
  <c r="AC8" i="43" s="1"/>
  <c r="AC140" i="55"/>
  <c r="AC3" i="43" s="1"/>
  <c r="X170" i="55"/>
  <c r="X7" i="45" s="1"/>
  <c r="X173" i="55"/>
  <c r="X10" i="45" s="1"/>
  <c r="X169" i="55"/>
  <c r="X6" i="45" s="1"/>
  <c r="X165" i="55"/>
  <c r="X2" i="45" s="1"/>
  <c r="X171" i="55"/>
  <c r="X8" i="45" s="1"/>
  <c r="X168" i="55"/>
  <c r="X5" i="45" s="1"/>
  <c r="X172" i="55"/>
  <c r="X9" i="45" s="1"/>
  <c r="X166" i="55"/>
  <c r="X3" i="45" s="1"/>
  <c r="X174" i="55"/>
  <c r="X11" i="45" s="1"/>
  <c r="X167" i="55"/>
  <c r="X4" i="45" s="1"/>
  <c r="G168" i="55"/>
  <c r="G5" i="45" s="1"/>
  <c r="G171" i="55"/>
  <c r="G8" i="45" s="1"/>
  <c r="G167" i="55"/>
  <c r="G4" i="45" s="1"/>
  <c r="G165" i="55"/>
  <c r="G2" i="45" s="1"/>
  <c r="G173" i="55"/>
  <c r="G10" i="45" s="1"/>
  <c r="E106" i="55"/>
  <c r="AK143" i="55"/>
  <c r="AK6" i="43" s="1"/>
  <c r="AK142" i="55"/>
  <c r="AK5" i="43" s="1"/>
  <c r="AK147" i="55"/>
  <c r="AK10" i="43" s="1"/>
  <c r="AK140" i="55"/>
  <c r="AK3" i="43" s="1"/>
  <c r="AK141" i="55"/>
  <c r="AK4" i="43" s="1"/>
  <c r="AK148" i="55"/>
  <c r="AK11" i="43" s="1"/>
  <c r="AK144" i="55"/>
  <c r="AK7" i="43" s="1"/>
  <c r="AK145" i="55"/>
  <c r="AK8" i="43" s="1"/>
  <c r="AK139" i="55"/>
  <c r="AK2" i="43" s="1"/>
  <c r="AK146" i="55"/>
  <c r="AK9" i="43" s="1"/>
  <c r="AN174" i="55"/>
  <c r="AN173" i="55"/>
  <c r="AN170" i="55"/>
  <c r="AN169" i="55"/>
  <c r="AN166" i="55"/>
  <c r="AN171" i="55"/>
  <c r="AN167" i="55"/>
  <c r="AN172" i="55"/>
  <c r="AN168" i="55"/>
  <c r="AN165" i="55"/>
  <c r="AB174" i="55"/>
  <c r="AB173" i="55"/>
  <c r="AB170" i="55"/>
  <c r="AB169" i="55"/>
  <c r="AB166" i="55"/>
  <c r="AB172" i="55"/>
  <c r="AB168" i="55"/>
  <c r="AB167" i="55"/>
  <c r="AB171" i="55"/>
  <c r="AB165" i="55"/>
  <c r="F143" i="55"/>
  <c r="F6" i="43" s="1"/>
  <c r="F146" i="55"/>
  <c r="F9" i="43" s="1"/>
  <c r="F142" i="55"/>
  <c r="F5" i="43" s="1"/>
  <c r="F145" i="55"/>
  <c r="F8" i="43" s="1"/>
  <c r="F148" i="55"/>
  <c r="F11" i="43" s="1"/>
  <c r="F139" i="55"/>
  <c r="F2" i="43" s="1"/>
  <c r="F141" i="55"/>
  <c r="F4" i="43" s="1"/>
  <c r="F144" i="55"/>
  <c r="F7" i="43" s="1"/>
  <c r="F140" i="55"/>
  <c r="F3" i="43" s="1"/>
  <c r="F147" i="55"/>
  <c r="F10" i="43" s="1"/>
  <c r="L145" i="55"/>
  <c r="L8" i="43" s="1"/>
  <c r="L140" i="55"/>
  <c r="L3" i="43" s="1"/>
  <c r="L144" i="55"/>
  <c r="L7" i="43" s="1"/>
  <c r="L147" i="55"/>
  <c r="L10" i="43" s="1"/>
  <c r="L143" i="55"/>
  <c r="L6" i="43" s="1"/>
  <c r="L139" i="55"/>
  <c r="L2" i="43" s="1"/>
  <c r="L146" i="55"/>
  <c r="L9" i="43" s="1"/>
  <c r="L142" i="55"/>
  <c r="L5" i="43" s="1"/>
  <c r="L148" i="55"/>
  <c r="L11" i="43" s="1"/>
  <c r="L141" i="55"/>
  <c r="L4" i="43" s="1"/>
  <c r="T145" i="55"/>
  <c r="T8" i="43" s="1"/>
  <c r="T139" i="55"/>
  <c r="T2" i="43" s="1"/>
  <c r="T144" i="55"/>
  <c r="T7" i="43" s="1"/>
  <c r="T146" i="55"/>
  <c r="T9" i="43" s="1"/>
  <c r="T148" i="55"/>
  <c r="T11" i="43" s="1"/>
  <c r="T140" i="55"/>
  <c r="T3" i="43" s="1"/>
  <c r="T142" i="55"/>
  <c r="T5" i="43" s="1"/>
  <c r="T141" i="55"/>
  <c r="T4" i="43" s="1"/>
  <c r="T147" i="55"/>
  <c r="T10" i="43" s="1"/>
  <c r="T143" i="55"/>
  <c r="T6" i="43" s="1"/>
  <c r="AP122" i="55"/>
  <c r="AP11" i="42" s="1"/>
  <c r="AP116" i="55"/>
  <c r="AP5" i="42" s="1"/>
  <c r="AP115" i="55"/>
  <c r="AP4" i="42" s="1"/>
  <c r="AP120" i="55"/>
  <c r="AP9" i="42" s="1"/>
  <c r="Q139" i="55"/>
  <c r="Q2" i="43" s="1"/>
  <c r="Q144" i="55"/>
  <c r="Q7" i="43" s="1"/>
  <c r="Q145" i="55"/>
  <c r="Q8" i="43" s="1"/>
  <c r="Q140" i="55"/>
  <c r="Q3" i="43" s="1"/>
  <c r="Q141" i="55"/>
  <c r="Q4" i="43" s="1"/>
  <c r="Q146" i="55"/>
  <c r="Q9" i="43" s="1"/>
  <c r="Q147" i="55"/>
  <c r="Q10" i="43" s="1"/>
  <c r="Q142" i="55"/>
  <c r="Q5" i="43" s="1"/>
  <c r="Q143" i="55"/>
  <c r="Q6" i="43" s="1"/>
  <c r="Q148" i="55"/>
  <c r="Q11" i="43" s="1"/>
  <c r="AC107" i="55"/>
  <c r="AC103" i="55"/>
  <c r="T116" i="55"/>
  <c r="T5" i="42" s="1"/>
  <c r="T119" i="55"/>
  <c r="T8" i="42" s="1"/>
  <c r="T120" i="55"/>
  <c r="T9" i="42" s="1"/>
  <c r="T114" i="55"/>
  <c r="T3" i="42" s="1"/>
  <c r="T117" i="55"/>
  <c r="T6" i="42" s="1"/>
  <c r="H165" i="55"/>
  <c r="H2" i="45" s="1"/>
  <c r="H168" i="55"/>
  <c r="H5" i="45" s="1"/>
  <c r="H170" i="55"/>
  <c r="H7" i="45" s="1"/>
  <c r="H167" i="55"/>
  <c r="H4" i="45" s="1"/>
  <c r="H173" i="55"/>
  <c r="H10" i="45" s="1"/>
  <c r="H169" i="55"/>
  <c r="H6" i="45" s="1"/>
  <c r="H171" i="55"/>
  <c r="H8" i="45" s="1"/>
  <c r="R148" i="55"/>
  <c r="R11" i="43" s="1"/>
  <c r="R145" i="55"/>
  <c r="R8" i="43" s="1"/>
  <c r="R142" i="55"/>
  <c r="R5" i="43" s="1"/>
  <c r="R146" i="55"/>
  <c r="R9" i="43" s="1"/>
  <c r="R141" i="55"/>
  <c r="R4" i="43" s="1"/>
  <c r="R139" i="55"/>
  <c r="R2" i="43" s="1"/>
  <c r="R144" i="55"/>
  <c r="R7" i="43" s="1"/>
  <c r="R140" i="55"/>
  <c r="R3" i="43" s="1"/>
  <c r="R143" i="55"/>
  <c r="R6" i="43" s="1"/>
  <c r="R147" i="55"/>
  <c r="R10" i="43" s="1"/>
  <c r="AJ106" i="55"/>
  <c r="AJ104" i="55"/>
  <c r="AJ102" i="55"/>
  <c r="AJ100" i="55"/>
  <c r="AJ101" i="55"/>
  <c r="AJ103" i="55"/>
  <c r="AJ105" i="55"/>
  <c r="AJ107" i="55"/>
  <c r="AJ109" i="55"/>
  <c r="AJ108" i="55"/>
  <c r="AQ132" i="55"/>
  <c r="AQ130" i="55"/>
  <c r="AQ126" i="55"/>
  <c r="AQ131" i="55"/>
  <c r="AQ133" i="55"/>
  <c r="AQ135" i="55"/>
  <c r="AQ173" i="55"/>
  <c r="AQ169" i="55"/>
  <c r="AQ168" i="55"/>
  <c r="AQ165" i="55"/>
  <c r="AQ170" i="55"/>
  <c r="AQ166" i="55"/>
  <c r="AQ171" i="55"/>
  <c r="AQ172" i="55"/>
  <c r="AQ167" i="55"/>
  <c r="AQ174" i="55"/>
  <c r="O168" i="55"/>
  <c r="O5" i="45" s="1"/>
  <c r="O173" i="55"/>
  <c r="O10" i="45" s="1"/>
  <c r="O169" i="55"/>
  <c r="O6" i="45" s="1"/>
  <c r="O165" i="55"/>
  <c r="O2" i="45" s="1"/>
  <c r="O174" i="55"/>
  <c r="O11" i="45" s="1"/>
  <c r="O171" i="55"/>
  <c r="O8" i="45" s="1"/>
  <c r="O170" i="55"/>
  <c r="O7" i="45" s="1"/>
  <c r="O167" i="55"/>
  <c r="O4" i="45" s="1"/>
  <c r="O166" i="55"/>
  <c r="O3" i="45" s="1"/>
  <c r="O172" i="55"/>
  <c r="O9" i="45" s="1"/>
  <c r="AO126" i="55"/>
  <c r="AO135" i="55"/>
  <c r="AO133" i="55"/>
  <c r="AO129" i="55"/>
  <c r="I156" i="55"/>
  <c r="I6" i="44" s="1"/>
  <c r="I159" i="55"/>
  <c r="I9" i="44" s="1"/>
  <c r="I158" i="55"/>
  <c r="I8" i="44" s="1"/>
  <c r="I161" i="55"/>
  <c r="I11" i="44" s="1"/>
  <c r="I152" i="55"/>
  <c r="I2" i="44" s="1"/>
  <c r="I154" i="55"/>
  <c r="I4" i="44" s="1"/>
  <c r="AQ153" i="55"/>
  <c r="AQ3" i="44" s="1"/>
  <c r="AQ155" i="55"/>
  <c r="AQ5" i="44" s="1"/>
  <c r="AQ161" i="55"/>
  <c r="AQ11" i="44" s="1"/>
  <c r="AQ158" i="55"/>
  <c r="AQ8" i="44" s="1"/>
  <c r="AQ154" i="55"/>
  <c r="AQ4" i="44" s="1"/>
  <c r="AQ160" i="55"/>
  <c r="AQ10" i="44" s="1"/>
  <c r="AQ156" i="55"/>
  <c r="AQ6" i="44" s="1"/>
  <c r="AQ152" i="55"/>
  <c r="AQ2" i="44" s="1"/>
  <c r="AQ159" i="55"/>
  <c r="AQ9" i="44" s="1"/>
  <c r="AQ157" i="55"/>
  <c r="AQ7" i="44" s="1"/>
  <c r="O157" i="55"/>
  <c r="O7" i="44" s="1"/>
  <c r="O160" i="55"/>
  <c r="O10" i="44" s="1"/>
  <c r="O153" i="55"/>
  <c r="O3" i="44" s="1"/>
  <c r="O156" i="55"/>
  <c r="O6" i="44" s="1"/>
  <c r="O159" i="55"/>
  <c r="O9" i="44" s="1"/>
  <c r="O155" i="55"/>
  <c r="O5" i="44" s="1"/>
  <c r="O158" i="55"/>
  <c r="O8" i="44" s="1"/>
  <c r="O154" i="55"/>
  <c r="O4" i="44" s="1"/>
  <c r="O161" i="55"/>
  <c r="O11" i="44" s="1"/>
  <c r="O152" i="55"/>
  <c r="O2" i="44" s="1"/>
  <c r="AO167" i="55"/>
  <c r="AO171" i="55"/>
  <c r="AO173" i="55"/>
  <c r="AO169" i="55"/>
  <c r="AO172" i="55"/>
  <c r="AO165" i="55"/>
  <c r="AO174" i="55"/>
  <c r="AO168" i="55"/>
  <c r="I165" i="55"/>
  <c r="I2" i="45" s="1"/>
  <c r="I166" i="55"/>
  <c r="I3" i="45" s="1"/>
  <c r="I171" i="55"/>
  <c r="I8" i="45" s="1"/>
  <c r="I168" i="55"/>
  <c r="I5" i="45" s="1"/>
  <c r="I167" i="55"/>
  <c r="I4" i="45" s="1"/>
  <c r="I174" i="55"/>
  <c r="I11" i="45" s="1"/>
  <c r="I173" i="55"/>
  <c r="I10" i="45" s="1"/>
  <c r="I170" i="55"/>
  <c r="I7" i="45" s="1"/>
  <c r="I172" i="55"/>
  <c r="I9" i="45" s="1"/>
  <c r="I169" i="55"/>
  <c r="I6" i="45" s="1"/>
  <c r="C157" i="55"/>
  <c r="C7" i="44" s="1"/>
  <c r="C160" i="55"/>
  <c r="C10" i="44" s="1"/>
  <c r="C153" i="55"/>
  <c r="C3" i="44" s="1"/>
  <c r="C152" i="55"/>
  <c r="C2" i="44" s="1"/>
  <c r="C161" i="55"/>
  <c r="C11" i="44" s="1"/>
  <c r="C156" i="55"/>
  <c r="C6" i="44" s="1"/>
  <c r="C154" i="55"/>
  <c r="C4" i="44" s="1"/>
  <c r="C158" i="55"/>
  <c r="C8" i="44" s="1"/>
  <c r="C159" i="55"/>
  <c r="C9" i="44" s="1"/>
  <c r="C155" i="55"/>
  <c r="C5" i="44" s="1"/>
  <c r="N106" i="55"/>
  <c r="N108" i="55"/>
  <c r="N103" i="55"/>
  <c r="N109" i="55"/>
  <c r="N101" i="55"/>
  <c r="N105" i="55"/>
  <c r="N100" i="55"/>
  <c r="N104" i="55"/>
  <c r="N107" i="55"/>
  <c r="N102" i="55"/>
  <c r="M114" i="55"/>
  <c r="M3" i="42" s="1"/>
  <c r="M115" i="55"/>
  <c r="M4" i="42" s="1"/>
  <c r="M118" i="55"/>
  <c r="M7" i="42" s="1"/>
  <c r="M121" i="55"/>
  <c r="M10" i="42" s="1"/>
  <c r="M122" i="55"/>
  <c r="M11" i="42" s="1"/>
  <c r="M117" i="55"/>
  <c r="M6" i="42" s="1"/>
  <c r="M120" i="55"/>
  <c r="M9" i="42" s="1"/>
  <c r="M116" i="55"/>
  <c r="M5" i="42" s="1"/>
  <c r="M119" i="55"/>
  <c r="M8" i="42" s="1"/>
  <c r="M113" i="55"/>
  <c r="M2" i="42" s="1"/>
  <c r="AC132" i="55"/>
  <c r="AC129" i="55"/>
  <c r="AC126" i="55"/>
  <c r="AC135" i="55"/>
  <c r="AC133" i="55"/>
  <c r="AC131" i="55"/>
  <c r="AC134" i="55"/>
  <c r="AC128" i="55"/>
  <c r="AC130" i="55"/>
  <c r="AC127" i="55"/>
  <c r="X153" i="55"/>
  <c r="X3" i="44" s="1"/>
  <c r="X155" i="55"/>
  <c r="X5" i="44" s="1"/>
  <c r="X160" i="55"/>
  <c r="X10" i="44" s="1"/>
  <c r="X156" i="55"/>
  <c r="X6" i="44" s="1"/>
  <c r="X161" i="55"/>
  <c r="X11" i="44" s="1"/>
  <c r="X152" i="55"/>
  <c r="X2" i="44" s="1"/>
  <c r="X157" i="55"/>
  <c r="X7" i="44" s="1"/>
  <c r="X158" i="55"/>
  <c r="X8" i="44" s="1"/>
  <c r="X154" i="55"/>
  <c r="X4" i="44" s="1"/>
  <c r="X159" i="55"/>
  <c r="X9" i="44" s="1"/>
  <c r="G153" i="55"/>
  <c r="G3" i="44" s="1"/>
  <c r="G159" i="55"/>
  <c r="G9" i="44" s="1"/>
  <c r="G157" i="55"/>
  <c r="G7" i="44" s="1"/>
  <c r="G156" i="55"/>
  <c r="G6" i="44" s="1"/>
  <c r="G158" i="55"/>
  <c r="G8" i="44" s="1"/>
  <c r="G154" i="55"/>
  <c r="G4" i="44" s="1"/>
  <c r="G160" i="55"/>
  <c r="G10" i="44" s="1"/>
  <c r="G152" i="55"/>
  <c r="G2" i="44" s="1"/>
  <c r="G155" i="55"/>
  <c r="G5" i="44" s="1"/>
  <c r="G161" i="55"/>
  <c r="G11" i="44" s="1"/>
  <c r="AG108" i="55"/>
  <c r="AG106" i="55"/>
  <c r="AG105" i="55"/>
  <c r="AG102" i="55"/>
  <c r="AG109" i="55"/>
  <c r="AG100" i="55"/>
  <c r="AG107" i="55"/>
  <c r="AG101" i="55"/>
  <c r="AG103" i="55"/>
  <c r="AG104" i="55"/>
  <c r="E115" i="55"/>
  <c r="E4" i="42" s="1"/>
  <c r="E116" i="55"/>
  <c r="E5" i="42" s="1"/>
  <c r="E120" i="55"/>
  <c r="E9" i="42" s="1"/>
  <c r="E117" i="55"/>
  <c r="E6" i="42" s="1"/>
  <c r="E113" i="55"/>
  <c r="E2" i="42" s="1"/>
  <c r="E118" i="55"/>
  <c r="E7" i="42" s="1"/>
  <c r="E121" i="55"/>
  <c r="E10" i="42" s="1"/>
  <c r="E122" i="55"/>
  <c r="E11" i="42" s="1"/>
  <c r="E114" i="55"/>
  <c r="E3" i="42" s="1"/>
  <c r="E119" i="55"/>
  <c r="E8" i="42" s="1"/>
  <c r="V128" i="55"/>
  <c r="AK131" i="55"/>
  <c r="AK126" i="55"/>
  <c r="AK128" i="55"/>
  <c r="AK130" i="55"/>
  <c r="AK132" i="55"/>
  <c r="AK134" i="55"/>
  <c r="AK135" i="55"/>
  <c r="AK129" i="55"/>
  <c r="AK133" i="55"/>
  <c r="AK127" i="55"/>
  <c r="AN157" i="55"/>
  <c r="AN7" i="44" s="1"/>
  <c r="AN161" i="55"/>
  <c r="AN11" i="44" s="1"/>
  <c r="AN159" i="55"/>
  <c r="AN9" i="44" s="1"/>
  <c r="AB161" i="55"/>
  <c r="AB11" i="44" s="1"/>
  <c r="AB156" i="55"/>
  <c r="AB6" i="44" s="1"/>
  <c r="F133" i="55"/>
  <c r="F135" i="55"/>
  <c r="F126" i="55"/>
  <c r="F130" i="55"/>
  <c r="F132" i="55"/>
  <c r="F134" i="55"/>
  <c r="F127" i="55"/>
  <c r="F129" i="55"/>
  <c r="F131" i="55"/>
  <c r="F128" i="55"/>
  <c r="AP104" i="55"/>
  <c r="AP106" i="55"/>
  <c r="AP107" i="55"/>
  <c r="U130" i="55" l="1"/>
  <c r="AB157" i="55"/>
  <c r="AB7" i="44" s="1"/>
  <c r="AC101" i="55"/>
  <c r="X144" i="55"/>
  <c r="X7" i="43" s="1"/>
  <c r="AF119" i="55"/>
  <c r="AF8" i="42" s="1"/>
  <c r="U133" i="55"/>
  <c r="U129" i="55"/>
  <c r="AB159" i="55"/>
  <c r="AB9" i="44" s="1"/>
  <c r="V135" i="55"/>
  <c r="AO134" i="55"/>
  <c r="AQ129" i="55"/>
  <c r="H166" i="55"/>
  <c r="H3" i="45" s="1"/>
  <c r="AC106" i="55"/>
  <c r="AP113" i="55"/>
  <c r="AP2" i="42" s="1"/>
  <c r="G172" i="55"/>
  <c r="G9" i="45" s="1"/>
  <c r="AB126" i="55"/>
  <c r="AG166" i="55"/>
  <c r="AF139" i="55"/>
  <c r="AF2" i="43" s="1"/>
  <c r="D148" i="55"/>
  <c r="D11" i="43" s="1"/>
  <c r="D133" i="55"/>
  <c r="J161" i="55"/>
  <c r="J11" i="44" s="1"/>
  <c r="I105" i="55"/>
  <c r="O121" i="55"/>
  <c r="O10" i="42" s="1"/>
  <c r="AB102" i="55"/>
  <c r="AF118" i="55"/>
  <c r="AF7" i="42" s="1"/>
  <c r="AF121" i="55"/>
  <c r="AF10" i="42" s="1"/>
  <c r="U128" i="55"/>
  <c r="AB153" i="55"/>
  <c r="AB3" i="44" s="1"/>
  <c r="AO127" i="55"/>
  <c r="AQ127" i="55"/>
  <c r="H172" i="55"/>
  <c r="H9" i="45" s="1"/>
  <c r="AC105" i="55"/>
  <c r="AP118" i="55"/>
  <c r="AP7" i="42" s="1"/>
  <c r="G166" i="55"/>
  <c r="G3" i="45" s="1"/>
  <c r="AB135" i="55"/>
  <c r="G126" i="55"/>
  <c r="AF147" i="55"/>
  <c r="AF10" i="43" s="1"/>
  <c r="D131" i="55"/>
  <c r="J152" i="55"/>
  <c r="J2" i="44" s="1"/>
  <c r="P165" i="55"/>
  <c r="P2" i="45" s="1"/>
  <c r="I107" i="55"/>
  <c r="O118" i="55"/>
  <c r="O7" i="42" s="1"/>
  <c r="AB100" i="55"/>
  <c r="AF120" i="55"/>
  <c r="AF9" i="42" s="1"/>
  <c r="U131" i="55"/>
  <c r="G128" i="55"/>
  <c r="AF145" i="55"/>
  <c r="AF8" i="43" s="1"/>
  <c r="D129" i="55"/>
  <c r="AE116" i="55"/>
  <c r="AE5" i="42" s="1"/>
  <c r="J156" i="55"/>
  <c r="J6" i="44" s="1"/>
  <c r="P168" i="55"/>
  <c r="P5" i="45" s="1"/>
  <c r="I109" i="55"/>
  <c r="O117" i="55"/>
  <c r="O6" i="42" s="1"/>
  <c r="AB107" i="55"/>
  <c r="AF117" i="55"/>
  <c r="AF6" i="42" s="1"/>
  <c r="AC104" i="55"/>
  <c r="AO131" i="55"/>
  <c r="AQ128" i="55"/>
  <c r="AC102" i="55"/>
  <c r="AP117" i="55"/>
  <c r="AP6" i="42" s="1"/>
  <c r="G130" i="55"/>
  <c r="AF141" i="55"/>
  <c r="AF4" i="43" s="1"/>
  <c r="D134" i="55"/>
  <c r="J155" i="55"/>
  <c r="J5" i="44" s="1"/>
  <c r="P170" i="55"/>
  <c r="P7" i="45" s="1"/>
  <c r="I103" i="55"/>
  <c r="O114" i="55"/>
  <c r="O3" i="42" s="1"/>
  <c r="AB105" i="55"/>
  <c r="AC100" i="55"/>
  <c r="AO114" i="55"/>
  <c r="AO3" i="42" s="1"/>
  <c r="AB101" i="55"/>
  <c r="X140" i="55"/>
  <c r="X3" i="43" s="1"/>
  <c r="AO128" i="55"/>
  <c r="AP119" i="55"/>
  <c r="AP8" i="42" s="1"/>
  <c r="V147" i="55"/>
  <c r="V10" i="43" s="1"/>
  <c r="G133" i="55"/>
  <c r="X148" i="55"/>
  <c r="X11" i="43" s="1"/>
  <c r="Y157" i="55"/>
  <c r="Y7" i="44" s="1"/>
  <c r="AM158" i="55"/>
  <c r="AM8" i="44" s="1"/>
  <c r="Z135" i="55"/>
  <c r="AJ155" i="55"/>
  <c r="AJ5" i="44" s="1"/>
  <c r="AO122" i="55"/>
  <c r="AO11" i="42" s="1"/>
  <c r="AB108" i="55"/>
  <c r="G135" i="55"/>
  <c r="X142" i="55"/>
  <c r="X5" i="43" s="1"/>
  <c r="G131" i="55"/>
  <c r="X141" i="55"/>
  <c r="X4" i="43" s="1"/>
  <c r="Y160" i="55"/>
  <c r="Y10" i="44" s="1"/>
  <c r="D139" i="55"/>
  <c r="D2" i="43" s="1"/>
  <c r="Z130" i="55"/>
  <c r="AJ157" i="55"/>
  <c r="AJ7" i="44" s="1"/>
  <c r="AO121" i="55"/>
  <c r="AO10" i="42" s="1"/>
  <c r="AB106" i="55"/>
  <c r="AC109" i="55"/>
  <c r="AO130" i="55"/>
  <c r="AP114" i="55"/>
  <c r="AP3" i="42" s="1"/>
  <c r="G170" i="55"/>
  <c r="G7" i="45" s="1"/>
  <c r="G129" i="55"/>
  <c r="X145" i="55"/>
  <c r="X8" i="43" s="1"/>
  <c r="Y161" i="55"/>
  <c r="Y11" i="44" s="1"/>
  <c r="D147" i="55"/>
  <c r="D10" i="43" s="1"/>
  <c r="Z128" i="55"/>
  <c r="AJ152" i="55"/>
  <c r="AJ2" i="44" s="1"/>
  <c r="AO118" i="55"/>
  <c r="AO7" i="42" s="1"/>
  <c r="E154" i="55"/>
  <c r="E4" i="44" s="1"/>
  <c r="U148" i="55"/>
  <c r="U11" i="43" s="1"/>
  <c r="G169" i="55"/>
  <c r="G6" i="45" s="1"/>
  <c r="AB131" i="55"/>
  <c r="G127" i="55"/>
  <c r="X146" i="55"/>
  <c r="X9" i="43" s="1"/>
  <c r="Y155" i="55"/>
  <c r="Y5" i="44" s="1"/>
  <c r="D142" i="55"/>
  <c r="D5" i="43" s="1"/>
  <c r="Z129" i="55"/>
  <c r="AJ161" i="55"/>
  <c r="AJ11" i="44" s="1"/>
  <c r="AO115" i="55"/>
  <c r="AO4" i="42" s="1"/>
  <c r="AF114" i="55"/>
  <c r="AF3" i="42" s="1"/>
  <c r="AB155" i="55"/>
  <c r="AB5" i="44" s="1"/>
  <c r="P131" i="55"/>
  <c r="P127" i="55"/>
  <c r="AB129" i="55"/>
  <c r="G134" i="55"/>
  <c r="AF143" i="55"/>
  <c r="AF6" i="43" s="1"/>
  <c r="X139" i="55"/>
  <c r="X2" i="43" s="1"/>
  <c r="Y154" i="55"/>
  <c r="Y4" i="44" s="1"/>
  <c r="D141" i="55"/>
  <c r="D4" i="43" s="1"/>
  <c r="J160" i="55"/>
  <c r="J10" i="44" s="1"/>
  <c r="AJ156" i="55"/>
  <c r="AJ6" i="44" s="1"/>
  <c r="AO120" i="55"/>
  <c r="AO9" i="42" s="1"/>
  <c r="AF115" i="55"/>
  <c r="AF4" i="42" s="1"/>
  <c r="AL142" i="55"/>
  <c r="AL5" i="43" s="1"/>
  <c r="AJ160" i="55"/>
  <c r="AJ10" i="44" s="1"/>
  <c r="AG44" i="55"/>
  <c r="AG11" i="26" s="1"/>
  <c r="AG43" i="55"/>
  <c r="AG10" i="26" s="1"/>
  <c r="Y134" i="55"/>
  <c r="Q41" i="55"/>
  <c r="Q8" i="26" s="1"/>
  <c r="Q39" i="55"/>
  <c r="Q6" i="26" s="1"/>
  <c r="G44" i="55"/>
  <c r="G11" i="26" s="1"/>
  <c r="Q37" i="55"/>
  <c r="Q4" i="26" s="1"/>
  <c r="AD76" i="55"/>
  <c r="AD4" i="24" s="1"/>
  <c r="Q35" i="55"/>
  <c r="Q2" i="26" s="1"/>
  <c r="AD82" i="55"/>
  <c r="AD10" i="24" s="1"/>
  <c r="Q44" i="55"/>
  <c r="Q11" i="26" s="1"/>
  <c r="Y127" i="55"/>
  <c r="H92" i="55"/>
  <c r="H7" i="23" s="1"/>
  <c r="Q40" i="55"/>
  <c r="Q7" i="26" s="1"/>
  <c r="Q42" i="55"/>
  <c r="Q9" i="26" s="1"/>
  <c r="Q38" i="55"/>
  <c r="Q5" i="26" s="1"/>
  <c r="Q94" i="55"/>
  <c r="Q9" i="23" s="1"/>
  <c r="AG80" i="55"/>
  <c r="AG8" i="24" s="1"/>
  <c r="E54" i="55"/>
  <c r="Q90" i="55"/>
  <c r="Q5" i="23" s="1"/>
  <c r="S61" i="55"/>
  <c r="S2" i="25" s="1"/>
  <c r="V52" i="55"/>
  <c r="E50" i="55"/>
  <c r="Q88" i="55"/>
  <c r="Q3" i="23" s="1"/>
  <c r="V57" i="55"/>
  <c r="E53" i="55"/>
  <c r="AJ91" i="55"/>
  <c r="E55" i="55"/>
  <c r="V55" i="55"/>
  <c r="E48" i="55"/>
  <c r="AJ89" i="55"/>
  <c r="P44" i="55"/>
  <c r="P11" i="26" s="1"/>
  <c r="V56" i="55"/>
  <c r="E49" i="55"/>
  <c r="AJ96" i="55"/>
  <c r="AG78" i="55"/>
  <c r="AG6" i="24" s="1"/>
  <c r="E51" i="55"/>
  <c r="AJ88" i="55"/>
  <c r="E57" i="55"/>
  <c r="AJ92" i="55"/>
  <c r="AG74" i="55"/>
  <c r="AG2" i="24" s="1"/>
  <c r="AJ94" i="55"/>
  <c r="Q93" i="55"/>
  <c r="Q8" i="23" s="1"/>
  <c r="S64" i="55"/>
  <c r="S5" i="25" s="1"/>
  <c r="AJ87" i="55"/>
  <c r="AJ90" i="55"/>
  <c r="Q87" i="55"/>
  <c r="Q2" i="23" s="1"/>
  <c r="S66" i="55"/>
  <c r="S7" i="25" s="1"/>
  <c r="E56" i="55"/>
  <c r="V51" i="55"/>
  <c r="AJ95" i="55"/>
  <c r="Q92" i="55"/>
  <c r="Q7" i="23" s="1"/>
  <c r="S63" i="55"/>
  <c r="S4" i="25" s="1"/>
  <c r="AG83" i="55"/>
  <c r="AG11" i="24" s="1"/>
  <c r="Q95" i="55"/>
  <c r="Q10" i="23" s="1"/>
  <c r="S67" i="55"/>
  <c r="S8" i="25" s="1"/>
  <c r="V53" i="55"/>
  <c r="Q89" i="55"/>
  <c r="Q4" i="23" s="1"/>
  <c r="F2" i="4"/>
  <c r="Q9" i="4"/>
  <c r="Q2" i="37"/>
  <c r="C2" i="37"/>
  <c r="E9" i="37"/>
  <c r="L3" i="37"/>
  <c r="C7" i="37"/>
  <c r="N6" i="37"/>
  <c r="E8" i="37"/>
  <c r="Q6" i="37"/>
  <c r="F5" i="37"/>
  <c r="S2" i="37"/>
  <c r="V7" i="37"/>
  <c r="X6" i="37"/>
  <c r="G8" i="37"/>
  <c r="J9" i="37"/>
  <c r="U2" i="37"/>
  <c r="C11" i="37"/>
  <c r="O8" i="37"/>
  <c r="M5" i="37"/>
  <c r="K2" i="37"/>
  <c r="Q3" i="37"/>
  <c r="F9" i="37"/>
  <c r="V8" i="37"/>
  <c r="M2" i="37"/>
  <c r="K11" i="37"/>
  <c r="N7" i="37"/>
  <c r="E7" i="37"/>
  <c r="Q10" i="37"/>
  <c r="F7" i="37"/>
  <c r="V11" i="37"/>
  <c r="X5" i="37"/>
  <c r="H5" i="37"/>
  <c r="G9" i="37"/>
  <c r="J10" i="37"/>
  <c r="U3" i="37"/>
  <c r="C5" i="37"/>
  <c r="O3" i="37"/>
  <c r="M9" i="37"/>
  <c r="N11" i="37"/>
  <c r="G4" i="37"/>
  <c r="N2" i="37"/>
  <c r="S5" i="37"/>
  <c r="X2" i="37"/>
  <c r="G2" i="37"/>
  <c r="O4" i="37"/>
  <c r="N4" i="37"/>
  <c r="E6" i="37"/>
  <c r="Q7" i="37"/>
  <c r="F6" i="37"/>
  <c r="V6" i="37"/>
  <c r="X3" i="37"/>
  <c r="H2" i="37"/>
  <c r="G6" i="37"/>
  <c r="J11" i="37"/>
  <c r="U7" i="37"/>
  <c r="C6" i="37"/>
  <c r="T7" i="37"/>
  <c r="O11" i="37"/>
  <c r="M11" i="37"/>
  <c r="E5" i="37"/>
  <c r="Q5" i="37"/>
  <c r="F8" i="37"/>
  <c r="V2" i="37"/>
  <c r="H4" i="37"/>
  <c r="G3" i="37"/>
  <c r="J6" i="37"/>
  <c r="U5" i="37"/>
  <c r="T9" i="37"/>
  <c r="R5" i="37"/>
  <c r="M3" i="37"/>
  <c r="W8" i="37"/>
  <c r="V3" i="37"/>
  <c r="O2" i="37"/>
  <c r="W9" i="37"/>
  <c r="F3" i="37"/>
  <c r="P7" i="37"/>
  <c r="H10" i="37"/>
  <c r="G5" i="37"/>
  <c r="J4" i="37"/>
  <c r="I5" i="37"/>
  <c r="R9" i="37"/>
  <c r="N10" i="37"/>
  <c r="E10" i="37"/>
  <c r="L2" i="37"/>
  <c r="Q9" i="37"/>
  <c r="F11" i="37"/>
  <c r="P3" i="37"/>
  <c r="V4" i="37"/>
  <c r="H8" i="37"/>
  <c r="G7" i="37"/>
  <c r="J8" i="37"/>
  <c r="U6" i="37"/>
  <c r="I9" i="37"/>
  <c r="T2" i="37"/>
  <c r="R4" i="37"/>
  <c r="W4" i="37"/>
  <c r="F4" i="37"/>
  <c r="J5" i="37"/>
  <c r="E2" i="37"/>
  <c r="V10" i="37"/>
  <c r="U11" i="37"/>
  <c r="T11" i="37"/>
  <c r="W3" i="37"/>
  <c r="N9" i="37"/>
  <c r="L5" i="37"/>
  <c r="Q11" i="37"/>
  <c r="F2" i="37"/>
  <c r="S10" i="37"/>
  <c r="P6" i="37"/>
  <c r="H9" i="37"/>
  <c r="G10" i="37"/>
  <c r="J7" i="37"/>
  <c r="U10" i="37"/>
  <c r="I4" i="37"/>
  <c r="T8" i="37"/>
  <c r="R8" i="37"/>
  <c r="W6" i="37"/>
  <c r="K5" i="37"/>
  <c r="N5" i="37"/>
  <c r="N8" i="37"/>
  <c r="Q4" i="37"/>
  <c r="M7" i="37"/>
  <c r="N3" i="37"/>
  <c r="L7" i="37"/>
  <c r="Q8" i="37"/>
  <c r="S4" i="37"/>
  <c r="P9" i="37"/>
  <c r="H11" i="37"/>
  <c r="J2" i="37"/>
  <c r="U9" i="37"/>
  <c r="I3" i="37"/>
  <c r="T5" i="37"/>
  <c r="R3" i="37"/>
  <c r="W7" i="37"/>
  <c r="K6" i="37"/>
  <c r="H6" i="37"/>
  <c r="T3" i="37"/>
  <c r="L8" i="37"/>
  <c r="S8" i="37"/>
  <c r="P11" i="37"/>
  <c r="X4" i="37"/>
  <c r="H7" i="37"/>
  <c r="J3" i="37"/>
  <c r="U4" i="37"/>
  <c r="I8" i="37"/>
  <c r="T6" i="37"/>
  <c r="R7" i="37"/>
  <c r="W11" i="37"/>
  <c r="K10" i="37"/>
  <c r="L11" i="37"/>
  <c r="S6" i="37"/>
  <c r="P4" i="37"/>
  <c r="X10" i="37"/>
  <c r="H3" i="37"/>
  <c r="C10" i="37"/>
  <c r="I7" i="37"/>
  <c r="T10" i="37"/>
  <c r="O5" i="37"/>
  <c r="R2" i="37"/>
  <c r="W2" i="37"/>
  <c r="K9" i="37"/>
  <c r="E11" i="37"/>
  <c r="U8" i="37"/>
  <c r="M10" i="37"/>
  <c r="L6" i="37"/>
  <c r="S7" i="37"/>
  <c r="P10" i="37"/>
  <c r="X11" i="37"/>
  <c r="C4" i="37"/>
  <c r="I2" i="37"/>
  <c r="T4" i="37"/>
  <c r="O6" i="37"/>
  <c r="R6" i="37"/>
  <c r="W5" i="37"/>
  <c r="K4" i="37"/>
  <c r="L10" i="37"/>
  <c r="S3" i="37"/>
  <c r="P5" i="37"/>
  <c r="X8" i="37"/>
  <c r="C9" i="37"/>
  <c r="I11" i="37"/>
  <c r="O10" i="37"/>
  <c r="R11" i="37"/>
  <c r="M4" i="37"/>
  <c r="W10" i="37"/>
  <c r="K8" i="37"/>
  <c r="E3" i="37"/>
  <c r="L9" i="37"/>
  <c r="S11" i="37"/>
  <c r="P8" i="37"/>
  <c r="V5" i="37"/>
  <c r="X9" i="37"/>
  <c r="C8" i="37"/>
  <c r="I6" i="37"/>
  <c r="O7" i="37"/>
  <c r="R10" i="37"/>
  <c r="M6" i="37"/>
  <c r="K7" i="37"/>
  <c r="E4" i="37"/>
  <c r="L4" i="37"/>
  <c r="F10" i="37"/>
  <c r="S9" i="37"/>
  <c r="P2" i="37"/>
  <c r="V9" i="37"/>
  <c r="X7" i="37"/>
  <c r="G11" i="37"/>
  <c r="C3" i="37"/>
  <c r="I10" i="37"/>
  <c r="O9" i="37"/>
  <c r="M8" i="37"/>
  <c r="K3" i="37"/>
  <c r="I2" i="41"/>
  <c r="F6" i="41"/>
  <c r="S7" i="41"/>
  <c r="J8" i="41"/>
  <c r="B6" i="41"/>
  <c r="H4" i="41"/>
  <c r="L11" i="41"/>
  <c r="L11" i="69"/>
  <c r="Q10" i="41"/>
  <c r="U6" i="41"/>
  <c r="F4" i="41"/>
  <c r="I9" i="41"/>
  <c r="G11" i="41"/>
  <c r="G11" i="69"/>
  <c r="AC157" i="55"/>
  <c r="AC7" i="44" s="1"/>
  <c r="K11" i="41"/>
  <c r="K11" i="69"/>
  <c r="H10" i="41"/>
  <c r="N6" i="41"/>
  <c r="T10" i="41"/>
  <c r="S3" i="41"/>
  <c r="J6" i="41"/>
  <c r="V11" i="41"/>
  <c r="V11" i="69"/>
  <c r="B4" i="41"/>
  <c r="H2" i="41"/>
  <c r="L7" i="41"/>
  <c r="Q6" i="41"/>
  <c r="AG142" i="55"/>
  <c r="AG5" i="43" s="1"/>
  <c r="U2" i="41"/>
  <c r="F2" i="41"/>
  <c r="I106" i="55"/>
  <c r="G10" i="41"/>
  <c r="AC154" i="55"/>
  <c r="AC4" i="44" s="1"/>
  <c r="N4" i="41"/>
  <c r="U4" i="41"/>
  <c r="I11" i="41"/>
  <c r="I11" i="69"/>
  <c r="C5" i="41"/>
  <c r="U10" i="41"/>
  <c r="X9" i="41"/>
  <c r="N7" i="41"/>
  <c r="AO166" i="55"/>
  <c r="T9" i="41"/>
  <c r="V9" i="41"/>
  <c r="D10" i="41"/>
  <c r="H8" i="41"/>
  <c r="L5" i="41"/>
  <c r="Q7" i="41"/>
  <c r="U9" i="41"/>
  <c r="H126" i="55"/>
  <c r="I5" i="41"/>
  <c r="X5" i="41"/>
  <c r="AC155" i="55"/>
  <c r="AC5" i="44" s="1"/>
  <c r="C10" i="41"/>
  <c r="N9" i="41"/>
  <c r="T7" i="41"/>
  <c r="V5" i="41"/>
  <c r="H11" i="41"/>
  <c r="H11" i="69"/>
  <c r="L3" i="41"/>
  <c r="Q9" i="41"/>
  <c r="U5" i="41"/>
  <c r="AI130" i="55"/>
  <c r="I101" i="55"/>
  <c r="X4" i="41"/>
  <c r="AC159" i="55"/>
  <c r="AC9" i="44" s="1"/>
  <c r="C6" i="41"/>
  <c r="K8" i="41"/>
  <c r="K2" i="41"/>
  <c r="V3" i="41"/>
  <c r="H9" i="41"/>
  <c r="L6" i="41"/>
  <c r="Q8" i="41"/>
  <c r="AG146" i="55"/>
  <c r="AG9" i="43" s="1"/>
  <c r="M140" i="55"/>
  <c r="M3" i="43" s="1"/>
  <c r="AM107" i="55"/>
  <c r="U3" i="41"/>
  <c r="I108" i="55"/>
  <c r="X11" i="41"/>
  <c r="AC156" i="55"/>
  <c r="AC6" i="44" s="1"/>
  <c r="C4" i="41"/>
  <c r="E3" i="41"/>
  <c r="S2" i="41"/>
  <c r="T5" i="41"/>
  <c r="N5" i="41"/>
  <c r="T3" i="41"/>
  <c r="V10" i="41"/>
  <c r="L4" i="41"/>
  <c r="AG143" i="55"/>
  <c r="AG6" i="43" s="1"/>
  <c r="M144" i="55"/>
  <c r="M7" i="43" s="1"/>
  <c r="AM105" i="55"/>
  <c r="U7" i="41"/>
  <c r="I104" i="55"/>
  <c r="AK166" i="55"/>
  <c r="X7" i="41"/>
  <c r="AC153" i="55"/>
  <c r="AC3" i="44" s="1"/>
  <c r="C2" i="41"/>
  <c r="O4" i="41"/>
  <c r="P3" i="41"/>
  <c r="T8" i="41"/>
  <c r="V8" i="41"/>
  <c r="L2" i="41"/>
  <c r="AG147" i="55"/>
  <c r="AG10" i="43" s="1"/>
  <c r="M148" i="55"/>
  <c r="M11" i="43" s="1"/>
  <c r="U8" i="41"/>
  <c r="V166" i="55"/>
  <c r="V3" i="45" s="1"/>
  <c r="X3" i="41"/>
  <c r="AD148" i="55"/>
  <c r="AD11" i="43" s="1"/>
  <c r="C11" i="41"/>
  <c r="C11" i="69"/>
  <c r="O5" i="41"/>
  <c r="M4" i="41"/>
  <c r="N8" i="41"/>
  <c r="T2" i="41"/>
  <c r="V6" i="41"/>
  <c r="B10" i="41"/>
  <c r="L10" i="41"/>
  <c r="M142" i="55"/>
  <c r="M5" i="43" s="1"/>
  <c r="U11" i="41"/>
  <c r="U11" i="69"/>
  <c r="F11" i="41"/>
  <c r="F11" i="69"/>
  <c r="V172" i="55"/>
  <c r="V9" i="45" s="1"/>
  <c r="G3" i="41"/>
  <c r="X8" i="41"/>
  <c r="C8" i="41"/>
  <c r="O10" i="41"/>
  <c r="J10" i="41"/>
  <c r="N2" i="41"/>
  <c r="N10" i="41"/>
  <c r="E8" i="41"/>
  <c r="T6" i="41"/>
  <c r="S11" i="41"/>
  <c r="S11" i="69"/>
  <c r="J9" i="41"/>
  <c r="V4" i="41"/>
  <c r="B9" i="41"/>
  <c r="L8" i="41"/>
  <c r="M147" i="55"/>
  <c r="M10" i="43" s="1"/>
  <c r="F9" i="41"/>
  <c r="V168" i="55"/>
  <c r="V5" i="45" s="1"/>
  <c r="G8" i="41"/>
  <c r="X10" i="41"/>
  <c r="C7" i="41"/>
  <c r="O2" i="41"/>
  <c r="B3" i="41"/>
  <c r="V7" i="41"/>
  <c r="H6" i="41"/>
  <c r="N3" i="41"/>
  <c r="N11" i="41"/>
  <c r="N11" i="69"/>
  <c r="AG118" i="55"/>
  <c r="AG7" i="42" s="1"/>
  <c r="T4" i="41"/>
  <c r="S10" i="41"/>
  <c r="J5" i="41"/>
  <c r="V2" i="41"/>
  <c r="B2" i="41"/>
  <c r="M139" i="55"/>
  <c r="M2" i="43" s="1"/>
  <c r="F7" i="41"/>
  <c r="G7" i="41"/>
  <c r="X2" i="41"/>
  <c r="C9" i="41"/>
  <c r="O6" i="41"/>
  <c r="K10" i="41"/>
  <c r="AG113" i="55"/>
  <c r="AG2" i="42" s="1"/>
  <c r="M10" i="41"/>
  <c r="S5" i="41"/>
  <c r="J2" i="41"/>
  <c r="P5" i="41"/>
  <c r="B11" i="41"/>
  <c r="B11" i="69"/>
  <c r="M143" i="55"/>
  <c r="M6" i="43" s="1"/>
  <c r="F3" i="41"/>
  <c r="AK152" i="55"/>
  <c r="AK2" i="44" s="1"/>
  <c r="G9" i="41"/>
  <c r="X6" i="41"/>
  <c r="C3" i="41"/>
  <c r="O7" i="41"/>
  <c r="K7" i="41"/>
  <c r="Q5" i="41"/>
  <c r="S9" i="41"/>
  <c r="Q2" i="41"/>
  <c r="AG121" i="55"/>
  <c r="AG10" i="42" s="1"/>
  <c r="S8" i="41"/>
  <c r="J11" i="41"/>
  <c r="J11" i="69"/>
  <c r="P7" i="41"/>
  <c r="B8" i="41"/>
  <c r="H7" i="41"/>
  <c r="Q11" i="41"/>
  <c r="Q11" i="69"/>
  <c r="M141" i="55"/>
  <c r="M4" i="43" s="1"/>
  <c r="F5" i="41"/>
  <c r="G5" i="41"/>
  <c r="O9" i="41"/>
  <c r="K6" i="41"/>
  <c r="T11" i="41"/>
  <c r="T11" i="69"/>
  <c r="J4" i="41"/>
  <c r="L9" i="41"/>
  <c r="S6" i="41"/>
  <c r="J7" i="41"/>
  <c r="P10" i="41"/>
  <c r="B7" i="41"/>
  <c r="H5" i="41"/>
  <c r="Q4" i="41"/>
  <c r="M146" i="55"/>
  <c r="M9" i="43" s="1"/>
  <c r="F10" i="41"/>
  <c r="I102" i="55"/>
  <c r="G6" i="41"/>
  <c r="AC152" i="55"/>
  <c r="AC2" i="44" s="1"/>
  <c r="O8" i="41"/>
  <c r="K9" i="41"/>
  <c r="K4" i="41"/>
  <c r="K3" i="41"/>
  <c r="S4" i="41"/>
  <c r="J3" i="41"/>
  <c r="P4" i="41"/>
  <c r="B5" i="41"/>
  <c r="H3" i="41"/>
  <c r="Q3" i="41"/>
  <c r="F8" i="41"/>
  <c r="I7" i="41"/>
  <c r="G4" i="41"/>
  <c r="AC161" i="55"/>
  <c r="AC11" i="44" s="1"/>
  <c r="O3" i="41"/>
  <c r="R3" i="41"/>
  <c r="K5" i="41"/>
  <c r="D5" i="41"/>
  <c r="G2" i="41"/>
  <c r="O11" i="41"/>
  <c r="O11" i="69"/>
  <c r="H6" i="4"/>
  <c r="R2" i="4"/>
  <c r="W83" i="55"/>
  <c r="W11" i="24" s="1"/>
  <c r="W6" i="4"/>
  <c r="P3" i="4"/>
  <c r="X3" i="4"/>
  <c r="L7" i="4"/>
  <c r="U7" i="4"/>
  <c r="K8" i="4"/>
  <c r="O7" i="4"/>
  <c r="M4" i="4"/>
  <c r="J5" i="4"/>
  <c r="W9" i="4"/>
  <c r="H11" i="4"/>
  <c r="H4" i="4"/>
  <c r="R9" i="4"/>
  <c r="O35" i="55"/>
  <c r="O2" i="26" s="1"/>
  <c r="W76" i="55"/>
  <c r="W4" i="24" s="1"/>
  <c r="W10" i="4"/>
  <c r="P5" i="4"/>
  <c r="X11" i="4"/>
  <c r="L4" i="4"/>
  <c r="G8" i="4"/>
  <c r="T2" i="4"/>
  <c r="M10" i="4"/>
  <c r="P9" i="4"/>
  <c r="L6" i="4"/>
  <c r="J9" i="4"/>
  <c r="H5" i="4"/>
  <c r="R11" i="4"/>
  <c r="O36" i="55"/>
  <c r="O3" i="26" s="1"/>
  <c r="W3" i="4"/>
  <c r="P6" i="4"/>
  <c r="AJ49" i="55"/>
  <c r="X10" i="4"/>
  <c r="L9" i="4"/>
  <c r="G3" i="4"/>
  <c r="U2" i="4"/>
  <c r="K4" i="4"/>
  <c r="T6" i="4"/>
  <c r="O3" i="4"/>
  <c r="M9" i="4"/>
  <c r="Q2" i="4"/>
  <c r="O44" i="55"/>
  <c r="O11" i="26" s="1"/>
  <c r="W2" i="4"/>
  <c r="AJ51" i="55"/>
  <c r="X8" i="4"/>
  <c r="V9" i="4"/>
  <c r="N4" i="4"/>
  <c r="L5" i="4"/>
  <c r="G7" i="4"/>
  <c r="M2" i="4"/>
  <c r="Q6" i="4"/>
  <c r="J11" i="4"/>
  <c r="H9" i="4"/>
  <c r="O37" i="55"/>
  <c r="O4" i="26" s="1"/>
  <c r="W8" i="4"/>
  <c r="X7" i="4"/>
  <c r="V8" i="4"/>
  <c r="N10" i="4"/>
  <c r="V36" i="55"/>
  <c r="V3" i="26" s="1"/>
  <c r="G4" i="4"/>
  <c r="U4" i="4"/>
  <c r="K6" i="4"/>
  <c r="T4" i="4"/>
  <c r="M7" i="4"/>
  <c r="Q8" i="4"/>
  <c r="S4" i="4"/>
  <c r="R8" i="4"/>
  <c r="H8" i="4"/>
  <c r="O42" i="55"/>
  <c r="O9" i="26" s="1"/>
  <c r="S10" i="4"/>
  <c r="W5" i="4"/>
  <c r="V11" i="4"/>
  <c r="N9" i="4"/>
  <c r="G5" i="4"/>
  <c r="I11" i="4"/>
  <c r="M11" i="4"/>
  <c r="T10" i="4"/>
  <c r="W4" i="4"/>
  <c r="H2" i="4"/>
  <c r="O40" i="55"/>
  <c r="O7" i="26" s="1"/>
  <c r="S2" i="4"/>
  <c r="W11" i="4"/>
  <c r="O52" i="55"/>
  <c r="V6" i="4"/>
  <c r="N7" i="4"/>
  <c r="G2" i="4"/>
  <c r="U10" i="4"/>
  <c r="K3" i="4"/>
  <c r="K5" i="4"/>
  <c r="I8" i="4"/>
  <c r="M3" i="4"/>
  <c r="U8" i="4"/>
  <c r="X4" i="4"/>
  <c r="W80" i="55"/>
  <c r="W8" i="24" s="1"/>
  <c r="H7" i="4"/>
  <c r="O38" i="55"/>
  <c r="O5" i="26" s="1"/>
  <c r="S8" i="4"/>
  <c r="W7" i="4"/>
  <c r="O55" i="55"/>
  <c r="V5" i="4"/>
  <c r="V90" i="55"/>
  <c r="V5" i="23" s="1"/>
  <c r="N6" i="4"/>
  <c r="G10" i="4"/>
  <c r="I4" i="4"/>
  <c r="O11" i="4"/>
  <c r="J4" i="4"/>
  <c r="R10" i="4"/>
  <c r="H3" i="4"/>
  <c r="H10" i="4"/>
  <c r="O43" i="55"/>
  <c r="O10" i="26" s="1"/>
  <c r="S3" i="4"/>
  <c r="W81" i="55"/>
  <c r="W9" i="24" s="1"/>
  <c r="V3" i="4"/>
  <c r="V93" i="55"/>
  <c r="V8" i="23" s="1"/>
  <c r="N3" i="4"/>
  <c r="G11" i="4"/>
  <c r="U5" i="4"/>
  <c r="T7" i="4"/>
  <c r="T3" i="4"/>
  <c r="I6" i="4"/>
  <c r="K11" i="4"/>
  <c r="J8" i="4"/>
  <c r="P11" i="4"/>
  <c r="R3" i="4"/>
  <c r="O41" i="55"/>
  <c r="O8" i="26" s="1"/>
  <c r="S7" i="4"/>
  <c r="W79" i="55"/>
  <c r="W7" i="24" s="1"/>
  <c r="P2" i="4"/>
  <c r="V7" i="4"/>
  <c r="N11" i="4"/>
  <c r="G6" i="4"/>
  <c r="U6" i="4"/>
  <c r="K7" i="4"/>
  <c r="T5" i="4"/>
  <c r="I10" i="4"/>
  <c r="O4" i="4"/>
  <c r="J10" i="4"/>
  <c r="L2" i="4"/>
  <c r="K9" i="4"/>
  <c r="O5" i="4"/>
  <c r="R7" i="4"/>
  <c r="S11" i="4"/>
  <c r="W74" i="55"/>
  <c r="W2" i="24" s="1"/>
  <c r="P4" i="4"/>
  <c r="V4" i="4"/>
  <c r="N5" i="4"/>
  <c r="L3" i="4"/>
  <c r="G9" i="4"/>
  <c r="U11" i="4"/>
  <c r="T11" i="4"/>
  <c r="I3" i="4"/>
  <c r="O10" i="4"/>
  <c r="J2" i="4"/>
  <c r="M5" i="4"/>
  <c r="R6" i="4"/>
  <c r="S9" i="4"/>
  <c r="W77" i="55"/>
  <c r="W5" i="24" s="1"/>
  <c r="P7" i="4"/>
  <c r="X6" i="4"/>
  <c r="V10" i="4"/>
  <c r="N8" i="4"/>
  <c r="L8" i="4"/>
  <c r="T9" i="4"/>
  <c r="I5" i="4"/>
  <c r="O2" i="4"/>
  <c r="J7" i="4"/>
  <c r="M6" i="4"/>
  <c r="I93" i="55"/>
  <c r="I8" i="23" s="1"/>
  <c r="X5" i="4"/>
  <c r="AG54" i="55"/>
  <c r="R5" i="4"/>
  <c r="S6" i="4"/>
  <c r="W75" i="55"/>
  <c r="W3" i="24" s="1"/>
  <c r="P10" i="4"/>
  <c r="X9" i="4"/>
  <c r="V2" i="4"/>
  <c r="N2" i="4"/>
  <c r="L11" i="4"/>
  <c r="U3" i="4"/>
  <c r="I9" i="4"/>
  <c r="O8" i="4"/>
  <c r="Q7" i="4"/>
  <c r="AG56" i="55"/>
  <c r="R4" i="4"/>
  <c r="S5" i="4"/>
  <c r="P8" i="4"/>
  <c r="I88" i="55"/>
  <c r="I3" i="23" s="1"/>
  <c r="X2" i="4"/>
  <c r="L10" i="4"/>
  <c r="K10" i="4"/>
  <c r="I2" i="4"/>
  <c r="O6" i="4"/>
  <c r="J3" i="4"/>
  <c r="P100" i="55"/>
  <c r="L172" i="55"/>
  <c r="L9" i="45" s="1"/>
  <c r="O53" i="55"/>
  <c r="AJ53" i="55"/>
  <c r="V38" i="55"/>
  <c r="V5" i="26" s="1"/>
  <c r="AD114" i="55"/>
  <c r="AD3" i="42" s="1"/>
  <c r="S113" i="55"/>
  <c r="S2" i="42" s="1"/>
  <c r="P109" i="55"/>
  <c r="R174" i="55"/>
  <c r="R11" i="45" s="1"/>
  <c r="L173" i="55"/>
  <c r="L10" i="45" s="1"/>
  <c r="O51" i="55"/>
  <c r="AJ56" i="55"/>
  <c r="V39" i="55"/>
  <c r="V6" i="26" s="1"/>
  <c r="O56" i="55"/>
  <c r="AJ48" i="55"/>
  <c r="V42" i="55"/>
  <c r="V9" i="26" s="1"/>
  <c r="V41" i="55"/>
  <c r="V8" i="26" s="1"/>
  <c r="AI173" i="55"/>
  <c r="N141" i="55"/>
  <c r="N4" i="43" s="1"/>
  <c r="AJ57" i="55"/>
  <c r="AJ52" i="55"/>
  <c r="AJ55" i="55"/>
  <c r="AJ50" i="55"/>
  <c r="AL171" i="55"/>
  <c r="L170" i="55"/>
  <c r="L7" i="45" s="1"/>
  <c r="AD38" i="55"/>
  <c r="AD5" i="26" s="1"/>
  <c r="H63" i="55"/>
  <c r="H4" i="25" s="1"/>
  <c r="AD113" i="55"/>
  <c r="AD2" i="42" s="1"/>
  <c r="AD116" i="55"/>
  <c r="AD5" i="42" s="1"/>
  <c r="P107" i="55"/>
  <c r="L167" i="55"/>
  <c r="L4" i="45" s="1"/>
  <c r="AD35" i="55"/>
  <c r="AD2" i="26" s="1"/>
  <c r="L174" i="55"/>
  <c r="L11" i="45" s="1"/>
  <c r="O50" i="55"/>
  <c r="V43" i="55"/>
  <c r="V10" i="26" s="1"/>
  <c r="L171" i="55"/>
  <c r="L8" i="45" s="1"/>
  <c r="O54" i="55"/>
  <c r="V40" i="55"/>
  <c r="V7" i="26" s="1"/>
  <c r="L166" i="55"/>
  <c r="L3" i="45" s="1"/>
  <c r="O49" i="55"/>
  <c r="V35" i="55"/>
  <c r="V2" i="26" s="1"/>
  <c r="AD118" i="55"/>
  <c r="AD7" i="42" s="1"/>
  <c r="P106" i="55"/>
  <c r="L165" i="55"/>
  <c r="L2" i="45" s="1"/>
  <c r="O48" i="55"/>
  <c r="V44" i="55"/>
  <c r="V11" i="26" s="1"/>
  <c r="P104" i="55"/>
  <c r="AI132" i="55"/>
  <c r="AK171" i="55"/>
  <c r="AI117" i="55"/>
  <c r="AI6" i="42" s="1"/>
  <c r="AM102" i="55"/>
  <c r="AK165" i="55"/>
  <c r="AI113" i="55"/>
  <c r="AI2" i="42" s="1"/>
  <c r="AM103" i="55"/>
  <c r="AK169" i="55"/>
  <c r="AM100" i="55"/>
  <c r="AD144" i="55"/>
  <c r="AD7" i="43" s="1"/>
  <c r="R160" i="55"/>
  <c r="R10" i="44" s="1"/>
  <c r="AM106" i="55"/>
  <c r="AD141" i="55"/>
  <c r="AD4" i="43" s="1"/>
  <c r="AA118" i="55"/>
  <c r="AA7" i="42" s="1"/>
  <c r="R154" i="55"/>
  <c r="R4" i="44" s="1"/>
  <c r="AM109" i="55"/>
  <c r="AD145" i="55"/>
  <c r="AD8" i="43" s="1"/>
  <c r="AD142" i="55"/>
  <c r="AD5" i="43" s="1"/>
  <c r="R152" i="55"/>
  <c r="R2" i="44" s="1"/>
  <c r="AM104" i="55"/>
  <c r="AI131" i="55"/>
  <c r="AD130" i="55"/>
  <c r="AD146" i="55"/>
  <c r="AD9" i="43" s="1"/>
  <c r="AM108" i="55"/>
  <c r="AI129" i="55"/>
  <c r="AD128" i="55"/>
  <c r="AD143" i="55"/>
  <c r="AD6" i="43" s="1"/>
  <c r="AI127" i="55"/>
  <c r="AD126" i="55"/>
  <c r="AD147" i="55"/>
  <c r="AD10" i="43" s="1"/>
  <c r="Z146" i="55"/>
  <c r="Z9" i="43" s="1"/>
  <c r="AI133" i="55"/>
  <c r="AD131" i="55"/>
  <c r="AD140" i="55"/>
  <c r="AD3" i="43" s="1"/>
  <c r="AI135" i="55"/>
  <c r="AD127" i="55"/>
  <c r="L152" i="55"/>
  <c r="L2" i="44" s="1"/>
  <c r="L161" i="55"/>
  <c r="L11" i="44" s="1"/>
  <c r="L157" i="55"/>
  <c r="L7" i="44" s="1"/>
  <c r="L160" i="55"/>
  <c r="L10" i="44" s="1"/>
  <c r="G75" i="55"/>
  <c r="G3" i="24" s="1"/>
  <c r="G76" i="55"/>
  <c r="G4" i="24" s="1"/>
  <c r="O92" i="55"/>
  <c r="O7" i="23" s="1"/>
  <c r="AH90" i="55"/>
  <c r="AH95" i="55"/>
  <c r="G78" i="55"/>
  <c r="G6" i="24" s="1"/>
  <c r="O95" i="55"/>
  <c r="O10" i="23" s="1"/>
  <c r="AH94" i="55"/>
  <c r="G74" i="55"/>
  <c r="G2" i="24" s="1"/>
  <c r="O90" i="55"/>
  <c r="O5" i="23" s="1"/>
  <c r="AG35" i="55"/>
  <c r="AG2" i="26" s="1"/>
  <c r="AH96" i="55"/>
  <c r="O91" i="55"/>
  <c r="O6" i="23" s="1"/>
  <c r="AG41" i="55"/>
  <c r="AG8" i="26" s="1"/>
  <c r="AH91" i="55"/>
  <c r="I51" i="55"/>
  <c r="AG42" i="55"/>
  <c r="AG9" i="26" s="1"/>
  <c r="AH89" i="55"/>
  <c r="O96" i="55"/>
  <c r="O11" i="23" s="1"/>
  <c r="AG40" i="55"/>
  <c r="AG7" i="26" s="1"/>
  <c r="AP51" i="55"/>
  <c r="AH87" i="55"/>
  <c r="O87" i="55"/>
  <c r="O2" i="23" s="1"/>
  <c r="AG38" i="55"/>
  <c r="AG5" i="26" s="1"/>
  <c r="AP55" i="55"/>
  <c r="AG36" i="55"/>
  <c r="AG3" i="26" s="1"/>
  <c r="AP57" i="55"/>
  <c r="AG39" i="55"/>
  <c r="AG6" i="26" s="1"/>
  <c r="AP50" i="55"/>
  <c r="H40" i="55"/>
  <c r="H7" i="26" s="1"/>
  <c r="AP49" i="55"/>
  <c r="AP48" i="55"/>
  <c r="AP52" i="55"/>
  <c r="Q62" i="55"/>
  <c r="Q3" i="25" s="1"/>
  <c r="Q65" i="55"/>
  <c r="Q6" i="25" s="1"/>
  <c r="Q63" i="55"/>
  <c r="Q4" i="25" s="1"/>
  <c r="U65" i="55"/>
  <c r="U6" i="25" s="1"/>
  <c r="Q69" i="55"/>
  <c r="Q10" i="25" s="1"/>
  <c r="U61" i="55"/>
  <c r="U2" i="25" s="1"/>
  <c r="Q66" i="55"/>
  <c r="Q7" i="25" s="1"/>
  <c r="Q61" i="55"/>
  <c r="Q2" i="25" s="1"/>
  <c r="AP53" i="55"/>
  <c r="Q70" i="55"/>
  <c r="Q11" i="25" s="1"/>
  <c r="Q67" i="55"/>
  <c r="Q8" i="25" s="1"/>
  <c r="AP56" i="55"/>
  <c r="Q68" i="55"/>
  <c r="Q9" i="25" s="1"/>
  <c r="H43" i="55"/>
  <c r="H10" i="26" s="1"/>
  <c r="AB152" i="55"/>
  <c r="AB2" i="44" s="1"/>
  <c r="AC116" i="55"/>
  <c r="AC5" i="42" s="1"/>
  <c r="U126" i="55"/>
  <c r="U134" i="55"/>
  <c r="Z122" i="55"/>
  <c r="Z11" i="42" s="1"/>
  <c r="E148" i="55"/>
  <c r="E11" i="43" s="1"/>
  <c r="U132" i="55"/>
  <c r="Z116" i="55"/>
  <c r="Z5" i="42" s="1"/>
  <c r="E139" i="55"/>
  <c r="E2" i="43" s="1"/>
  <c r="E144" i="55"/>
  <c r="E7" i="43" s="1"/>
  <c r="U135" i="55"/>
  <c r="AB160" i="55"/>
  <c r="AB10" i="44" s="1"/>
  <c r="E147" i="55"/>
  <c r="E10" i="43" s="1"/>
  <c r="E146" i="55"/>
  <c r="E9" i="43" s="1"/>
  <c r="E142" i="55"/>
  <c r="E5" i="43" s="1"/>
  <c r="E145" i="55"/>
  <c r="E8" i="43" s="1"/>
  <c r="E143" i="55"/>
  <c r="E6" i="43" s="1"/>
  <c r="AQ113" i="55"/>
  <c r="AQ2" i="42" s="1"/>
  <c r="AB154" i="55"/>
  <c r="AB4" i="44" s="1"/>
  <c r="E141" i="55"/>
  <c r="E4" i="43" s="1"/>
  <c r="AQ121" i="55"/>
  <c r="AQ10" i="42" s="1"/>
  <c r="E157" i="55"/>
  <c r="E7" i="44" s="1"/>
  <c r="E152" i="55"/>
  <c r="E2" i="44" s="1"/>
  <c r="O122" i="55"/>
  <c r="O11" i="42" s="1"/>
  <c r="O115" i="55"/>
  <c r="O4" i="42" s="1"/>
  <c r="P172" i="55"/>
  <c r="P9" i="45" s="1"/>
  <c r="AQ119" i="55"/>
  <c r="AQ8" i="42" s="1"/>
  <c r="J40" i="55"/>
  <c r="J7" i="26" s="1"/>
  <c r="I62" i="55"/>
  <c r="I3" i="25" s="1"/>
  <c r="I68" i="55"/>
  <c r="I9" i="25" s="1"/>
  <c r="J39" i="55"/>
  <c r="J6" i="26" s="1"/>
  <c r="J38" i="55"/>
  <c r="J5" i="26" s="1"/>
  <c r="I67" i="55"/>
  <c r="I8" i="25" s="1"/>
  <c r="J42" i="55"/>
  <c r="J9" i="26" s="1"/>
  <c r="I65" i="55"/>
  <c r="I6" i="25" s="1"/>
  <c r="N56" i="55"/>
  <c r="N49" i="55"/>
  <c r="G89" i="55"/>
  <c r="G4" i="23" s="1"/>
  <c r="H35" i="55"/>
  <c r="H2" i="26" s="1"/>
  <c r="H44" i="55"/>
  <c r="H11" i="26" s="1"/>
  <c r="AC87" i="55"/>
  <c r="AC89" i="55"/>
  <c r="H38" i="55"/>
  <c r="H5" i="26" s="1"/>
  <c r="H37" i="55"/>
  <c r="H4" i="26" s="1"/>
  <c r="H41" i="55"/>
  <c r="H8" i="26" s="1"/>
  <c r="N62" i="55"/>
  <c r="N3" i="25" s="1"/>
  <c r="H36" i="55"/>
  <c r="H3" i="26" s="1"/>
  <c r="AC41" i="55"/>
  <c r="AC8" i="26" s="1"/>
  <c r="AA55" i="55"/>
  <c r="AG94" i="55"/>
  <c r="U79" i="55"/>
  <c r="U7" i="24" s="1"/>
  <c r="D104" i="55"/>
  <c r="AE121" i="55"/>
  <c r="AE10" i="42" s="1"/>
  <c r="AA53" i="55"/>
  <c r="AG96" i="55"/>
  <c r="U77" i="55"/>
  <c r="U5" i="24" s="1"/>
  <c r="AF134" i="55"/>
  <c r="D102" i="55"/>
  <c r="AE118" i="55"/>
  <c r="AE7" i="42" s="1"/>
  <c r="AA57" i="55"/>
  <c r="AG92" i="55"/>
  <c r="U83" i="55"/>
  <c r="U11" i="24" s="1"/>
  <c r="AF127" i="55"/>
  <c r="P145" i="55"/>
  <c r="P8" i="43" s="1"/>
  <c r="AL146" i="55"/>
  <c r="AL9" i="43" s="1"/>
  <c r="AF126" i="55"/>
  <c r="D100" i="55"/>
  <c r="AE120" i="55"/>
  <c r="AE9" i="42" s="1"/>
  <c r="AA52" i="55"/>
  <c r="AG95" i="55"/>
  <c r="U75" i="55"/>
  <c r="U3" i="24" s="1"/>
  <c r="AL148" i="55"/>
  <c r="AL11" i="43" s="1"/>
  <c r="P140" i="55"/>
  <c r="P3" i="43" s="1"/>
  <c r="AL140" i="55"/>
  <c r="AL3" i="43" s="1"/>
  <c r="AF128" i="55"/>
  <c r="AE117" i="55"/>
  <c r="AE6" i="42" s="1"/>
  <c r="AD159" i="55"/>
  <c r="AD9" i="44" s="1"/>
  <c r="AA49" i="55"/>
  <c r="AG93" i="55"/>
  <c r="U81" i="55"/>
  <c r="U9" i="24" s="1"/>
  <c r="P147" i="55"/>
  <c r="P10" i="43" s="1"/>
  <c r="AL145" i="55"/>
  <c r="AL8" i="43" s="1"/>
  <c r="P144" i="55"/>
  <c r="P7" i="43" s="1"/>
  <c r="AL143" i="55"/>
  <c r="AL6" i="43" s="1"/>
  <c r="AF130" i="55"/>
  <c r="AE114" i="55"/>
  <c r="AE3" i="42" s="1"/>
  <c r="AD154" i="55"/>
  <c r="AD4" i="44" s="1"/>
  <c r="U82" i="55"/>
  <c r="U10" i="24" s="1"/>
  <c r="AC51" i="55"/>
  <c r="AF132" i="55"/>
  <c r="P143" i="55"/>
  <c r="P6" i="43" s="1"/>
  <c r="AL144" i="55"/>
  <c r="AL7" i="43" s="1"/>
  <c r="AF135" i="55"/>
  <c r="AE122" i="55"/>
  <c r="AE11" i="42" s="1"/>
  <c r="AD158" i="55"/>
  <c r="AD8" i="44" s="1"/>
  <c r="AF133" i="55"/>
  <c r="AD153" i="55"/>
  <c r="AD3" i="44" s="1"/>
  <c r="AD152" i="55"/>
  <c r="AD2" i="44" s="1"/>
  <c r="AE119" i="55"/>
  <c r="AE8" i="42" s="1"/>
  <c r="AL139" i="55"/>
  <c r="AL2" i="43" s="1"/>
  <c r="P139" i="55"/>
  <c r="P2" i="43" s="1"/>
  <c r="AL147" i="55"/>
  <c r="AL10" i="43" s="1"/>
  <c r="P141" i="55"/>
  <c r="P4" i="43" s="1"/>
  <c r="AD155" i="55"/>
  <c r="AD5" i="44" s="1"/>
  <c r="AF159" i="55"/>
  <c r="AF9" i="44" s="1"/>
  <c r="D105" i="55"/>
  <c r="AD161" i="55"/>
  <c r="AD11" i="44" s="1"/>
  <c r="D106" i="55"/>
  <c r="P148" i="55"/>
  <c r="P11" i="43" s="1"/>
  <c r="P142" i="55"/>
  <c r="P5" i="43" s="1"/>
  <c r="AF152" i="55"/>
  <c r="AF2" i="44" s="1"/>
  <c r="D101" i="55"/>
  <c r="AD157" i="55"/>
  <c r="AD7" i="44" s="1"/>
  <c r="AA56" i="55"/>
  <c r="AG90" i="55"/>
  <c r="AD156" i="55"/>
  <c r="AD6" i="44" s="1"/>
  <c r="AA50" i="55"/>
  <c r="AG88" i="55"/>
  <c r="U76" i="55"/>
  <c r="U4" i="24" s="1"/>
  <c r="AK54" i="55"/>
  <c r="D109" i="55"/>
  <c r="D107" i="55"/>
  <c r="AE113" i="55"/>
  <c r="AE2" i="42" s="1"/>
  <c r="AA48" i="55"/>
  <c r="AG91" i="55"/>
  <c r="U74" i="55"/>
  <c r="U2" i="24" s="1"/>
  <c r="AK49" i="55"/>
  <c r="AA87" i="55"/>
  <c r="T113" i="55"/>
  <c r="T2" i="42" s="1"/>
  <c r="T118" i="55"/>
  <c r="T7" i="42" s="1"/>
  <c r="T122" i="55"/>
  <c r="T11" i="42" s="1"/>
  <c r="T115" i="55"/>
  <c r="T4" i="42" s="1"/>
  <c r="AD134" i="55"/>
  <c r="AD135" i="55"/>
  <c r="AD133" i="55"/>
  <c r="AB147" i="55"/>
  <c r="AB10" i="43" s="1"/>
  <c r="P128" i="55"/>
  <c r="P126" i="55"/>
  <c r="P135" i="55"/>
  <c r="P133" i="55"/>
  <c r="P129" i="55"/>
  <c r="AB148" i="55"/>
  <c r="AB11" i="43" s="1"/>
  <c r="AB142" i="55"/>
  <c r="AB5" i="43" s="1"/>
  <c r="AB143" i="55"/>
  <c r="AB6" i="43" s="1"/>
  <c r="M172" i="55"/>
  <c r="M9" i="45" s="1"/>
  <c r="AB145" i="55"/>
  <c r="AB8" i="43" s="1"/>
  <c r="AB141" i="55"/>
  <c r="AB4" i="43" s="1"/>
  <c r="P134" i="55"/>
  <c r="P132" i="55"/>
  <c r="AB146" i="55"/>
  <c r="AB9" i="43" s="1"/>
  <c r="M166" i="55"/>
  <c r="M3" i="45" s="1"/>
  <c r="AB140" i="55"/>
  <c r="AB3" i="43" s="1"/>
  <c r="AB144" i="55"/>
  <c r="AB7" i="43" s="1"/>
  <c r="AC166" i="55"/>
  <c r="V49" i="55"/>
  <c r="AA93" i="55"/>
  <c r="AM76" i="55"/>
  <c r="AM4" i="24" s="1"/>
  <c r="AC43" i="55"/>
  <c r="AC10" i="26" s="1"/>
  <c r="H96" i="55"/>
  <c r="H11" i="23" s="1"/>
  <c r="AG49" i="55"/>
  <c r="T67" i="55"/>
  <c r="T8" i="25" s="1"/>
  <c r="AA95" i="55"/>
  <c r="AC36" i="55"/>
  <c r="AC3" i="26" s="1"/>
  <c r="H94" i="55"/>
  <c r="H9" i="23" s="1"/>
  <c r="AG51" i="55"/>
  <c r="N78" i="55"/>
  <c r="N6" i="24" s="1"/>
  <c r="AM83" i="55"/>
  <c r="AM11" i="24" s="1"/>
  <c r="AC39" i="55"/>
  <c r="AC6" i="26" s="1"/>
  <c r="H88" i="55"/>
  <c r="H3" i="23" s="1"/>
  <c r="AG52" i="55"/>
  <c r="AA96" i="55"/>
  <c r="AM77" i="55"/>
  <c r="AM5" i="24" s="1"/>
  <c r="AC35" i="55"/>
  <c r="AC2" i="26" s="1"/>
  <c r="AG53" i="55"/>
  <c r="N76" i="55"/>
  <c r="N4" i="24" s="1"/>
  <c r="J77" i="55"/>
  <c r="J5" i="24" s="1"/>
  <c r="P42" i="55"/>
  <c r="P9" i="26" s="1"/>
  <c r="AA94" i="55"/>
  <c r="AM81" i="55"/>
  <c r="AM9" i="24" s="1"/>
  <c r="AC44" i="55"/>
  <c r="AC11" i="26" s="1"/>
  <c r="H90" i="55"/>
  <c r="H5" i="23" s="1"/>
  <c r="AG48" i="55"/>
  <c r="N83" i="55"/>
  <c r="N11" i="24" s="1"/>
  <c r="J75" i="55"/>
  <c r="J3" i="24" s="1"/>
  <c r="AA92" i="55"/>
  <c r="AM82" i="55"/>
  <c r="AM10" i="24" s="1"/>
  <c r="AC42" i="55"/>
  <c r="AC9" i="26" s="1"/>
  <c r="H91" i="55"/>
  <c r="H6" i="23" s="1"/>
  <c r="AG55" i="55"/>
  <c r="N81" i="55"/>
  <c r="N9" i="24" s="1"/>
  <c r="V54" i="55"/>
  <c r="AA90" i="55"/>
  <c r="AM75" i="55"/>
  <c r="AM3" i="24" s="1"/>
  <c r="AC40" i="55"/>
  <c r="AC7" i="26" s="1"/>
  <c r="H95" i="55"/>
  <c r="H10" i="23" s="1"/>
  <c r="N79" i="55"/>
  <c r="N7" i="24" s="1"/>
  <c r="AC37" i="55"/>
  <c r="AC4" i="26" s="1"/>
  <c r="V50" i="55"/>
  <c r="AA88" i="55"/>
  <c r="AM74" i="55"/>
  <c r="AM2" i="24" s="1"/>
  <c r="H87" i="55"/>
  <c r="H2" i="23" s="1"/>
  <c r="AK92" i="55"/>
  <c r="N77" i="55"/>
  <c r="N5" i="24" s="1"/>
  <c r="AC83" i="55"/>
  <c r="AC11" i="24" s="1"/>
  <c r="AA89" i="55"/>
  <c r="AM78" i="55"/>
  <c r="AM6" i="24" s="1"/>
  <c r="H93" i="55"/>
  <c r="H8" i="23" s="1"/>
  <c r="AG50" i="55"/>
  <c r="P80" i="55"/>
  <c r="P8" i="24" s="1"/>
  <c r="P74" i="55"/>
  <c r="P2" i="24" s="1"/>
  <c r="G90" i="55"/>
  <c r="G5" i="23" s="1"/>
  <c r="G43" i="55"/>
  <c r="G10" i="26" s="1"/>
  <c r="P91" i="55"/>
  <c r="P6" i="23" s="1"/>
  <c r="S89" i="55"/>
  <c r="S4" i="23" s="1"/>
  <c r="U67" i="55"/>
  <c r="U8" i="25" s="1"/>
  <c r="G36" i="55"/>
  <c r="G3" i="26" s="1"/>
  <c r="G87" i="55"/>
  <c r="G2" i="23" s="1"/>
  <c r="G41" i="55"/>
  <c r="G8" i="26" s="1"/>
  <c r="S95" i="55"/>
  <c r="S10" i="23" s="1"/>
  <c r="U68" i="55"/>
  <c r="U9" i="25" s="1"/>
  <c r="H52" i="55"/>
  <c r="S93" i="55"/>
  <c r="S8" i="23" s="1"/>
  <c r="N61" i="55"/>
  <c r="N2" i="25" s="1"/>
  <c r="G39" i="55"/>
  <c r="G6" i="26" s="1"/>
  <c r="S91" i="55"/>
  <c r="S6" i="23" s="1"/>
  <c r="U64" i="55"/>
  <c r="U5" i="25" s="1"/>
  <c r="H49" i="55"/>
  <c r="AP44" i="55"/>
  <c r="AP11" i="26" s="1"/>
  <c r="G94" i="55"/>
  <c r="G9" i="23" s="1"/>
  <c r="N66" i="55"/>
  <c r="N7" i="25" s="1"/>
  <c r="G42" i="55"/>
  <c r="G9" i="26" s="1"/>
  <c r="S87" i="55"/>
  <c r="S2" i="23" s="1"/>
  <c r="H48" i="55"/>
  <c r="AP38" i="55"/>
  <c r="AP5" i="26" s="1"/>
  <c r="N67" i="55"/>
  <c r="N8" i="25" s="1"/>
  <c r="G91" i="55"/>
  <c r="G6" i="23" s="1"/>
  <c r="G37" i="55"/>
  <c r="G4" i="26" s="1"/>
  <c r="S96" i="55"/>
  <c r="S11" i="23" s="1"/>
  <c r="H53" i="55"/>
  <c r="N68" i="55"/>
  <c r="N9" i="25" s="1"/>
  <c r="N63" i="55"/>
  <c r="N4" i="25" s="1"/>
  <c r="G96" i="55"/>
  <c r="G11" i="23" s="1"/>
  <c r="G40" i="55"/>
  <c r="G7" i="26" s="1"/>
  <c r="S94" i="55"/>
  <c r="S9" i="23" s="1"/>
  <c r="N64" i="55"/>
  <c r="N5" i="25" s="1"/>
  <c r="G92" i="55"/>
  <c r="G7" i="23" s="1"/>
  <c r="S92" i="55"/>
  <c r="S7" i="23" s="1"/>
  <c r="U69" i="55"/>
  <c r="U10" i="25" s="1"/>
  <c r="N70" i="55"/>
  <c r="N11" i="25" s="1"/>
  <c r="G88" i="55"/>
  <c r="G3" i="23" s="1"/>
  <c r="U70" i="55"/>
  <c r="U11" i="25" s="1"/>
  <c r="N69" i="55"/>
  <c r="N10" i="25" s="1"/>
  <c r="G95" i="55"/>
  <c r="G10" i="23" s="1"/>
  <c r="G38" i="55"/>
  <c r="G5" i="26" s="1"/>
  <c r="U66" i="55"/>
  <c r="U7" i="25" s="1"/>
  <c r="U62" i="55"/>
  <c r="U3" i="25" s="1"/>
  <c r="AP37" i="55"/>
  <c r="AP4" i="26" s="1"/>
  <c r="AP40" i="55"/>
  <c r="AP7" i="26" s="1"/>
  <c r="AP43" i="55"/>
  <c r="AP10" i="26" s="1"/>
  <c r="H50" i="55"/>
  <c r="AP35" i="55"/>
  <c r="AP2" i="26" s="1"/>
  <c r="H57" i="55"/>
  <c r="AP41" i="55"/>
  <c r="AP8" i="26" s="1"/>
  <c r="AP36" i="55"/>
  <c r="AP3" i="26" s="1"/>
  <c r="H51" i="55"/>
  <c r="AP39" i="55"/>
  <c r="AP6" i="26" s="1"/>
  <c r="AC122" i="55"/>
  <c r="AC11" i="42" s="1"/>
  <c r="E103" i="55"/>
  <c r="S122" i="55"/>
  <c r="S11" i="42" s="1"/>
  <c r="AJ173" i="55"/>
  <c r="H128" i="55"/>
  <c r="U161" i="55"/>
  <c r="U11" i="44" s="1"/>
  <c r="V133" i="55"/>
  <c r="AC115" i="55"/>
  <c r="AC4" i="42" s="1"/>
  <c r="E102" i="55"/>
  <c r="R105" i="55"/>
  <c r="AA101" i="55"/>
  <c r="D127" i="55"/>
  <c r="AE156" i="55"/>
  <c r="AE6" i="44" s="1"/>
  <c r="Z127" i="55"/>
  <c r="AJ170" i="55"/>
  <c r="H130" i="55"/>
  <c r="U154" i="55"/>
  <c r="U4" i="44" s="1"/>
  <c r="AN103" i="55"/>
  <c r="S116" i="55"/>
  <c r="S5" i="42" s="1"/>
  <c r="V129" i="55"/>
  <c r="AC119" i="55"/>
  <c r="AC8" i="42" s="1"/>
  <c r="E100" i="55"/>
  <c r="R109" i="55"/>
  <c r="AE154" i="55"/>
  <c r="AE4" i="44" s="1"/>
  <c r="Z126" i="55"/>
  <c r="AJ167" i="55"/>
  <c r="H132" i="55"/>
  <c r="U155" i="55"/>
  <c r="U5" i="44" s="1"/>
  <c r="AN106" i="55"/>
  <c r="E104" i="55"/>
  <c r="AE158" i="55"/>
  <c r="AE8" i="44" s="1"/>
  <c r="AJ166" i="55"/>
  <c r="H134" i="55"/>
  <c r="U158" i="55"/>
  <c r="U8" i="44" s="1"/>
  <c r="AN102" i="55"/>
  <c r="AC118" i="55"/>
  <c r="AC7" i="42" s="1"/>
  <c r="E109" i="55"/>
  <c r="S115" i="55"/>
  <c r="S4" i="42" s="1"/>
  <c r="R103" i="55"/>
  <c r="AA108" i="55"/>
  <c r="AE159" i="55"/>
  <c r="AE9" i="44" s="1"/>
  <c r="R155" i="55"/>
  <c r="R5" i="44" s="1"/>
  <c r="AJ165" i="55"/>
  <c r="U152" i="55"/>
  <c r="U2" i="44" s="1"/>
  <c r="AN104" i="55"/>
  <c r="AJ148" i="55"/>
  <c r="AJ11" i="43" s="1"/>
  <c r="R107" i="55"/>
  <c r="V134" i="55"/>
  <c r="V132" i="55"/>
  <c r="AC114" i="55"/>
  <c r="AC3" i="42" s="1"/>
  <c r="E108" i="55"/>
  <c r="S118" i="55"/>
  <c r="S7" i="42" s="1"/>
  <c r="R108" i="55"/>
  <c r="AA109" i="55"/>
  <c r="D132" i="55"/>
  <c r="AE153" i="55"/>
  <c r="AE3" i="44" s="1"/>
  <c r="R156" i="55"/>
  <c r="R6" i="44" s="1"/>
  <c r="AJ174" i="55"/>
  <c r="U159" i="55"/>
  <c r="U9" i="44" s="1"/>
  <c r="AN100" i="55"/>
  <c r="S119" i="55"/>
  <c r="S8" i="42" s="1"/>
  <c r="R106" i="55"/>
  <c r="AA106" i="55"/>
  <c r="D130" i="55"/>
  <c r="AE161" i="55"/>
  <c r="AE11" i="44" s="1"/>
  <c r="Z131" i="55"/>
  <c r="R161" i="55"/>
  <c r="R11" i="44" s="1"/>
  <c r="AJ171" i="55"/>
  <c r="H135" i="55"/>
  <c r="U156" i="55"/>
  <c r="U6" i="44" s="1"/>
  <c r="AN109" i="55"/>
  <c r="V131" i="55"/>
  <c r="V127" i="55"/>
  <c r="AC121" i="55"/>
  <c r="AC10" i="42" s="1"/>
  <c r="AC120" i="55"/>
  <c r="AC9" i="42" s="1"/>
  <c r="E105" i="55"/>
  <c r="AC117" i="55"/>
  <c r="AC6" i="42" s="1"/>
  <c r="E107" i="55"/>
  <c r="S114" i="55"/>
  <c r="S3" i="42" s="1"/>
  <c r="R104" i="55"/>
  <c r="AA105" i="55"/>
  <c r="D128" i="55"/>
  <c r="AE155" i="55"/>
  <c r="AE5" i="44" s="1"/>
  <c r="Z133" i="55"/>
  <c r="R159" i="55"/>
  <c r="R9" i="44" s="1"/>
  <c r="H133" i="55"/>
  <c r="U160" i="55"/>
  <c r="U10" i="44" s="1"/>
  <c r="AN107" i="55"/>
  <c r="V130" i="55"/>
  <c r="S121" i="55"/>
  <c r="S10" i="42" s="1"/>
  <c r="R102" i="55"/>
  <c r="AE157" i="55"/>
  <c r="AE7" i="44" s="1"/>
  <c r="H131" i="55"/>
  <c r="AN105" i="55"/>
  <c r="R100" i="55"/>
  <c r="AG127" i="55"/>
  <c r="AE152" i="55"/>
  <c r="AE2" i="44" s="1"/>
  <c r="Z134" i="55"/>
  <c r="R158" i="55"/>
  <c r="R8" i="44" s="1"/>
  <c r="AJ168" i="55"/>
  <c r="H129" i="55"/>
  <c r="AN101" i="55"/>
  <c r="L120" i="55"/>
  <c r="L9" i="42" s="1"/>
  <c r="S117" i="55"/>
  <c r="S6" i="42" s="1"/>
  <c r="T127" i="55"/>
  <c r="AJ141" i="55"/>
  <c r="AJ4" i="43" s="1"/>
  <c r="AK168" i="55"/>
  <c r="J141" i="55"/>
  <c r="J4" i="43" s="1"/>
  <c r="AJ142" i="55"/>
  <c r="AJ5" i="43" s="1"/>
  <c r="V173" i="55"/>
  <c r="V10" i="45" s="1"/>
  <c r="J140" i="55"/>
  <c r="J3" i="43" s="1"/>
  <c r="AJ146" i="55"/>
  <c r="AJ9" i="43" s="1"/>
  <c r="V167" i="55"/>
  <c r="V4" i="45" s="1"/>
  <c r="J144" i="55"/>
  <c r="J7" i="43" s="1"/>
  <c r="AJ139" i="55"/>
  <c r="AJ2" i="43" s="1"/>
  <c r="AK173" i="55"/>
  <c r="V170" i="55"/>
  <c r="V7" i="45" s="1"/>
  <c r="J145" i="55"/>
  <c r="J8" i="43" s="1"/>
  <c r="AK172" i="55"/>
  <c r="V171" i="55"/>
  <c r="V8" i="45" s="1"/>
  <c r="J148" i="55"/>
  <c r="J11" i="43" s="1"/>
  <c r="K145" i="55"/>
  <c r="K8" i="43" s="1"/>
  <c r="AJ143" i="55"/>
  <c r="AJ6" i="43" s="1"/>
  <c r="AJ147" i="55"/>
  <c r="AJ10" i="43" s="1"/>
  <c r="AK167" i="55"/>
  <c r="V169" i="55"/>
  <c r="V6" i="45" s="1"/>
  <c r="AJ140" i="55"/>
  <c r="AJ3" i="43" s="1"/>
  <c r="AK170" i="55"/>
  <c r="V165" i="55"/>
  <c r="V2" i="45" s="1"/>
  <c r="AJ144" i="55"/>
  <c r="AJ7" i="43" s="1"/>
  <c r="N89" i="55"/>
  <c r="N4" i="23" s="1"/>
  <c r="N94" i="55"/>
  <c r="N9" i="23" s="1"/>
  <c r="N91" i="55"/>
  <c r="N6" i="23" s="1"/>
  <c r="V89" i="55"/>
  <c r="V4" i="23" s="1"/>
  <c r="N87" i="55"/>
  <c r="N2" i="23" s="1"/>
  <c r="V87" i="55"/>
  <c r="V2" i="23" s="1"/>
  <c r="N92" i="55"/>
  <c r="N7" i="23" s="1"/>
  <c r="V92" i="55"/>
  <c r="V7" i="23" s="1"/>
  <c r="N88" i="55"/>
  <c r="N3" i="23" s="1"/>
  <c r="V96" i="55"/>
  <c r="V11" i="23" s="1"/>
  <c r="N96" i="55"/>
  <c r="N11" i="23" s="1"/>
  <c r="V88" i="55"/>
  <c r="V3" i="23" s="1"/>
  <c r="N90" i="55"/>
  <c r="N5" i="23" s="1"/>
  <c r="V95" i="55"/>
  <c r="V10" i="23" s="1"/>
  <c r="N95" i="55"/>
  <c r="N10" i="23" s="1"/>
  <c r="V91" i="55"/>
  <c r="V6" i="23" s="1"/>
  <c r="AG117" i="55"/>
  <c r="AG6" i="42" s="1"/>
  <c r="E161" i="55"/>
  <c r="E11" i="44" s="1"/>
  <c r="AP154" i="55"/>
  <c r="AP4" i="44" s="1"/>
  <c r="R165" i="55"/>
  <c r="R2" i="45" s="1"/>
  <c r="E129" i="55"/>
  <c r="AL174" i="55"/>
  <c r="AH48" i="55"/>
  <c r="X75" i="55"/>
  <c r="X3" i="24" s="1"/>
  <c r="AC81" i="55"/>
  <c r="AC9" i="24" s="1"/>
  <c r="AH56" i="55"/>
  <c r="X80" i="55"/>
  <c r="X8" i="24" s="1"/>
  <c r="AC77" i="55"/>
  <c r="AC5" i="24" s="1"/>
  <c r="AK63" i="55"/>
  <c r="AK4" i="25" s="1"/>
  <c r="AF154" i="55"/>
  <c r="AF4" i="44" s="1"/>
  <c r="AG114" i="55"/>
  <c r="AG3" i="42" s="1"/>
  <c r="E158" i="55"/>
  <c r="E8" i="44" s="1"/>
  <c r="AP153" i="55"/>
  <c r="AP3" i="44" s="1"/>
  <c r="M152" i="55"/>
  <c r="M2" i="44" s="1"/>
  <c r="R168" i="55"/>
  <c r="R5" i="45" s="1"/>
  <c r="E126" i="55"/>
  <c r="AH52" i="55"/>
  <c r="AM35" i="55"/>
  <c r="AM2" i="26" s="1"/>
  <c r="X76" i="55"/>
  <c r="X4" i="24" s="1"/>
  <c r="AC82" i="55"/>
  <c r="AC10" i="24" s="1"/>
  <c r="AK62" i="55"/>
  <c r="AK3" i="25" s="1"/>
  <c r="I153" i="55"/>
  <c r="I3" i="44" s="1"/>
  <c r="AF158" i="55"/>
  <c r="AF8" i="44" s="1"/>
  <c r="E155" i="55"/>
  <c r="E5" i="44" s="1"/>
  <c r="M159" i="55"/>
  <c r="M9" i="44" s="1"/>
  <c r="R172" i="55"/>
  <c r="R9" i="45" s="1"/>
  <c r="E128" i="55"/>
  <c r="AM144" i="55"/>
  <c r="AM7" i="43" s="1"/>
  <c r="AH57" i="55"/>
  <c r="AM40" i="55"/>
  <c r="AM7" i="26" s="1"/>
  <c r="X82" i="55"/>
  <c r="X10" i="24" s="1"/>
  <c r="AC80" i="55"/>
  <c r="AC8" i="24" s="1"/>
  <c r="AK68" i="55"/>
  <c r="AK9" i="25" s="1"/>
  <c r="AG122" i="55"/>
  <c r="AG11" i="42" s="1"/>
  <c r="AP152" i="55"/>
  <c r="AP2" i="44" s="1"/>
  <c r="I157" i="55"/>
  <c r="I7" i="44" s="1"/>
  <c r="AF156" i="55"/>
  <c r="AF6" i="44" s="1"/>
  <c r="AG119" i="55"/>
  <c r="AG8" i="42" s="1"/>
  <c r="E159" i="55"/>
  <c r="E9" i="44" s="1"/>
  <c r="AP156" i="55"/>
  <c r="AP6" i="44" s="1"/>
  <c r="M157" i="55"/>
  <c r="M7" i="44" s="1"/>
  <c r="R166" i="55"/>
  <c r="R3" i="45" s="1"/>
  <c r="U119" i="55"/>
  <c r="U8" i="42" s="1"/>
  <c r="AM139" i="55"/>
  <c r="AM2" i="43" s="1"/>
  <c r="AH55" i="55"/>
  <c r="X83" i="55"/>
  <c r="X11" i="24" s="1"/>
  <c r="AJ77" i="55"/>
  <c r="AJ5" i="24" s="1"/>
  <c r="AC78" i="55"/>
  <c r="AC6" i="24" s="1"/>
  <c r="AK61" i="55"/>
  <c r="AK2" i="25" s="1"/>
  <c r="I160" i="55"/>
  <c r="I10" i="44" s="1"/>
  <c r="AF160" i="55"/>
  <c r="AF10" i="44" s="1"/>
  <c r="AG115" i="55"/>
  <c r="AG4" i="42" s="1"/>
  <c r="E156" i="55"/>
  <c r="E6" i="44" s="1"/>
  <c r="AP157" i="55"/>
  <c r="AP7" i="44" s="1"/>
  <c r="M161" i="55"/>
  <c r="M11" i="44" s="1"/>
  <c r="U116" i="55"/>
  <c r="U5" i="42" s="1"/>
  <c r="AM142" i="55"/>
  <c r="AM5" i="43" s="1"/>
  <c r="J89" i="55"/>
  <c r="J4" i="23" s="1"/>
  <c r="AH53" i="55"/>
  <c r="AC76" i="55"/>
  <c r="AC4" i="24" s="1"/>
  <c r="AK64" i="55"/>
  <c r="AK5" i="25" s="1"/>
  <c r="AF161" i="55"/>
  <c r="AF11" i="44" s="1"/>
  <c r="U115" i="55"/>
  <c r="U4" i="42" s="1"/>
  <c r="AH51" i="55"/>
  <c r="AC74" i="55"/>
  <c r="AC2" i="24" s="1"/>
  <c r="AK69" i="55"/>
  <c r="AK10" i="25" s="1"/>
  <c r="AG120" i="55"/>
  <c r="AG9" i="42" s="1"/>
  <c r="E153" i="55"/>
  <c r="E3" i="44" s="1"/>
  <c r="AP161" i="55"/>
  <c r="AP11" i="44" s="1"/>
  <c r="M160" i="55"/>
  <c r="M10" i="44" s="1"/>
  <c r="E130" i="55"/>
  <c r="AF155" i="55"/>
  <c r="AF5" i="44" s="1"/>
  <c r="AP160" i="55"/>
  <c r="AP10" i="44" s="1"/>
  <c r="M153" i="55"/>
  <c r="M3" i="44" s="1"/>
  <c r="E133" i="55"/>
  <c r="AL166" i="55"/>
  <c r="U118" i="55"/>
  <c r="U7" i="42" s="1"/>
  <c r="AH54" i="55"/>
  <c r="P95" i="55"/>
  <c r="P10" i="23" s="1"/>
  <c r="R44" i="55"/>
  <c r="R11" i="26" s="1"/>
  <c r="X79" i="55"/>
  <c r="X7" i="24" s="1"/>
  <c r="AC79" i="55"/>
  <c r="AC7" i="24" s="1"/>
  <c r="AK66" i="55"/>
  <c r="AK7" i="25" s="1"/>
  <c r="AF153" i="55"/>
  <c r="AF3" i="44" s="1"/>
  <c r="M158" i="55"/>
  <c r="M8" i="44" s="1"/>
  <c r="E131" i="55"/>
  <c r="AL170" i="55"/>
  <c r="AM56" i="55"/>
  <c r="X74" i="55"/>
  <c r="X2" i="24" s="1"/>
  <c r="AK67" i="55"/>
  <c r="AK8" i="25" s="1"/>
  <c r="E134" i="55"/>
  <c r="AL169" i="55"/>
  <c r="X78" i="55"/>
  <c r="X6" i="24" s="1"/>
  <c r="AK70" i="55"/>
  <c r="AK11" i="25" s="1"/>
  <c r="AA75" i="55"/>
  <c r="AA3" i="24" s="1"/>
  <c r="R167" i="55"/>
  <c r="R4" i="45" s="1"/>
  <c r="AL168" i="55"/>
  <c r="X96" i="55"/>
  <c r="X11" i="23" s="1"/>
  <c r="R91" i="55"/>
  <c r="R6" i="23" s="1"/>
  <c r="AK88" i="55"/>
  <c r="AC54" i="55"/>
  <c r="AK94" i="55"/>
  <c r="AC50" i="55"/>
  <c r="AK90" i="55"/>
  <c r="AC48" i="55"/>
  <c r="T70" i="55"/>
  <c r="T11" i="25" s="1"/>
  <c r="Z66" i="55"/>
  <c r="Z7" i="25" s="1"/>
  <c r="AK95" i="55"/>
  <c r="AC57" i="55"/>
  <c r="T68" i="55"/>
  <c r="T9" i="25" s="1"/>
  <c r="Z69" i="55"/>
  <c r="Z10" i="25" s="1"/>
  <c r="AK93" i="55"/>
  <c r="T66" i="55"/>
  <c r="T7" i="25" s="1"/>
  <c r="Z62" i="55"/>
  <c r="Z3" i="25" s="1"/>
  <c r="AK91" i="55"/>
  <c r="T64" i="55"/>
  <c r="T5" i="25" s="1"/>
  <c r="Z61" i="55"/>
  <c r="Z2" i="25" s="1"/>
  <c r="AK87" i="55"/>
  <c r="AC49" i="55"/>
  <c r="T62" i="55"/>
  <c r="T3" i="25" s="1"/>
  <c r="AC56" i="55"/>
  <c r="T69" i="55"/>
  <c r="T10" i="25" s="1"/>
  <c r="AC55" i="55"/>
  <c r="T63" i="55"/>
  <c r="T4" i="25" s="1"/>
  <c r="AK89" i="55"/>
  <c r="AC52" i="55"/>
  <c r="T61" i="55"/>
  <c r="T2" i="25" s="1"/>
  <c r="AD75" i="55"/>
  <c r="AD3" i="24" s="1"/>
  <c r="AC93" i="55"/>
  <c r="AK50" i="55"/>
  <c r="AC96" i="55"/>
  <c r="AD80" i="55"/>
  <c r="AD8" i="24" s="1"/>
  <c r="I54" i="55"/>
  <c r="AK53" i="55"/>
  <c r="AC94" i="55"/>
  <c r="AD78" i="55"/>
  <c r="AD6" i="24" s="1"/>
  <c r="I55" i="55"/>
  <c r="AK56" i="55"/>
  <c r="AC92" i="55"/>
  <c r="AD74" i="55"/>
  <c r="AD2" i="24" s="1"/>
  <c r="I52" i="55"/>
  <c r="AK48" i="55"/>
  <c r="AD79" i="55"/>
  <c r="AD7" i="24" s="1"/>
  <c r="AK51" i="55"/>
  <c r="AK55" i="55"/>
  <c r="AC95" i="55"/>
  <c r="AD77" i="55"/>
  <c r="AD5" i="24" s="1"/>
  <c r="AK57" i="55"/>
  <c r="AC90" i="55"/>
  <c r="AD81" i="55"/>
  <c r="AD9" i="24" s="1"/>
  <c r="T78" i="55"/>
  <c r="T6" i="24" s="1"/>
  <c r="AC88" i="55"/>
  <c r="AK79" i="55"/>
  <c r="AK7" i="24" s="1"/>
  <c r="T74" i="55"/>
  <c r="T2" i="24" s="1"/>
  <c r="AR83" i="55"/>
  <c r="AR11" i="24" s="1"/>
  <c r="T95" i="55"/>
  <c r="T10" i="23" s="1"/>
  <c r="N128" i="55"/>
  <c r="AL117" i="55"/>
  <c r="AL6" i="42" s="1"/>
  <c r="L132" i="55"/>
  <c r="AN153" i="55"/>
  <c r="AN3" i="44" s="1"/>
  <c r="AI167" i="55"/>
  <c r="V141" i="55"/>
  <c r="V4" i="43" s="1"/>
  <c r="M107" i="55"/>
  <c r="AL119" i="55"/>
  <c r="AL8" i="42" s="1"/>
  <c r="E165" i="55"/>
  <c r="E2" i="45" s="1"/>
  <c r="N173" i="55"/>
  <c r="N10" i="45" s="1"/>
  <c r="S159" i="55"/>
  <c r="S9" i="44" s="1"/>
  <c r="N126" i="55"/>
  <c r="AM155" i="55"/>
  <c r="AM5" i="44" s="1"/>
  <c r="N147" i="55"/>
  <c r="N10" i="43" s="1"/>
  <c r="Q154" i="55"/>
  <c r="Q4" i="44" s="1"/>
  <c r="AK160" i="55"/>
  <c r="AK10" i="44" s="1"/>
  <c r="I118" i="55"/>
  <c r="I7" i="42" s="1"/>
  <c r="I121" i="55"/>
  <c r="I10" i="42" s="1"/>
  <c r="Z118" i="55"/>
  <c r="Z7" i="42" s="1"/>
  <c r="L130" i="55"/>
  <c r="AN156" i="55"/>
  <c r="AN6" i="44" s="1"/>
  <c r="AI166" i="55"/>
  <c r="U145" i="55"/>
  <c r="U8" i="43" s="1"/>
  <c r="V140" i="55"/>
  <c r="V3" i="43" s="1"/>
  <c r="M106" i="55"/>
  <c r="Z117" i="55"/>
  <c r="Z6" i="42" s="1"/>
  <c r="AL113" i="55"/>
  <c r="AL2" i="42" s="1"/>
  <c r="E166" i="55"/>
  <c r="E3" i="45" s="1"/>
  <c r="N171" i="55"/>
  <c r="N8" i="45" s="1"/>
  <c r="S153" i="55"/>
  <c r="S3" i="44" s="1"/>
  <c r="N132" i="55"/>
  <c r="AM159" i="55"/>
  <c r="AM9" i="44" s="1"/>
  <c r="N140" i="55"/>
  <c r="N3" i="43" s="1"/>
  <c r="Q158" i="55"/>
  <c r="Q8" i="44" s="1"/>
  <c r="AK158" i="55"/>
  <c r="AK8" i="44" s="1"/>
  <c r="AC174" i="55"/>
  <c r="I117" i="55"/>
  <c r="I6" i="42" s="1"/>
  <c r="M109" i="55"/>
  <c r="Z115" i="55"/>
  <c r="Z4" i="42" s="1"/>
  <c r="AL121" i="55"/>
  <c r="AL10" i="42" s="1"/>
  <c r="E167" i="55"/>
  <c r="E4" i="45" s="1"/>
  <c r="N166" i="55"/>
  <c r="N3" i="45" s="1"/>
  <c r="S161" i="55"/>
  <c r="S11" i="44" s="1"/>
  <c r="N133" i="55"/>
  <c r="AM156" i="55"/>
  <c r="AM6" i="44" s="1"/>
  <c r="R128" i="55"/>
  <c r="N143" i="55"/>
  <c r="N6" i="43" s="1"/>
  <c r="Q161" i="55"/>
  <c r="Q11" i="44" s="1"/>
  <c r="AK155" i="55"/>
  <c r="AK5" i="44" s="1"/>
  <c r="AC165" i="55"/>
  <c r="I113" i="55"/>
  <c r="I2" i="42" s="1"/>
  <c r="AI172" i="55"/>
  <c r="U142" i="55"/>
  <c r="U5" i="43" s="1"/>
  <c r="V139" i="55"/>
  <c r="V2" i="43" s="1"/>
  <c r="AP100" i="55"/>
  <c r="L126" i="55"/>
  <c r="U146" i="55"/>
  <c r="U9" i="43" s="1"/>
  <c r="V145" i="55"/>
  <c r="V8" i="43" s="1"/>
  <c r="M100" i="55"/>
  <c r="Z119" i="55"/>
  <c r="Z8" i="42" s="1"/>
  <c r="S155" i="55"/>
  <c r="S5" i="44" s="1"/>
  <c r="N131" i="55"/>
  <c r="AM153" i="55"/>
  <c r="AM3" i="44" s="1"/>
  <c r="R127" i="55"/>
  <c r="Q159" i="55"/>
  <c r="Q9" i="44" s="1"/>
  <c r="AK156" i="55"/>
  <c r="AK6" i="44" s="1"/>
  <c r="AC170" i="55"/>
  <c r="I116" i="55"/>
  <c r="I5" i="42" s="1"/>
  <c r="AI168" i="55"/>
  <c r="V146" i="55"/>
  <c r="V9" i="43" s="1"/>
  <c r="N142" i="55"/>
  <c r="N5" i="43" s="1"/>
  <c r="AK161" i="55"/>
  <c r="AK11" i="44" s="1"/>
  <c r="AN160" i="55"/>
  <c r="AN10" i="44" s="1"/>
  <c r="AP105" i="55"/>
  <c r="L135" i="55"/>
  <c r="Z121" i="55"/>
  <c r="Z10" i="42" s="1"/>
  <c r="S157" i="55"/>
  <c r="S7" i="44" s="1"/>
  <c r="N130" i="55"/>
  <c r="AM152" i="55"/>
  <c r="AM2" i="44" s="1"/>
  <c r="Q156" i="55"/>
  <c r="Q6" i="44" s="1"/>
  <c r="AK159" i="55"/>
  <c r="AK9" i="44" s="1"/>
  <c r="AC169" i="55"/>
  <c r="I120" i="55"/>
  <c r="I9" i="42" s="1"/>
  <c r="U143" i="55"/>
  <c r="U6" i="43" s="1"/>
  <c r="M105" i="55"/>
  <c r="AP101" i="55"/>
  <c r="AN155" i="55"/>
  <c r="AN5" i="44" s="1"/>
  <c r="AI171" i="55"/>
  <c r="U147" i="55"/>
  <c r="U10" i="43" s="1"/>
  <c r="V148" i="55"/>
  <c r="V11" i="43" s="1"/>
  <c r="M103" i="55"/>
  <c r="AL122" i="55"/>
  <c r="AL11" i="42" s="1"/>
  <c r="E172" i="55"/>
  <c r="E9" i="45" s="1"/>
  <c r="N174" i="55"/>
  <c r="N11" i="45" s="1"/>
  <c r="N129" i="55"/>
  <c r="AM161" i="55"/>
  <c r="AM11" i="44" s="1"/>
  <c r="N144" i="55"/>
  <c r="N7" i="43" s="1"/>
  <c r="Q153" i="55"/>
  <c r="Q3" i="44" s="1"/>
  <c r="AA153" i="55"/>
  <c r="AA3" i="44" s="1"/>
  <c r="AK154" i="55"/>
  <c r="AK4" i="44" s="1"/>
  <c r="AC168" i="55"/>
  <c r="I122" i="55"/>
  <c r="I11" i="42" s="1"/>
  <c r="S156" i="55"/>
  <c r="S6" i="44" s="1"/>
  <c r="AP102" i="55"/>
  <c r="L128" i="55"/>
  <c r="V144" i="55"/>
  <c r="V7" i="43" s="1"/>
  <c r="L133" i="55"/>
  <c r="AP103" i="55"/>
  <c r="L131" i="55"/>
  <c r="AN154" i="55"/>
  <c r="AN4" i="44" s="1"/>
  <c r="AI165" i="55"/>
  <c r="U144" i="55"/>
  <c r="U7" i="43" s="1"/>
  <c r="V143" i="55"/>
  <c r="V6" i="43" s="1"/>
  <c r="M101" i="55"/>
  <c r="AL120" i="55"/>
  <c r="AL9" i="42" s="1"/>
  <c r="E171" i="55"/>
  <c r="E8" i="45" s="1"/>
  <c r="N169" i="55"/>
  <c r="N6" i="45" s="1"/>
  <c r="N135" i="55"/>
  <c r="AM160" i="55"/>
  <c r="AM10" i="44" s="1"/>
  <c r="AL154" i="55"/>
  <c r="AL4" i="44" s="1"/>
  <c r="N148" i="55"/>
  <c r="N11" i="43" s="1"/>
  <c r="Q160" i="55"/>
  <c r="Q10" i="44" s="1"/>
  <c r="AA158" i="55"/>
  <c r="AA8" i="44" s="1"/>
  <c r="AC173" i="55"/>
  <c r="I119" i="55"/>
  <c r="I8" i="42" s="1"/>
  <c r="M104" i="55"/>
  <c r="Q155" i="55"/>
  <c r="Q5" i="44" s="1"/>
  <c r="Z114" i="55"/>
  <c r="Z3" i="42" s="1"/>
  <c r="AL114" i="55"/>
  <c r="AL3" i="42" s="1"/>
  <c r="E170" i="55"/>
  <c r="E7" i="45" s="1"/>
  <c r="N167" i="55"/>
  <c r="N4" i="45" s="1"/>
  <c r="S152" i="55"/>
  <c r="S2" i="44" s="1"/>
  <c r="N127" i="55"/>
  <c r="N139" i="55"/>
  <c r="N2" i="43" s="1"/>
  <c r="S128" i="55"/>
  <c r="Q157" i="55"/>
  <c r="Q7" i="44" s="1"/>
  <c r="AC172" i="55"/>
  <c r="I115" i="55"/>
  <c r="I4" i="42" s="1"/>
  <c r="L134" i="55"/>
  <c r="AI170" i="55"/>
  <c r="U141" i="55"/>
  <c r="U4" i="43" s="1"/>
  <c r="AP109" i="55"/>
  <c r="L127" i="55"/>
  <c r="AN158" i="55"/>
  <c r="AN8" i="44" s="1"/>
  <c r="AI169" i="55"/>
  <c r="U139" i="55"/>
  <c r="U2" i="43" s="1"/>
  <c r="Z113" i="55"/>
  <c r="Z2" i="42" s="1"/>
  <c r="AL115" i="55"/>
  <c r="AL4" i="42" s="1"/>
  <c r="E174" i="55"/>
  <c r="E11" i="45" s="1"/>
  <c r="N165" i="55"/>
  <c r="N2" i="45" s="1"/>
  <c r="S154" i="55"/>
  <c r="S4" i="44" s="1"/>
  <c r="N146" i="55"/>
  <c r="N9" i="43" s="1"/>
  <c r="AK153" i="55"/>
  <c r="AK3" i="44" s="1"/>
  <c r="AC167" i="55"/>
  <c r="AJ135" i="55"/>
  <c r="AE133" i="55"/>
  <c r="P78" i="55"/>
  <c r="P6" i="24" s="1"/>
  <c r="I63" i="55"/>
  <c r="I4" i="25" s="1"/>
  <c r="I91" i="55"/>
  <c r="I6" i="23" s="1"/>
  <c r="X37" i="55"/>
  <c r="X4" i="26" s="1"/>
  <c r="P76" i="55"/>
  <c r="P4" i="24" s="1"/>
  <c r="AH93" i="55"/>
  <c r="J35" i="55"/>
  <c r="J2" i="26" s="1"/>
  <c r="I61" i="55"/>
  <c r="I2" i="25" s="1"/>
  <c r="I89" i="55"/>
  <c r="I4" i="23" s="1"/>
  <c r="X40" i="55"/>
  <c r="X7" i="26" s="1"/>
  <c r="P77" i="55"/>
  <c r="P5" i="24" s="1"/>
  <c r="T37" i="55"/>
  <c r="T4" i="26" s="1"/>
  <c r="I87" i="55"/>
  <c r="I2" i="23" s="1"/>
  <c r="P83" i="55"/>
  <c r="P11" i="24" s="1"/>
  <c r="I94" i="55"/>
  <c r="I9" i="23" s="1"/>
  <c r="P75" i="55"/>
  <c r="P3" i="24" s="1"/>
  <c r="I69" i="55"/>
  <c r="I10" i="25" s="1"/>
  <c r="I90" i="55"/>
  <c r="I5" i="23" s="1"/>
  <c r="X44" i="55"/>
  <c r="X11" i="26" s="1"/>
  <c r="P82" i="55"/>
  <c r="P10" i="24" s="1"/>
  <c r="J41" i="55"/>
  <c r="J8" i="26" s="1"/>
  <c r="I70" i="55"/>
  <c r="I11" i="25" s="1"/>
  <c r="X36" i="55"/>
  <c r="X3" i="26" s="1"/>
  <c r="X43" i="55"/>
  <c r="X10" i="26" s="1"/>
  <c r="I66" i="55"/>
  <c r="I7" i="25" s="1"/>
  <c r="I96" i="55"/>
  <c r="I11" i="23" s="1"/>
  <c r="X38" i="55"/>
  <c r="X5" i="26" s="1"/>
  <c r="P81" i="55"/>
  <c r="P9" i="24" s="1"/>
  <c r="AN135" i="55"/>
  <c r="M167" i="55"/>
  <c r="M4" i="45" s="1"/>
  <c r="AA121" i="55"/>
  <c r="AA10" i="42" s="1"/>
  <c r="D116" i="55"/>
  <c r="D5" i="42" s="1"/>
  <c r="Z142" i="55"/>
  <c r="Z5" i="43" s="1"/>
  <c r="K115" i="55"/>
  <c r="K4" i="42" s="1"/>
  <c r="K113" i="55"/>
  <c r="K2" i="42" s="1"/>
  <c r="AN131" i="55"/>
  <c r="M171" i="55"/>
  <c r="M8" i="45" s="1"/>
  <c r="AA115" i="55"/>
  <c r="AA4" i="42" s="1"/>
  <c r="Z139" i="55"/>
  <c r="Z2" i="43" s="1"/>
  <c r="AN129" i="55"/>
  <c r="M170" i="55"/>
  <c r="M7" i="45" s="1"/>
  <c r="AA114" i="55"/>
  <c r="AA3" i="42" s="1"/>
  <c r="D115" i="55"/>
  <c r="D4" i="42" s="1"/>
  <c r="Z140" i="55"/>
  <c r="Z3" i="43" s="1"/>
  <c r="AN127" i="55"/>
  <c r="M174" i="55"/>
  <c r="M11" i="45" s="1"/>
  <c r="AA116" i="55"/>
  <c r="AA5" i="42" s="1"/>
  <c r="D119" i="55"/>
  <c r="D8" i="42" s="1"/>
  <c r="Z144" i="55"/>
  <c r="Z7" i="43" s="1"/>
  <c r="AN134" i="55"/>
  <c r="M165" i="55"/>
  <c r="M2" i="45" s="1"/>
  <c r="D122" i="55"/>
  <c r="D11" i="42" s="1"/>
  <c r="Z147" i="55"/>
  <c r="Z10" i="43" s="1"/>
  <c r="K117" i="55"/>
  <c r="K6" i="42" s="1"/>
  <c r="AN132" i="55"/>
  <c r="M169" i="55"/>
  <c r="M6" i="45" s="1"/>
  <c r="D121" i="55"/>
  <c r="D10" i="42" s="1"/>
  <c r="Z145" i="55"/>
  <c r="Z8" i="43" s="1"/>
  <c r="AA120" i="55"/>
  <c r="AA9" i="42" s="1"/>
  <c r="D118" i="55"/>
  <c r="D7" i="42" s="1"/>
  <c r="AN128" i="55"/>
  <c r="AA117" i="55"/>
  <c r="AA6" i="42" s="1"/>
  <c r="D117" i="55"/>
  <c r="D6" i="42" s="1"/>
  <c r="AN130" i="55"/>
  <c r="M168" i="55"/>
  <c r="M5" i="45" s="1"/>
  <c r="AA113" i="55"/>
  <c r="AA2" i="42" s="1"/>
  <c r="D114" i="55"/>
  <c r="D3" i="42" s="1"/>
  <c r="Z148" i="55"/>
  <c r="Z11" i="43" s="1"/>
  <c r="AA119" i="55"/>
  <c r="AA8" i="42" s="1"/>
  <c r="D120" i="55"/>
  <c r="D9" i="42" s="1"/>
  <c r="Z141" i="55"/>
  <c r="Z4" i="43" s="1"/>
  <c r="K121" i="55"/>
  <c r="K10" i="42" s="1"/>
  <c r="P89" i="55"/>
  <c r="P4" i="23" s="1"/>
  <c r="AM36" i="55"/>
  <c r="AM3" i="26" s="1"/>
  <c r="AJ75" i="55"/>
  <c r="AJ3" i="24" s="1"/>
  <c r="S56" i="55"/>
  <c r="X92" i="55"/>
  <c r="X7" i="23" s="1"/>
  <c r="H70" i="55"/>
  <c r="H11" i="25" s="1"/>
  <c r="P93" i="55"/>
  <c r="P8" i="23" s="1"/>
  <c r="AM43" i="55"/>
  <c r="AM10" i="26" s="1"/>
  <c r="AJ74" i="55"/>
  <c r="AJ2" i="24" s="1"/>
  <c r="S48" i="55"/>
  <c r="X95" i="55"/>
  <c r="X10" i="23" s="1"/>
  <c r="T40" i="55"/>
  <c r="T7" i="26" s="1"/>
  <c r="H69" i="55"/>
  <c r="H10" i="25" s="1"/>
  <c r="P96" i="55"/>
  <c r="P11" i="23" s="1"/>
  <c r="AM38" i="55"/>
  <c r="AM5" i="26" s="1"/>
  <c r="AJ82" i="55"/>
  <c r="AJ10" i="24" s="1"/>
  <c r="S54" i="55"/>
  <c r="X93" i="55"/>
  <c r="X8" i="23" s="1"/>
  <c r="R96" i="55"/>
  <c r="R11" i="23" s="1"/>
  <c r="T43" i="55"/>
  <c r="T10" i="26" s="1"/>
  <c r="AR57" i="55"/>
  <c r="H65" i="55"/>
  <c r="H6" i="25" s="1"/>
  <c r="P94" i="55"/>
  <c r="P9" i="23" s="1"/>
  <c r="AM44" i="55"/>
  <c r="AM11" i="26" s="1"/>
  <c r="AJ76" i="55"/>
  <c r="AJ4" i="24" s="1"/>
  <c r="S52" i="55"/>
  <c r="X89" i="55"/>
  <c r="X4" i="23" s="1"/>
  <c r="R94" i="55"/>
  <c r="R9" i="23" s="1"/>
  <c r="T39" i="55"/>
  <c r="T6" i="26" s="1"/>
  <c r="AR49" i="55"/>
  <c r="H64" i="55"/>
  <c r="H5" i="25" s="1"/>
  <c r="AM42" i="55"/>
  <c r="AM9" i="26" s="1"/>
  <c r="AJ83" i="55"/>
  <c r="AJ11" i="24" s="1"/>
  <c r="S49" i="55"/>
  <c r="R90" i="55"/>
  <c r="R5" i="23" s="1"/>
  <c r="T41" i="55"/>
  <c r="T8" i="26" s="1"/>
  <c r="AR50" i="55"/>
  <c r="AD49" i="55"/>
  <c r="H68" i="55"/>
  <c r="H9" i="25" s="1"/>
  <c r="AM41" i="55"/>
  <c r="AM8" i="26" s="1"/>
  <c r="AJ81" i="55"/>
  <c r="AJ9" i="24" s="1"/>
  <c r="R92" i="55"/>
  <c r="R7" i="23" s="1"/>
  <c r="T42" i="55"/>
  <c r="T9" i="26" s="1"/>
  <c r="AR55" i="55"/>
  <c r="H66" i="55"/>
  <c r="H7" i="25" s="1"/>
  <c r="P92" i="55"/>
  <c r="P7" i="23" s="1"/>
  <c r="AM39" i="55"/>
  <c r="AM6" i="26" s="1"/>
  <c r="AJ78" i="55"/>
  <c r="AJ6" i="24" s="1"/>
  <c r="X88" i="55"/>
  <c r="X3" i="23" s="1"/>
  <c r="R88" i="55"/>
  <c r="R3" i="23" s="1"/>
  <c r="T35" i="55"/>
  <c r="T2" i="26" s="1"/>
  <c r="H62" i="55"/>
  <c r="H3" i="25" s="1"/>
  <c r="J65" i="55"/>
  <c r="J6" i="25" s="1"/>
  <c r="P90" i="55"/>
  <c r="P5" i="23" s="1"/>
  <c r="R82" i="55"/>
  <c r="R10" i="24" s="1"/>
  <c r="AJ80" i="55"/>
  <c r="AJ8" i="24" s="1"/>
  <c r="S55" i="55"/>
  <c r="X91" i="55"/>
  <c r="X6" i="23" s="1"/>
  <c r="R89" i="55"/>
  <c r="R4" i="23" s="1"/>
  <c r="T38" i="55"/>
  <c r="T5" i="26" s="1"/>
  <c r="H67" i="55"/>
  <c r="H8" i="25" s="1"/>
  <c r="G68" i="55"/>
  <c r="G9" i="25" s="1"/>
  <c r="S51" i="55"/>
  <c r="U41" i="55"/>
  <c r="U8" i="26" s="1"/>
  <c r="J64" i="55"/>
  <c r="J5" i="25" s="1"/>
  <c r="P88" i="55"/>
  <c r="P3" i="23" s="1"/>
  <c r="R80" i="55"/>
  <c r="R8" i="24" s="1"/>
  <c r="S57" i="55"/>
  <c r="X90" i="55"/>
  <c r="X5" i="23" s="1"/>
  <c r="R93" i="55"/>
  <c r="R8" i="23" s="1"/>
  <c r="T44" i="55"/>
  <c r="T11" i="26" s="1"/>
  <c r="G67" i="55"/>
  <c r="G8" i="25" s="1"/>
  <c r="U44" i="55"/>
  <c r="U11" i="26" s="1"/>
  <c r="J62" i="55"/>
  <c r="J3" i="25" s="1"/>
  <c r="R75" i="55"/>
  <c r="R3" i="24" s="1"/>
  <c r="H55" i="55"/>
  <c r="H56" i="55"/>
  <c r="AK120" i="55"/>
  <c r="AK9" i="42" s="1"/>
  <c r="P174" i="55"/>
  <c r="P11" i="45" s="1"/>
  <c r="AQ116" i="55"/>
  <c r="AQ5" i="42" s="1"/>
  <c r="AM140" i="55"/>
  <c r="AM3" i="43" s="1"/>
  <c r="P155" i="55"/>
  <c r="P5" i="44" s="1"/>
  <c r="AK119" i="55"/>
  <c r="AK8" i="42" s="1"/>
  <c r="P167" i="55"/>
  <c r="P4" i="45" s="1"/>
  <c r="AQ122" i="55"/>
  <c r="AQ11" i="42" s="1"/>
  <c r="AM147" i="55"/>
  <c r="AM10" i="43" s="1"/>
  <c r="P154" i="55"/>
  <c r="P4" i="44" s="1"/>
  <c r="AM128" i="55"/>
  <c r="P171" i="55"/>
  <c r="P8" i="45" s="1"/>
  <c r="AQ118" i="55"/>
  <c r="AQ7" i="42" s="1"/>
  <c r="AM141" i="55"/>
  <c r="AM4" i="43" s="1"/>
  <c r="P158" i="55"/>
  <c r="P8" i="44" s="1"/>
  <c r="R169" i="55"/>
  <c r="R6" i="45" s="1"/>
  <c r="AL167" i="55"/>
  <c r="AK118" i="55"/>
  <c r="AK7" i="42" s="1"/>
  <c r="U117" i="55"/>
  <c r="U6" i="42" s="1"/>
  <c r="AM126" i="55"/>
  <c r="P166" i="55"/>
  <c r="P3" i="45" s="1"/>
  <c r="AQ115" i="55"/>
  <c r="AQ4" i="42" s="1"/>
  <c r="AM148" i="55"/>
  <c r="AM11" i="43" s="1"/>
  <c r="P153" i="55"/>
  <c r="P3" i="44" s="1"/>
  <c r="U114" i="55"/>
  <c r="U3" i="42" s="1"/>
  <c r="AM129" i="55"/>
  <c r="AQ120" i="55"/>
  <c r="AQ9" i="42" s="1"/>
  <c r="P152" i="55"/>
  <c r="P2" i="44" s="1"/>
  <c r="AK113" i="55"/>
  <c r="AK2" i="42" s="1"/>
  <c r="U121" i="55"/>
  <c r="U10" i="42" s="1"/>
  <c r="AM127" i="55"/>
  <c r="AQ117" i="55"/>
  <c r="AQ6" i="42" s="1"/>
  <c r="P161" i="55"/>
  <c r="P11" i="44" s="1"/>
  <c r="AK117" i="55"/>
  <c r="AK6" i="42" s="1"/>
  <c r="U113" i="55"/>
  <c r="U2" i="42" s="1"/>
  <c r="AM135" i="55"/>
  <c r="AM145" i="55"/>
  <c r="AM8" i="43" s="1"/>
  <c r="P157" i="55"/>
  <c r="P7" i="44" s="1"/>
  <c r="R173" i="55"/>
  <c r="R10" i="45" s="1"/>
  <c r="AL173" i="55"/>
  <c r="AK122" i="55"/>
  <c r="AK11" i="42" s="1"/>
  <c r="U120" i="55"/>
  <c r="U9" i="42" s="1"/>
  <c r="AM131" i="55"/>
  <c r="AM146" i="55"/>
  <c r="AM9" i="43" s="1"/>
  <c r="P156" i="55"/>
  <c r="P6" i="44" s="1"/>
  <c r="T76" i="55"/>
  <c r="T4" i="24" s="1"/>
  <c r="AR79" i="55"/>
  <c r="AR7" i="24" s="1"/>
  <c r="T87" i="55"/>
  <c r="T2" i="23" s="1"/>
  <c r="AK77" i="55"/>
  <c r="AK5" i="24" s="1"/>
  <c r="T83" i="55"/>
  <c r="T11" i="24" s="1"/>
  <c r="AR81" i="55"/>
  <c r="AR9" i="24" s="1"/>
  <c r="T88" i="55"/>
  <c r="T3" i="23" s="1"/>
  <c r="AK75" i="55"/>
  <c r="AK3" i="24" s="1"/>
  <c r="T75" i="55"/>
  <c r="T3" i="24" s="1"/>
  <c r="T91" i="55"/>
  <c r="T6" i="23" s="1"/>
  <c r="AK78" i="55"/>
  <c r="AK6" i="24" s="1"/>
  <c r="T96" i="55"/>
  <c r="T11" i="23" s="1"/>
  <c r="AK74" i="55"/>
  <c r="AK2" i="24" s="1"/>
  <c r="AR76" i="55"/>
  <c r="AR4" i="24" s="1"/>
  <c r="AA65" i="55"/>
  <c r="AA6" i="25" s="1"/>
  <c r="T94" i="55"/>
  <c r="T9" i="23" s="1"/>
  <c r="AK82" i="55"/>
  <c r="AK10" i="24" s="1"/>
  <c r="T77" i="55"/>
  <c r="T5" i="24" s="1"/>
  <c r="AR77" i="55"/>
  <c r="AR5" i="24" s="1"/>
  <c r="AA62" i="55"/>
  <c r="AA3" i="25" s="1"/>
  <c r="AM61" i="55"/>
  <c r="AM2" i="25" s="1"/>
  <c r="T92" i="55"/>
  <c r="T7" i="23" s="1"/>
  <c r="AK80" i="55"/>
  <c r="AK8" i="24" s="1"/>
  <c r="T82" i="55"/>
  <c r="T10" i="24" s="1"/>
  <c r="AR80" i="55"/>
  <c r="AR8" i="24" s="1"/>
  <c r="AA64" i="55"/>
  <c r="AA5" i="25" s="1"/>
  <c r="U57" i="55"/>
  <c r="T90" i="55"/>
  <c r="T5" i="23" s="1"/>
  <c r="AK76" i="55"/>
  <c r="AK4" i="24" s="1"/>
  <c r="T79" i="55"/>
  <c r="T7" i="24" s="1"/>
  <c r="AD93" i="55"/>
  <c r="AR82" i="55"/>
  <c r="AR10" i="24" s="1"/>
  <c r="AR75" i="55"/>
  <c r="AR3" i="24" s="1"/>
  <c r="U51" i="55"/>
  <c r="T89" i="55"/>
  <c r="T4" i="23" s="1"/>
  <c r="AK83" i="55"/>
  <c r="AK11" i="24" s="1"/>
  <c r="T81" i="55"/>
  <c r="T9" i="24" s="1"/>
  <c r="AD94" i="55"/>
  <c r="AR78" i="55"/>
  <c r="AR6" i="24" s="1"/>
  <c r="Z54" i="55"/>
  <c r="Z49" i="55"/>
  <c r="U42" i="55"/>
  <c r="U9" i="26" s="1"/>
  <c r="Z57" i="55"/>
  <c r="U50" i="55"/>
  <c r="R78" i="55"/>
  <c r="R6" i="24" s="1"/>
  <c r="AD90" i="55"/>
  <c r="U39" i="55"/>
  <c r="U6" i="26" s="1"/>
  <c r="Z55" i="55"/>
  <c r="U52" i="55"/>
  <c r="R76" i="55"/>
  <c r="R4" i="24" s="1"/>
  <c r="AD89" i="55"/>
  <c r="Z67" i="55"/>
  <c r="Z8" i="25" s="1"/>
  <c r="AA68" i="55"/>
  <c r="AA9" i="25" s="1"/>
  <c r="U40" i="55"/>
  <c r="U7" i="26" s="1"/>
  <c r="Z53" i="55"/>
  <c r="J67" i="55"/>
  <c r="J8" i="25" s="1"/>
  <c r="U53" i="55"/>
  <c r="R74" i="55"/>
  <c r="R2" i="24" s="1"/>
  <c r="AD96" i="55"/>
  <c r="Z65" i="55"/>
  <c r="Z6" i="25" s="1"/>
  <c r="AA67" i="55"/>
  <c r="AA8" i="25" s="1"/>
  <c r="U36" i="55"/>
  <c r="U3" i="26" s="1"/>
  <c r="Z51" i="55"/>
  <c r="J69" i="55"/>
  <c r="J10" i="25" s="1"/>
  <c r="U56" i="55"/>
  <c r="R79" i="55"/>
  <c r="R7" i="24" s="1"/>
  <c r="AD92" i="55"/>
  <c r="Z63" i="55"/>
  <c r="Z4" i="25" s="1"/>
  <c r="AA69" i="55"/>
  <c r="AA10" i="25" s="1"/>
  <c r="U37" i="55"/>
  <c r="U4" i="26" s="1"/>
  <c r="J63" i="55"/>
  <c r="J4" i="25" s="1"/>
  <c r="U48" i="55"/>
  <c r="R83" i="55"/>
  <c r="R11" i="24" s="1"/>
  <c r="Z64" i="55"/>
  <c r="Z5" i="25" s="1"/>
  <c r="AA63" i="55"/>
  <c r="AA4" i="25" s="1"/>
  <c r="U43" i="55"/>
  <c r="U10" i="26" s="1"/>
  <c r="Z56" i="55"/>
  <c r="J61" i="55"/>
  <c r="J2" i="25" s="1"/>
  <c r="U49" i="55"/>
  <c r="AD52" i="55"/>
  <c r="AD88" i="55"/>
  <c r="Z68" i="55"/>
  <c r="Z9" i="25" s="1"/>
  <c r="AA61" i="55"/>
  <c r="AA2" i="25" s="1"/>
  <c r="Z52" i="55"/>
  <c r="J70" i="55"/>
  <c r="J11" i="25" s="1"/>
  <c r="U55" i="55"/>
  <c r="AD55" i="55"/>
  <c r="AD87" i="55"/>
  <c r="AA70" i="55"/>
  <c r="AA11" i="25" s="1"/>
  <c r="Z50" i="55"/>
  <c r="J68" i="55"/>
  <c r="J9" i="25" s="1"/>
  <c r="R81" i="55"/>
  <c r="R9" i="24" s="1"/>
  <c r="AD51" i="55"/>
  <c r="AD95" i="55"/>
  <c r="AD57" i="55"/>
  <c r="AR56" i="55"/>
  <c r="AD53" i="55"/>
  <c r="AR54" i="55"/>
  <c r="AR52" i="55"/>
  <c r="K120" i="55"/>
  <c r="K9" i="42" s="1"/>
  <c r="AD48" i="55"/>
  <c r="AR53" i="55"/>
  <c r="AD50" i="55"/>
  <c r="AR65" i="55"/>
  <c r="AR6" i="25" s="1"/>
  <c r="AR51" i="55"/>
  <c r="AD54" i="55"/>
  <c r="AR68" i="55"/>
  <c r="AR9" i="25" s="1"/>
  <c r="AR66" i="55"/>
  <c r="AR7" i="25" s="1"/>
  <c r="G70" i="55"/>
  <c r="G11" i="25" s="1"/>
  <c r="G63" i="55"/>
  <c r="G4" i="25" s="1"/>
  <c r="G65" i="55"/>
  <c r="G6" i="25" s="1"/>
  <c r="G69" i="55"/>
  <c r="G10" i="25" s="1"/>
  <c r="G61" i="55"/>
  <c r="G2" i="25" s="1"/>
  <c r="G66" i="55"/>
  <c r="G7" i="25" s="1"/>
  <c r="G64" i="55"/>
  <c r="G5" i="25" s="1"/>
  <c r="I82" i="55"/>
  <c r="I10" i="24" s="1"/>
  <c r="Z89" i="55"/>
  <c r="P36" i="55"/>
  <c r="P3" i="26" s="1"/>
  <c r="R50" i="55"/>
  <c r="Z94" i="55"/>
  <c r="J80" i="55"/>
  <c r="J8" i="24" s="1"/>
  <c r="AD41" i="55"/>
  <c r="AD8" i="26" s="1"/>
  <c r="P40" i="55"/>
  <c r="P7" i="26" s="1"/>
  <c r="R49" i="55"/>
  <c r="Z90" i="55"/>
  <c r="J78" i="55"/>
  <c r="J6" i="24" s="1"/>
  <c r="AD39" i="55"/>
  <c r="AD6" i="26" s="1"/>
  <c r="P43" i="55"/>
  <c r="P10" i="26" s="1"/>
  <c r="R53" i="55"/>
  <c r="Z92" i="55"/>
  <c r="J74" i="55"/>
  <c r="J2" i="24" s="1"/>
  <c r="AD37" i="55"/>
  <c r="AD4" i="26" s="1"/>
  <c r="P35" i="55"/>
  <c r="P2" i="26" s="1"/>
  <c r="R56" i="55"/>
  <c r="Z96" i="55"/>
  <c r="J82" i="55"/>
  <c r="J10" i="24" s="1"/>
  <c r="AD44" i="55"/>
  <c r="AD11" i="26" s="1"/>
  <c r="R54" i="55"/>
  <c r="Z88" i="55"/>
  <c r="J76" i="55"/>
  <c r="J4" i="24" s="1"/>
  <c r="AD36" i="55"/>
  <c r="AD3" i="26" s="1"/>
  <c r="R57" i="55"/>
  <c r="Z95" i="55"/>
  <c r="AD42" i="55"/>
  <c r="AD9" i="26" s="1"/>
  <c r="P38" i="55"/>
  <c r="P5" i="26" s="1"/>
  <c r="R52" i="55"/>
  <c r="Z93" i="55"/>
  <c r="J81" i="55"/>
  <c r="J9" i="24" s="1"/>
  <c r="AD40" i="55"/>
  <c r="AD7" i="26" s="1"/>
  <c r="P39" i="55"/>
  <c r="P6" i="26" s="1"/>
  <c r="R55" i="55"/>
  <c r="I75" i="55"/>
  <c r="I3" i="24" s="1"/>
  <c r="P37" i="55"/>
  <c r="P4" i="26" s="1"/>
  <c r="R48" i="55"/>
  <c r="I80" i="55"/>
  <c r="I8" i="24" s="1"/>
  <c r="T133" i="55"/>
  <c r="L115" i="55"/>
  <c r="L4" i="42" s="1"/>
  <c r="H146" i="55"/>
  <c r="H9" i="43" s="1"/>
  <c r="N155" i="55"/>
  <c r="N5" i="44" s="1"/>
  <c r="AO144" i="55"/>
  <c r="AO7" i="43" s="1"/>
  <c r="H153" i="55"/>
  <c r="H3" i="44" s="1"/>
  <c r="AE130" i="55"/>
  <c r="K119" i="55"/>
  <c r="K8" i="42" s="1"/>
  <c r="L113" i="55"/>
  <c r="L2" i="42" s="1"/>
  <c r="H148" i="55"/>
  <c r="H11" i="43" s="1"/>
  <c r="N158" i="55"/>
  <c r="N8" i="44" s="1"/>
  <c r="AO148" i="55"/>
  <c r="AO11" i="43" s="1"/>
  <c r="AG133" i="55"/>
  <c r="H161" i="55"/>
  <c r="H11" i="44" s="1"/>
  <c r="AE126" i="55"/>
  <c r="K116" i="55"/>
  <c r="K5" i="42" s="1"/>
  <c r="T131" i="55"/>
  <c r="L117" i="55"/>
  <c r="L6" i="42" s="1"/>
  <c r="H142" i="55"/>
  <c r="H5" i="43" s="1"/>
  <c r="N161" i="55"/>
  <c r="N11" i="44" s="1"/>
  <c r="AO143" i="55"/>
  <c r="AO6" i="43" s="1"/>
  <c r="AG131" i="55"/>
  <c r="H155" i="55"/>
  <c r="H5" i="44" s="1"/>
  <c r="AE128" i="55"/>
  <c r="AQ102" i="55"/>
  <c r="T129" i="55"/>
  <c r="L116" i="55"/>
  <c r="L5" i="42" s="1"/>
  <c r="H144" i="55"/>
  <c r="H7" i="43" s="1"/>
  <c r="AO142" i="55"/>
  <c r="AO5" i="43" s="1"/>
  <c r="AG129" i="55"/>
  <c r="H157" i="55"/>
  <c r="H7" i="44" s="1"/>
  <c r="AE135" i="55"/>
  <c r="AQ100" i="55"/>
  <c r="L122" i="55"/>
  <c r="L11" i="42" s="1"/>
  <c r="H145" i="55"/>
  <c r="H8" i="43" s="1"/>
  <c r="N159" i="55"/>
  <c r="N9" i="44" s="1"/>
  <c r="AO146" i="55"/>
  <c r="AO9" i="43" s="1"/>
  <c r="AG134" i="55"/>
  <c r="AE131" i="55"/>
  <c r="AQ105" i="55"/>
  <c r="T132" i="55"/>
  <c r="L118" i="55"/>
  <c r="L7" i="42" s="1"/>
  <c r="N156" i="55"/>
  <c r="N6" i="44" s="1"/>
  <c r="AO141" i="55"/>
  <c r="AO4" i="43" s="1"/>
  <c r="AG135" i="55"/>
  <c r="H152" i="55"/>
  <c r="H2" i="44" s="1"/>
  <c r="AE129" i="55"/>
  <c r="AQ108" i="55"/>
  <c r="K122" i="55"/>
  <c r="K11" i="42" s="1"/>
  <c r="T130" i="55"/>
  <c r="L114" i="55"/>
  <c r="L3" i="42" s="1"/>
  <c r="N153" i="55"/>
  <c r="N3" i="44" s="1"/>
  <c r="AG126" i="55"/>
  <c r="H158" i="55"/>
  <c r="H8" i="44" s="1"/>
  <c r="AE127" i="55"/>
  <c r="AQ101" i="55"/>
  <c r="T126" i="55"/>
  <c r="H143" i="55"/>
  <c r="H6" i="43" s="1"/>
  <c r="N160" i="55"/>
  <c r="N10" i="44" s="1"/>
  <c r="AG128" i="55"/>
  <c r="H154" i="55"/>
  <c r="H4" i="44" s="1"/>
  <c r="AQ103" i="55"/>
  <c r="K114" i="55"/>
  <c r="K3" i="42" s="1"/>
  <c r="T128" i="55"/>
  <c r="T134" i="55"/>
  <c r="H147" i="55"/>
  <c r="H10" i="43" s="1"/>
  <c r="N157" i="55"/>
  <c r="N7" i="44" s="1"/>
  <c r="AO140" i="55"/>
  <c r="AO3" i="43" s="1"/>
  <c r="AG132" i="55"/>
  <c r="H156" i="55"/>
  <c r="H6" i="44" s="1"/>
  <c r="AQ109" i="55"/>
  <c r="L119" i="55"/>
  <c r="L8" i="42" s="1"/>
  <c r="H141" i="55"/>
  <c r="H4" i="43" s="1"/>
  <c r="N154" i="55"/>
  <c r="N4" i="44" s="1"/>
  <c r="AO139" i="55"/>
  <c r="AO2" i="43" s="1"/>
  <c r="H160" i="55"/>
  <c r="H10" i="44" s="1"/>
  <c r="AE134" i="55"/>
  <c r="AQ107" i="55"/>
  <c r="J91" i="55"/>
  <c r="J6" i="23" s="1"/>
  <c r="AM55" i="55"/>
  <c r="R36" i="55"/>
  <c r="R3" i="26" s="1"/>
  <c r="AA80" i="55"/>
  <c r="AA8" i="24" s="1"/>
  <c r="J87" i="55"/>
  <c r="J2" i="23" s="1"/>
  <c r="R39" i="55"/>
  <c r="R6" i="26" s="1"/>
  <c r="AA76" i="55"/>
  <c r="AA4" i="24" s="1"/>
  <c r="J94" i="55"/>
  <c r="J9" i="23" s="1"/>
  <c r="R37" i="55"/>
  <c r="R4" i="26" s="1"/>
  <c r="AA82" i="55"/>
  <c r="AA10" i="24" s="1"/>
  <c r="J90" i="55"/>
  <c r="J5" i="23" s="1"/>
  <c r="AM51" i="55"/>
  <c r="R43" i="55"/>
  <c r="R10" i="26" s="1"/>
  <c r="AA78" i="55"/>
  <c r="AA6" i="24" s="1"/>
  <c r="J96" i="55"/>
  <c r="J11" i="23" s="1"/>
  <c r="AM54" i="55"/>
  <c r="AA74" i="55"/>
  <c r="AA2" i="24" s="1"/>
  <c r="J92" i="55"/>
  <c r="J7" i="23" s="1"/>
  <c r="AM48" i="55"/>
  <c r="AA81" i="55"/>
  <c r="AA9" i="24" s="1"/>
  <c r="J88" i="55"/>
  <c r="J3" i="23" s="1"/>
  <c r="AM49" i="55"/>
  <c r="R38" i="55"/>
  <c r="R5" i="26" s="1"/>
  <c r="AA79" i="55"/>
  <c r="AA7" i="24" s="1"/>
  <c r="J95" i="55"/>
  <c r="J10" i="23" s="1"/>
  <c r="AM50" i="55"/>
  <c r="R35" i="55"/>
  <c r="R2" i="26" s="1"/>
  <c r="AM52" i="55"/>
  <c r="R40" i="55"/>
  <c r="R7" i="26" s="1"/>
  <c r="AM57" i="55"/>
  <c r="R41" i="55"/>
  <c r="R8" i="26" s="1"/>
  <c r="AA83" i="55"/>
  <c r="AA11" i="24" s="1"/>
  <c r="AL160" i="55"/>
  <c r="AL10" i="44" s="1"/>
  <c r="S130" i="55"/>
  <c r="AL157" i="55"/>
  <c r="AL7" i="44" s="1"/>
  <c r="S126" i="55"/>
  <c r="AL161" i="55"/>
  <c r="AL11" i="44" s="1"/>
  <c r="S132" i="55"/>
  <c r="S134" i="55"/>
  <c r="Z157" i="55"/>
  <c r="Z7" i="44" s="1"/>
  <c r="S135" i="55"/>
  <c r="AL159" i="55"/>
  <c r="AL9" i="44" s="1"/>
  <c r="S133" i="55"/>
  <c r="AL152" i="55"/>
  <c r="AL2" i="44" s="1"/>
  <c r="S131" i="55"/>
  <c r="AL158" i="55"/>
  <c r="AL8" i="44" s="1"/>
  <c r="S129" i="55"/>
  <c r="K144" i="55"/>
  <c r="K7" i="43" s="1"/>
  <c r="K147" i="55"/>
  <c r="K10" i="43" s="1"/>
  <c r="K143" i="55"/>
  <c r="K6" i="43" s="1"/>
  <c r="K146" i="55"/>
  <c r="K9" i="43" s="1"/>
  <c r="K139" i="55"/>
  <c r="K2" i="43" s="1"/>
  <c r="K140" i="55"/>
  <c r="K3" i="43" s="1"/>
  <c r="K142" i="55"/>
  <c r="K5" i="43" s="1"/>
  <c r="AF174" i="55"/>
  <c r="AL155" i="55"/>
  <c r="AL5" i="44" s="1"/>
  <c r="AL156" i="55"/>
  <c r="AL6" i="44" s="1"/>
  <c r="K148" i="55"/>
  <c r="K11" i="43" s="1"/>
  <c r="Q127" i="55"/>
  <c r="I53" i="55"/>
  <c r="AR70" i="55"/>
  <c r="AR11" i="25" s="1"/>
  <c r="AR64" i="55"/>
  <c r="AR5" i="25" s="1"/>
  <c r="AR62" i="55"/>
  <c r="AR3" i="25" s="1"/>
  <c r="I50" i="55"/>
  <c r="AR67" i="55"/>
  <c r="AR8" i="25" s="1"/>
  <c r="I56" i="55"/>
  <c r="AR63" i="55"/>
  <c r="AR4" i="25" s="1"/>
  <c r="AR61" i="55"/>
  <c r="AR2" i="25" s="1"/>
  <c r="I57" i="55"/>
  <c r="I49" i="55"/>
  <c r="AG174" i="55"/>
  <c r="AI104" i="55"/>
  <c r="AE171" i="55"/>
  <c r="AG167" i="55"/>
  <c r="AI109" i="55"/>
  <c r="AE166" i="55"/>
  <c r="T169" i="55"/>
  <c r="T6" i="45" s="1"/>
  <c r="AI100" i="55"/>
  <c r="AE170" i="55"/>
  <c r="T173" i="55"/>
  <c r="T10" i="45" s="1"/>
  <c r="AG165" i="55"/>
  <c r="AI106" i="55"/>
  <c r="AE169" i="55"/>
  <c r="T167" i="55"/>
  <c r="T4" i="45" s="1"/>
  <c r="AG172" i="55"/>
  <c r="AI108" i="55"/>
  <c r="AE165" i="55"/>
  <c r="T170" i="55"/>
  <c r="T7" i="45" s="1"/>
  <c r="AG168" i="55"/>
  <c r="AI105" i="55"/>
  <c r="AE167" i="55"/>
  <c r="T174" i="55"/>
  <c r="T11" i="45" s="1"/>
  <c r="AG171" i="55"/>
  <c r="AI103" i="55"/>
  <c r="T168" i="55"/>
  <c r="T5" i="45" s="1"/>
  <c r="AG169" i="55"/>
  <c r="T172" i="55"/>
  <c r="T9" i="45" s="1"/>
  <c r="AG170" i="55"/>
  <c r="AE174" i="55"/>
  <c r="T166" i="55"/>
  <c r="T3" i="45" s="1"/>
  <c r="AI101" i="55"/>
  <c r="AE173" i="55"/>
  <c r="T165" i="55"/>
  <c r="T2" i="45" s="1"/>
  <c r="I74" i="55"/>
  <c r="I2" i="24" s="1"/>
  <c r="I77" i="55"/>
  <c r="I5" i="24" s="1"/>
  <c r="I83" i="55"/>
  <c r="I11" i="24" s="1"/>
  <c r="I78" i="55"/>
  <c r="I6" i="24" s="1"/>
  <c r="K160" i="55"/>
  <c r="K10" i="44" s="1"/>
  <c r="K159" i="55"/>
  <c r="K9" i="44" s="1"/>
  <c r="K156" i="55"/>
  <c r="K6" i="44" s="1"/>
  <c r="K153" i="55"/>
  <c r="K3" i="44" s="1"/>
  <c r="K152" i="55"/>
  <c r="K2" i="44" s="1"/>
  <c r="K155" i="55"/>
  <c r="K5" i="44" s="1"/>
  <c r="K157" i="55"/>
  <c r="K7" i="44" s="1"/>
  <c r="K154" i="55"/>
  <c r="K4" i="44" s="1"/>
  <c r="K161" i="55"/>
  <c r="K11" i="44" s="1"/>
  <c r="K158" i="55"/>
  <c r="K8" i="44" s="1"/>
  <c r="K131" i="55"/>
  <c r="K129" i="55"/>
  <c r="K130" i="55"/>
  <c r="K127" i="55"/>
  <c r="K126" i="55"/>
  <c r="K135" i="55"/>
  <c r="K133" i="55"/>
  <c r="K134" i="55"/>
  <c r="K132" i="55"/>
  <c r="K128" i="55"/>
  <c r="K168" i="55"/>
  <c r="K5" i="45" s="1"/>
  <c r="K173" i="55"/>
  <c r="K10" i="45" s="1"/>
  <c r="K165" i="55"/>
  <c r="K2" i="45" s="1"/>
  <c r="K166" i="55"/>
  <c r="K3" i="45" s="1"/>
  <c r="K171" i="55"/>
  <c r="K8" i="45" s="1"/>
  <c r="K172" i="55"/>
  <c r="K9" i="45" s="1"/>
  <c r="K174" i="55"/>
  <c r="K11" i="45" s="1"/>
  <c r="K167" i="55"/>
  <c r="K4" i="45" s="1"/>
  <c r="K170" i="55"/>
  <c r="K7" i="45" s="1"/>
  <c r="K169" i="55"/>
  <c r="K6" i="45" s="1"/>
  <c r="Z155" i="55"/>
  <c r="Z5" i="44" s="1"/>
  <c r="Q172" i="55"/>
  <c r="Q9" i="45" s="1"/>
  <c r="AM70" i="55"/>
  <c r="AM11" i="25" s="1"/>
  <c r="AF168" i="55"/>
  <c r="AF172" i="55"/>
  <c r="Z160" i="55"/>
  <c r="Z10" i="44" s="1"/>
  <c r="Q168" i="55"/>
  <c r="Q5" i="45" s="1"/>
  <c r="AJ40" i="55"/>
  <c r="AJ7" i="26" s="1"/>
  <c r="AM67" i="55"/>
  <c r="AM8" i="25" s="1"/>
  <c r="Z159" i="55"/>
  <c r="Z9" i="44" s="1"/>
  <c r="Q167" i="55"/>
  <c r="Q4" i="45" s="1"/>
  <c r="Q131" i="55"/>
  <c r="AJ41" i="55"/>
  <c r="AJ8" i="26" s="1"/>
  <c r="AM66" i="55"/>
  <c r="AM7" i="25" s="1"/>
  <c r="AF165" i="55"/>
  <c r="Z156" i="55"/>
  <c r="Z6" i="44" s="1"/>
  <c r="Q166" i="55"/>
  <c r="Q3" i="45" s="1"/>
  <c r="Q128" i="55"/>
  <c r="AJ43" i="55"/>
  <c r="AJ10" i="26" s="1"/>
  <c r="AM69" i="55"/>
  <c r="AM10" i="25" s="1"/>
  <c r="Z153" i="55"/>
  <c r="Z3" i="44" s="1"/>
  <c r="Q126" i="55"/>
  <c r="AJ38" i="55"/>
  <c r="AJ5" i="26" s="1"/>
  <c r="AM65" i="55"/>
  <c r="AM6" i="25" s="1"/>
  <c r="Z152" i="55"/>
  <c r="Z2" i="44" s="1"/>
  <c r="Q135" i="55"/>
  <c r="AJ36" i="55"/>
  <c r="AJ3" i="26" s="1"/>
  <c r="AM63" i="55"/>
  <c r="AM4" i="25" s="1"/>
  <c r="Z154" i="55"/>
  <c r="Z4" i="44" s="1"/>
  <c r="Q129" i="55"/>
  <c r="AJ44" i="55"/>
  <c r="AJ11" i="26" s="1"/>
  <c r="AM64" i="55"/>
  <c r="AM5" i="25" s="1"/>
  <c r="Z158" i="55"/>
  <c r="Z8" i="44" s="1"/>
  <c r="Q133" i="55"/>
  <c r="AJ39" i="55"/>
  <c r="AJ6" i="26" s="1"/>
  <c r="AM68" i="55"/>
  <c r="AM9" i="25" s="1"/>
  <c r="AF166" i="55"/>
  <c r="AF167" i="55"/>
  <c r="Q132" i="55"/>
  <c r="AJ37" i="55"/>
  <c r="AJ4" i="26" s="1"/>
  <c r="AF171" i="55"/>
  <c r="AF169" i="55"/>
  <c r="Q170" i="55"/>
  <c r="Q7" i="45" s="1"/>
  <c r="Q134" i="55"/>
  <c r="AJ35" i="55"/>
  <c r="AJ2" i="26" s="1"/>
  <c r="AF173" i="55"/>
  <c r="Q174" i="55"/>
  <c r="Q11" i="45" s="1"/>
  <c r="R126" i="55"/>
  <c r="AA160" i="55"/>
  <c r="AA10" i="44" s="1"/>
  <c r="AJ130" i="55"/>
  <c r="Z169" i="55"/>
  <c r="R135" i="55"/>
  <c r="AA157" i="55"/>
  <c r="AA7" i="44" s="1"/>
  <c r="AH69" i="55"/>
  <c r="AH10" i="25" s="1"/>
  <c r="AJ128" i="55"/>
  <c r="Z165" i="55"/>
  <c r="R133" i="55"/>
  <c r="AA152" i="55"/>
  <c r="AA2" i="44" s="1"/>
  <c r="AJ126" i="55"/>
  <c r="Z174" i="55"/>
  <c r="R129" i="55"/>
  <c r="AA154" i="55"/>
  <c r="AA4" i="44" s="1"/>
  <c r="AJ133" i="55"/>
  <c r="Z168" i="55"/>
  <c r="AA155" i="55"/>
  <c r="AA5" i="44" s="1"/>
  <c r="AJ131" i="55"/>
  <c r="Z172" i="55"/>
  <c r="AJ129" i="55"/>
  <c r="Z166" i="55"/>
  <c r="R131" i="55"/>
  <c r="AJ127" i="55"/>
  <c r="Z170" i="55"/>
  <c r="R134" i="55"/>
  <c r="AA161" i="55"/>
  <c r="AA11" i="44" s="1"/>
  <c r="AJ134" i="55"/>
  <c r="Z167" i="55"/>
  <c r="R132" i="55"/>
  <c r="AA159" i="55"/>
  <c r="AA9" i="44" s="1"/>
  <c r="Q169" i="55"/>
  <c r="Q6" i="45" s="1"/>
  <c r="Z80" i="55"/>
  <c r="Z8" i="24" s="1"/>
  <c r="Q171" i="55"/>
  <c r="Q8" i="45" s="1"/>
  <c r="Z76" i="55"/>
  <c r="Z4" i="24" s="1"/>
  <c r="Z82" i="55"/>
  <c r="Z10" i="24" s="1"/>
  <c r="AH42" i="55"/>
  <c r="AH9" i="26" s="1"/>
  <c r="Z78" i="55"/>
  <c r="Z6" i="24" s="1"/>
  <c r="AH38" i="55"/>
  <c r="AH5" i="26" s="1"/>
  <c r="Z74" i="55"/>
  <c r="Z2" i="24" s="1"/>
  <c r="AH43" i="55"/>
  <c r="AH10" i="26" s="1"/>
  <c r="Z83" i="55"/>
  <c r="Z11" i="24" s="1"/>
  <c r="AH37" i="55"/>
  <c r="AH4" i="26" s="1"/>
  <c r="Z81" i="55"/>
  <c r="Z9" i="24" s="1"/>
  <c r="AH41" i="55"/>
  <c r="AH8" i="26" s="1"/>
  <c r="Z79" i="55"/>
  <c r="Z7" i="24" s="1"/>
  <c r="AH35" i="55"/>
  <c r="AH2" i="26" s="1"/>
  <c r="AH44" i="55"/>
  <c r="AH11" i="26" s="1"/>
  <c r="AH36" i="55"/>
  <c r="AH3" i="26" s="1"/>
  <c r="Z77" i="55"/>
  <c r="Z5" i="24" s="1"/>
  <c r="AH40" i="55"/>
  <c r="AH7" i="26" s="1"/>
  <c r="AH63" i="55"/>
  <c r="AH4" i="25" s="1"/>
  <c r="AH65" i="55"/>
  <c r="AH6" i="25" s="1"/>
  <c r="AH67" i="55"/>
  <c r="AH8" i="25" s="1"/>
  <c r="AH68" i="55"/>
  <c r="AH9" i="25" s="1"/>
  <c r="AH64" i="55"/>
  <c r="AH5" i="25" s="1"/>
  <c r="AH61" i="55"/>
  <c r="AH2" i="25" s="1"/>
  <c r="AH70" i="55"/>
  <c r="AH11" i="25" s="1"/>
  <c r="AH66" i="55"/>
  <c r="AH7" i="25" s="1"/>
  <c r="AE193" i="55"/>
  <c r="AE4" i="38" s="1"/>
  <c r="AE192" i="55"/>
  <c r="AE3" i="38" s="1"/>
  <c r="AE191" i="55"/>
  <c r="AE2" i="38" s="1"/>
  <c r="AE194" i="55"/>
  <c r="AE5" i="38" s="1"/>
  <c r="AE199" i="55"/>
  <c r="AE10" i="38" s="1"/>
  <c r="AE195" i="55"/>
  <c r="AE6" i="38" s="1"/>
  <c r="AE198" i="55"/>
  <c r="AE9" i="38" s="1"/>
  <c r="AE200" i="55"/>
  <c r="AE11" i="38" s="1"/>
  <c r="AE196" i="55"/>
  <c r="AE7" i="38" s="1"/>
  <c r="AE197" i="55"/>
  <c r="AE8" i="38" s="1"/>
  <c r="J250" i="55"/>
  <c r="J9" i="40" s="1"/>
  <c r="J245" i="55"/>
  <c r="J4" i="40" s="1"/>
  <c r="J246" i="55"/>
  <c r="J5" i="40" s="1"/>
  <c r="J244" i="55"/>
  <c r="J3" i="40" s="1"/>
  <c r="J251" i="55"/>
  <c r="J10" i="40" s="1"/>
  <c r="J252" i="55"/>
  <c r="J11" i="40" s="1"/>
  <c r="J247" i="55"/>
  <c r="J6" i="40" s="1"/>
  <c r="J243" i="55"/>
  <c r="J2" i="40" s="1"/>
  <c r="J248" i="55"/>
  <c r="J7" i="40" s="1"/>
  <c r="J249" i="55"/>
  <c r="J8" i="40" s="1"/>
  <c r="K80" i="55"/>
  <c r="K8" i="24" s="1"/>
  <c r="K75" i="55"/>
  <c r="K3" i="24" s="1"/>
  <c r="K77" i="55"/>
  <c r="K5" i="24" s="1"/>
  <c r="K81" i="55"/>
  <c r="K9" i="24" s="1"/>
  <c r="K79" i="55"/>
  <c r="K7" i="24" s="1"/>
  <c r="K83" i="55"/>
  <c r="K11" i="24" s="1"/>
  <c r="K82" i="55"/>
  <c r="K10" i="24" s="1"/>
  <c r="K74" i="55"/>
  <c r="K2" i="24" s="1"/>
  <c r="K78" i="55"/>
  <c r="K6" i="24" s="1"/>
  <c r="K76" i="55"/>
  <c r="K4" i="24" s="1"/>
  <c r="AK195" i="55"/>
  <c r="AK6" i="38" s="1"/>
  <c r="AK200" i="55"/>
  <c r="AK11" i="38" s="1"/>
  <c r="AK191" i="55"/>
  <c r="AK2" i="38" s="1"/>
  <c r="AK196" i="55"/>
  <c r="AK7" i="38" s="1"/>
  <c r="AK193" i="55"/>
  <c r="AK4" i="38" s="1"/>
  <c r="AK192" i="55"/>
  <c r="AK3" i="38" s="1"/>
  <c r="AK197" i="55"/>
  <c r="AK8" i="38" s="1"/>
  <c r="AK198" i="55"/>
  <c r="AK9" i="38" s="1"/>
  <c r="AK194" i="55"/>
  <c r="AK5" i="38" s="1"/>
  <c r="AK199" i="55"/>
  <c r="AK10" i="38" s="1"/>
  <c r="L218" i="55"/>
  <c r="L3" i="39" s="1"/>
  <c r="L226" i="55"/>
  <c r="L11" i="39" s="1"/>
  <c r="L223" i="55"/>
  <c r="L8" i="39" s="1"/>
  <c r="L219" i="55"/>
  <c r="L4" i="39" s="1"/>
  <c r="L224" i="55"/>
  <c r="L9" i="39" s="1"/>
  <c r="L222" i="55"/>
  <c r="L7" i="39" s="1"/>
  <c r="L220" i="55"/>
  <c r="L5" i="39" s="1"/>
  <c r="L225" i="55"/>
  <c r="L10" i="39" s="1"/>
  <c r="L217" i="55"/>
  <c r="L2" i="39" s="1"/>
  <c r="L221" i="55"/>
  <c r="L6" i="39" s="1"/>
  <c r="AR205" i="55"/>
  <c r="AR207" i="55"/>
  <c r="AR209" i="55"/>
  <c r="AR211" i="55"/>
  <c r="AR213" i="55"/>
  <c r="AR204" i="55"/>
  <c r="AR206" i="55"/>
  <c r="AR210" i="55"/>
  <c r="AR208" i="55"/>
  <c r="AR212" i="55"/>
  <c r="AB63" i="55"/>
  <c r="AB4" i="25" s="1"/>
  <c r="AB65" i="55"/>
  <c r="AB6" i="25" s="1"/>
  <c r="AB67" i="55"/>
  <c r="AB8" i="25" s="1"/>
  <c r="AB62" i="55"/>
  <c r="AB3" i="25" s="1"/>
  <c r="AB69" i="55"/>
  <c r="AB10" i="25" s="1"/>
  <c r="AB64" i="55"/>
  <c r="AB5" i="25" s="1"/>
  <c r="AB66" i="55"/>
  <c r="AB7" i="25" s="1"/>
  <c r="AB68" i="55"/>
  <c r="AB9" i="25" s="1"/>
  <c r="AB70" i="55"/>
  <c r="AB11" i="25" s="1"/>
  <c r="AB61" i="55"/>
  <c r="AB2" i="25" s="1"/>
  <c r="M74" i="55"/>
  <c r="M2" i="24" s="1"/>
  <c r="M78" i="55"/>
  <c r="M6" i="24" s="1"/>
  <c r="M82" i="55"/>
  <c r="M10" i="24" s="1"/>
  <c r="M75" i="55"/>
  <c r="M3" i="24" s="1"/>
  <c r="M77" i="55"/>
  <c r="M5" i="24" s="1"/>
  <c r="M79" i="55"/>
  <c r="M7" i="24" s="1"/>
  <c r="M81" i="55"/>
  <c r="M9" i="24" s="1"/>
  <c r="M83" i="55"/>
  <c r="M11" i="24" s="1"/>
  <c r="M76" i="55"/>
  <c r="M4" i="24" s="1"/>
  <c r="M80" i="55"/>
  <c r="M8" i="24" s="1"/>
  <c r="C225" i="55"/>
  <c r="C10" i="39" s="1"/>
  <c r="C220" i="55"/>
  <c r="C5" i="39" s="1"/>
  <c r="C221" i="55"/>
  <c r="C6" i="39" s="1"/>
  <c r="C223" i="55"/>
  <c r="C8" i="39" s="1"/>
  <c r="C226" i="55"/>
  <c r="C11" i="39" s="1"/>
  <c r="C218" i="55"/>
  <c r="C3" i="39" s="1"/>
  <c r="C224" i="55"/>
  <c r="C9" i="39" s="1"/>
  <c r="C222" i="55"/>
  <c r="C7" i="39" s="1"/>
  <c r="C217" i="55"/>
  <c r="C2" i="39" s="1"/>
  <c r="C219" i="55"/>
  <c r="C4" i="39" s="1"/>
  <c r="V218" i="55"/>
  <c r="V3" i="39" s="1"/>
  <c r="V224" i="55"/>
  <c r="V9" i="39" s="1"/>
  <c r="V220" i="55"/>
  <c r="V5" i="39" s="1"/>
  <c r="V223" i="55"/>
  <c r="V8" i="39" s="1"/>
  <c r="V219" i="55"/>
  <c r="V4" i="39" s="1"/>
  <c r="V217" i="55"/>
  <c r="V2" i="39" s="1"/>
  <c r="V225" i="55"/>
  <c r="V10" i="39" s="1"/>
  <c r="V221" i="55"/>
  <c r="V6" i="39" s="1"/>
  <c r="V222" i="55"/>
  <c r="V7" i="39" s="1"/>
  <c r="V226" i="55"/>
  <c r="V11" i="39" s="1"/>
  <c r="AH230" i="55"/>
  <c r="AH233" i="55"/>
  <c r="AH239" i="55"/>
  <c r="AH235" i="55"/>
  <c r="AH234" i="55"/>
  <c r="AH231" i="55"/>
  <c r="AH238" i="55"/>
  <c r="AH236" i="55"/>
  <c r="AH232" i="55"/>
  <c r="AH237" i="55"/>
  <c r="E210" i="55"/>
  <c r="E212" i="55"/>
  <c r="E205" i="55"/>
  <c r="E207" i="55"/>
  <c r="E209" i="55"/>
  <c r="E211" i="55"/>
  <c r="E213" i="55"/>
  <c r="E204" i="55"/>
  <c r="E206" i="55"/>
  <c r="E208" i="55"/>
  <c r="AQ211" i="55"/>
  <c r="AQ213" i="55"/>
  <c r="AQ206" i="55"/>
  <c r="AQ204" i="55"/>
  <c r="AQ212" i="55"/>
  <c r="AQ208" i="55"/>
  <c r="AQ207" i="55"/>
  <c r="AQ205" i="55"/>
  <c r="AQ210" i="55"/>
  <c r="AQ209" i="55"/>
  <c r="AB205" i="55"/>
  <c r="AB210" i="55"/>
  <c r="AB207" i="55"/>
  <c r="AB209" i="55"/>
  <c r="AB211" i="55"/>
  <c r="AB213" i="55"/>
  <c r="AB204" i="55"/>
  <c r="AB206" i="55"/>
  <c r="AB208" i="55"/>
  <c r="AB212" i="55"/>
  <c r="S219" i="55"/>
  <c r="S4" i="39" s="1"/>
  <c r="S217" i="55"/>
  <c r="S2" i="39" s="1"/>
  <c r="S222" i="55"/>
  <c r="S7" i="39" s="1"/>
  <c r="S220" i="55"/>
  <c r="S5" i="39" s="1"/>
  <c r="S226" i="55"/>
  <c r="S11" i="39" s="1"/>
  <c r="S218" i="55"/>
  <c r="S3" i="39" s="1"/>
  <c r="S224" i="55"/>
  <c r="S9" i="39" s="1"/>
  <c r="S221" i="55"/>
  <c r="S6" i="39" s="1"/>
  <c r="S223" i="55"/>
  <c r="S8" i="39" s="1"/>
  <c r="S225" i="55"/>
  <c r="S10" i="39" s="1"/>
  <c r="AP234" i="55"/>
  <c r="AP230" i="55"/>
  <c r="AP233" i="55"/>
  <c r="AP237" i="55"/>
  <c r="AP231" i="55"/>
  <c r="AP235" i="55"/>
  <c r="AP232" i="55"/>
  <c r="AP238" i="55"/>
  <c r="AP239" i="55"/>
  <c r="AP236" i="55"/>
  <c r="K197" i="55"/>
  <c r="K8" i="38" s="1"/>
  <c r="K193" i="55"/>
  <c r="K4" i="38" s="1"/>
  <c r="K198" i="55"/>
  <c r="K9" i="38" s="1"/>
  <c r="K194" i="55"/>
  <c r="K5" i="38" s="1"/>
  <c r="K191" i="55"/>
  <c r="K2" i="38" s="1"/>
  <c r="K196" i="55"/>
  <c r="K7" i="38" s="1"/>
  <c r="K200" i="55"/>
  <c r="K11" i="38" s="1"/>
  <c r="K199" i="55"/>
  <c r="K10" i="38" s="1"/>
  <c r="K195" i="55"/>
  <c r="K6" i="38" s="1"/>
  <c r="K192" i="55"/>
  <c r="K3" i="38" s="1"/>
  <c r="AO213" i="55"/>
  <c r="AO204" i="55"/>
  <c r="AO206" i="55"/>
  <c r="AO208" i="55"/>
  <c r="AO210" i="55"/>
  <c r="AO212" i="55"/>
  <c r="AO209" i="55"/>
  <c r="AO205" i="55"/>
  <c r="AO207" i="55"/>
  <c r="AO211" i="55"/>
  <c r="AC252" i="55"/>
  <c r="AC244" i="55"/>
  <c r="AC249" i="55"/>
  <c r="AC248" i="55"/>
  <c r="AC247" i="55"/>
  <c r="AC251" i="55"/>
  <c r="AC246" i="55"/>
  <c r="AC250" i="55"/>
  <c r="AC243" i="55"/>
  <c r="AC245" i="55"/>
  <c r="AE65" i="55"/>
  <c r="AE6" i="25" s="1"/>
  <c r="AE67" i="55"/>
  <c r="AE8" i="25" s="1"/>
  <c r="AE70" i="55"/>
  <c r="AE11" i="25" s="1"/>
  <c r="AE66" i="55"/>
  <c r="AE7" i="25" s="1"/>
  <c r="AE69" i="55"/>
  <c r="AE10" i="25" s="1"/>
  <c r="AE64" i="55"/>
  <c r="AE5" i="25" s="1"/>
  <c r="AE63" i="55"/>
  <c r="AE4" i="25" s="1"/>
  <c r="AE68" i="55"/>
  <c r="AE9" i="25" s="1"/>
  <c r="AE62" i="55"/>
  <c r="AE3" i="25" s="1"/>
  <c r="AE61" i="55"/>
  <c r="AE2" i="25" s="1"/>
  <c r="L82" i="55"/>
  <c r="L10" i="24" s="1"/>
  <c r="L75" i="55"/>
  <c r="L3" i="24" s="1"/>
  <c r="L74" i="55"/>
  <c r="L2" i="24" s="1"/>
  <c r="L77" i="55"/>
  <c r="L5" i="24" s="1"/>
  <c r="L79" i="55"/>
  <c r="L7" i="24" s="1"/>
  <c r="L81" i="55"/>
  <c r="L9" i="24" s="1"/>
  <c r="L83" i="55"/>
  <c r="L11" i="24" s="1"/>
  <c r="L76" i="55"/>
  <c r="L4" i="24" s="1"/>
  <c r="L80" i="55"/>
  <c r="L8" i="24" s="1"/>
  <c r="L78" i="55"/>
  <c r="L6" i="24" s="1"/>
  <c r="R207" i="55"/>
  <c r="R209" i="55"/>
  <c r="R213" i="55"/>
  <c r="R210" i="55"/>
  <c r="R208" i="55"/>
  <c r="R211" i="55"/>
  <c r="R204" i="55"/>
  <c r="R206" i="55"/>
  <c r="R212" i="55"/>
  <c r="R205" i="55"/>
  <c r="AE204" i="55"/>
  <c r="AE212" i="55"/>
  <c r="AE210" i="55"/>
  <c r="AE206" i="55"/>
  <c r="AE208" i="55"/>
  <c r="AE205" i="55"/>
  <c r="AE207" i="55"/>
  <c r="AE209" i="55"/>
  <c r="AE213" i="55"/>
  <c r="AE211" i="55"/>
  <c r="AO239" i="55"/>
  <c r="AO234" i="55"/>
  <c r="AO237" i="55"/>
  <c r="AO233" i="55"/>
  <c r="AO236" i="55"/>
  <c r="AO232" i="55"/>
  <c r="AO235" i="55"/>
  <c r="AO231" i="55"/>
  <c r="AO238" i="55"/>
  <c r="AO230" i="55"/>
  <c r="N232" i="55"/>
  <c r="N4" i="36" s="1"/>
  <c r="N238" i="55"/>
  <c r="N10" i="36" s="1"/>
  <c r="N237" i="55"/>
  <c r="N9" i="36" s="1"/>
  <c r="N236" i="55"/>
  <c r="N8" i="36" s="1"/>
  <c r="N235" i="55"/>
  <c r="N7" i="36" s="1"/>
  <c r="N239" i="55"/>
  <c r="N11" i="36" s="1"/>
  <c r="N231" i="55"/>
  <c r="N3" i="36" s="1"/>
  <c r="N234" i="55"/>
  <c r="N6" i="36" s="1"/>
  <c r="N230" i="55"/>
  <c r="N2" i="36" s="1"/>
  <c r="N233" i="55"/>
  <c r="N5" i="36" s="1"/>
  <c r="AH157" i="55"/>
  <c r="AH7" i="44" s="1"/>
  <c r="AH154" i="55"/>
  <c r="AH4" i="44" s="1"/>
  <c r="AH158" i="55"/>
  <c r="AH8" i="44" s="1"/>
  <c r="AH161" i="55"/>
  <c r="AH11" i="44" s="1"/>
  <c r="AH159" i="55"/>
  <c r="AH9" i="44" s="1"/>
  <c r="AH155" i="55"/>
  <c r="AH5" i="44" s="1"/>
  <c r="AH160" i="55"/>
  <c r="AH10" i="44" s="1"/>
  <c r="AH156" i="55"/>
  <c r="AH6" i="44" s="1"/>
  <c r="AH153" i="55"/>
  <c r="AH3" i="44" s="1"/>
  <c r="AH152" i="55"/>
  <c r="AH2" i="44" s="1"/>
  <c r="F248" i="55"/>
  <c r="F7" i="40" s="1"/>
  <c r="F243" i="55"/>
  <c r="F2" i="40" s="1"/>
  <c r="F252" i="55"/>
  <c r="F11" i="40" s="1"/>
  <c r="F247" i="55"/>
  <c r="F6" i="40" s="1"/>
  <c r="F246" i="55"/>
  <c r="F5" i="40" s="1"/>
  <c r="F251" i="55"/>
  <c r="F10" i="40" s="1"/>
  <c r="F245" i="55"/>
  <c r="F4" i="40" s="1"/>
  <c r="F244" i="55"/>
  <c r="F3" i="40" s="1"/>
  <c r="F249" i="55"/>
  <c r="F8" i="40" s="1"/>
  <c r="F250" i="55"/>
  <c r="F9" i="40" s="1"/>
  <c r="J217" i="55"/>
  <c r="J2" i="39" s="1"/>
  <c r="J224" i="55"/>
  <c r="J9" i="39" s="1"/>
  <c r="J220" i="55"/>
  <c r="J5" i="39" s="1"/>
  <c r="J225" i="55"/>
  <c r="J10" i="39" s="1"/>
  <c r="J222" i="55"/>
  <c r="J7" i="39" s="1"/>
  <c r="J223" i="55"/>
  <c r="J8" i="39" s="1"/>
  <c r="J226" i="55"/>
  <c r="J11" i="39" s="1"/>
  <c r="J219" i="55"/>
  <c r="J4" i="39" s="1"/>
  <c r="J218" i="55"/>
  <c r="J3" i="39" s="1"/>
  <c r="J221" i="55"/>
  <c r="J6" i="39" s="1"/>
  <c r="K92" i="55"/>
  <c r="K7" i="23" s="1"/>
  <c r="K96" i="55"/>
  <c r="K11" i="23" s="1"/>
  <c r="K88" i="55"/>
  <c r="K3" i="23" s="1"/>
  <c r="K87" i="55"/>
  <c r="K2" i="23" s="1"/>
  <c r="K89" i="55"/>
  <c r="K4" i="23" s="1"/>
  <c r="K91" i="55"/>
  <c r="K6" i="23" s="1"/>
  <c r="K93" i="55"/>
  <c r="K8" i="23" s="1"/>
  <c r="K95" i="55"/>
  <c r="K10" i="23" s="1"/>
  <c r="K90" i="55"/>
  <c r="K5" i="23" s="1"/>
  <c r="K94" i="55"/>
  <c r="K9" i="23" s="1"/>
  <c r="AK226" i="55"/>
  <c r="AK11" i="39" s="1"/>
  <c r="AK222" i="55"/>
  <c r="AK7" i="39" s="1"/>
  <c r="AK223" i="55"/>
  <c r="AK8" i="39" s="1"/>
  <c r="AK221" i="55"/>
  <c r="AK6" i="39" s="1"/>
  <c r="AK220" i="55"/>
  <c r="AK5" i="39" s="1"/>
  <c r="AK225" i="55"/>
  <c r="AK10" i="39" s="1"/>
  <c r="AK224" i="55"/>
  <c r="AK9" i="39" s="1"/>
  <c r="AK219" i="55"/>
  <c r="AK4" i="39" s="1"/>
  <c r="AK218" i="55"/>
  <c r="AK3" i="39" s="1"/>
  <c r="AK217" i="55"/>
  <c r="AK2" i="39" s="1"/>
  <c r="AC233" i="55"/>
  <c r="AC232" i="55"/>
  <c r="AC239" i="55"/>
  <c r="AC237" i="55"/>
  <c r="AC231" i="55"/>
  <c r="AC234" i="55"/>
  <c r="AC238" i="55"/>
  <c r="AC235" i="55"/>
  <c r="AC230" i="55"/>
  <c r="AC236" i="55"/>
  <c r="L239" i="55"/>
  <c r="L11" i="36" s="1"/>
  <c r="L232" i="55"/>
  <c r="L4" i="36" s="1"/>
  <c r="L235" i="55"/>
  <c r="L7" i="36" s="1"/>
  <c r="L231" i="55"/>
  <c r="L3" i="36" s="1"/>
  <c r="L234" i="55"/>
  <c r="L6" i="36" s="1"/>
  <c r="L238" i="55"/>
  <c r="L10" i="36" s="1"/>
  <c r="L236" i="55"/>
  <c r="L8" i="36" s="1"/>
  <c r="L230" i="55"/>
  <c r="L2" i="36" s="1"/>
  <c r="L233" i="55"/>
  <c r="L5" i="36" s="1"/>
  <c r="L237" i="55"/>
  <c r="L9" i="36" s="1"/>
  <c r="AR226" i="55"/>
  <c r="AR11" i="39" s="1"/>
  <c r="AR220" i="55"/>
  <c r="AR5" i="39" s="1"/>
  <c r="AR219" i="55"/>
  <c r="AR4" i="39" s="1"/>
  <c r="AR223" i="55"/>
  <c r="AR8" i="39" s="1"/>
  <c r="AR221" i="55"/>
  <c r="AR6" i="39" s="1"/>
  <c r="AR224" i="55"/>
  <c r="AR9" i="39" s="1"/>
  <c r="AR225" i="55"/>
  <c r="AR10" i="39" s="1"/>
  <c r="AR217" i="55"/>
  <c r="AR2" i="39" s="1"/>
  <c r="AR218" i="55"/>
  <c r="AR3" i="39" s="1"/>
  <c r="AR222" i="55"/>
  <c r="AR7" i="39" s="1"/>
  <c r="AB96" i="55"/>
  <c r="AB91" i="55"/>
  <c r="AB95" i="55"/>
  <c r="AB94" i="55"/>
  <c r="AB87" i="55"/>
  <c r="AB93" i="55"/>
  <c r="AB89" i="55"/>
  <c r="AB90" i="55"/>
  <c r="AB88" i="55"/>
  <c r="AB92" i="55"/>
  <c r="AE56" i="55"/>
  <c r="AE57" i="55"/>
  <c r="AE51" i="55"/>
  <c r="AE54" i="55"/>
  <c r="AE49" i="55"/>
  <c r="AE48" i="55"/>
  <c r="AE55" i="55"/>
  <c r="AE50" i="55"/>
  <c r="AE53" i="55"/>
  <c r="AE52" i="55"/>
  <c r="C248" i="55"/>
  <c r="C7" i="40" s="1"/>
  <c r="C245" i="55"/>
  <c r="C4" i="40" s="1"/>
  <c r="C251" i="55"/>
  <c r="C10" i="40" s="1"/>
  <c r="C252" i="55"/>
  <c r="C11" i="40" s="1"/>
  <c r="C243" i="55"/>
  <c r="C2" i="40" s="1"/>
  <c r="C249" i="55"/>
  <c r="C8" i="40" s="1"/>
  <c r="C247" i="55"/>
  <c r="C6" i="40" s="1"/>
  <c r="C250" i="55"/>
  <c r="C9" i="40" s="1"/>
  <c r="C246" i="55"/>
  <c r="C5" i="40" s="1"/>
  <c r="C244" i="55"/>
  <c r="C3" i="40" s="1"/>
  <c r="AL68" i="55"/>
  <c r="AL9" i="25" s="1"/>
  <c r="AL61" i="55"/>
  <c r="AL2" i="25" s="1"/>
  <c r="AL63" i="55"/>
  <c r="AL4" i="25" s="1"/>
  <c r="AL64" i="55"/>
  <c r="AL5" i="25" s="1"/>
  <c r="AL65" i="55"/>
  <c r="AL6" i="25" s="1"/>
  <c r="AL67" i="55"/>
  <c r="AL8" i="25" s="1"/>
  <c r="AL69" i="55"/>
  <c r="AL10" i="25" s="1"/>
  <c r="AL70" i="55"/>
  <c r="AL11" i="25" s="1"/>
  <c r="AL66" i="55"/>
  <c r="AL7" i="25" s="1"/>
  <c r="AL62" i="55"/>
  <c r="AL3" i="25" s="1"/>
  <c r="V243" i="55"/>
  <c r="V2" i="40" s="1"/>
  <c r="V245" i="55"/>
  <c r="V4" i="40" s="1"/>
  <c r="V246" i="55"/>
  <c r="V5" i="40" s="1"/>
  <c r="V247" i="55"/>
  <c r="V6" i="40" s="1"/>
  <c r="V251" i="55"/>
  <c r="V10" i="40" s="1"/>
  <c r="V249" i="55"/>
  <c r="V8" i="40" s="1"/>
  <c r="V250" i="55"/>
  <c r="V9" i="40" s="1"/>
  <c r="V252" i="55"/>
  <c r="V11" i="40" s="1"/>
  <c r="V244" i="55"/>
  <c r="V3" i="40" s="1"/>
  <c r="V248" i="55"/>
  <c r="V7" i="40" s="1"/>
  <c r="AH208" i="55"/>
  <c r="AH210" i="55"/>
  <c r="AH212" i="55"/>
  <c r="AH205" i="55"/>
  <c r="AH207" i="55"/>
  <c r="AH209" i="55"/>
  <c r="AH211" i="55"/>
  <c r="AH213" i="55"/>
  <c r="AH204" i="55"/>
  <c r="AH206" i="55"/>
  <c r="E197" i="55"/>
  <c r="E8" i="38" s="1"/>
  <c r="E193" i="55"/>
  <c r="E4" i="38" s="1"/>
  <c r="E198" i="55"/>
  <c r="E9" i="38" s="1"/>
  <c r="E191" i="55"/>
  <c r="E2" i="38" s="1"/>
  <c r="E194" i="55"/>
  <c r="E5" i="38" s="1"/>
  <c r="E199" i="55"/>
  <c r="E10" i="38" s="1"/>
  <c r="E196" i="55"/>
  <c r="E7" i="38" s="1"/>
  <c r="E195" i="55"/>
  <c r="E6" i="38" s="1"/>
  <c r="E200" i="55"/>
  <c r="E11" i="38" s="1"/>
  <c r="E192" i="55"/>
  <c r="E3" i="38" s="1"/>
  <c r="AQ221" i="55"/>
  <c r="AQ6" i="39" s="1"/>
  <c r="AQ224" i="55"/>
  <c r="AQ9" i="39" s="1"/>
  <c r="AQ220" i="55"/>
  <c r="AQ5" i="39" s="1"/>
  <c r="AQ226" i="55"/>
  <c r="AQ11" i="39" s="1"/>
  <c r="AQ217" i="55"/>
  <c r="AQ2" i="39" s="1"/>
  <c r="AQ222" i="55"/>
  <c r="AQ7" i="39" s="1"/>
  <c r="AQ219" i="55"/>
  <c r="AQ4" i="39" s="1"/>
  <c r="AQ218" i="55"/>
  <c r="AQ3" i="39" s="1"/>
  <c r="AQ223" i="55"/>
  <c r="AQ8" i="39" s="1"/>
  <c r="AQ225" i="55"/>
  <c r="AQ10" i="39" s="1"/>
  <c r="S249" i="55"/>
  <c r="S8" i="40" s="1"/>
  <c r="S245" i="55"/>
  <c r="S4" i="40" s="1"/>
  <c r="S250" i="55"/>
  <c r="S9" i="40" s="1"/>
  <c r="S246" i="55"/>
  <c r="S5" i="40" s="1"/>
  <c r="S243" i="55"/>
  <c r="S2" i="40" s="1"/>
  <c r="S252" i="55"/>
  <c r="S11" i="40" s="1"/>
  <c r="S248" i="55"/>
  <c r="S7" i="40" s="1"/>
  <c r="S247" i="55"/>
  <c r="S6" i="40" s="1"/>
  <c r="S251" i="55"/>
  <c r="S10" i="40" s="1"/>
  <c r="S244" i="55"/>
  <c r="S3" i="40" s="1"/>
  <c r="AP222" i="55"/>
  <c r="AP7" i="39" s="1"/>
  <c r="AP218" i="55"/>
  <c r="AP3" i="39" s="1"/>
  <c r="AP225" i="55"/>
  <c r="AP10" i="39" s="1"/>
  <c r="AP220" i="55"/>
  <c r="AP5" i="39" s="1"/>
  <c r="AP223" i="55"/>
  <c r="AP8" i="39" s="1"/>
  <c r="AP219" i="55"/>
  <c r="AP4" i="39" s="1"/>
  <c r="AP224" i="55"/>
  <c r="AP9" i="39" s="1"/>
  <c r="AP226" i="55"/>
  <c r="AP11" i="39" s="1"/>
  <c r="AP217" i="55"/>
  <c r="AP2" i="39" s="1"/>
  <c r="AP221" i="55"/>
  <c r="AP6" i="39" s="1"/>
  <c r="K212" i="55"/>
  <c r="K207" i="55"/>
  <c r="K205" i="55"/>
  <c r="K211" i="55"/>
  <c r="K213" i="55"/>
  <c r="K204" i="55"/>
  <c r="K208" i="55"/>
  <c r="K206" i="55"/>
  <c r="K209" i="55"/>
  <c r="K210" i="55"/>
  <c r="L87" i="55"/>
  <c r="L2" i="23" s="1"/>
  <c r="L96" i="55"/>
  <c r="L11" i="23" s="1"/>
  <c r="L89" i="55"/>
  <c r="L4" i="23" s="1"/>
  <c r="L91" i="55"/>
  <c r="L6" i="23" s="1"/>
  <c r="L93" i="55"/>
  <c r="L8" i="23" s="1"/>
  <c r="L95" i="55"/>
  <c r="L10" i="23" s="1"/>
  <c r="L90" i="55"/>
  <c r="L5" i="23" s="1"/>
  <c r="L94" i="55"/>
  <c r="L9" i="23" s="1"/>
  <c r="L92" i="55"/>
  <c r="L7" i="23" s="1"/>
  <c r="L88" i="55"/>
  <c r="L3" i="23" s="1"/>
  <c r="R196" i="55"/>
  <c r="R7" i="38" s="1"/>
  <c r="R199" i="55"/>
  <c r="R10" i="38" s="1"/>
  <c r="R192" i="55"/>
  <c r="R3" i="38" s="1"/>
  <c r="R195" i="55"/>
  <c r="R6" i="38" s="1"/>
  <c r="R198" i="55"/>
  <c r="R9" i="38" s="1"/>
  <c r="R193" i="55"/>
  <c r="R4" i="38" s="1"/>
  <c r="R191" i="55"/>
  <c r="R2" i="38" s="1"/>
  <c r="R194" i="55"/>
  <c r="R5" i="38" s="1"/>
  <c r="R197" i="55"/>
  <c r="R8" i="38" s="1"/>
  <c r="R200" i="55"/>
  <c r="R11" i="38" s="1"/>
  <c r="AN205" i="55"/>
  <c r="AN207" i="55"/>
  <c r="AN209" i="55"/>
  <c r="AN211" i="55"/>
  <c r="AN213" i="55"/>
  <c r="AN204" i="55"/>
  <c r="AN206" i="55"/>
  <c r="AN212" i="55"/>
  <c r="AN208" i="55"/>
  <c r="AN210" i="55"/>
  <c r="AE226" i="55"/>
  <c r="AE11" i="39" s="1"/>
  <c r="AE218" i="55"/>
  <c r="AE3" i="39" s="1"/>
  <c r="AE220" i="55"/>
  <c r="AE5" i="39" s="1"/>
  <c r="AE221" i="55"/>
  <c r="AE6" i="39" s="1"/>
  <c r="AE219" i="55"/>
  <c r="AE4" i="39" s="1"/>
  <c r="AE225" i="55"/>
  <c r="AE10" i="39" s="1"/>
  <c r="AE224" i="55"/>
  <c r="AE9" i="39" s="1"/>
  <c r="AE223" i="55"/>
  <c r="AE8" i="39" s="1"/>
  <c r="AE217" i="55"/>
  <c r="AE2" i="39" s="1"/>
  <c r="AE222" i="55"/>
  <c r="AE7" i="39" s="1"/>
  <c r="N192" i="55"/>
  <c r="N3" i="38" s="1"/>
  <c r="N198" i="55"/>
  <c r="N9" i="38" s="1"/>
  <c r="N194" i="55"/>
  <c r="N5" i="38" s="1"/>
  <c r="N199" i="55"/>
  <c r="N10" i="38" s="1"/>
  <c r="N195" i="55"/>
  <c r="N6" i="38" s="1"/>
  <c r="N197" i="55"/>
  <c r="N8" i="38" s="1"/>
  <c r="N193" i="55"/>
  <c r="N4" i="38" s="1"/>
  <c r="N191" i="55"/>
  <c r="N2" i="38" s="1"/>
  <c r="N200" i="55"/>
  <c r="N11" i="38" s="1"/>
  <c r="N196" i="55"/>
  <c r="N7" i="38" s="1"/>
  <c r="AH103" i="55"/>
  <c r="AH105" i="55"/>
  <c r="AH107" i="55"/>
  <c r="AH109" i="55"/>
  <c r="AH101" i="55"/>
  <c r="AH104" i="55"/>
  <c r="AH102" i="55"/>
  <c r="AH106" i="55"/>
  <c r="AH108" i="55"/>
  <c r="AH100" i="55"/>
  <c r="Y243" i="55"/>
  <c r="Y252" i="55"/>
  <c r="Y248" i="55"/>
  <c r="Y249" i="55"/>
  <c r="Y245" i="55"/>
  <c r="Y244" i="55"/>
  <c r="Y250" i="55"/>
  <c r="Y246" i="55"/>
  <c r="Y247" i="55"/>
  <c r="Y251" i="55"/>
  <c r="AD210" i="55"/>
  <c r="AD208" i="55"/>
  <c r="AD206" i="55"/>
  <c r="AD205" i="55"/>
  <c r="AD207" i="55"/>
  <c r="AD209" i="55"/>
  <c r="AD204" i="55"/>
  <c r="AD212" i="55"/>
  <c r="AD211" i="55"/>
  <c r="AD213" i="55"/>
  <c r="K70" i="55"/>
  <c r="K11" i="25" s="1"/>
  <c r="K62" i="55"/>
  <c r="K3" i="25" s="1"/>
  <c r="K64" i="55"/>
  <c r="K5" i="25" s="1"/>
  <c r="K61" i="55"/>
  <c r="K2" i="25" s="1"/>
  <c r="K66" i="55"/>
  <c r="K7" i="25" s="1"/>
  <c r="K68" i="55"/>
  <c r="K9" i="25" s="1"/>
  <c r="K63" i="55"/>
  <c r="K4" i="25" s="1"/>
  <c r="K67" i="55"/>
  <c r="K8" i="25" s="1"/>
  <c r="K69" i="55"/>
  <c r="K10" i="25" s="1"/>
  <c r="K65" i="55"/>
  <c r="K6" i="25" s="1"/>
  <c r="AK252" i="55"/>
  <c r="AK249" i="55"/>
  <c r="AK243" i="55"/>
  <c r="AK250" i="55"/>
  <c r="AK248" i="55"/>
  <c r="AK245" i="55"/>
  <c r="AK246" i="55"/>
  <c r="AK247" i="55"/>
  <c r="AK251" i="55"/>
  <c r="AK244" i="55"/>
  <c r="AC197" i="55"/>
  <c r="AC8" i="38" s="1"/>
  <c r="AC193" i="55"/>
  <c r="AC4" i="38" s="1"/>
  <c r="AC194" i="55"/>
  <c r="AC5" i="38" s="1"/>
  <c r="AC199" i="55"/>
  <c r="AC10" i="38" s="1"/>
  <c r="AC198" i="55"/>
  <c r="AC9" i="38" s="1"/>
  <c r="AC191" i="55"/>
  <c r="AC2" i="38" s="1"/>
  <c r="AC195" i="55"/>
  <c r="AC6" i="38" s="1"/>
  <c r="AC196" i="55"/>
  <c r="AC7" i="38" s="1"/>
  <c r="AC200" i="55"/>
  <c r="AC11" i="38" s="1"/>
  <c r="AC192" i="55"/>
  <c r="AC3" i="38" s="1"/>
  <c r="AB77" i="55"/>
  <c r="AB5" i="24" s="1"/>
  <c r="AB81" i="55"/>
  <c r="AB9" i="24" s="1"/>
  <c r="AB78" i="55"/>
  <c r="AB6" i="24" s="1"/>
  <c r="AB75" i="55"/>
  <c r="AB3" i="24" s="1"/>
  <c r="AB79" i="55"/>
  <c r="AB7" i="24" s="1"/>
  <c r="AB83" i="55"/>
  <c r="AB11" i="24" s="1"/>
  <c r="AB74" i="55"/>
  <c r="AB2" i="24" s="1"/>
  <c r="AB76" i="55"/>
  <c r="AB4" i="24" s="1"/>
  <c r="AB80" i="55"/>
  <c r="AB8" i="24" s="1"/>
  <c r="AB82" i="55"/>
  <c r="AB10" i="24" s="1"/>
  <c r="W193" i="55"/>
  <c r="W4" i="38" s="1"/>
  <c r="W198" i="55"/>
  <c r="W9" i="38" s="1"/>
  <c r="W194" i="55"/>
  <c r="W5" i="38" s="1"/>
  <c r="W199" i="55"/>
  <c r="W10" i="38" s="1"/>
  <c r="W195" i="55"/>
  <c r="W6" i="38" s="1"/>
  <c r="W200" i="55"/>
  <c r="W11" i="38" s="1"/>
  <c r="W192" i="55"/>
  <c r="W3" i="38" s="1"/>
  <c r="W196" i="55"/>
  <c r="W7" i="38" s="1"/>
  <c r="W191" i="55"/>
  <c r="W2" i="38" s="1"/>
  <c r="W197" i="55"/>
  <c r="W8" i="38" s="1"/>
  <c r="C232" i="55"/>
  <c r="C4" i="36" s="1"/>
  <c r="C238" i="55"/>
  <c r="C10" i="36" s="1"/>
  <c r="C234" i="55"/>
  <c r="C6" i="36" s="1"/>
  <c r="C237" i="55"/>
  <c r="C9" i="36" s="1"/>
  <c r="C230" i="55"/>
  <c r="C2" i="36" s="1"/>
  <c r="C231" i="55"/>
  <c r="C3" i="36" s="1"/>
  <c r="C233" i="55"/>
  <c r="C5" i="36" s="1"/>
  <c r="C239" i="55"/>
  <c r="C11" i="36" s="1"/>
  <c r="C235" i="55"/>
  <c r="C7" i="36" s="1"/>
  <c r="C236" i="55"/>
  <c r="C8" i="36" s="1"/>
  <c r="AL93" i="55"/>
  <c r="AL95" i="55"/>
  <c r="AL90" i="55"/>
  <c r="AL94" i="55"/>
  <c r="AL96" i="55"/>
  <c r="AL88" i="55"/>
  <c r="AL92" i="55"/>
  <c r="AL87" i="55"/>
  <c r="AL89" i="55"/>
  <c r="AL91" i="55"/>
  <c r="V230" i="55"/>
  <c r="V2" i="36" s="1"/>
  <c r="V236" i="55"/>
  <c r="V8" i="36" s="1"/>
  <c r="V232" i="55"/>
  <c r="V4" i="36" s="1"/>
  <c r="V238" i="55"/>
  <c r="V10" i="36" s="1"/>
  <c r="V234" i="55"/>
  <c r="V6" i="36" s="1"/>
  <c r="V235" i="55"/>
  <c r="V7" i="36" s="1"/>
  <c r="V237" i="55"/>
  <c r="V9" i="36" s="1"/>
  <c r="V233" i="55"/>
  <c r="V5" i="36" s="1"/>
  <c r="V239" i="55"/>
  <c r="V11" i="36" s="1"/>
  <c r="V231" i="55"/>
  <c r="V3" i="36" s="1"/>
  <c r="E222" i="55"/>
  <c r="E7" i="39" s="1"/>
  <c r="E218" i="55"/>
  <c r="E3" i="39" s="1"/>
  <c r="E226" i="55"/>
  <c r="E11" i="39" s="1"/>
  <c r="E225" i="55"/>
  <c r="E10" i="39" s="1"/>
  <c r="E221" i="55"/>
  <c r="E6" i="39" s="1"/>
  <c r="E220" i="55"/>
  <c r="E5" i="39" s="1"/>
  <c r="E224" i="55"/>
  <c r="E9" i="39" s="1"/>
  <c r="E219" i="55"/>
  <c r="E4" i="39" s="1"/>
  <c r="E217" i="55"/>
  <c r="E2" i="39" s="1"/>
  <c r="E223" i="55"/>
  <c r="E8" i="39" s="1"/>
  <c r="AQ250" i="55"/>
  <c r="AQ246" i="55"/>
  <c r="AQ245" i="55"/>
  <c r="AQ243" i="55"/>
  <c r="AQ248" i="55"/>
  <c r="AQ244" i="55"/>
  <c r="AQ249" i="55"/>
  <c r="AQ252" i="55"/>
  <c r="AQ251" i="55"/>
  <c r="AQ247" i="55"/>
  <c r="S209" i="55"/>
  <c r="S211" i="55"/>
  <c r="S213" i="55"/>
  <c r="S210" i="55"/>
  <c r="S208" i="55"/>
  <c r="S204" i="55"/>
  <c r="S205" i="55"/>
  <c r="S212" i="55"/>
  <c r="S206" i="55"/>
  <c r="S207" i="55"/>
  <c r="X205" i="55"/>
  <c r="X204" i="55"/>
  <c r="X206" i="55"/>
  <c r="X208" i="55"/>
  <c r="X210" i="55"/>
  <c r="X212" i="55"/>
  <c r="X207" i="55"/>
  <c r="X209" i="55"/>
  <c r="X211" i="55"/>
  <c r="X213" i="55"/>
  <c r="N246" i="55"/>
  <c r="N5" i="40" s="1"/>
  <c r="N243" i="55"/>
  <c r="N2" i="40" s="1"/>
  <c r="N249" i="55"/>
  <c r="N8" i="40" s="1"/>
  <c r="N245" i="55"/>
  <c r="N4" i="40" s="1"/>
  <c r="N244" i="55"/>
  <c r="N3" i="40" s="1"/>
  <c r="N250" i="55"/>
  <c r="N9" i="40" s="1"/>
  <c r="N247" i="55"/>
  <c r="N6" i="40" s="1"/>
  <c r="N248" i="55"/>
  <c r="N7" i="40" s="1"/>
  <c r="N251" i="55"/>
  <c r="N10" i="40" s="1"/>
  <c r="N252" i="55"/>
  <c r="N11" i="40" s="1"/>
  <c r="AH143" i="55"/>
  <c r="AH6" i="43" s="1"/>
  <c r="AH139" i="55"/>
  <c r="AH2" i="43" s="1"/>
  <c r="AH145" i="55"/>
  <c r="AH8" i="43" s="1"/>
  <c r="AH146" i="55"/>
  <c r="AH9" i="43" s="1"/>
  <c r="AH148" i="55"/>
  <c r="AH11" i="43" s="1"/>
  <c r="AH144" i="55"/>
  <c r="AH7" i="43" s="1"/>
  <c r="AH142" i="55"/>
  <c r="AH5" i="43" s="1"/>
  <c r="AH141" i="55"/>
  <c r="AH4" i="43" s="1"/>
  <c r="AH140" i="55"/>
  <c r="AH3" i="43" s="1"/>
  <c r="AH147" i="55"/>
  <c r="AH10" i="43" s="1"/>
  <c r="F225" i="55"/>
  <c r="F10" i="39" s="1"/>
  <c r="F226" i="55"/>
  <c r="F11" i="39" s="1"/>
  <c r="F221" i="55"/>
  <c r="F6" i="39" s="1"/>
  <c r="F218" i="55"/>
  <c r="F3" i="39" s="1"/>
  <c r="F220" i="55"/>
  <c r="F5" i="39" s="1"/>
  <c r="F222" i="55"/>
  <c r="F7" i="39" s="1"/>
  <c r="F219" i="55"/>
  <c r="F4" i="39" s="1"/>
  <c r="F217" i="55"/>
  <c r="F2" i="39" s="1"/>
  <c r="F223" i="55"/>
  <c r="F8" i="39" s="1"/>
  <c r="F224" i="55"/>
  <c r="F9" i="39" s="1"/>
  <c r="AI235" i="55"/>
  <c r="AI234" i="55"/>
  <c r="AI231" i="55"/>
  <c r="AI236" i="55"/>
  <c r="AI233" i="55"/>
  <c r="AI239" i="55"/>
  <c r="AI232" i="55"/>
  <c r="AI237" i="55"/>
  <c r="AI230" i="55"/>
  <c r="AI238" i="55"/>
  <c r="L64" i="55"/>
  <c r="L5" i="25" s="1"/>
  <c r="L66" i="55"/>
  <c r="L7" i="25" s="1"/>
  <c r="L67" i="55"/>
  <c r="L8" i="25" s="1"/>
  <c r="L62" i="55"/>
  <c r="L3" i="25" s="1"/>
  <c r="L68" i="55"/>
  <c r="L9" i="25" s="1"/>
  <c r="L70" i="55"/>
  <c r="L11" i="25" s="1"/>
  <c r="L61" i="55"/>
  <c r="L2" i="25" s="1"/>
  <c r="L63" i="55"/>
  <c r="L4" i="25" s="1"/>
  <c r="L65" i="55"/>
  <c r="L6" i="25" s="1"/>
  <c r="L69" i="55"/>
  <c r="L10" i="25" s="1"/>
  <c r="AL209" i="55"/>
  <c r="AL211" i="55"/>
  <c r="AL213" i="55"/>
  <c r="AL204" i="55"/>
  <c r="AL206" i="55"/>
  <c r="AL208" i="55"/>
  <c r="AL205" i="55"/>
  <c r="AL207" i="55"/>
  <c r="AL210" i="55"/>
  <c r="AL212" i="55"/>
  <c r="R223" i="55"/>
  <c r="R8" i="39" s="1"/>
  <c r="R217" i="55"/>
  <c r="R2" i="39" s="1"/>
  <c r="R224" i="55"/>
  <c r="R9" i="39" s="1"/>
  <c r="R220" i="55"/>
  <c r="R5" i="39" s="1"/>
  <c r="R218" i="55"/>
  <c r="R3" i="39" s="1"/>
  <c r="R225" i="55"/>
  <c r="R10" i="39" s="1"/>
  <c r="R226" i="55"/>
  <c r="R11" i="39" s="1"/>
  <c r="R221" i="55"/>
  <c r="R6" i="39" s="1"/>
  <c r="R222" i="55"/>
  <c r="R7" i="39" s="1"/>
  <c r="R219" i="55"/>
  <c r="R4" i="39" s="1"/>
  <c r="AN221" i="55"/>
  <c r="AN6" i="39" s="1"/>
  <c r="AN217" i="55"/>
  <c r="AN2" i="39" s="1"/>
  <c r="AN223" i="55"/>
  <c r="AN8" i="39" s="1"/>
  <c r="AN220" i="55"/>
  <c r="AN5" i="39" s="1"/>
  <c r="AN219" i="55"/>
  <c r="AN4" i="39" s="1"/>
  <c r="AN226" i="55"/>
  <c r="AN11" i="39" s="1"/>
  <c r="AN222" i="55"/>
  <c r="AN7" i="39" s="1"/>
  <c r="AN224" i="55"/>
  <c r="AN9" i="39" s="1"/>
  <c r="AN225" i="55"/>
  <c r="AN10" i="39" s="1"/>
  <c r="AN218" i="55"/>
  <c r="AN3" i="39" s="1"/>
  <c r="AF205" i="55"/>
  <c r="AF207" i="55"/>
  <c r="AF209" i="55"/>
  <c r="AF204" i="55"/>
  <c r="AF211" i="55"/>
  <c r="AF213" i="55"/>
  <c r="AF210" i="55"/>
  <c r="AF206" i="55"/>
  <c r="AF208" i="55"/>
  <c r="AF212" i="55"/>
  <c r="AE243" i="55"/>
  <c r="AE252" i="55"/>
  <c r="AE251" i="55"/>
  <c r="AE247" i="55"/>
  <c r="AE248" i="55"/>
  <c r="AE244" i="55"/>
  <c r="AE250" i="55"/>
  <c r="AE249" i="55"/>
  <c r="AE245" i="55"/>
  <c r="AE246" i="55"/>
  <c r="N204" i="55"/>
  <c r="N206" i="55"/>
  <c r="N208" i="55"/>
  <c r="N210" i="55"/>
  <c r="N212" i="55"/>
  <c r="N205" i="55"/>
  <c r="N207" i="55"/>
  <c r="N209" i="55"/>
  <c r="N211" i="55"/>
  <c r="N213" i="55"/>
  <c r="AH114" i="55"/>
  <c r="AH3" i="42" s="1"/>
  <c r="AH113" i="55"/>
  <c r="AH2" i="42" s="1"/>
  <c r="AH115" i="55"/>
  <c r="AH4" i="42" s="1"/>
  <c r="AH119" i="55"/>
  <c r="AH8" i="42" s="1"/>
  <c r="AH117" i="55"/>
  <c r="AH6" i="42" s="1"/>
  <c r="AH120" i="55"/>
  <c r="AH9" i="42" s="1"/>
  <c r="AH122" i="55"/>
  <c r="AH11" i="42" s="1"/>
  <c r="AH116" i="55"/>
  <c r="AH5" i="42" s="1"/>
  <c r="AH118" i="55"/>
  <c r="AH7" i="42" s="1"/>
  <c r="AH121" i="55"/>
  <c r="AH10" i="42" s="1"/>
  <c r="Y232" i="55"/>
  <c r="Y238" i="55"/>
  <c r="Y236" i="55"/>
  <c r="Y237" i="55"/>
  <c r="Y233" i="55"/>
  <c r="Y234" i="55"/>
  <c r="Y239" i="55"/>
  <c r="Y230" i="55"/>
  <c r="Y235" i="55"/>
  <c r="Y231" i="55"/>
  <c r="AD199" i="55"/>
  <c r="AD10" i="38" s="1"/>
  <c r="AD198" i="55"/>
  <c r="AD9" i="38" s="1"/>
  <c r="AD195" i="55"/>
  <c r="AD6" i="38" s="1"/>
  <c r="AD192" i="55"/>
  <c r="AD3" i="38" s="1"/>
  <c r="AD191" i="55"/>
  <c r="AD2" i="38" s="1"/>
  <c r="AD194" i="55"/>
  <c r="AD5" i="38" s="1"/>
  <c r="AD200" i="55"/>
  <c r="AD11" i="38" s="1"/>
  <c r="AD197" i="55"/>
  <c r="AD8" i="38" s="1"/>
  <c r="AD193" i="55"/>
  <c r="AD4" i="38" s="1"/>
  <c r="AD196" i="55"/>
  <c r="AD7" i="38" s="1"/>
  <c r="K55" i="55"/>
  <c r="K57" i="55"/>
  <c r="K54" i="55"/>
  <c r="K51" i="55"/>
  <c r="K56" i="55"/>
  <c r="K49" i="55"/>
  <c r="K50" i="55"/>
  <c r="K48" i="55"/>
  <c r="K52" i="55"/>
  <c r="K53" i="55"/>
  <c r="AK235" i="55"/>
  <c r="AK231" i="55"/>
  <c r="AK232" i="55"/>
  <c r="AK236" i="55"/>
  <c r="AK237" i="55"/>
  <c r="AK238" i="55"/>
  <c r="AK234" i="55"/>
  <c r="AK233" i="55"/>
  <c r="AK230" i="55"/>
  <c r="AK239" i="55"/>
  <c r="AB42" i="55"/>
  <c r="AB9" i="26" s="1"/>
  <c r="AB36" i="55"/>
  <c r="AB3" i="26" s="1"/>
  <c r="AB39" i="55"/>
  <c r="AB6" i="26" s="1"/>
  <c r="AB44" i="55"/>
  <c r="AB11" i="26" s="1"/>
  <c r="AB41" i="55"/>
  <c r="AB8" i="26" s="1"/>
  <c r="AB37" i="55"/>
  <c r="AB4" i="26" s="1"/>
  <c r="AB38" i="55"/>
  <c r="AB5" i="26" s="1"/>
  <c r="AB43" i="55"/>
  <c r="AB10" i="26" s="1"/>
  <c r="AB40" i="55"/>
  <c r="AB7" i="26" s="1"/>
  <c r="AB35" i="55"/>
  <c r="AB2" i="26" s="1"/>
  <c r="W208" i="55"/>
  <c r="W210" i="55"/>
  <c r="W212" i="55"/>
  <c r="W205" i="55"/>
  <c r="W207" i="55"/>
  <c r="W209" i="55"/>
  <c r="W206" i="55"/>
  <c r="W211" i="55"/>
  <c r="W213" i="55"/>
  <c r="W204" i="55"/>
  <c r="AL44" i="55"/>
  <c r="AL11" i="26" s="1"/>
  <c r="AL41" i="55"/>
  <c r="AL8" i="26" s="1"/>
  <c r="AL37" i="55"/>
  <c r="AL4" i="26" s="1"/>
  <c r="AL42" i="55"/>
  <c r="AL9" i="26" s="1"/>
  <c r="AL38" i="55"/>
  <c r="AL5" i="26" s="1"/>
  <c r="AL35" i="55"/>
  <c r="AL2" i="26" s="1"/>
  <c r="AL43" i="55"/>
  <c r="AL10" i="26" s="1"/>
  <c r="AL40" i="55"/>
  <c r="AL7" i="26" s="1"/>
  <c r="AL39" i="55"/>
  <c r="AL6" i="26" s="1"/>
  <c r="AL36" i="55"/>
  <c r="AL3" i="26" s="1"/>
  <c r="U193" i="55"/>
  <c r="U4" i="38" s="1"/>
  <c r="U194" i="55"/>
  <c r="U5" i="38" s="1"/>
  <c r="U199" i="55"/>
  <c r="U10" i="38" s="1"/>
  <c r="U200" i="55"/>
  <c r="U11" i="38" s="1"/>
  <c r="U196" i="55"/>
  <c r="U7" i="38" s="1"/>
  <c r="U195" i="55"/>
  <c r="U6" i="38" s="1"/>
  <c r="U197" i="55"/>
  <c r="U8" i="38" s="1"/>
  <c r="U191" i="55"/>
  <c r="U2" i="38" s="1"/>
  <c r="U192" i="55"/>
  <c r="U3" i="38" s="1"/>
  <c r="U198" i="55"/>
  <c r="U9" i="38" s="1"/>
  <c r="E246" i="55"/>
  <c r="E5" i="40" s="1"/>
  <c r="E243" i="55"/>
  <c r="E2" i="40" s="1"/>
  <c r="E252" i="55"/>
  <c r="E11" i="40" s="1"/>
  <c r="E244" i="55"/>
  <c r="E3" i="40" s="1"/>
  <c r="E249" i="55"/>
  <c r="E8" i="40" s="1"/>
  <c r="E250" i="55"/>
  <c r="E9" i="40" s="1"/>
  <c r="E251" i="55"/>
  <c r="E10" i="40" s="1"/>
  <c r="E248" i="55"/>
  <c r="E7" i="40" s="1"/>
  <c r="E247" i="55"/>
  <c r="E6" i="40" s="1"/>
  <c r="E245" i="55"/>
  <c r="E4" i="40" s="1"/>
  <c r="AQ239" i="55"/>
  <c r="AQ231" i="55"/>
  <c r="AQ230" i="55"/>
  <c r="AQ236" i="55"/>
  <c r="AQ235" i="55"/>
  <c r="AQ232" i="55"/>
  <c r="AQ238" i="55"/>
  <c r="AQ234" i="55"/>
  <c r="AQ237" i="55"/>
  <c r="AQ233" i="55"/>
  <c r="S233" i="55"/>
  <c r="S5" i="36" s="1"/>
  <c r="S239" i="55"/>
  <c r="S11" i="36" s="1"/>
  <c r="S231" i="55"/>
  <c r="S3" i="36" s="1"/>
  <c r="S237" i="55"/>
  <c r="S9" i="36" s="1"/>
  <c r="S235" i="55"/>
  <c r="S7" i="36" s="1"/>
  <c r="S230" i="55"/>
  <c r="S2" i="36" s="1"/>
  <c r="S238" i="55"/>
  <c r="S10" i="36" s="1"/>
  <c r="S236" i="55"/>
  <c r="S8" i="36" s="1"/>
  <c r="S232" i="55"/>
  <c r="S4" i="36" s="1"/>
  <c r="S234" i="55"/>
  <c r="S6" i="36" s="1"/>
  <c r="X218" i="55"/>
  <c r="X3" i="39" s="1"/>
  <c r="X226" i="55"/>
  <c r="X11" i="39" s="1"/>
  <c r="X222" i="55"/>
  <c r="X7" i="39" s="1"/>
  <c r="X219" i="55"/>
  <c r="X4" i="39" s="1"/>
  <c r="X225" i="55"/>
  <c r="X10" i="39" s="1"/>
  <c r="X224" i="55"/>
  <c r="X9" i="39" s="1"/>
  <c r="X221" i="55"/>
  <c r="X6" i="39" s="1"/>
  <c r="X217" i="55"/>
  <c r="X2" i="39" s="1"/>
  <c r="X220" i="55"/>
  <c r="X5" i="39" s="1"/>
  <c r="X223" i="55"/>
  <c r="X8" i="39" s="1"/>
  <c r="R231" i="55"/>
  <c r="R3" i="36" s="1"/>
  <c r="R230" i="55"/>
  <c r="R2" i="36" s="1"/>
  <c r="R233" i="55"/>
  <c r="R5" i="36" s="1"/>
  <c r="R239" i="55"/>
  <c r="R11" i="36" s="1"/>
  <c r="R232" i="55"/>
  <c r="R4" i="36" s="1"/>
  <c r="R238" i="55"/>
  <c r="R10" i="36" s="1"/>
  <c r="R235" i="55"/>
  <c r="R7" i="36" s="1"/>
  <c r="R236" i="55"/>
  <c r="R8" i="36" s="1"/>
  <c r="R237" i="55"/>
  <c r="R9" i="36" s="1"/>
  <c r="R234" i="55"/>
  <c r="R6" i="36" s="1"/>
  <c r="L42" i="55"/>
  <c r="L9" i="26" s="1"/>
  <c r="L36" i="55"/>
  <c r="L3" i="26" s="1"/>
  <c r="L44" i="55"/>
  <c r="L11" i="26" s="1"/>
  <c r="L38" i="55"/>
  <c r="L5" i="26" s="1"/>
  <c r="L35" i="55"/>
  <c r="L2" i="26" s="1"/>
  <c r="L43" i="55"/>
  <c r="L10" i="26" s="1"/>
  <c r="L39" i="55"/>
  <c r="L6" i="26" s="1"/>
  <c r="L40" i="55"/>
  <c r="L7" i="26" s="1"/>
  <c r="L37" i="55"/>
  <c r="L4" i="26" s="1"/>
  <c r="L41" i="55"/>
  <c r="L8" i="26" s="1"/>
  <c r="AL192" i="55"/>
  <c r="AL3" i="38" s="1"/>
  <c r="AL198" i="55"/>
  <c r="AL9" i="38" s="1"/>
  <c r="AL197" i="55"/>
  <c r="AL8" i="38" s="1"/>
  <c r="AL194" i="55"/>
  <c r="AL5" i="38" s="1"/>
  <c r="AL199" i="55"/>
  <c r="AL10" i="38" s="1"/>
  <c r="AL200" i="55"/>
  <c r="AL11" i="38" s="1"/>
  <c r="AL195" i="55"/>
  <c r="AL6" i="38" s="1"/>
  <c r="AL191" i="55"/>
  <c r="AL2" i="38" s="1"/>
  <c r="AL193" i="55"/>
  <c r="AL4" i="38" s="1"/>
  <c r="AL196" i="55"/>
  <c r="AL7" i="38" s="1"/>
  <c r="T213" i="55"/>
  <c r="T204" i="55"/>
  <c r="T206" i="55"/>
  <c r="T208" i="55"/>
  <c r="T210" i="55"/>
  <c r="T212" i="55"/>
  <c r="T209" i="55"/>
  <c r="T205" i="55"/>
  <c r="T211" i="55"/>
  <c r="T207" i="55"/>
  <c r="AA252" i="55"/>
  <c r="AA248" i="55"/>
  <c r="AA245" i="55"/>
  <c r="AA249" i="55"/>
  <c r="AA243" i="55"/>
  <c r="AA250" i="55"/>
  <c r="AA251" i="55"/>
  <c r="AA246" i="55"/>
  <c r="AA247" i="55"/>
  <c r="AA244" i="55"/>
  <c r="R250" i="55"/>
  <c r="R9" i="40" s="1"/>
  <c r="R244" i="55"/>
  <c r="R3" i="40" s="1"/>
  <c r="R251" i="55"/>
  <c r="R10" i="40" s="1"/>
  <c r="R243" i="55"/>
  <c r="R2" i="40" s="1"/>
  <c r="R252" i="55"/>
  <c r="R11" i="40" s="1"/>
  <c r="R249" i="55"/>
  <c r="R8" i="40" s="1"/>
  <c r="R248" i="55"/>
  <c r="R7" i="40" s="1"/>
  <c r="R245" i="55"/>
  <c r="R4" i="40" s="1"/>
  <c r="R247" i="55"/>
  <c r="R6" i="40" s="1"/>
  <c r="R246" i="55"/>
  <c r="R5" i="40" s="1"/>
  <c r="AN196" i="55"/>
  <c r="AN7" i="38" s="1"/>
  <c r="AN199" i="55"/>
  <c r="AN10" i="38" s="1"/>
  <c r="AN192" i="55"/>
  <c r="AN3" i="38" s="1"/>
  <c r="AN195" i="55"/>
  <c r="AN6" i="38" s="1"/>
  <c r="AN198" i="55"/>
  <c r="AN9" i="38" s="1"/>
  <c r="AN194" i="55"/>
  <c r="AN5" i="38" s="1"/>
  <c r="AN197" i="55"/>
  <c r="AN8" i="38" s="1"/>
  <c r="AN193" i="55"/>
  <c r="AN4" i="38" s="1"/>
  <c r="AN191" i="55"/>
  <c r="AN2" i="38" s="1"/>
  <c r="AN200" i="55"/>
  <c r="AN11" i="38" s="1"/>
  <c r="AF200" i="55"/>
  <c r="AF11" i="38" s="1"/>
  <c r="AF196" i="55"/>
  <c r="AF7" i="38" s="1"/>
  <c r="AF193" i="55"/>
  <c r="AF4" i="38" s="1"/>
  <c r="AF199" i="55"/>
  <c r="AF10" i="38" s="1"/>
  <c r="AF195" i="55"/>
  <c r="AF6" i="38" s="1"/>
  <c r="AF197" i="55"/>
  <c r="AF8" i="38" s="1"/>
  <c r="AF198" i="55"/>
  <c r="AF9" i="38" s="1"/>
  <c r="AF191" i="55"/>
  <c r="AF2" i="38" s="1"/>
  <c r="AF192" i="55"/>
  <c r="AF3" i="38" s="1"/>
  <c r="AF194" i="55"/>
  <c r="AF5" i="38" s="1"/>
  <c r="AE235" i="55"/>
  <c r="AE237" i="55"/>
  <c r="AE236" i="55"/>
  <c r="AE232" i="55"/>
  <c r="AE234" i="55"/>
  <c r="AE238" i="55"/>
  <c r="AE233" i="55"/>
  <c r="AE231" i="55"/>
  <c r="AE239" i="55"/>
  <c r="AE230" i="55"/>
  <c r="N225" i="55"/>
  <c r="N10" i="39" s="1"/>
  <c r="N221" i="55"/>
  <c r="N6" i="39" s="1"/>
  <c r="N219" i="55"/>
  <c r="N4" i="39" s="1"/>
  <c r="N217" i="55"/>
  <c r="N2" i="39" s="1"/>
  <c r="N220" i="55"/>
  <c r="N5" i="39" s="1"/>
  <c r="N218" i="55"/>
  <c r="N3" i="39" s="1"/>
  <c r="N226" i="55"/>
  <c r="N11" i="39" s="1"/>
  <c r="N224" i="55"/>
  <c r="N9" i="39" s="1"/>
  <c r="N223" i="55"/>
  <c r="N8" i="39" s="1"/>
  <c r="N222" i="55"/>
  <c r="N7" i="39" s="1"/>
  <c r="W100" i="55"/>
  <c r="W104" i="55"/>
  <c r="W108" i="55"/>
  <c r="W109" i="55"/>
  <c r="W106" i="55"/>
  <c r="W107" i="55"/>
  <c r="W103" i="55"/>
  <c r="W101" i="55"/>
  <c r="W105" i="55"/>
  <c r="W102" i="55"/>
  <c r="AJ208" i="55"/>
  <c r="AJ210" i="55"/>
  <c r="AJ212" i="55"/>
  <c r="AJ205" i="55"/>
  <c r="AJ213" i="55"/>
  <c r="AJ211" i="55"/>
  <c r="AJ209" i="55"/>
  <c r="AJ207" i="55"/>
  <c r="AJ204" i="55"/>
  <c r="AJ206" i="55"/>
  <c r="Y191" i="55"/>
  <c r="Y2" i="38" s="1"/>
  <c r="Y196" i="55"/>
  <c r="Y7" i="38" s="1"/>
  <c r="Y200" i="55"/>
  <c r="Y11" i="38" s="1"/>
  <c r="Y199" i="55"/>
  <c r="Y10" i="38" s="1"/>
  <c r="Y195" i="55"/>
  <c r="Y6" i="38" s="1"/>
  <c r="Y192" i="55"/>
  <c r="Y3" i="38" s="1"/>
  <c r="Y197" i="55"/>
  <c r="Y8" i="38" s="1"/>
  <c r="Y193" i="55"/>
  <c r="Y4" i="38" s="1"/>
  <c r="Y198" i="55"/>
  <c r="Y9" i="38" s="1"/>
  <c r="Y194" i="55"/>
  <c r="Y5" i="38" s="1"/>
  <c r="AD217" i="55"/>
  <c r="AD2" i="39" s="1"/>
  <c r="AD220" i="55"/>
  <c r="AD5" i="39" s="1"/>
  <c r="AD225" i="55"/>
  <c r="AD10" i="39" s="1"/>
  <c r="AD226" i="55"/>
  <c r="AD11" i="39" s="1"/>
  <c r="AD221" i="55"/>
  <c r="AD6" i="39" s="1"/>
  <c r="AD222" i="55"/>
  <c r="AD7" i="39" s="1"/>
  <c r="AD218" i="55"/>
  <c r="AD3" i="39" s="1"/>
  <c r="AD219" i="55"/>
  <c r="AD4" i="39" s="1"/>
  <c r="AD223" i="55"/>
  <c r="AD8" i="39" s="1"/>
  <c r="AD224" i="55"/>
  <c r="AD9" i="39" s="1"/>
  <c r="K40" i="55"/>
  <c r="K7" i="26" s="1"/>
  <c r="K44" i="55"/>
  <c r="K11" i="26" s="1"/>
  <c r="K42" i="55"/>
  <c r="K9" i="26" s="1"/>
  <c r="K35" i="55"/>
  <c r="K2" i="26" s="1"/>
  <c r="K37" i="55"/>
  <c r="K4" i="26" s="1"/>
  <c r="K39" i="55"/>
  <c r="K6" i="26" s="1"/>
  <c r="K36" i="55"/>
  <c r="K3" i="26" s="1"/>
  <c r="K38" i="55"/>
  <c r="K5" i="26" s="1"/>
  <c r="K41" i="55"/>
  <c r="K8" i="26" s="1"/>
  <c r="K43" i="55"/>
  <c r="K10" i="26" s="1"/>
  <c r="O193" i="55"/>
  <c r="O4" i="38" s="1"/>
  <c r="O199" i="55"/>
  <c r="O10" i="38" s="1"/>
  <c r="O198" i="55"/>
  <c r="O9" i="38" s="1"/>
  <c r="O194" i="55"/>
  <c r="O5" i="38" s="1"/>
  <c r="O191" i="55"/>
  <c r="O2" i="38" s="1"/>
  <c r="O200" i="55"/>
  <c r="O11" i="38" s="1"/>
  <c r="O195" i="55"/>
  <c r="O6" i="38" s="1"/>
  <c r="O196" i="55"/>
  <c r="O7" i="38" s="1"/>
  <c r="O197" i="55"/>
  <c r="O8" i="38" s="1"/>
  <c r="O192" i="55"/>
  <c r="O3" i="38" s="1"/>
  <c r="W223" i="55"/>
  <c r="W8" i="39" s="1"/>
  <c r="W217" i="55"/>
  <c r="W2" i="39" s="1"/>
  <c r="W221" i="55"/>
  <c r="W6" i="39" s="1"/>
  <c r="W226" i="55"/>
  <c r="W11" i="39" s="1"/>
  <c r="W225" i="55"/>
  <c r="W10" i="39" s="1"/>
  <c r="W224" i="55"/>
  <c r="W9" i="39" s="1"/>
  <c r="W219" i="55"/>
  <c r="W4" i="39" s="1"/>
  <c r="W218" i="55"/>
  <c r="W3" i="39" s="1"/>
  <c r="W222" i="55"/>
  <c r="W7" i="39" s="1"/>
  <c r="W220" i="55"/>
  <c r="W5" i="39" s="1"/>
  <c r="AQ50" i="55"/>
  <c r="AQ49" i="55"/>
  <c r="AQ57" i="55"/>
  <c r="AQ54" i="55"/>
  <c r="AQ53" i="55"/>
  <c r="AQ51" i="55"/>
  <c r="AQ55" i="55"/>
  <c r="AQ56" i="55"/>
  <c r="AQ48" i="55"/>
  <c r="AQ52" i="55"/>
  <c r="AL77" i="55"/>
  <c r="AL5" i="24" s="1"/>
  <c r="AL81" i="55"/>
  <c r="AL9" i="24" s="1"/>
  <c r="AL83" i="55"/>
  <c r="AL11" i="24" s="1"/>
  <c r="AL76" i="55"/>
  <c r="AL4" i="24" s="1"/>
  <c r="AL80" i="55"/>
  <c r="AL8" i="24" s="1"/>
  <c r="AL75" i="55"/>
  <c r="AL3" i="24" s="1"/>
  <c r="AL79" i="55"/>
  <c r="AL7" i="24" s="1"/>
  <c r="AL74" i="55"/>
  <c r="AL2" i="24" s="1"/>
  <c r="AL78" i="55"/>
  <c r="AL6" i="24" s="1"/>
  <c r="AL82" i="55"/>
  <c r="AL10" i="24" s="1"/>
  <c r="U209" i="55"/>
  <c r="U211" i="55"/>
  <c r="U213" i="55"/>
  <c r="U210" i="55"/>
  <c r="U208" i="55"/>
  <c r="U206" i="55"/>
  <c r="U212" i="55"/>
  <c r="U204" i="55"/>
  <c r="U205" i="55"/>
  <c r="U207" i="55"/>
  <c r="I209" i="55"/>
  <c r="I208" i="55"/>
  <c r="I211" i="55"/>
  <c r="I206" i="55"/>
  <c r="I204" i="55"/>
  <c r="I212" i="55"/>
  <c r="I213" i="55"/>
  <c r="I210" i="55"/>
  <c r="I205" i="55"/>
  <c r="I207" i="55"/>
  <c r="E230" i="55"/>
  <c r="E2" i="36" s="1"/>
  <c r="E231" i="55"/>
  <c r="E3" i="36" s="1"/>
  <c r="E239" i="55"/>
  <c r="E11" i="36" s="1"/>
  <c r="E237" i="55"/>
  <c r="E9" i="36" s="1"/>
  <c r="E235" i="55"/>
  <c r="E7" i="36" s="1"/>
  <c r="E236" i="55"/>
  <c r="E8" i="36" s="1"/>
  <c r="E232" i="55"/>
  <c r="E4" i="36" s="1"/>
  <c r="E234" i="55"/>
  <c r="E6" i="36" s="1"/>
  <c r="E233" i="55"/>
  <c r="E5" i="36" s="1"/>
  <c r="E238" i="55"/>
  <c r="E10" i="36" s="1"/>
  <c r="AM206" i="55"/>
  <c r="AM208" i="55"/>
  <c r="AM210" i="55"/>
  <c r="AM212" i="55"/>
  <c r="AM205" i="55"/>
  <c r="AM213" i="55"/>
  <c r="AM211" i="55"/>
  <c r="AM209" i="55"/>
  <c r="AM207" i="55"/>
  <c r="AM204" i="55"/>
  <c r="X192" i="55"/>
  <c r="X3" i="38" s="1"/>
  <c r="X197" i="55"/>
  <c r="X8" i="38" s="1"/>
  <c r="X200" i="55"/>
  <c r="X11" i="38" s="1"/>
  <c r="X193" i="55"/>
  <c r="X4" i="38" s="1"/>
  <c r="X196" i="55"/>
  <c r="X7" i="38" s="1"/>
  <c r="X191" i="55"/>
  <c r="X2" i="38" s="1"/>
  <c r="X195" i="55"/>
  <c r="X6" i="38" s="1"/>
  <c r="X194" i="55"/>
  <c r="X5" i="38" s="1"/>
  <c r="X199" i="55"/>
  <c r="X10" i="38" s="1"/>
  <c r="X198" i="55"/>
  <c r="X9" i="38" s="1"/>
  <c r="L56" i="55"/>
  <c r="L53" i="55"/>
  <c r="L55" i="55"/>
  <c r="L48" i="55"/>
  <c r="L52" i="55"/>
  <c r="L49" i="55"/>
  <c r="L51" i="55"/>
  <c r="L54" i="55"/>
  <c r="L57" i="55"/>
  <c r="L50" i="55"/>
  <c r="AL246" i="55"/>
  <c r="AL249" i="55"/>
  <c r="AL250" i="55"/>
  <c r="AL243" i="55"/>
  <c r="AL248" i="55"/>
  <c r="AL252" i="55"/>
  <c r="AL251" i="55"/>
  <c r="AL244" i="55"/>
  <c r="AL245" i="55"/>
  <c r="AL247" i="55"/>
  <c r="T193" i="55"/>
  <c r="T4" i="38" s="1"/>
  <c r="T199" i="55"/>
  <c r="T10" i="38" s="1"/>
  <c r="T195" i="55"/>
  <c r="T6" i="38" s="1"/>
  <c r="T197" i="55"/>
  <c r="T8" i="38" s="1"/>
  <c r="T200" i="55"/>
  <c r="T11" i="38" s="1"/>
  <c r="T191" i="55"/>
  <c r="T2" i="38" s="1"/>
  <c r="T194" i="55"/>
  <c r="T5" i="38" s="1"/>
  <c r="T196" i="55"/>
  <c r="T7" i="38" s="1"/>
  <c r="T192" i="55"/>
  <c r="T3" i="38" s="1"/>
  <c r="T198" i="55"/>
  <c r="T9" i="38" s="1"/>
  <c r="G222" i="55"/>
  <c r="G7" i="39" s="1"/>
  <c r="G220" i="55"/>
  <c r="G5" i="39" s="1"/>
  <c r="G226" i="55"/>
  <c r="G11" i="39" s="1"/>
  <c r="G225" i="55"/>
  <c r="G10" i="39" s="1"/>
  <c r="G218" i="55"/>
  <c r="G3" i="39" s="1"/>
  <c r="G224" i="55"/>
  <c r="G9" i="39" s="1"/>
  <c r="G223" i="55"/>
  <c r="G8" i="39" s="1"/>
  <c r="G221" i="55"/>
  <c r="G6" i="39" s="1"/>
  <c r="G219" i="55"/>
  <c r="G4" i="39" s="1"/>
  <c r="G217" i="55"/>
  <c r="G2" i="39" s="1"/>
  <c r="AA230" i="55"/>
  <c r="AA231" i="55"/>
  <c r="AA239" i="55"/>
  <c r="AA235" i="55"/>
  <c r="AA238" i="55"/>
  <c r="AA234" i="55"/>
  <c r="AA233" i="55"/>
  <c r="AA237" i="55"/>
  <c r="AA232" i="55"/>
  <c r="AA236" i="55"/>
  <c r="F52" i="55"/>
  <c r="F54" i="55"/>
  <c r="F48" i="55"/>
  <c r="F51" i="55"/>
  <c r="F57" i="55"/>
  <c r="F56" i="55"/>
  <c r="F53" i="55"/>
  <c r="F49" i="55"/>
  <c r="F50" i="55"/>
  <c r="F55" i="55"/>
  <c r="AN243" i="55"/>
  <c r="AN250" i="55"/>
  <c r="AN251" i="55"/>
  <c r="AN246" i="55"/>
  <c r="AN247" i="55"/>
  <c r="AN248" i="55"/>
  <c r="AN249" i="55"/>
  <c r="AN245" i="55"/>
  <c r="AN244" i="55"/>
  <c r="AN252" i="55"/>
  <c r="AF219" i="55"/>
  <c r="AF4" i="39" s="1"/>
  <c r="AF225" i="55"/>
  <c r="AF10" i="39" s="1"/>
  <c r="AF217" i="55"/>
  <c r="AF2" i="39" s="1"/>
  <c r="AF224" i="55"/>
  <c r="AF9" i="39" s="1"/>
  <c r="AF222" i="55"/>
  <c r="AF7" i="39" s="1"/>
  <c r="AF218" i="55"/>
  <c r="AF3" i="39" s="1"/>
  <c r="AF221" i="55"/>
  <c r="AF6" i="39" s="1"/>
  <c r="AF226" i="55"/>
  <c r="AF11" i="39" s="1"/>
  <c r="AF220" i="55"/>
  <c r="AF5" i="39" s="1"/>
  <c r="AF223" i="55"/>
  <c r="AF8" i="39" s="1"/>
  <c r="W148" i="55"/>
  <c r="W11" i="43" s="1"/>
  <c r="W144" i="55"/>
  <c r="W7" i="43" s="1"/>
  <c r="W143" i="55"/>
  <c r="W6" i="43" s="1"/>
  <c r="W141" i="55"/>
  <c r="W4" i="43" s="1"/>
  <c r="W139" i="55"/>
  <c r="W2" i="43" s="1"/>
  <c r="W142" i="55"/>
  <c r="W5" i="43" s="1"/>
  <c r="W146" i="55"/>
  <c r="W9" i="43" s="1"/>
  <c r="W145" i="55"/>
  <c r="W8" i="43" s="1"/>
  <c r="W147" i="55"/>
  <c r="W10" i="43" s="1"/>
  <c r="W140" i="55"/>
  <c r="W3" i="43" s="1"/>
  <c r="AJ199" i="55"/>
  <c r="AJ10" i="38" s="1"/>
  <c r="AJ195" i="55"/>
  <c r="AJ6" i="38" s="1"/>
  <c r="AJ198" i="55"/>
  <c r="AJ9" i="38" s="1"/>
  <c r="AJ191" i="55"/>
  <c r="AJ2" i="38" s="1"/>
  <c r="AJ194" i="55"/>
  <c r="AJ5" i="38" s="1"/>
  <c r="AJ192" i="55"/>
  <c r="AJ3" i="38" s="1"/>
  <c r="AJ193" i="55"/>
  <c r="AJ4" i="38" s="1"/>
  <c r="AJ197" i="55"/>
  <c r="AJ8" i="38" s="1"/>
  <c r="AJ200" i="55"/>
  <c r="AJ11" i="38" s="1"/>
  <c r="AJ196" i="55"/>
  <c r="AJ7" i="38" s="1"/>
  <c r="AN54" i="55"/>
  <c r="AN56" i="55"/>
  <c r="AN51" i="55"/>
  <c r="AN57" i="55"/>
  <c r="AN53" i="55"/>
  <c r="AN55" i="55"/>
  <c r="AN50" i="55"/>
  <c r="AN52" i="55"/>
  <c r="AN48" i="55"/>
  <c r="AN49" i="55"/>
  <c r="Y205" i="55"/>
  <c r="Y209" i="55"/>
  <c r="Y204" i="55"/>
  <c r="Y206" i="55"/>
  <c r="Y208" i="55"/>
  <c r="Y210" i="55"/>
  <c r="Y212" i="55"/>
  <c r="Y211" i="55"/>
  <c r="Y213" i="55"/>
  <c r="Y207" i="55"/>
  <c r="AD252" i="55"/>
  <c r="AD248" i="55"/>
  <c r="AD243" i="55"/>
  <c r="AD247" i="55"/>
  <c r="AD246" i="55"/>
  <c r="AD251" i="55"/>
  <c r="AD244" i="55"/>
  <c r="AD250" i="55"/>
  <c r="AD245" i="55"/>
  <c r="AD249" i="55"/>
  <c r="D186" i="55"/>
  <c r="D187" i="55"/>
  <c r="D182" i="55"/>
  <c r="D178" i="55"/>
  <c r="D179" i="55"/>
  <c r="D185" i="55"/>
  <c r="D180" i="55"/>
  <c r="D181" i="55"/>
  <c r="D183" i="55"/>
  <c r="D184" i="55"/>
  <c r="O226" i="55"/>
  <c r="O11" i="39" s="1"/>
  <c r="O222" i="55"/>
  <c r="O7" i="39" s="1"/>
  <c r="O218" i="55"/>
  <c r="O3" i="39" s="1"/>
  <c r="O219" i="55"/>
  <c r="O4" i="39" s="1"/>
  <c r="O223" i="55"/>
  <c r="O8" i="39" s="1"/>
  <c r="O225" i="55"/>
  <c r="O10" i="39" s="1"/>
  <c r="O220" i="55"/>
  <c r="O5" i="39" s="1"/>
  <c r="O217" i="55"/>
  <c r="O2" i="39" s="1"/>
  <c r="O224" i="55"/>
  <c r="O9" i="39" s="1"/>
  <c r="O221" i="55"/>
  <c r="O6" i="39" s="1"/>
  <c r="W235" i="55"/>
  <c r="W7" i="36" s="1"/>
  <c r="W237" i="55"/>
  <c r="W9" i="36" s="1"/>
  <c r="W231" i="55"/>
  <c r="W3" i="36" s="1"/>
  <c r="W230" i="55"/>
  <c r="W2" i="36" s="1"/>
  <c r="W238" i="55"/>
  <c r="W10" i="36" s="1"/>
  <c r="W234" i="55"/>
  <c r="W6" i="36" s="1"/>
  <c r="W233" i="55"/>
  <c r="W5" i="36" s="1"/>
  <c r="W236" i="55"/>
  <c r="W8" i="36" s="1"/>
  <c r="W232" i="55"/>
  <c r="W4" i="36" s="1"/>
  <c r="W239" i="55"/>
  <c r="W11" i="36" s="1"/>
  <c r="AQ90" i="55"/>
  <c r="AQ92" i="55"/>
  <c r="AQ94" i="55"/>
  <c r="AQ87" i="55"/>
  <c r="AQ91" i="55"/>
  <c r="AQ89" i="55"/>
  <c r="AQ93" i="55"/>
  <c r="AQ88" i="55"/>
  <c r="AQ96" i="55"/>
  <c r="AQ95" i="55"/>
  <c r="D253" i="55"/>
  <c r="D214" i="55"/>
  <c r="D201" i="55"/>
  <c r="D227" i="55"/>
  <c r="D240" i="55"/>
  <c r="AL55" i="55"/>
  <c r="AL57" i="55"/>
  <c r="AL56" i="55"/>
  <c r="AL50" i="55"/>
  <c r="AL52" i="55"/>
  <c r="AL54" i="55"/>
  <c r="AL51" i="55"/>
  <c r="AL53" i="55"/>
  <c r="AL48" i="55"/>
  <c r="AL49" i="55"/>
  <c r="U217" i="55"/>
  <c r="U2" i="39" s="1"/>
  <c r="U223" i="55"/>
  <c r="U8" i="39" s="1"/>
  <c r="U224" i="55"/>
  <c r="U9" i="39" s="1"/>
  <c r="U219" i="55"/>
  <c r="U4" i="39" s="1"/>
  <c r="U220" i="55"/>
  <c r="U5" i="39" s="1"/>
  <c r="U221" i="55"/>
  <c r="U6" i="39" s="1"/>
  <c r="U225" i="55"/>
  <c r="U10" i="39" s="1"/>
  <c r="U226" i="55"/>
  <c r="U11" i="39" s="1"/>
  <c r="U218" i="55"/>
  <c r="U3" i="39" s="1"/>
  <c r="U222" i="55"/>
  <c r="U7" i="39" s="1"/>
  <c r="I222" i="55"/>
  <c r="I7" i="39" s="1"/>
  <c r="I223" i="55"/>
  <c r="I8" i="39" s="1"/>
  <c r="I224" i="55"/>
  <c r="I9" i="39" s="1"/>
  <c r="I220" i="55"/>
  <c r="I5" i="39" s="1"/>
  <c r="I219" i="55"/>
  <c r="I4" i="39" s="1"/>
  <c r="I225" i="55"/>
  <c r="I10" i="39" s="1"/>
  <c r="I217" i="55"/>
  <c r="I2" i="39" s="1"/>
  <c r="I226" i="55"/>
  <c r="I11" i="39" s="1"/>
  <c r="I218" i="55"/>
  <c r="I3" i="39" s="1"/>
  <c r="I221" i="55"/>
  <c r="I6" i="39" s="1"/>
  <c r="AG194" i="55"/>
  <c r="AG5" i="38" s="1"/>
  <c r="AG199" i="55"/>
  <c r="AG10" i="38" s="1"/>
  <c r="AG200" i="55"/>
  <c r="AG11" i="38" s="1"/>
  <c r="AG195" i="55"/>
  <c r="AG6" i="38" s="1"/>
  <c r="AG196" i="55"/>
  <c r="AG7" i="38" s="1"/>
  <c r="AG191" i="55"/>
  <c r="AG2" i="38" s="1"/>
  <c r="AG192" i="55"/>
  <c r="AG3" i="38" s="1"/>
  <c r="AG197" i="55"/>
  <c r="AG8" i="38" s="1"/>
  <c r="AG198" i="55"/>
  <c r="AG9" i="38" s="1"/>
  <c r="AG193" i="55"/>
  <c r="AG4" i="38" s="1"/>
  <c r="AM194" i="55"/>
  <c r="AM5" i="38" s="1"/>
  <c r="AM191" i="55"/>
  <c r="AM2" i="38" s="1"/>
  <c r="AM200" i="55"/>
  <c r="AM11" i="38" s="1"/>
  <c r="AM196" i="55"/>
  <c r="AM7" i="38" s="1"/>
  <c r="AM197" i="55"/>
  <c r="AM8" i="38" s="1"/>
  <c r="AM192" i="55"/>
  <c r="AM3" i="38" s="1"/>
  <c r="AM195" i="55"/>
  <c r="AM6" i="38" s="1"/>
  <c r="AM199" i="55"/>
  <c r="AM10" i="38" s="1"/>
  <c r="AM193" i="55"/>
  <c r="AM4" i="38" s="1"/>
  <c r="AM198" i="55"/>
  <c r="AM9" i="38" s="1"/>
  <c r="X231" i="55"/>
  <c r="X238" i="55"/>
  <c r="X232" i="55"/>
  <c r="X230" i="55"/>
  <c r="X237" i="55"/>
  <c r="X236" i="55"/>
  <c r="X233" i="55"/>
  <c r="X234" i="55"/>
  <c r="X239" i="55"/>
  <c r="X235" i="55"/>
  <c r="AL235" i="55"/>
  <c r="AL233" i="55"/>
  <c r="AL239" i="55"/>
  <c r="AL237" i="55"/>
  <c r="AL230" i="55"/>
  <c r="AL231" i="55"/>
  <c r="AL238" i="55"/>
  <c r="AL232" i="55"/>
  <c r="AL236" i="55"/>
  <c r="AL234" i="55"/>
  <c r="T218" i="55"/>
  <c r="T3" i="39" s="1"/>
  <c r="T219" i="55"/>
  <c r="T4" i="39" s="1"/>
  <c r="T223" i="55"/>
  <c r="T8" i="39" s="1"/>
  <c r="T225" i="55"/>
  <c r="T10" i="39" s="1"/>
  <c r="T221" i="55"/>
  <c r="T6" i="39" s="1"/>
  <c r="T217" i="55"/>
  <c r="T2" i="39" s="1"/>
  <c r="T226" i="55"/>
  <c r="T11" i="39" s="1"/>
  <c r="T222" i="55"/>
  <c r="T7" i="39" s="1"/>
  <c r="T220" i="55"/>
  <c r="T5" i="39" s="1"/>
  <c r="T224" i="55"/>
  <c r="T9" i="39" s="1"/>
  <c r="G198" i="55"/>
  <c r="G9" i="38" s="1"/>
  <c r="G194" i="55"/>
  <c r="G5" i="38" s="1"/>
  <c r="G199" i="55"/>
  <c r="G10" i="38" s="1"/>
  <c r="G195" i="55"/>
  <c r="G6" i="38" s="1"/>
  <c r="G200" i="55"/>
  <c r="G11" i="38" s="1"/>
  <c r="G191" i="55"/>
  <c r="G2" i="38" s="1"/>
  <c r="G193" i="55"/>
  <c r="G4" i="38" s="1"/>
  <c r="G196" i="55"/>
  <c r="G7" i="38" s="1"/>
  <c r="G197" i="55"/>
  <c r="G8" i="38" s="1"/>
  <c r="G192" i="55"/>
  <c r="G3" i="38" s="1"/>
  <c r="AA207" i="55"/>
  <c r="AA213" i="55"/>
  <c r="AA205" i="55"/>
  <c r="AA204" i="55"/>
  <c r="AA206" i="55"/>
  <c r="AA211" i="55"/>
  <c r="AA208" i="55"/>
  <c r="AA210" i="55"/>
  <c r="AA212" i="55"/>
  <c r="AA209" i="55"/>
  <c r="F42" i="55"/>
  <c r="F9" i="26" s="1"/>
  <c r="F39" i="55"/>
  <c r="F6" i="26" s="1"/>
  <c r="F36" i="55"/>
  <c r="F3" i="26" s="1"/>
  <c r="F44" i="55"/>
  <c r="F11" i="26" s="1"/>
  <c r="F38" i="55"/>
  <c r="F5" i="26" s="1"/>
  <c r="F41" i="55"/>
  <c r="F8" i="26" s="1"/>
  <c r="F35" i="55"/>
  <c r="F2" i="26" s="1"/>
  <c r="F43" i="55"/>
  <c r="F10" i="26" s="1"/>
  <c r="F37" i="55"/>
  <c r="F4" i="26" s="1"/>
  <c r="F40" i="55"/>
  <c r="F7" i="26" s="1"/>
  <c r="AN231" i="55"/>
  <c r="AN238" i="55"/>
  <c r="AN237" i="55"/>
  <c r="AN232" i="55"/>
  <c r="AN234" i="55"/>
  <c r="AN236" i="55"/>
  <c r="AN239" i="55"/>
  <c r="AN230" i="55"/>
  <c r="AN233" i="55"/>
  <c r="AN235" i="55"/>
  <c r="AF252" i="55"/>
  <c r="AF244" i="55"/>
  <c r="AF246" i="55"/>
  <c r="AF245" i="55"/>
  <c r="AF247" i="55"/>
  <c r="AF249" i="55"/>
  <c r="AF251" i="55"/>
  <c r="AF250" i="55"/>
  <c r="AF243" i="55"/>
  <c r="AF248" i="55"/>
  <c r="W128" i="55"/>
  <c r="W135" i="55"/>
  <c r="W134" i="55"/>
  <c r="W131" i="55"/>
  <c r="W129" i="55"/>
  <c r="W130" i="55"/>
  <c r="W132" i="55"/>
  <c r="W126" i="55"/>
  <c r="W133" i="55"/>
  <c r="W127" i="55"/>
  <c r="AJ225" i="55"/>
  <c r="AJ10" i="39" s="1"/>
  <c r="AJ226" i="55"/>
  <c r="AJ11" i="39" s="1"/>
  <c r="AJ222" i="55"/>
  <c r="AJ7" i="39" s="1"/>
  <c r="AJ219" i="55"/>
  <c r="AJ4" i="39" s="1"/>
  <c r="AJ223" i="55"/>
  <c r="AJ8" i="39" s="1"/>
  <c r="AJ220" i="55"/>
  <c r="AJ5" i="39" s="1"/>
  <c r="AJ221" i="55"/>
  <c r="AJ6" i="39" s="1"/>
  <c r="AJ224" i="55"/>
  <c r="AJ9" i="39" s="1"/>
  <c r="AJ218" i="55"/>
  <c r="AJ3" i="39" s="1"/>
  <c r="AJ217" i="55"/>
  <c r="AJ2" i="39" s="1"/>
  <c r="AN64" i="55"/>
  <c r="AN5" i="25" s="1"/>
  <c r="AN66" i="55"/>
  <c r="AN7" i="25" s="1"/>
  <c r="AN63" i="55"/>
  <c r="AN4" i="25" s="1"/>
  <c r="AN68" i="55"/>
  <c r="AN9" i="25" s="1"/>
  <c r="AN62" i="55"/>
  <c r="AN3" i="25" s="1"/>
  <c r="AN70" i="55"/>
  <c r="AN11" i="25" s="1"/>
  <c r="AN61" i="55"/>
  <c r="AN2" i="25" s="1"/>
  <c r="AN67" i="55"/>
  <c r="AN8" i="25" s="1"/>
  <c r="AN65" i="55"/>
  <c r="AN6" i="25" s="1"/>
  <c r="AN69" i="55"/>
  <c r="AN10" i="25" s="1"/>
  <c r="Y224" i="55"/>
  <c r="Y9" i="39" s="1"/>
  <c r="Y218" i="55"/>
  <c r="Y3" i="39" s="1"/>
  <c r="Y222" i="55"/>
  <c r="Y7" i="39" s="1"/>
  <c r="Y226" i="55"/>
  <c r="Y11" i="39" s="1"/>
  <c r="Y221" i="55"/>
  <c r="Y6" i="39" s="1"/>
  <c r="Y225" i="55"/>
  <c r="Y10" i="39" s="1"/>
  <c r="Y220" i="55"/>
  <c r="Y5" i="39" s="1"/>
  <c r="Y223" i="55"/>
  <c r="Y8" i="39" s="1"/>
  <c r="Y219" i="55"/>
  <c r="Y4" i="39" s="1"/>
  <c r="Y217" i="55"/>
  <c r="Y2" i="39" s="1"/>
  <c r="AD230" i="55"/>
  <c r="AD233" i="55"/>
  <c r="AD237" i="55"/>
  <c r="AD231" i="55"/>
  <c r="AD234" i="55"/>
  <c r="AD238" i="55"/>
  <c r="AD235" i="55"/>
  <c r="AD239" i="55"/>
  <c r="AD232" i="55"/>
  <c r="AD236" i="55"/>
  <c r="H221" i="55"/>
  <c r="H6" i="39" s="1"/>
  <c r="H217" i="55"/>
  <c r="H2" i="39" s="1"/>
  <c r="H222" i="55"/>
  <c r="H7" i="39" s="1"/>
  <c r="H220" i="55"/>
  <c r="H5" i="39" s="1"/>
  <c r="H226" i="55"/>
  <c r="H11" i="39" s="1"/>
  <c r="H218" i="55"/>
  <c r="H3" i="39" s="1"/>
  <c r="H225" i="55"/>
  <c r="H10" i="39" s="1"/>
  <c r="H223" i="55"/>
  <c r="H8" i="39" s="1"/>
  <c r="H219" i="55"/>
  <c r="H4" i="39" s="1"/>
  <c r="H224" i="55"/>
  <c r="H9" i="39" s="1"/>
  <c r="AF48" i="55"/>
  <c r="AF53" i="55"/>
  <c r="AF50" i="55"/>
  <c r="AF52" i="55"/>
  <c r="AF54" i="55"/>
  <c r="AF56" i="55"/>
  <c r="AF55" i="55"/>
  <c r="AF57" i="55"/>
  <c r="AF49" i="55"/>
  <c r="AF51" i="55"/>
  <c r="O212" i="55"/>
  <c r="O209" i="55"/>
  <c r="O207" i="55"/>
  <c r="O213" i="55"/>
  <c r="O205" i="55"/>
  <c r="O211" i="55"/>
  <c r="O208" i="55"/>
  <c r="O204" i="55"/>
  <c r="O206" i="55"/>
  <c r="O210" i="55"/>
  <c r="W247" i="55"/>
  <c r="W6" i="40" s="1"/>
  <c r="W252" i="55"/>
  <c r="W11" i="40" s="1"/>
  <c r="W244" i="55"/>
  <c r="W3" i="40" s="1"/>
  <c r="W245" i="55"/>
  <c r="W4" i="40" s="1"/>
  <c r="W250" i="55"/>
  <c r="W9" i="40" s="1"/>
  <c r="W251" i="55"/>
  <c r="W10" i="40" s="1"/>
  <c r="W249" i="55"/>
  <c r="W8" i="40" s="1"/>
  <c r="W248" i="55"/>
  <c r="W7" i="40" s="1"/>
  <c r="W243" i="55"/>
  <c r="W2" i="40" s="1"/>
  <c r="W246" i="55"/>
  <c r="W5" i="40" s="1"/>
  <c r="AQ37" i="55"/>
  <c r="AQ4" i="26" s="1"/>
  <c r="AQ40" i="55"/>
  <c r="AQ7" i="26" s="1"/>
  <c r="AQ39" i="55"/>
  <c r="AQ6" i="26" s="1"/>
  <c r="AQ42" i="55"/>
  <c r="AQ9" i="26" s="1"/>
  <c r="AQ36" i="55"/>
  <c r="AQ3" i="26" s="1"/>
  <c r="AQ44" i="55"/>
  <c r="AQ11" i="26" s="1"/>
  <c r="AQ38" i="55"/>
  <c r="AQ5" i="26" s="1"/>
  <c r="AQ35" i="55"/>
  <c r="AQ2" i="26" s="1"/>
  <c r="AQ43" i="55"/>
  <c r="AQ10" i="26" s="1"/>
  <c r="AQ41" i="55"/>
  <c r="AQ8" i="26" s="1"/>
  <c r="P193" i="55"/>
  <c r="P4" i="38" s="1"/>
  <c r="P200" i="55"/>
  <c r="P11" i="38" s="1"/>
  <c r="P196" i="55"/>
  <c r="P7" i="38" s="1"/>
  <c r="P199" i="55"/>
  <c r="P10" i="38" s="1"/>
  <c r="P198" i="55"/>
  <c r="P9" i="38" s="1"/>
  <c r="P192" i="55"/>
  <c r="P3" i="38" s="1"/>
  <c r="P194" i="55"/>
  <c r="P5" i="38" s="1"/>
  <c r="P195" i="55"/>
  <c r="P6" i="38" s="1"/>
  <c r="P191" i="55"/>
  <c r="P2" i="38" s="1"/>
  <c r="P197" i="55"/>
  <c r="P8" i="38" s="1"/>
  <c r="U247" i="55"/>
  <c r="U6" i="40" s="1"/>
  <c r="U248" i="55"/>
  <c r="U7" i="40" s="1"/>
  <c r="U252" i="55"/>
  <c r="U11" i="40" s="1"/>
  <c r="U249" i="55"/>
  <c r="U8" i="40" s="1"/>
  <c r="U245" i="55"/>
  <c r="U4" i="40" s="1"/>
  <c r="U250" i="55"/>
  <c r="U9" i="40" s="1"/>
  <c r="U244" i="55"/>
  <c r="U3" i="40" s="1"/>
  <c r="U251" i="55"/>
  <c r="U10" i="40" s="1"/>
  <c r="U246" i="55"/>
  <c r="U5" i="40" s="1"/>
  <c r="U243" i="55"/>
  <c r="U2" i="40" s="1"/>
  <c r="I193" i="55"/>
  <c r="I4" i="38" s="1"/>
  <c r="I194" i="55"/>
  <c r="I5" i="38" s="1"/>
  <c r="I199" i="55"/>
  <c r="I10" i="38" s="1"/>
  <c r="I200" i="55"/>
  <c r="I11" i="38" s="1"/>
  <c r="I195" i="55"/>
  <c r="I6" i="38" s="1"/>
  <c r="I196" i="55"/>
  <c r="I7" i="38" s="1"/>
  <c r="I191" i="55"/>
  <c r="I2" i="38" s="1"/>
  <c r="I197" i="55"/>
  <c r="I8" i="38" s="1"/>
  <c r="I192" i="55"/>
  <c r="I3" i="38" s="1"/>
  <c r="I198" i="55"/>
  <c r="I9" i="38" s="1"/>
  <c r="AG212" i="55"/>
  <c r="AG210" i="55"/>
  <c r="AG206" i="55"/>
  <c r="AG213" i="55"/>
  <c r="AG208" i="55"/>
  <c r="AG205" i="55"/>
  <c r="AG207" i="55"/>
  <c r="AG211" i="55"/>
  <c r="AG209" i="55"/>
  <c r="AG204" i="55"/>
  <c r="Q246" i="55"/>
  <c r="Q5" i="40" s="1"/>
  <c r="Q252" i="55"/>
  <c r="Q11" i="40" s="1"/>
  <c r="Q247" i="55"/>
  <c r="Q6" i="40" s="1"/>
  <c r="Q248" i="55"/>
  <c r="Q7" i="40" s="1"/>
  <c r="Q250" i="55"/>
  <c r="Q9" i="40" s="1"/>
  <c r="Q251" i="55"/>
  <c r="Q10" i="40" s="1"/>
  <c r="Q249" i="55"/>
  <c r="Q8" i="40" s="1"/>
  <c r="Q243" i="55"/>
  <c r="Q2" i="40" s="1"/>
  <c r="Q244" i="55"/>
  <c r="Q3" i="40" s="1"/>
  <c r="Q245" i="55"/>
  <c r="Q4" i="40" s="1"/>
  <c r="AM248" i="55"/>
  <c r="AM244" i="55"/>
  <c r="AM249" i="55"/>
  <c r="AM245" i="55"/>
  <c r="AM243" i="55"/>
  <c r="AM250" i="55"/>
  <c r="AM251" i="55"/>
  <c r="AM246" i="55"/>
  <c r="AM247" i="55"/>
  <c r="AM252" i="55"/>
  <c r="X244" i="55"/>
  <c r="X3" i="40" s="1"/>
  <c r="X251" i="55"/>
  <c r="X10" i="40" s="1"/>
  <c r="X246" i="55"/>
  <c r="X5" i="40" s="1"/>
  <c r="X245" i="55"/>
  <c r="X4" i="40" s="1"/>
  <c r="X250" i="55"/>
  <c r="X9" i="40" s="1"/>
  <c r="X249" i="55"/>
  <c r="X8" i="40" s="1"/>
  <c r="X248" i="55"/>
  <c r="X7" i="40" s="1"/>
  <c r="X243" i="55"/>
  <c r="X2" i="40" s="1"/>
  <c r="X247" i="55"/>
  <c r="X6" i="40" s="1"/>
  <c r="X252" i="55"/>
  <c r="X11" i="40" s="1"/>
  <c r="AL220" i="55"/>
  <c r="AL5" i="39" s="1"/>
  <c r="AL223" i="55"/>
  <c r="AL8" i="39" s="1"/>
  <c r="AL225" i="55"/>
  <c r="AL10" i="39" s="1"/>
  <c r="AL221" i="55"/>
  <c r="AL6" i="39" s="1"/>
  <c r="AL219" i="55"/>
  <c r="AL4" i="39" s="1"/>
  <c r="AL224" i="55"/>
  <c r="AL9" i="39" s="1"/>
  <c r="AL222" i="55"/>
  <c r="AL7" i="39" s="1"/>
  <c r="AL218" i="55"/>
  <c r="AL3" i="39" s="1"/>
  <c r="AL217" i="55"/>
  <c r="AL2" i="39" s="1"/>
  <c r="AL226" i="55"/>
  <c r="AL11" i="39" s="1"/>
  <c r="T251" i="55"/>
  <c r="T10" i="40" s="1"/>
  <c r="T252" i="55"/>
  <c r="T11" i="40" s="1"/>
  <c r="T248" i="55"/>
  <c r="T7" i="40" s="1"/>
  <c r="T249" i="55"/>
  <c r="T8" i="40" s="1"/>
  <c r="T247" i="55"/>
  <c r="T6" i="40" s="1"/>
  <c r="T245" i="55"/>
  <c r="T4" i="40" s="1"/>
  <c r="T250" i="55"/>
  <c r="T9" i="40" s="1"/>
  <c r="T243" i="55"/>
  <c r="T2" i="40" s="1"/>
  <c r="T244" i="55"/>
  <c r="T3" i="40" s="1"/>
  <c r="T246" i="55"/>
  <c r="T5" i="40" s="1"/>
  <c r="G204" i="55"/>
  <c r="G205" i="55"/>
  <c r="G207" i="55"/>
  <c r="G209" i="55"/>
  <c r="G211" i="55"/>
  <c r="G210" i="55"/>
  <c r="G213" i="55"/>
  <c r="G208" i="55"/>
  <c r="G206" i="55"/>
  <c r="G212" i="55"/>
  <c r="AA200" i="55"/>
  <c r="AA11" i="38" s="1"/>
  <c r="AA197" i="55"/>
  <c r="AA8" i="38" s="1"/>
  <c r="AA192" i="55"/>
  <c r="AA3" i="38" s="1"/>
  <c r="AA193" i="55"/>
  <c r="AA4" i="38" s="1"/>
  <c r="AA198" i="55"/>
  <c r="AA9" i="38" s="1"/>
  <c r="AA199" i="55"/>
  <c r="AA10" i="38" s="1"/>
  <c r="AA194" i="55"/>
  <c r="AA5" i="38" s="1"/>
  <c r="AA195" i="55"/>
  <c r="AA6" i="38" s="1"/>
  <c r="AA191" i="55"/>
  <c r="AA2" i="38" s="1"/>
  <c r="AA196" i="55"/>
  <c r="AA7" i="38" s="1"/>
  <c r="Y76" i="55"/>
  <c r="Y4" i="24" s="1"/>
  <c r="Y80" i="55"/>
  <c r="Y8" i="24" s="1"/>
  <c r="Y75" i="55"/>
  <c r="Y3" i="24" s="1"/>
  <c r="Y77" i="55"/>
  <c r="Y5" i="24" s="1"/>
  <c r="Y79" i="55"/>
  <c r="Y7" i="24" s="1"/>
  <c r="Y81" i="55"/>
  <c r="Y9" i="24" s="1"/>
  <c r="Y83" i="55"/>
  <c r="Y11" i="24" s="1"/>
  <c r="Y74" i="55"/>
  <c r="Y2" i="24" s="1"/>
  <c r="Y78" i="55"/>
  <c r="Y6" i="24" s="1"/>
  <c r="Y82" i="55"/>
  <c r="Y10" i="24" s="1"/>
  <c r="F80" i="55"/>
  <c r="F8" i="24" s="1"/>
  <c r="F82" i="55"/>
  <c r="F10" i="24" s="1"/>
  <c r="F75" i="55"/>
  <c r="F3" i="24" s="1"/>
  <c r="F83" i="55"/>
  <c r="F11" i="24" s="1"/>
  <c r="F81" i="55"/>
  <c r="F9" i="24" s="1"/>
  <c r="F79" i="55"/>
  <c r="F7" i="24" s="1"/>
  <c r="F77" i="55"/>
  <c r="F5" i="24" s="1"/>
  <c r="F76" i="55"/>
  <c r="F4" i="24" s="1"/>
  <c r="F74" i="55"/>
  <c r="F2" i="24" s="1"/>
  <c r="F78" i="55"/>
  <c r="F6" i="24" s="1"/>
  <c r="AF235" i="55"/>
  <c r="AF231" i="55"/>
  <c r="AF239" i="55"/>
  <c r="AF233" i="55"/>
  <c r="AF234" i="55"/>
  <c r="AF236" i="55"/>
  <c r="AF238" i="55"/>
  <c r="AF230" i="55"/>
  <c r="AF232" i="55"/>
  <c r="AF237" i="55"/>
  <c r="AI57" i="55"/>
  <c r="AI49" i="55"/>
  <c r="AI54" i="55"/>
  <c r="AI51" i="55"/>
  <c r="AI55" i="55"/>
  <c r="AI56" i="55"/>
  <c r="AI52" i="55"/>
  <c r="AI48" i="55"/>
  <c r="AI53" i="55"/>
  <c r="AI50" i="55"/>
  <c r="W167" i="55"/>
  <c r="W4" i="45" s="1"/>
  <c r="W166" i="55"/>
  <c r="W3" i="45" s="1"/>
  <c r="W168" i="55"/>
  <c r="W5" i="45" s="1"/>
  <c r="W172" i="55"/>
  <c r="W9" i="45" s="1"/>
  <c r="W173" i="55"/>
  <c r="W10" i="45" s="1"/>
  <c r="W174" i="55"/>
  <c r="W11" i="45" s="1"/>
  <c r="W170" i="55"/>
  <c r="W7" i="45" s="1"/>
  <c r="W169" i="55"/>
  <c r="W6" i="45" s="1"/>
  <c r="W165" i="55"/>
  <c r="W2" i="45" s="1"/>
  <c r="W171" i="55"/>
  <c r="W8" i="45" s="1"/>
  <c r="AJ250" i="55"/>
  <c r="AJ249" i="55"/>
  <c r="AJ246" i="55"/>
  <c r="AJ252" i="55"/>
  <c r="AJ251" i="55"/>
  <c r="AJ248" i="55"/>
  <c r="AJ247" i="55"/>
  <c r="AJ243" i="55"/>
  <c r="AJ244" i="55"/>
  <c r="AJ245" i="55"/>
  <c r="AN89" i="55"/>
  <c r="AN87" i="55"/>
  <c r="AN95" i="55"/>
  <c r="AN88" i="55"/>
  <c r="AN90" i="55"/>
  <c r="AN94" i="55"/>
  <c r="AN92" i="55"/>
  <c r="AN93" i="55"/>
  <c r="AN91" i="55"/>
  <c r="AN96" i="55"/>
  <c r="H252" i="55"/>
  <c r="H11" i="40" s="1"/>
  <c r="H251" i="55"/>
  <c r="H10" i="40" s="1"/>
  <c r="H249" i="55"/>
  <c r="H8" i="40" s="1"/>
  <c r="H248" i="55"/>
  <c r="H7" i="40" s="1"/>
  <c r="H247" i="55"/>
  <c r="H6" i="40" s="1"/>
  <c r="H245" i="55"/>
  <c r="H4" i="40" s="1"/>
  <c r="H243" i="55"/>
  <c r="H2" i="40" s="1"/>
  <c r="H244" i="55"/>
  <c r="H3" i="40" s="1"/>
  <c r="H250" i="55"/>
  <c r="H9" i="40" s="1"/>
  <c r="H246" i="55"/>
  <c r="H5" i="40" s="1"/>
  <c r="AF40" i="55"/>
  <c r="AF7" i="26" s="1"/>
  <c r="AF35" i="55"/>
  <c r="AF2" i="26" s="1"/>
  <c r="AF38" i="55"/>
  <c r="AF5" i="26" s="1"/>
  <c r="AF43" i="55"/>
  <c r="AF10" i="26" s="1"/>
  <c r="AF39" i="55"/>
  <c r="AF6" i="26" s="1"/>
  <c r="AF36" i="55"/>
  <c r="AF3" i="26" s="1"/>
  <c r="AF44" i="55"/>
  <c r="AF11" i="26" s="1"/>
  <c r="AF37" i="55"/>
  <c r="AF4" i="26" s="1"/>
  <c r="AF42" i="55"/>
  <c r="AF9" i="26" s="1"/>
  <c r="AF41" i="55"/>
  <c r="AF8" i="26" s="1"/>
  <c r="O251" i="55"/>
  <c r="O10" i="40" s="1"/>
  <c r="O244" i="55"/>
  <c r="O3" i="40" s="1"/>
  <c r="O243" i="55"/>
  <c r="O2" i="40" s="1"/>
  <c r="O252" i="55"/>
  <c r="O11" i="40" s="1"/>
  <c r="O248" i="55"/>
  <c r="O7" i="40" s="1"/>
  <c r="O249" i="55"/>
  <c r="O8" i="40" s="1"/>
  <c r="O247" i="55"/>
  <c r="O6" i="40" s="1"/>
  <c r="O245" i="55"/>
  <c r="O4" i="40" s="1"/>
  <c r="O246" i="55"/>
  <c r="O5" i="40" s="1"/>
  <c r="O250" i="55"/>
  <c r="O9" i="40" s="1"/>
  <c r="Z210" i="55"/>
  <c r="Z207" i="55"/>
  <c r="Z209" i="55"/>
  <c r="Z212" i="55"/>
  <c r="Z211" i="55"/>
  <c r="Z213" i="55"/>
  <c r="Z208" i="55"/>
  <c r="Z204" i="55"/>
  <c r="Z206" i="55"/>
  <c r="Z205" i="55"/>
  <c r="AQ81" i="55"/>
  <c r="AQ9" i="24" s="1"/>
  <c r="AQ79" i="55"/>
  <c r="AQ7" i="24" s="1"/>
  <c r="AQ74" i="55"/>
  <c r="AQ2" i="24" s="1"/>
  <c r="AQ76" i="55"/>
  <c r="AQ4" i="24" s="1"/>
  <c r="AQ78" i="55"/>
  <c r="AQ6" i="24" s="1"/>
  <c r="AQ75" i="55"/>
  <c r="AQ3" i="24" s="1"/>
  <c r="AQ80" i="55"/>
  <c r="AQ8" i="24" s="1"/>
  <c r="AQ77" i="55"/>
  <c r="AQ5" i="24" s="1"/>
  <c r="AQ82" i="55"/>
  <c r="AQ10" i="24" s="1"/>
  <c r="AQ83" i="55"/>
  <c r="AQ11" i="24" s="1"/>
  <c r="M248" i="55"/>
  <c r="M7" i="40" s="1"/>
  <c r="M247" i="55"/>
  <c r="M6" i="40" s="1"/>
  <c r="M243" i="55"/>
  <c r="M2" i="40" s="1"/>
  <c r="M244" i="55"/>
  <c r="M3" i="40" s="1"/>
  <c r="M249" i="55"/>
  <c r="M8" i="40" s="1"/>
  <c r="M245" i="55"/>
  <c r="M4" i="40" s="1"/>
  <c r="M252" i="55"/>
  <c r="M11" i="40" s="1"/>
  <c r="M250" i="55"/>
  <c r="M9" i="40" s="1"/>
  <c r="M246" i="55"/>
  <c r="M5" i="40" s="1"/>
  <c r="M251" i="55"/>
  <c r="M10" i="40" s="1"/>
  <c r="P212" i="55"/>
  <c r="P205" i="55"/>
  <c r="P207" i="55"/>
  <c r="P209" i="55"/>
  <c r="P211" i="55"/>
  <c r="P213" i="55"/>
  <c r="P208" i="55"/>
  <c r="P204" i="55"/>
  <c r="P206" i="55"/>
  <c r="P210" i="55"/>
  <c r="U234" i="55"/>
  <c r="U6" i="36" s="1"/>
  <c r="U237" i="55"/>
  <c r="U9" i="36" s="1"/>
  <c r="U233" i="55"/>
  <c r="U5" i="36" s="1"/>
  <c r="U239" i="55"/>
  <c r="U11" i="36" s="1"/>
  <c r="U235" i="55"/>
  <c r="U7" i="36" s="1"/>
  <c r="U231" i="55"/>
  <c r="U3" i="36" s="1"/>
  <c r="U236" i="55"/>
  <c r="U8" i="36" s="1"/>
  <c r="U230" i="55"/>
  <c r="U2" i="36" s="1"/>
  <c r="U232" i="55"/>
  <c r="U4" i="36" s="1"/>
  <c r="U238" i="55"/>
  <c r="U10" i="36" s="1"/>
  <c r="I247" i="55"/>
  <c r="I6" i="40" s="1"/>
  <c r="I250" i="55"/>
  <c r="I9" i="40" s="1"/>
  <c r="I251" i="55"/>
  <c r="I10" i="40" s="1"/>
  <c r="I248" i="55"/>
  <c r="I7" i="40" s="1"/>
  <c r="I244" i="55"/>
  <c r="I3" i="40" s="1"/>
  <c r="I246" i="55"/>
  <c r="I5" i="40" s="1"/>
  <c r="I245" i="55"/>
  <c r="I4" i="40" s="1"/>
  <c r="I249" i="55"/>
  <c r="I8" i="40" s="1"/>
  <c r="I252" i="55"/>
  <c r="I11" i="40" s="1"/>
  <c r="I243" i="55"/>
  <c r="I2" i="40" s="1"/>
  <c r="AG234" i="55"/>
  <c r="AG237" i="55"/>
  <c r="AG236" i="55"/>
  <c r="AG231" i="55"/>
  <c r="AG230" i="55"/>
  <c r="AG232" i="55"/>
  <c r="AG238" i="55"/>
  <c r="AG239" i="55"/>
  <c r="AG235" i="55"/>
  <c r="AG233" i="55"/>
  <c r="Q193" i="55"/>
  <c r="Q4" i="38" s="1"/>
  <c r="Q192" i="55"/>
  <c r="Q3" i="38" s="1"/>
  <c r="Q191" i="55"/>
  <c r="Q2" i="38" s="1"/>
  <c r="Q194" i="55"/>
  <c r="Q5" i="38" s="1"/>
  <c r="Q199" i="55"/>
  <c r="Q10" i="38" s="1"/>
  <c r="Q198" i="55"/>
  <c r="Q9" i="38" s="1"/>
  <c r="Q195" i="55"/>
  <c r="Q6" i="38" s="1"/>
  <c r="Q196" i="55"/>
  <c r="Q7" i="38" s="1"/>
  <c r="Q197" i="55"/>
  <c r="Q8" i="38" s="1"/>
  <c r="Q200" i="55"/>
  <c r="Q11" i="38" s="1"/>
  <c r="AM231" i="55"/>
  <c r="AM239" i="55"/>
  <c r="AM235" i="55"/>
  <c r="AM237" i="55"/>
  <c r="AM233" i="55"/>
  <c r="AM238" i="55"/>
  <c r="AM234" i="55"/>
  <c r="AM232" i="55"/>
  <c r="AM236" i="55"/>
  <c r="AM230" i="55"/>
  <c r="T238" i="55"/>
  <c r="T10" i="36" s="1"/>
  <c r="T234" i="55"/>
  <c r="T6" i="36" s="1"/>
  <c r="T236" i="55"/>
  <c r="T8" i="36" s="1"/>
  <c r="T232" i="55"/>
  <c r="T4" i="36" s="1"/>
  <c r="T230" i="55"/>
  <c r="T2" i="36" s="1"/>
  <c r="T235" i="55"/>
  <c r="T7" i="36" s="1"/>
  <c r="T237" i="55"/>
  <c r="T9" i="36" s="1"/>
  <c r="T233" i="55"/>
  <c r="T5" i="36" s="1"/>
  <c r="T239" i="55"/>
  <c r="T11" i="36" s="1"/>
  <c r="T231" i="55"/>
  <c r="T3" i="36" s="1"/>
  <c r="G234" i="55"/>
  <c r="G6" i="36" s="1"/>
  <c r="G236" i="55"/>
  <c r="G8" i="36" s="1"/>
  <c r="G232" i="55"/>
  <c r="G4" i="36" s="1"/>
  <c r="G235" i="55"/>
  <c r="G7" i="36" s="1"/>
  <c r="G233" i="55"/>
  <c r="G5" i="36" s="1"/>
  <c r="G239" i="55"/>
  <c r="G11" i="36" s="1"/>
  <c r="G231" i="55"/>
  <c r="G3" i="36" s="1"/>
  <c r="G237" i="55"/>
  <c r="G9" i="36" s="1"/>
  <c r="G230" i="55"/>
  <c r="G2" i="36" s="1"/>
  <c r="G238" i="55"/>
  <c r="G10" i="36" s="1"/>
  <c r="AA217" i="55"/>
  <c r="AA2" i="39" s="1"/>
  <c r="AA224" i="55"/>
  <c r="AA9" i="39" s="1"/>
  <c r="AA225" i="55"/>
  <c r="AA10" i="39" s="1"/>
  <c r="AA221" i="55"/>
  <c r="AA6" i="39" s="1"/>
  <c r="AA226" i="55"/>
  <c r="AA11" i="39" s="1"/>
  <c r="AA223" i="55"/>
  <c r="AA8" i="39" s="1"/>
  <c r="AA218" i="55"/>
  <c r="AA3" i="39" s="1"/>
  <c r="AA220" i="55"/>
  <c r="AA5" i="39" s="1"/>
  <c r="AA219" i="55"/>
  <c r="AA4" i="39" s="1"/>
  <c r="AA222" i="55"/>
  <c r="AA7" i="39" s="1"/>
  <c r="Y48" i="55"/>
  <c r="Y53" i="55"/>
  <c r="Y49" i="55"/>
  <c r="Y57" i="55"/>
  <c r="Y50" i="55"/>
  <c r="Y51" i="55"/>
  <c r="Y54" i="55"/>
  <c r="Y55" i="55"/>
  <c r="Y56" i="55"/>
  <c r="Y52" i="55"/>
  <c r="F96" i="55"/>
  <c r="F11" i="23" s="1"/>
  <c r="F94" i="55"/>
  <c r="F9" i="23" s="1"/>
  <c r="F89" i="55"/>
  <c r="F4" i="23" s="1"/>
  <c r="F93" i="55"/>
  <c r="F8" i="23" s="1"/>
  <c r="F87" i="55"/>
  <c r="F2" i="23" s="1"/>
  <c r="F95" i="55"/>
  <c r="F10" i="23" s="1"/>
  <c r="F90" i="55"/>
  <c r="F5" i="23" s="1"/>
  <c r="F92" i="55"/>
  <c r="F7" i="23" s="1"/>
  <c r="F91" i="55"/>
  <c r="F6" i="23" s="1"/>
  <c r="F88" i="55"/>
  <c r="F3" i="23" s="1"/>
  <c r="AI81" i="55"/>
  <c r="AI9" i="24" s="1"/>
  <c r="AI74" i="55"/>
  <c r="AI2" i="24" s="1"/>
  <c r="AI78" i="55"/>
  <c r="AI6" i="24" s="1"/>
  <c r="AI80" i="55"/>
  <c r="AI8" i="24" s="1"/>
  <c r="AI76" i="55"/>
  <c r="AI4" i="24" s="1"/>
  <c r="AI77" i="55"/>
  <c r="AI5" i="24" s="1"/>
  <c r="AI79" i="55"/>
  <c r="AI7" i="24" s="1"/>
  <c r="AI75" i="55"/>
  <c r="AI3" i="24" s="1"/>
  <c r="AI83" i="55"/>
  <c r="AI11" i="24" s="1"/>
  <c r="AI82" i="55"/>
  <c r="AI10" i="24" s="1"/>
  <c r="W152" i="55"/>
  <c r="W2" i="44" s="1"/>
  <c r="W155" i="55"/>
  <c r="W5" i="44" s="1"/>
  <c r="W158" i="55"/>
  <c r="W8" i="44" s="1"/>
  <c r="W161" i="55"/>
  <c r="W11" i="44" s="1"/>
  <c r="W154" i="55"/>
  <c r="W4" i="44" s="1"/>
  <c r="W157" i="55"/>
  <c r="W7" i="44" s="1"/>
  <c r="W153" i="55"/>
  <c r="W3" i="44" s="1"/>
  <c r="W160" i="55"/>
  <c r="W10" i="44" s="1"/>
  <c r="W159" i="55"/>
  <c r="W9" i="44" s="1"/>
  <c r="W156" i="55"/>
  <c r="W6" i="44" s="1"/>
  <c r="AJ234" i="55"/>
  <c r="AJ233" i="55"/>
  <c r="AJ230" i="55"/>
  <c r="AJ236" i="55"/>
  <c r="AJ232" i="55"/>
  <c r="AJ239" i="55"/>
  <c r="AJ235" i="55"/>
  <c r="AJ231" i="55"/>
  <c r="AJ238" i="55"/>
  <c r="AJ237" i="55"/>
  <c r="AI199" i="55"/>
  <c r="AI10" i="38" s="1"/>
  <c r="AI200" i="55"/>
  <c r="AI11" i="38" s="1"/>
  <c r="AI196" i="55"/>
  <c r="AI7" i="38" s="1"/>
  <c r="AI195" i="55"/>
  <c r="AI6" i="38" s="1"/>
  <c r="AI191" i="55"/>
  <c r="AI2" i="38" s="1"/>
  <c r="AI192" i="55"/>
  <c r="AI3" i="38" s="1"/>
  <c r="AI197" i="55"/>
  <c r="AI8" i="38" s="1"/>
  <c r="AI193" i="55"/>
  <c r="AI4" i="38" s="1"/>
  <c r="AI198" i="55"/>
  <c r="AI9" i="38" s="1"/>
  <c r="AI194" i="55"/>
  <c r="AI5" i="38" s="1"/>
  <c r="AN42" i="55"/>
  <c r="AN9" i="26" s="1"/>
  <c r="AN36" i="55"/>
  <c r="AN3" i="26" s="1"/>
  <c r="AN39" i="55"/>
  <c r="AN6" i="26" s="1"/>
  <c r="AN40" i="55"/>
  <c r="AN7" i="26" s="1"/>
  <c r="AN43" i="55"/>
  <c r="AN10" i="26" s="1"/>
  <c r="AN38" i="55"/>
  <c r="AN5" i="26" s="1"/>
  <c r="AN37" i="55"/>
  <c r="AN4" i="26" s="1"/>
  <c r="AN35" i="55"/>
  <c r="AN2" i="26" s="1"/>
  <c r="AN44" i="55"/>
  <c r="AN11" i="26" s="1"/>
  <c r="AN41" i="55"/>
  <c r="AN8" i="26" s="1"/>
  <c r="H231" i="55"/>
  <c r="H3" i="36" s="1"/>
  <c r="H238" i="55"/>
  <c r="H10" i="36" s="1"/>
  <c r="H232" i="55"/>
  <c r="H4" i="36" s="1"/>
  <c r="H230" i="55"/>
  <c r="H2" i="36" s="1"/>
  <c r="H235" i="55"/>
  <c r="H7" i="36" s="1"/>
  <c r="H233" i="55"/>
  <c r="H5" i="36" s="1"/>
  <c r="H234" i="55"/>
  <c r="H6" i="36" s="1"/>
  <c r="H239" i="55"/>
  <c r="H11" i="36" s="1"/>
  <c r="H237" i="55"/>
  <c r="H9" i="36" s="1"/>
  <c r="H236" i="55"/>
  <c r="H8" i="36" s="1"/>
  <c r="AF89" i="55"/>
  <c r="AF93" i="55"/>
  <c r="AF91" i="55"/>
  <c r="AF95" i="55"/>
  <c r="AF88" i="55"/>
  <c r="AF92" i="55"/>
  <c r="AF94" i="55"/>
  <c r="AF90" i="55"/>
  <c r="AF96" i="55"/>
  <c r="AF87" i="55"/>
  <c r="O235" i="55"/>
  <c r="O7" i="36" s="1"/>
  <c r="O232" i="55"/>
  <c r="O4" i="36" s="1"/>
  <c r="O236" i="55"/>
  <c r="O8" i="36" s="1"/>
  <c r="O233" i="55"/>
  <c r="O5" i="36" s="1"/>
  <c r="O234" i="55"/>
  <c r="O6" i="36" s="1"/>
  <c r="O238" i="55"/>
  <c r="O10" i="36" s="1"/>
  <c r="O237" i="55"/>
  <c r="O9" i="36" s="1"/>
  <c r="O231" i="55"/>
  <c r="O3" i="36" s="1"/>
  <c r="O230" i="55"/>
  <c r="O2" i="36" s="1"/>
  <c r="O239" i="55"/>
  <c r="O11" i="36" s="1"/>
  <c r="Z224" i="55"/>
  <c r="Z9" i="39" s="1"/>
  <c r="Z225" i="55"/>
  <c r="Z10" i="39" s="1"/>
  <c r="Z223" i="55"/>
  <c r="Z8" i="39" s="1"/>
  <c r="Z218" i="55"/>
  <c r="Z3" i="39" s="1"/>
  <c r="Z222" i="55"/>
  <c r="Z7" i="39" s="1"/>
  <c r="Z220" i="55"/>
  <c r="Z5" i="39" s="1"/>
  <c r="Z226" i="55"/>
  <c r="Z11" i="39" s="1"/>
  <c r="Z219" i="55"/>
  <c r="Z4" i="39" s="1"/>
  <c r="Z221" i="55"/>
  <c r="Z6" i="39" s="1"/>
  <c r="Z217" i="55"/>
  <c r="Z2" i="39" s="1"/>
  <c r="M53" i="55"/>
  <c r="M51" i="55"/>
  <c r="M49" i="55"/>
  <c r="M55" i="55"/>
  <c r="M48" i="55"/>
  <c r="M52" i="55"/>
  <c r="M57" i="55"/>
  <c r="M50" i="55"/>
  <c r="M54" i="55"/>
  <c r="M56" i="55"/>
  <c r="AQ69" i="55"/>
  <c r="AQ10" i="25" s="1"/>
  <c r="AQ66" i="55"/>
  <c r="AQ7" i="25" s="1"/>
  <c r="AQ63" i="55"/>
  <c r="AQ4" i="25" s="1"/>
  <c r="AQ65" i="55"/>
  <c r="AQ6" i="25" s="1"/>
  <c r="AQ67" i="55"/>
  <c r="AQ8" i="25" s="1"/>
  <c r="AQ68" i="55"/>
  <c r="AQ9" i="25" s="1"/>
  <c r="AQ70" i="55"/>
  <c r="AQ11" i="25" s="1"/>
  <c r="AQ62" i="55"/>
  <c r="AQ3" i="25" s="1"/>
  <c r="AQ64" i="55"/>
  <c r="AQ5" i="25" s="1"/>
  <c r="AQ61" i="55"/>
  <c r="AQ2" i="25" s="1"/>
  <c r="M232" i="55"/>
  <c r="M4" i="36" s="1"/>
  <c r="M234" i="55"/>
  <c r="M6" i="36" s="1"/>
  <c r="M230" i="55"/>
  <c r="M2" i="36" s="1"/>
  <c r="M238" i="55"/>
  <c r="M10" i="36" s="1"/>
  <c r="M236" i="55"/>
  <c r="M8" i="36" s="1"/>
  <c r="M239" i="55"/>
  <c r="M11" i="36" s="1"/>
  <c r="M237" i="55"/>
  <c r="M9" i="36" s="1"/>
  <c r="M235" i="55"/>
  <c r="M7" i="36" s="1"/>
  <c r="M231" i="55"/>
  <c r="M3" i="36" s="1"/>
  <c r="M233" i="55"/>
  <c r="M5" i="36" s="1"/>
  <c r="P217" i="55"/>
  <c r="P2" i="39" s="1"/>
  <c r="P225" i="55"/>
  <c r="P10" i="39" s="1"/>
  <c r="P221" i="55"/>
  <c r="P6" i="39" s="1"/>
  <c r="P224" i="55"/>
  <c r="P9" i="39" s="1"/>
  <c r="P220" i="55"/>
  <c r="P5" i="39" s="1"/>
  <c r="P218" i="55"/>
  <c r="P3" i="39" s="1"/>
  <c r="P223" i="55"/>
  <c r="P8" i="39" s="1"/>
  <c r="P219" i="55"/>
  <c r="P4" i="39" s="1"/>
  <c r="P226" i="55"/>
  <c r="P11" i="39" s="1"/>
  <c r="P222" i="55"/>
  <c r="P7" i="39" s="1"/>
  <c r="I231" i="55"/>
  <c r="I3" i="36" s="1"/>
  <c r="I236" i="55"/>
  <c r="I8" i="36" s="1"/>
  <c r="I239" i="55"/>
  <c r="I11" i="36" s="1"/>
  <c r="I235" i="55"/>
  <c r="I7" i="36" s="1"/>
  <c r="I232" i="55"/>
  <c r="I4" i="36" s="1"/>
  <c r="I233" i="55"/>
  <c r="I5" i="36" s="1"/>
  <c r="I230" i="55"/>
  <c r="I2" i="36" s="1"/>
  <c r="I237" i="55"/>
  <c r="I9" i="36" s="1"/>
  <c r="I234" i="55"/>
  <c r="I6" i="36" s="1"/>
  <c r="I238" i="55"/>
  <c r="I10" i="36" s="1"/>
  <c r="AG248" i="55"/>
  <c r="AG252" i="55"/>
  <c r="AG249" i="55"/>
  <c r="AG245" i="55"/>
  <c r="AG250" i="55"/>
  <c r="AG247" i="55"/>
  <c r="AG243" i="55"/>
  <c r="AG246" i="55"/>
  <c r="AG244" i="55"/>
  <c r="AG251" i="55"/>
  <c r="Q210" i="55"/>
  <c r="Q212" i="55"/>
  <c r="Q205" i="55"/>
  <c r="Q207" i="55"/>
  <c r="Q209" i="55"/>
  <c r="Q211" i="55"/>
  <c r="Q206" i="55"/>
  <c r="Q213" i="55"/>
  <c r="Q204" i="55"/>
  <c r="Q208" i="55"/>
  <c r="AB231" i="55"/>
  <c r="AB238" i="55"/>
  <c r="AB234" i="55"/>
  <c r="AB236" i="55"/>
  <c r="AB232" i="55"/>
  <c r="AB237" i="55"/>
  <c r="AB235" i="55"/>
  <c r="AB233" i="55"/>
  <c r="AB230" i="55"/>
  <c r="AB239" i="55"/>
  <c r="AM224" i="55"/>
  <c r="AM9" i="39" s="1"/>
  <c r="AM223" i="55"/>
  <c r="AM8" i="39" s="1"/>
  <c r="AM217" i="55"/>
  <c r="AM2" i="39" s="1"/>
  <c r="AM225" i="55"/>
  <c r="AM10" i="39" s="1"/>
  <c r="AM220" i="55"/>
  <c r="AM5" i="39" s="1"/>
  <c r="AM226" i="55"/>
  <c r="AM11" i="39" s="1"/>
  <c r="AM222" i="55"/>
  <c r="AM7" i="39" s="1"/>
  <c r="AM218" i="55"/>
  <c r="AM3" i="39" s="1"/>
  <c r="AM219" i="55"/>
  <c r="AM4" i="39" s="1"/>
  <c r="AM221" i="55"/>
  <c r="AM6" i="39" s="1"/>
  <c r="G251" i="55"/>
  <c r="G10" i="40" s="1"/>
  <c r="G247" i="55"/>
  <c r="G6" i="40" s="1"/>
  <c r="G248" i="55"/>
  <c r="G7" i="40" s="1"/>
  <c r="G244" i="55"/>
  <c r="G3" i="40" s="1"/>
  <c r="G249" i="55"/>
  <c r="G8" i="40" s="1"/>
  <c r="G250" i="55"/>
  <c r="G9" i="40" s="1"/>
  <c r="G245" i="55"/>
  <c r="G4" i="40" s="1"/>
  <c r="G246" i="55"/>
  <c r="G5" i="40" s="1"/>
  <c r="G252" i="55"/>
  <c r="G11" i="40" s="1"/>
  <c r="G243" i="55"/>
  <c r="G2" i="40" s="1"/>
  <c r="Y43" i="55"/>
  <c r="Y10" i="26" s="1"/>
  <c r="Y40" i="55"/>
  <c r="Y7" i="26" s="1"/>
  <c r="Y37" i="55"/>
  <c r="Y4" i="26" s="1"/>
  <c r="Y39" i="55"/>
  <c r="Y6" i="26" s="1"/>
  <c r="Y42" i="55"/>
  <c r="Y9" i="26" s="1"/>
  <c r="Y36" i="55"/>
  <c r="Y3" i="26" s="1"/>
  <c r="Y44" i="55"/>
  <c r="Y11" i="26" s="1"/>
  <c r="Y41" i="55"/>
  <c r="Y8" i="26" s="1"/>
  <c r="Y38" i="55"/>
  <c r="Y5" i="26" s="1"/>
  <c r="Y35" i="55"/>
  <c r="Y2" i="26" s="1"/>
  <c r="F70" i="55"/>
  <c r="F11" i="25" s="1"/>
  <c r="F63" i="55"/>
  <c r="F4" i="25" s="1"/>
  <c r="F66" i="55"/>
  <c r="F7" i="25" s="1"/>
  <c r="F67" i="55"/>
  <c r="F8" i="25" s="1"/>
  <c r="F61" i="55"/>
  <c r="F2" i="25" s="1"/>
  <c r="F65" i="55"/>
  <c r="F6" i="25" s="1"/>
  <c r="F69" i="55"/>
  <c r="F10" i="25" s="1"/>
  <c r="F64" i="55"/>
  <c r="F5" i="25" s="1"/>
  <c r="F62" i="55"/>
  <c r="F3" i="25" s="1"/>
  <c r="F68" i="55"/>
  <c r="F9" i="25" s="1"/>
  <c r="AO225" i="55"/>
  <c r="AO10" i="39" s="1"/>
  <c r="AO218" i="55"/>
  <c r="AO3" i="39" s="1"/>
  <c r="AO219" i="55"/>
  <c r="AO4" i="39" s="1"/>
  <c r="AO224" i="55"/>
  <c r="AO9" i="39" s="1"/>
  <c r="AO222" i="55"/>
  <c r="AO7" i="39" s="1"/>
  <c r="AO223" i="55"/>
  <c r="AO8" i="39" s="1"/>
  <c r="AO226" i="55"/>
  <c r="AO11" i="39" s="1"/>
  <c r="AO220" i="55"/>
  <c r="AO5" i="39" s="1"/>
  <c r="AO217" i="55"/>
  <c r="AO2" i="39" s="1"/>
  <c r="AO221" i="55"/>
  <c r="AO6" i="39" s="1"/>
  <c r="AI95" i="55"/>
  <c r="AI93" i="55"/>
  <c r="AI92" i="55"/>
  <c r="AI88" i="55"/>
  <c r="AI96" i="55"/>
  <c r="AI87" i="55"/>
  <c r="AI89" i="55"/>
  <c r="AI94" i="55"/>
  <c r="AI90" i="55"/>
  <c r="AI91" i="55"/>
  <c r="W113" i="55"/>
  <c r="W2" i="42" s="1"/>
  <c r="W118" i="55"/>
  <c r="W7" i="42" s="1"/>
  <c r="W122" i="55"/>
  <c r="W11" i="42" s="1"/>
  <c r="W115" i="55"/>
  <c r="W4" i="42" s="1"/>
  <c r="W114" i="55"/>
  <c r="W3" i="42" s="1"/>
  <c r="W121" i="55"/>
  <c r="W10" i="42" s="1"/>
  <c r="W119" i="55"/>
  <c r="W8" i="42" s="1"/>
  <c r="W120" i="55"/>
  <c r="W9" i="42" s="1"/>
  <c r="W117" i="55"/>
  <c r="W6" i="42" s="1"/>
  <c r="W116" i="55"/>
  <c r="W5" i="42" s="1"/>
  <c r="F238" i="55"/>
  <c r="F10" i="36" s="1"/>
  <c r="F235" i="55"/>
  <c r="F7" i="36" s="1"/>
  <c r="F236" i="55"/>
  <c r="F8" i="36" s="1"/>
  <c r="F231" i="55"/>
  <c r="F3" i="36" s="1"/>
  <c r="F232" i="55"/>
  <c r="F4" i="36" s="1"/>
  <c r="F230" i="55"/>
  <c r="F2" i="36" s="1"/>
  <c r="F237" i="55"/>
  <c r="F9" i="36" s="1"/>
  <c r="F234" i="55"/>
  <c r="F6" i="36" s="1"/>
  <c r="F239" i="55"/>
  <c r="F11" i="36" s="1"/>
  <c r="F233" i="55"/>
  <c r="F5" i="36" s="1"/>
  <c r="AI206" i="55"/>
  <c r="AI208" i="55"/>
  <c r="AI210" i="55"/>
  <c r="AI212" i="55"/>
  <c r="AI205" i="55"/>
  <c r="AI211" i="55"/>
  <c r="AI207" i="55"/>
  <c r="AI213" i="55"/>
  <c r="AI209" i="55"/>
  <c r="AI204" i="55"/>
  <c r="AN75" i="55"/>
  <c r="AN3" i="24" s="1"/>
  <c r="AN79" i="55"/>
  <c r="AN7" i="24" s="1"/>
  <c r="AN83" i="55"/>
  <c r="AN11" i="24" s="1"/>
  <c r="AN77" i="55"/>
  <c r="AN5" i="24" s="1"/>
  <c r="AN81" i="55"/>
  <c r="AN9" i="24" s="1"/>
  <c r="AN74" i="55"/>
  <c r="AN2" i="24" s="1"/>
  <c r="AN76" i="55"/>
  <c r="AN4" i="24" s="1"/>
  <c r="AN80" i="55"/>
  <c r="AN8" i="24" s="1"/>
  <c r="AN78" i="55"/>
  <c r="AN6" i="24" s="1"/>
  <c r="AN82" i="55"/>
  <c r="AN10" i="24" s="1"/>
  <c r="J211" i="55"/>
  <c r="J213" i="55"/>
  <c r="J204" i="55"/>
  <c r="J206" i="55"/>
  <c r="J208" i="55"/>
  <c r="J210" i="55"/>
  <c r="J207" i="55"/>
  <c r="J212" i="55"/>
  <c r="J205" i="55"/>
  <c r="J209" i="55"/>
  <c r="L206" i="55"/>
  <c r="L208" i="55"/>
  <c r="L210" i="55"/>
  <c r="L212" i="55"/>
  <c r="L209" i="55"/>
  <c r="L207" i="55"/>
  <c r="L211" i="55"/>
  <c r="L205" i="55"/>
  <c r="L213" i="55"/>
  <c r="L204" i="55"/>
  <c r="H210" i="55"/>
  <c r="H212" i="55"/>
  <c r="H209" i="55"/>
  <c r="H211" i="55"/>
  <c r="H213" i="55"/>
  <c r="H205" i="55"/>
  <c r="H206" i="55"/>
  <c r="H204" i="55"/>
  <c r="H207" i="55"/>
  <c r="H208" i="55"/>
  <c r="AR247" i="55"/>
  <c r="AR243" i="55"/>
  <c r="AR244" i="55"/>
  <c r="AR250" i="55"/>
  <c r="AR246" i="55"/>
  <c r="AR248" i="55"/>
  <c r="AR252" i="55"/>
  <c r="AR245" i="55"/>
  <c r="AR251" i="55"/>
  <c r="AR249" i="55"/>
  <c r="AF79" i="55"/>
  <c r="AF7" i="24" s="1"/>
  <c r="AF83" i="55"/>
  <c r="AF11" i="24" s="1"/>
  <c r="AF77" i="55"/>
  <c r="AF5" i="24" s="1"/>
  <c r="AF81" i="55"/>
  <c r="AF9" i="24" s="1"/>
  <c r="AF74" i="55"/>
  <c r="AF2" i="24" s="1"/>
  <c r="AF78" i="55"/>
  <c r="AF6" i="24" s="1"/>
  <c r="AF76" i="55"/>
  <c r="AF4" i="24" s="1"/>
  <c r="AF80" i="55"/>
  <c r="AF8" i="24" s="1"/>
  <c r="AF82" i="55"/>
  <c r="AF10" i="24" s="1"/>
  <c r="AF75" i="55"/>
  <c r="AF3" i="24" s="1"/>
  <c r="Z233" i="55"/>
  <c r="Z238" i="55"/>
  <c r="Z236" i="55"/>
  <c r="Z237" i="55"/>
  <c r="Z231" i="55"/>
  <c r="Z234" i="55"/>
  <c r="Z232" i="55"/>
  <c r="Z235" i="55"/>
  <c r="Z239" i="55"/>
  <c r="Z230" i="55"/>
  <c r="M37" i="55"/>
  <c r="M4" i="26" s="1"/>
  <c r="M36" i="55"/>
  <c r="M3" i="26" s="1"/>
  <c r="M40" i="55"/>
  <c r="M7" i="26" s="1"/>
  <c r="M44" i="55"/>
  <c r="M11" i="26" s="1"/>
  <c r="M39" i="55"/>
  <c r="M6" i="26" s="1"/>
  <c r="M41" i="55"/>
  <c r="M8" i="26" s="1"/>
  <c r="M35" i="55"/>
  <c r="M2" i="26" s="1"/>
  <c r="M38" i="55"/>
  <c r="M5" i="26" s="1"/>
  <c r="M43" i="55"/>
  <c r="M10" i="26" s="1"/>
  <c r="M42" i="55"/>
  <c r="M9" i="26" s="1"/>
  <c r="AE36" i="55"/>
  <c r="AE3" i="26" s="1"/>
  <c r="AE42" i="55"/>
  <c r="AE9" i="26" s="1"/>
  <c r="AE44" i="55"/>
  <c r="AE11" i="26" s="1"/>
  <c r="AE41" i="55"/>
  <c r="AE8" i="26" s="1"/>
  <c r="AE38" i="55"/>
  <c r="AE5" i="26" s="1"/>
  <c r="AE37" i="55"/>
  <c r="AE4" i="26" s="1"/>
  <c r="AE35" i="55"/>
  <c r="AE2" i="26" s="1"/>
  <c r="AE43" i="55"/>
  <c r="AE10" i="26" s="1"/>
  <c r="AE39" i="55"/>
  <c r="AE6" i="26" s="1"/>
  <c r="AE40" i="55"/>
  <c r="AE7" i="26" s="1"/>
  <c r="M194" i="55"/>
  <c r="M5" i="38" s="1"/>
  <c r="M192" i="55"/>
  <c r="M3" i="38" s="1"/>
  <c r="M191" i="55"/>
  <c r="M2" i="38" s="1"/>
  <c r="M196" i="55"/>
  <c r="M7" i="38" s="1"/>
  <c r="M197" i="55"/>
  <c r="M8" i="38" s="1"/>
  <c r="M193" i="55"/>
  <c r="M4" i="38" s="1"/>
  <c r="M198" i="55"/>
  <c r="M9" i="38" s="1"/>
  <c r="M195" i="55"/>
  <c r="M6" i="38" s="1"/>
  <c r="M199" i="55"/>
  <c r="M10" i="38" s="1"/>
  <c r="M200" i="55"/>
  <c r="M11" i="38" s="1"/>
  <c r="P243" i="55"/>
  <c r="P2" i="40" s="1"/>
  <c r="P244" i="55"/>
  <c r="P3" i="40" s="1"/>
  <c r="P245" i="55"/>
  <c r="P4" i="40" s="1"/>
  <c r="P250" i="55"/>
  <c r="P9" i="40" s="1"/>
  <c r="P251" i="55"/>
  <c r="P10" i="40" s="1"/>
  <c r="P246" i="55"/>
  <c r="P5" i="40" s="1"/>
  <c r="P249" i="55"/>
  <c r="P8" i="40" s="1"/>
  <c r="P247" i="55"/>
  <c r="P6" i="40" s="1"/>
  <c r="P252" i="55"/>
  <c r="P11" i="40" s="1"/>
  <c r="P248" i="55"/>
  <c r="P7" i="40" s="1"/>
  <c r="AH192" i="55"/>
  <c r="AH3" i="38" s="1"/>
  <c r="AH197" i="55"/>
  <c r="AH8" i="38" s="1"/>
  <c r="AH200" i="55"/>
  <c r="AH11" i="38" s="1"/>
  <c r="AH193" i="55"/>
  <c r="AH4" i="38" s="1"/>
  <c r="AH196" i="55"/>
  <c r="AH7" i="38" s="1"/>
  <c r="AH199" i="55"/>
  <c r="AH10" i="38" s="1"/>
  <c r="AH195" i="55"/>
  <c r="AH6" i="38" s="1"/>
  <c r="AH194" i="55"/>
  <c r="AH5" i="38" s="1"/>
  <c r="AH191" i="55"/>
  <c r="AH2" i="38" s="1"/>
  <c r="AH198" i="55"/>
  <c r="AH9" i="38" s="1"/>
  <c r="AG223" i="55"/>
  <c r="AG8" i="39" s="1"/>
  <c r="AG224" i="55"/>
  <c r="AG9" i="39" s="1"/>
  <c r="AG219" i="55"/>
  <c r="AG4" i="39" s="1"/>
  <c r="AG220" i="55"/>
  <c r="AG5" i="39" s="1"/>
  <c r="AG225" i="55"/>
  <c r="AG10" i="39" s="1"/>
  <c r="AG222" i="55"/>
  <c r="AG7" i="39" s="1"/>
  <c r="AG226" i="55"/>
  <c r="AG11" i="39" s="1"/>
  <c r="AG221" i="55"/>
  <c r="AG6" i="39" s="1"/>
  <c r="AG218" i="55"/>
  <c r="AG3" i="39" s="1"/>
  <c r="AG217" i="55"/>
  <c r="AG2" i="39" s="1"/>
  <c r="Q220" i="55"/>
  <c r="Q5" i="39" s="1"/>
  <c r="Q221" i="55"/>
  <c r="Q6" i="39" s="1"/>
  <c r="Q226" i="55"/>
  <c r="Q11" i="39" s="1"/>
  <c r="Q223" i="55"/>
  <c r="Q8" i="39" s="1"/>
  <c r="Q218" i="55"/>
  <c r="Q3" i="39" s="1"/>
  <c r="Q219" i="55"/>
  <c r="Q4" i="39" s="1"/>
  <c r="Q224" i="55"/>
  <c r="Q9" i="39" s="1"/>
  <c r="Q222" i="55"/>
  <c r="Q7" i="39" s="1"/>
  <c r="Q217" i="55"/>
  <c r="Q2" i="39" s="1"/>
  <c r="Q225" i="55"/>
  <c r="Q10" i="39" s="1"/>
  <c r="AB217" i="55"/>
  <c r="AB2" i="39" s="1"/>
  <c r="AB225" i="55"/>
  <c r="AB10" i="39" s="1"/>
  <c r="AB221" i="55"/>
  <c r="AB6" i="39" s="1"/>
  <c r="AB224" i="55"/>
  <c r="AB9" i="39" s="1"/>
  <c r="AB220" i="55"/>
  <c r="AB5" i="39" s="1"/>
  <c r="AB223" i="55"/>
  <c r="AB8" i="39" s="1"/>
  <c r="AB219" i="55"/>
  <c r="AB4" i="39" s="1"/>
  <c r="AB218" i="55"/>
  <c r="AB3" i="39" s="1"/>
  <c r="AB226" i="55"/>
  <c r="AB11" i="39" s="1"/>
  <c r="AB222" i="55"/>
  <c r="AB7" i="39" s="1"/>
  <c r="AP213" i="55"/>
  <c r="AP206" i="55"/>
  <c r="AP204" i="55"/>
  <c r="AP212" i="55"/>
  <c r="AP210" i="55"/>
  <c r="AP208" i="55"/>
  <c r="AP205" i="55"/>
  <c r="AP209" i="55"/>
  <c r="AP207" i="55"/>
  <c r="AP211" i="55"/>
  <c r="K218" i="55"/>
  <c r="K3" i="39" s="1"/>
  <c r="K221" i="55"/>
  <c r="K6" i="39" s="1"/>
  <c r="K222" i="55"/>
  <c r="K7" i="39" s="1"/>
  <c r="K225" i="55"/>
  <c r="K10" i="39" s="1"/>
  <c r="K226" i="55"/>
  <c r="K11" i="39" s="1"/>
  <c r="K219" i="55"/>
  <c r="K4" i="39" s="1"/>
  <c r="K220" i="55"/>
  <c r="K5" i="39" s="1"/>
  <c r="K223" i="55"/>
  <c r="K8" i="39" s="1"/>
  <c r="K224" i="55"/>
  <c r="K9" i="39" s="1"/>
  <c r="K217" i="55"/>
  <c r="K2" i="39" s="1"/>
  <c r="Y94" i="55"/>
  <c r="Y96" i="55"/>
  <c r="Y87" i="55"/>
  <c r="Y89" i="55"/>
  <c r="Y91" i="55"/>
  <c r="Y93" i="55"/>
  <c r="Y95" i="55"/>
  <c r="Y88" i="55"/>
  <c r="Y92" i="55"/>
  <c r="Y90" i="55"/>
  <c r="AO249" i="55"/>
  <c r="AO243" i="55"/>
  <c r="AO245" i="55"/>
  <c r="AO250" i="55"/>
  <c r="AO246" i="55"/>
  <c r="AO247" i="55"/>
  <c r="AO251" i="55"/>
  <c r="AO248" i="55"/>
  <c r="AO244" i="55"/>
  <c r="AO252" i="55"/>
  <c r="AI63" i="55"/>
  <c r="AI4" i="25" s="1"/>
  <c r="AI65" i="55"/>
  <c r="AI6" i="25" s="1"/>
  <c r="AI70" i="55"/>
  <c r="AI11" i="25" s="1"/>
  <c r="AI66" i="55"/>
  <c r="AI7" i="25" s="1"/>
  <c r="AI61" i="55"/>
  <c r="AI2" i="25" s="1"/>
  <c r="AI67" i="55"/>
  <c r="AI8" i="25" s="1"/>
  <c r="AI64" i="55"/>
  <c r="AI5" i="25" s="1"/>
  <c r="AI68" i="55"/>
  <c r="AI9" i="25" s="1"/>
  <c r="AI69" i="55"/>
  <c r="AI10" i="25" s="1"/>
  <c r="AI62" i="55"/>
  <c r="AI3" i="25" s="1"/>
  <c r="AH135" i="55"/>
  <c r="AH127" i="55"/>
  <c r="AH126" i="55"/>
  <c r="AH134" i="55"/>
  <c r="AH133" i="55"/>
  <c r="AH129" i="55"/>
  <c r="AH132" i="55"/>
  <c r="AH128" i="55"/>
  <c r="AH130" i="55"/>
  <c r="AH131" i="55"/>
  <c r="F209" i="55"/>
  <c r="F211" i="55"/>
  <c r="F213" i="55"/>
  <c r="F208" i="55"/>
  <c r="F206" i="55"/>
  <c r="F204" i="55"/>
  <c r="F212" i="55"/>
  <c r="F210" i="55"/>
  <c r="F205" i="55"/>
  <c r="F207" i="55"/>
  <c r="AI220" i="55"/>
  <c r="AI5" i="39" s="1"/>
  <c r="AI223" i="55"/>
  <c r="AI8" i="39" s="1"/>
  <c r="AI224" i="55"/>
  <c r="AI9" i="39" s="1"/>
  <c r="AI221" i="55"/>
  <c r="AI6" i="39" s="1"/>
  <c r="AI222" i="55"/>
  <c r="AI7" i="39" s="1"/>
  <c r="AI219" i="55"/>
  <c r="AI4" i="39" s="1"/>
  <c r="AI217" i="55"/>
  <c r="AI2" i="39" s="1"/>
  <c r="AI218" i="55"/>
  <c r="AI3" i="39" s="1"/>
  <c r="AI225" i="55"/>
  <c r="AI10" i="39" s="1"/>
  <c r="AI226" i="55"/>
  <c r="AI11" i="39" s="1"/>
  <c r="J194" i="55"/>
  <c r="J5" i="38" s="1"/>
  <c r="J199" i="55"/>
  <c r="J10" i="38" s="1"/>
  <c r="J192" i="55"/>
  <c r="J3" i="38" s="1"/>
  <c r="J195" i="55"/>
  <c r="J6" i="38" s="1"/>
  <c r="J198" i="55"/>
  <c r="J9" i="38" s="1"/>
  <c r="J197" i="55"/>
  <c r="J8" i="38" s="1"/>
  <c r="J196" i="55"/>
  <c r="J7" i="38" s="1"/>
  <c r="J200" i="55"/>
  <c r="J11" i="38" s="1"/>
  <c r="J193" i="55"/>
  <c r="J4" i="38" s="1"/>
  <c r="J191" i="55"/>
  <c r="J2" i="38" s="1"/>
  <c r="AC206" i="55"/>
  <c r="AC208" i="55"/>
  <c r="AC210" i="55"/>
  <c r="AC212" i="55"/>
  <c r="AC205" i="55"/>
  <c r="AC207" i="55"/>
  <c r="AC209" i="55"/>
  <c r="AC211" i="55"/>
  <c r="AC213" i="55"/>
  <c r="AC204" i="55"/>
  <c r="L199" i="55"/>
  <c r="L10" i="38" s="1"/>
  <c r="L195" i="55"/>
  <c r="L6" i="38" s="1"/>
  <c r="L198" i="55"/>
  <c r="L9" i="38" s="1"/>
  <c r="L192" i="55"/>
  <c r="L3" i="38" s="1"/>
  <c r="L191" i="55"/>
  <c r="L2" i="38" s="1"/>
  <c r="L194" i="55"/>
  <c r="L5" i="38" s="1"/>
  <c r="L193" i="55"/>
  <c r="L4" i="38" s="1"/>
  <c r="L197" i="55"/>
  <c r="L8" i="38" s="1"/>
  <c r="L200" i="55"/>
  <c r="L11" i="38" s="1"/>
  <c r="L196" i="55"/>
  <c r="L7" i="38" s="1"/>
  <c r="H198" i="55"/>
  <c r="H9" i="38" s="1"/>
  <c r="H199" i="55"/>
  <c r="H10" i="38" s="1"/>
  <c r="H196" i="55"/>
  <c r="H7" i="38" s="1"/>
  <c r="H195" i="55"/>
  <c r="H6" i="38" s="1"/>
  <c r="H191" i="55"/>
  <c r="H2" i="38" s="1"/>
  <c r="H194" i="55"/>
  <c r="H5" i="38" s="1"/>
  <c r="H200" i="55"/>
  <c r="H11" i="38" s="1"/>
  <c r="H192" i="55"/>
  <c r="H3" i="38" s="1"/>
  <c r="H197" i="55"/>
  <c r="H8" i="38" s="1"/>
  <c r="H193" i="55"/>
  <c r="H4" i="38" s="1"/>
  <c r="AR238" i="55"/>
  <c r="AR234" i="55"/>
  <c r="AR232" i="55"/>
  <c r="AR239" i="55"/>
  <c r="AR233" i="55"/>
  <c r="AR230" i="55"/>
  <c r="AR237" i="55"/>
  <c r="AR231" i="55"/>
  <c r="AR236" i="55"/>
  <c r="AR235" i="55"/>
  <c r="AF66" i="55"/>
  <c r="AF7" i="25" s="1"/>
  <c r="AF68" i="55"/>
  <c r="AF9" i="25" s="1"/>
  <c r="AF70" i="55"/>
  <c r="AF11" i="25" s="1"/>
  <c r="AF61" i="55"/>
  <c r="AF2" i="25" s="1"/>
  <c r="AF63" i="55"/>
  <c r="AF4" i="25" s="1"/>
  <c r="AF65" i="55"/>
  <c r="AF6" i="25" s="1"/>
  <c r="AF69" i="55"/>
  <c r="AF10" i="25" s="1"/>
  <c r="AF67" i="55"/>
  <c r="AF8" i="25" s="1"/>
  <c r="AF62" i="55"/>
  <c r="AF3" i="25" s="1"/>
  <c r="AF64" i="55"/>
  <c r="AF5" i="25" s="1"/>
  <c r="Z249" i="55"/>
  <c r="Z252" i="55"/>
  <c r="Z246" i="55"/>
  <c r="Z250" i="55"/>
  <c r="Z251" i="55"/>
  <c r="Z244" i="55"/>
  <c r="Z247" i="55"/>
  <c r="Z245" i="55"/>
  <c r="Z243" i="55"/>
  <c r="Z248" i="55"/>
  <c r="M88" i="55"/>
  <c r="M3" i="23" s="1"/>
  <c r="M94" i="55"/>
  <c r="M9" i="23" s="1"/>
  <c r="M87" i="55"/>
  <c r="M2" i="23" s="1"/>
  <c r="M89" i="55"/>
  <c r="M4" i="23" s="1"/>
  <c r="M91" i="55"/>
  <c r="M6" i="23" s="1"/>
  <c r="M93" i="55"/>
  <c r="M8" i="23" s="1"/>
  <c r="M95" i="55"/>
  <c r="M10" i="23" s="1"/>
  <c r="M96" i="55"/>
  <c r="M11" i="23" s="1"/>
  <c r="M92" i="55"/>
  <c r="M7" i="23" s="1"/>
  <c r="M90" i="55"/>
  <c r="M5" i="23" s="1"/>
  <c r="AE79" i="55"/>
  <c r="AE7" i="24" s="1"/>
  <c r="AE77" i="55"/>
  <c r="AE5" i="24" s="1"/>
  <c r="AE81" i="55"/>
  <c r="AE9" i="24" s="1"/>
  <c r="AE74" i="55"/>
  <c r="AE2" i="24" s="1"/>
  <c r="AE76" i="55"/>
  <c r="AE4" i="24" s="1"/>
  <c r="AE78" i="55"/>
  <c r="AE6" i="24" s="1"/>
  <c r="AE83" i="55"/>
  <c r="AE11" i="24" s="1"/>
  <c r="AE80" i="55"/>
  <c r="AE8" i="24" s="1"/>
  <c r="AE82" i="55"/>
  <c r="AE10" i="24" s="1"/>
  <c r="AE75" i="55"/>
  <c r="AE3" i="24" s="1"/>
  <c r="M205" i="55"/>
  <c r="M209" i="55"/>
  <c r="M207" i="55"/>
  <c r="M210" i="55"/>
  <c r="M211" i="55"/>
  <c r="M213" i="55"/>
  <c r="M204" i="55"/>
  <c r="M206" i="55"/>
  <c r="M208" i="55"/>
  <c r="M212" i="55"/>
  <c r="C210" i="55"/>
  <c r="C212" i="55"/>
  <c r="C207" i="55"/>
  <c r="C205" i="55"/>
  <c r="C213" i="55"/>
  <c r="C211" i="55"/>
  <c r="C209" i="55"/>
  <c r="C208" i="55"/>
  <c r="C204" i="55"/>
  <c r="C206" i="55"/>
  <c r="P236" i="55"/>
  <c r="P8" i="36" s="1"/>
  <c r="P238" i="55"/>
  <c r="P10" i="36" s="1"/>
  <c r="P230" i="55"/>
  <c r="P2" i="36" s="1"/>
  <c r="P237" i="55"/>
  <c r="P9" i="36" s="1"/>
  <c r="P233" i="55"/>
  <c r="P5" i="36" s="1"/>
  <c r="P234" i="55"/>
  <c r="P6" i="36" s="1"/>
  <c r="P231" i="55"/>
  <c r="P3" i="36" s="1"/>
  <c r="P239" i="55"/>
  <c r="P11" i="36" s="1"/>
  <c r="P235" i="55"/>
  <c r="P7" i="36" s="1"/>
  <c r="P232" i="55"/>
  <c r="P4" i="36" s="1"/>
  <c r="V204" i="55"/>
  <c r="V206" i="55"/>
  <c r="V208" i="55"/>
  <c r="V210" i="55"/>
  <c r="V212" i="55"/>
  <c r="V205" i="55"/>
  <c r="V207" i="55"/>
  <c r="V209" i="55"/>
  <c r="V211" i="55"/>
  <c r="V213" i="55"/>
  <c r="AH220" i="55"/>
  <c r="AH5" i="39" s="1"/>
  <c r="AH219" i="55"/>
  <c r="AH4" i="39" s="1"/>
  <c r="AH223" i="55"/>
  <c r="AH8" i="39" s="1"/>
  <c r="AH226" i="55"/>
  <c r="AH11" i="39" s="1"/>
  <c r="AH222" i="55"/>
  <c r="AH7" i="39" s="1"/>
  <c r="AH218" i="55"/>
  <c r="AH3" i="39" s="1"/>
  <c r="AH217" i="55"/>
  <c r="AH2" i="39" s="1"/>
  <c r="AH225" i="55"/>
  <c r="AH10" i="39" s="1"/>
  <c r="AH221" i="55"/>
  <c r="AH6" i="39" s="1"/>
  <c r="AH224" i="55"/>
  <c r="AH9" i="39" s="1"/>
  <c r="Q230" i="55"/>
  <c r="Q2" i="36" s="1"/>
  <c r="Q236" i="55"/>
  <c r="Q8" i="36" s="1"/>
  <c r="Q232" i="55"/>
  <c r="Q4" i="36" s="1"/>
  <c r="Q235" i="55"/>
  <c r="Q7" i="36" s="1"/>
  <c r="Q231" i="55"/>
  <c r="Q3" i="36" s="1"/>
  <c r="Q238" i="55"/>
  <c r="Q10" i="36" s="1"/>
  <c r="Q233" i="55"/>
  <c r="Q5" i="36" s="1"/>
  <c r="Q234" i="55"/>
  <c r="Q6" i="36" s="1"/>
  <c r="Q237" i="55"/>
  <c r="Q9" i="36" s="1"/>
  <c r="Q239" i="55"/>
  <c r="Q11" i="36" s="1"/>
  <c r="AB249" i="55"/>
  <c r="AB243" i="55"/>
  <c r="AB250" i="55"/>
  <c r="AB251" i="55"/>
  <c r="AB246" i="55"/>
  <c r="AB247" i="55"/>
  <c r="AB245" i="55"/>
  <c r="AB248" i="55"/>
  <c r="AB244" i="55"/>
  <c r="AB252" i="55"/>
  <c r="AP200" i="55"/>
  <c r="AP11" i="38" s="1"/>
  <c r="AP196" i="55"/>
  <c r="AP7" i="38" s="1"/>
  <c r="AP199" i="55"/>
  <c r="AP10" i="38" s="1"/>
  <c r="AP192" i="55"/>
  <c r="AP3" i="38" s="1"/>
  <c r="AP195" i="55"/>
  <c r="AP6" i="38" s="1"/>
  <c r="AP194" i="55"/>
  <c r="AP5" i="38" s="1"/>
  <c r="AP197" i="55"/>
  <c r="AP8" i="38" s="1"/>
  <c r="AP193" i="55"/>
  <c r="AP4" i="38" s="1"/>
  <c r="AP191" i="55"/>
  <c r="AP2" i="38" s="1"/>
  <c r="AP198" i="55"/>
  <c r="AP9" i="38" s="1"/>
  <c r="K237" i="55"/>
  <c r="K9" i="36" s="1"/>
  <c r="K236" i="55"/>
  <c r="K8" i="36" s="1"/>
  <c r="K234" i="55"/>
  <c r="K6" i="36" s="1"/>
  <c r="K235" i="55"/>
  <c r="K7" i="36" s="1"/>
  <c r="K239" i="55"/>
  <c r="K11" i="36" s="1"/>
  <c r="K238" i="55"/>
  <c r="K10" i="36" s="1"/>
  <c r="K232" i="55"/>
  <c r="K4" i="36" s="1"/>
  <c r="K230" i="55"/>
  <c r="K2" i="36" s="1"/>
  <c r="K231" i="55"/>
  <c r="K3" i="36" s="1"/>
  <c r="K233" i="55"/>
  <c r="K5" i="36" s="1"/>
  <c r="Y68" i="55"/>
  <c r="Y9" i="25" s="1"/>
  <c r="Y70" i="55"/>
  <c r="Y11" i="25" s="1"/>
  <c r="Y67" i="55"/>
  <c r="Y8" i="25" s="1"/>
  <c r="Y62" i="55"/>
  <c r="Y3" i="25" s="1"/>
  <c r="Y61" i="55"/>
  <c r="Y2" i="25" s="1"/>
  <c r="Y63" i="55"/>
  <c r="Y4" i="25" s="1"/>
  <c r="Y65" i="55"/>
  <c r="Y6" i="25" s="1"/>
  <c r="Y64" i="55"/>
  <c r="Y5" i="25" s="1"/>
  <c r="Y66" i="55"/>
  <c r="Y7" i="25" s="1"/>
  <c r="Y69" i="55"/>
  <c r="Y10" i="25" s="1"/>
  <c r="AO191" i="55"/>
  <c r="AO2" i="38" s="1"/>
  <c r="AO195" i="55"/>
  <c r="AO6" i="38" s="1"/>
  <c r="AO200" i="55"/>
  <c r="AO11" i="38" s="1"/>
  <c r="AO196" i="55"/>
  <c r="AO7" i="38" s="1"/>
  <c r="AO192" i="55"/>
  <c r="AO3" i="38" s="1"/>
  <c r="AO197" i="55"/>
  <c r="AO8" i="38" s="1"/>
  <c r="AO199" i="55"/>
  <c r="AO10" i="38" s="1"/>
  <c r="AO198" i="55"/>
  <c r="AO9" i="38" s="1"/>
  <c r="AO194" i="55"/>
  <c r="AO5" i="38" s="1"/>
  <c r="AO193" i="55"/>
  <c r="AO4" i="38" s="1"/>
  <c r="AI43" i="55"/>
  <c r="AI10" i="26" s="1"/>
  <c r="AI36" i="55"/>
  <c r="AI3" i="26" s="1"/>
  <c r="AI38" i="55"/>
  <c r="AI5" i="26" s="1"/>
  <c r="AI40" i="55"/>
  <c r="AI7" i="26" s="1"/>
  <c r="AI42" i="55"/>
  <c r="AI9" i="26" s="1"/>
  <c r="AI44" i="55"/>
  <c r="AI11" i="26" s="1"/>
  <c r="AI35" i="55"/>
  <c r="AI2" i="26" s="1"/>
  <c r="AI37" i="55"/>
  <c r="AI4" i="26" s="1"/>
  <c r="AI39" i="55"/>
  <c r="AI6" i="26" s="1"/>
  <c r="AI41" i="55"/>
  <c r="AI8" i="26" s="1"/>
  <c r="AH173" i="55"/>
  <c r="AH166" i="55"/>
  <c r="AH172" i="55"/>
  <c r="AH169" i="55"/>
  <c r="AH165" i="55"/>
  <c r="AH174" i="55"/>
  <c r="AH168" i="55"/>
  <c r="AH171" i="55"/>
  <c r="AH167" i="55"/>
  <c r="AH170" i="55"/>
  <c r="F196" i="55"/>
  <c r="F7" i="38" s="1"/>
  <c r="F192" i="55"/>
  <c r="F3" i="38" s="1"/>
  <c r="F199" i="55"/>
  <c r="F10" i="38" s="1"/>
  <c r="F195" i="55"/>
  <c r="F6" i="38" s="1"/>
  <c r="F191" i="55"/>
  <c r="F2" i="38" s="1"/>
  <c r="F198" i="55"/>
  <c r="F9" i="38" s="1"/>
  <c r="F194" i="55"/>
  <c r="F5" i="38" s="1"/>
  <c r="F197" i="55"/>
  <c r="F8" i="38" s="1"/>
  <c r="F193" i="55"/>
  <c r="F4" i="38" s="1"/>
  <c r="F200" i="55"/>
  <c r="F11" i="38" s="1"/>
  <c r="AI244" i="55"/>
  <c r="AI250" i="55"/>
  <c r="AI246" i="55"/>
  <c r="AI245" i="55"/>
  <c r="AI251" i="55"/>
  <c r="AI249" i="55"/>
  <c r="AI248" i="55"/>
  <c r="AI243" i="55"/>
  <c r="AI252" i="55"/>
  <c r="AI247" i="55"/>
  <c r="J235" i="55"/>
  <c r="J7" i="36" s="1"/>
  <c r="J232" i="55"/>
  <c r="J4" i="36" s="1"/>
  <c r="J237" i="55"/>
  <c r="J9" i="36" s="1"/>
  <c r="J238" i="55"/>
  <c r="J10" i="36" s="1"/>
  <c r="J233" i="55"/>
  <c r="J5" i="36" s="1"/>
  <c r="J239" i="55"/>
  <c r="J11" i="36" s="1"/>
  <c r="J236" i="55"/>
  <c r="J8" i="36" s="1"/>
  <c r="J231" i="55"/>
  <c r="J3" i="36" s="1"/>
  <c r="J230" i="55"/>
  <c r="J2" i="36" s="1"/>
  <c r="J234" i="55"/>
  <c r="J6" i="36" s="1"/>
  <c r="AK213" i="55"/>
  <c r="AK211" i="55"/>
  <c r="AK207" i="55"/>
  <c r="AK209" i="55"/>
  <c r="AK204" i="55"/>
  <c r="AK206" i="55"/>
  <c r="AK212" i="55"/>
  <c r="AK210" i="55"/>
  <c r="AK208" i="55"/>
  <c r="AK205" i="55"/>
  <c r="AC223" i="55"/>
  <c r="AC8" i="39" s="1"/>
  <c r="AC221" i="55"/>
  <c r="AC6" i="39" s="1"/>
  <c r="AC219" i="55"/>
  <c r="AC4" i="39" s="1"/>
  <c r="AC217" i="55"/>
  <c r="AC2" i="39" s="1"/>
  <c r="AC226" i="55"/>
  <c r="AC11" i="39" s="1"/>
  <c r="AC220" i="55"/>
  <c r="AC5" i="39" s="1"/>
  <c r="AC224" i="55"/>
  <c r="AC9" i="39" s="1"/>
  <c r="AC225" i="55"/>
  <c r="AC10" i="39" s="1"/>
  <c r="AC218" i="55"/>
  <c r="AC3" i="39" s="1"/>
  <c r="AC222" i="55"/>
  <c r="AC7" i="39" s="1"/>
  <c r="L252" i="55"/>
  <c r="L11" i="40" s="1"/>
  <c r="L251" i="55"/>
  <c r="L10" i="40" s="1"/>
  <c r="L246" i="55"/>
  <c r="L5" i="40" s="1"/>
  <c r="L249" i="55"/>
  <c r="L8" i="40" s="1"/>
  <c r="L245" i="55"/>
  <c r="L4" i="40" s="1"/>
  <c r="L243" i="55"/>
  <c r="L2" i="40" s="1"/>
  <c r="L250" i="55"/>
  <c r="L9" i="40" s="1"/>
  <c r="L244" i="55"/>
  <c r="L3" i="40" s="1"/>
  <c r="L248" i="55"/>
  <c r="L7" i="40" s="1"/>
  <c r="L247" i="55"/>
  <c r="L6" i="40" s="1"/>
  <c r="AR199" i="55"/>
  <c r="AR10" i="38" s="1"/>
  <c r="AR195" i="55"/>
  <c r="AR6" i="38" s="1"/>
  <c r="AR193" i="55"/>
  <c r="AR4" i="38" s="1"/>
  <c r="AR197" i="55"/>
  <c r="AR8" i="38" s="1"/>
  <c r="AR191" i="55"/>
  <c r="AR2" i="38" s="1"/>
  <c r="AR192" i="55"/>
  <c r="AR3" i="38" s="1"/>
  <c r="AR198" i="55"/>
  <c r="AR9" i="38" s="1"/>
  <c r="AR194" i="55"/>
  <c r="AR5" i="38" s="1"/>
  <c r="AR200" i="55"/>
  <c r="AR11" i="38" s="1"/>
  <c r="AR196" i="55"/>
  <c r="AR7" i="38" s="1"/>
  <c r="AB54" i="55"/>
  <c r="AB51" i="55"/>
  <c r="AB48" i="55"/>
  <c r="AB49" i="55"/>
  <c r="AB53" i="55"/>
  <c r="AB55" i="55"/>
  <c r="AB57" i="55"/>
  <c r="AB50" i="55"/>
  <c r="AB56" i="55"/>
  <c r="AB52" i="55"/>
  <c r="Z197" i="55"/>
  <c r="Z8" i="38" s="1"/>
  <c r="Z200" i="55"/>
  <c r="Z11" i="38" s="1"/>
  <c r="Z191" i="55"/>
  <c r="Z2" i="38" s="1"/>
  <c r="Z196" i="55"/>
  <c r="Z7" i="38" s="1"/>
  <c r="Z192" i="55"/>
  <c r="Z3" i="38" s="1"/>
  <c r="Z198" i="55"/>
  <c r="Z9" i="38" s="1"/>
  <c r="Z199" i="55"/>
  <c r="Z10" i="38" s="1"/>
  <c r="Z193" i="55"/>
  <c r="Z4" i="38" s="1"/>
  <c r="Z195" i="55"/>
  <c r="Z6" i="38" s="1"/>
  <c r="Z194" i="55"/>
  <c r="Z5" i="38" s="1"/>
  <c r="M62" i="55"/>
  <c r="M3" i="25" s="1"/>
  <c r="M64" i="55"/>
  <c r="M5" i="25" s="1"/>
  <c r="M70" i="55"/>
  <c r="M11" i="25" s="1"/>
  <c r="M66" i="55"/>
  <c r="M7" i="25" s="1"/>
  <c r="M69" i="55"/>
  <c r="M10" i="25" s="1"/>
  <c r="M67" i="55"/>
  <c r="M8" i="25" s="1"/>
  <c r="M61" i="55"/>
  <c r="M2" i="25" s="1"/>
  <c r="M65" i="55"/>
  <c r="M6" i="25" s="1"/>
  <c r="M63" i="55"/>
  <c r="M4" i="25" s="1"/>
  <c r="M68" i="55"/>
  <c r="M9" i="25" s="1"/>
  <c r="AE88" i="55"/>
  <c r="AE90" i="55"/>
  <c r="AE92" i="55"/>
  <c r="AE94" i="55"/>
  <c r="AE96" i="55"/>
  <c r="AE89" i="55"/>
  <c r="AE93" i="55"/>
  <c r="AE87" i="55"/>
  <c r="AE91" i="55"/>
  <c r="AE95" i="55"/>
  <c r="M220" i="55"/>
  <c r="M5" i="39" s="1"/>
  <c r="M218" i="55"/>
  <c r="M3" i="39" s="1"/>
  <c r="M226" i="55"/>
  <c r="M11" i="39" s="1"/>
  <c r="M225" i="55"/>
  <c r="M10" i="39" s="1"/>
  <c r="M224" i="55"/>
  <c r="M9" i="39" s="1"/>
  <c r="M221" i="55"/>
  <c r="M6" i="39" s="1"/>
  <c r="M222" i="55"/>
  <c r="M7" i="39" s="1"/>
  <c r="M223" i="55"/>
  <c r="M8" i="39" s="1"/>
  <c r="M217" i="55"/>
  <c r="M2" i="39" s="1"/>
  <c r="M219" i="55"/>
  <c r="M4" i="39" s="1"/>
  <c r="C195" i="55"/>
  <c r="C6" i="38" s="1"/>
  <c r="C197" i="55"/>
  <c r="C8" i="38" s="1"/>
  <c r="C200" i="55"/>
  <c r="C11" i="38" s="1"/>
  <c r="C194" i="55"/>
  <c r="C5" i="38" s="1"/>
  <c r="C196" i="55"/>
  <c r="C7" i="38" s="1"/>
  <c r="C191" i="55"/>
  <c r="C2" i="38" s="1"/>
  <c r="C198" i="55"/>
  <c r="C9" i="38" s="1"/>
  <c r="C199" i="55"/>
  <c r="C10" i="38" s="1"/>
  <c r="C192" i="55"/>
  <c r="C3" i="38" s="1"/>
  <c r="C193" i="55"/>
  <c r="C4" i="38" s="1"/>
  <c r="V197" i="55"/>
  <c r="V8" i="38" s="1"/>
  <c r="V200" i="55"/>
  <c r="V11" i="38" s="1"/>
  <c r="V193" i="55"/>
  <c r="V4" i="38" s="1"/>
  <c r="V196" i="55"/>
  <c r="V7" i="38" s="1"/>
  <c r="V199" i="55"/>
  <c r="V10" i="38" s="1"/>
  <c r="V195" i="55"/>
  <c r="V6" i="38" s="1"/>
  <c r="V198" i="55"/>
  <c r="V9" i="38" s="1"/>
  <c r="V191" i="55"/>
  <c r="V2" i="38" s="1"/>
  <c r="V194" i="55"/>
  <c r="V5" i="38" s="1"/>
  <c r="V192" i="55"/>
  <c r="V3" i="38" s="1"/>
  <c r="AH251" i="55"/>
  <c r="AH244" i="55"/>
  <c r="AH247" i="55"/>
  <c r="AH248" i="55"/>
  <c r="AH243" i="55"/>
  <c r="AH249" i="55"/>
  <c r="AH246" i="55"/>
  <c r="AH252" i="55"/>
  <c r="AH250" i="55"/>
  <c r="AH245" i="55"/>
  <c r="AQ195" i="55"/>
  <c r="AQ6" i="38" s="1"/>
  <c r="AQ200" i="55"/>
  <c r="AQ11" i="38" s="1"/>
  <c r="AQ196" i="55"/>
  <c r="AQ7" i="38" s="1"/>
  <c r="AQ192" i="55"/>
  <c r="AQ3" i="38" s="1"/>
  <c r="AQ197" i="55"/>
  <c r="AQ8" i="38" s="1"/>
  <c r="AQ193" i="55"/>
  <c r="AQ4" i="38" s="1"/>
  <c r="AQ194" i="55"/>
  <c r="AQ5" i="38" s="1"/>
  <c r="AQ199" i="55"/>
  <c r="AQ10" i="38" s="1"/>
  <c r="AQ198" i="55"/>
  <c r="AQ9" i="38" s="1"/>
  <c r="AQ191" i="55"/>
  <c r="AQ2" i="38" s="1"/>
  <c r="AB194" i="55"/>
  <c r="AB5" i="38" s="1"/>
  <c r="AB197" i="55"/>
  <c r="AB8" i="38" s="1"/>
  <c r="AB198" i="55"/>
  <c r="AB9" i="38" s="1"/>
  <c r="AB191" i="55"/>
  <c r="AB2" i="38" s="1"/>
  <c r="AB193" i="55"/>
  <c r="AB4" i="38" s="1"/>
  <c r="AB200" i="55"/>
  <c r="AB11" i="38" s="1"/>
  <c r="AB196" i="55"/>
  <c r="AB7" i="38" s="1"/>
  <c r="AB199" i="55"/>
  <c r="AB10" i="38" s="1"/>
  <c r="AB192" i="55"/>
  <c r="AB3" i="38" s="1"/>
  <c r="AB195" i="55"/>
  <c r="AB6" i="38" s="1"/>
  <c r="S200" i="55"/>
  <c r="S11" i="38" s="1"/>
  <c r="S196" i="55"/>
  <c r="S7" i="38" s="1"/>
  <c r="S192" i="55"/>
  <c r="S3" i="38" s="1"/>
  <c r="S197" i="55"/>
  <c r="S8" i="38" s="1"/>
  <c r="S193" i="55"/>
  <c r="S4" i="38" s="1"/>
  <c r="S198" i="55"/>
  <c r="S9" i="38" s="1"/>
  <c r="S199" i="55"/>
  <c r="S10" i="38" s="1"/>
  <c r="S194" i="55"/>
  <c r="S5" i="38" s="1"/>
  <c r="S195" i="55"/>
  <c r="S6" i="38" s="1"/>
  <c r="S191" i="55"/>
  <c r="S2" i="38" s="1"/>
  <c r="AP247" i="55"/>
  <c r="AP246" i="55"/>
  <c r="AP251" i="55"/>
  <c r="AP250" i="55"/>
  <c r="AP244" i="55"/>
  <c r="AP249" i="55"/>
  <c r="AP248" i="55"/>
  <c r="AP245" i="55"/>
  <c r="AP243" i="55"/>
  <c r="AP252" i="55"/>
  <c r="K248" i="55"/>
  <c r="K7" i="40" s="1"/>
  <c r="K244" i="55"/>
  <c r="K3" i="40" s="1"/>
  <c r="K245" i="55"/>
  <c r="K4" i="40" s="1"/>
  <c r="K250" i="55"/>
  <c r="K9" i="40" s="1"/>
  <c r="K246" i="55"/>
  <c r="K5" i="40" s="1"/>
  <c r="K249" i="55"/>
  <c r="K8" i="40" s="1"/>
  <c r="K247" i="55"/>
  <c r="K6" i="40" s="1"/>
  <c r="K252" i="55"/>
  <c r="K11" i="40" s="1"/>
  <c r="K243" i="55"/>
  <c r="K2" i="40" s="1"/>
  <c r="K251" i="55"/>
  <c r="K10" i="40" s="1"/>
  <c r="D19" i="55" l="1"/>
  <c r="E19" i="55" s="1"/>
  <c r="D2" i="37"/>
  <c r="D6" i="37"/>
  <c r="D3" i="37"/>
  <c r="D11" i="37"/>
  <c r="D10" i="37"/>
  <c r="D8" i="37"/>
  <c r="D7" i="37"/>
  <c r="D5" i="37"/>
  <c r="D4" i="37"/>
  <c r="D9" i="37"/>
  <c r="W8" i="41"/>
  <c r="R10" i="41"/>
  <c r="E11" i="41"/>
  <c r="E11" i="69"/>
  <c r="E2" i="41"/>
  <c r="D3" i="41"/>
  <c r="W11" i="41"/>
  <c r="W11" i="69"/>
  <c r="M3" i="41"/>
  <c r="W9" i="41"/>
  <c r="W10" i="41"/>
  <c r="E10" i="41"/>
  <c r="E5" i="41"/>
  <c r="D8" i="41"/>
  <c r="W2" i="41"/>
  <c r="P2" i="41"/>
  <c r="I6" i="41"/>
  <c r="I8" i="41"/>
  <c r="M6" i="41"/>
  <c r="R6" i="41"/>
  <c r="D9" i="41"/>
  <c r="D7" i="41"/>
  <c r="D4" i="41"/>
  <c r="I4" i="41"/>
  <c r="W6" i="41"/>
  <c r="R2" i="41"/>
  <c r="R9" i="41"/>
  <c r="D11" i="41"/>
  <c r="D11" i="69"/>
  <c r="P6" i="41"/>
  <c r="E9" i="41"/>
  <c r="R8" i="41"/>
  <c r="E6" i="41"/>
  <c r="P9" i="41"/>
  <c r="I10" i="41"/>
  <c r="M5" i="41"/>
  <c r="M2" i="41"/>
  <c r="E7" i="41"/>
  <c r="M8" i="41"/>
  <c r="R4" i="41"/>
  <c r="P8" i="41"/>
  <c r="W4" i="41"/>
  <c r="R7" i="41"/>
  <c r="D6" i="41"/>
  <c r="W7" i="41"/>
  <c r="M9" i="41"/>
  <c r="E4" i="41"/>
  <c r="D2" i="41"/>
  <c r="W3" i="41"/>
  <c r="M11" i="41"/>
  <c r="M11" i="69"/>
  <c r="P11" i="41"/>
  <c r="P11" i="69"/>
  <c r="W5" i="41"/>
  <c r="M7" i="41"/>
  <c r="R5" i="41"/>
  <c r="R11" i="41"/>
  <c r="R11" i="69"/>
  <c r="I3" i="41"/>
  <c r="D217" i="55"/>
  <c r="D2" i="39" s="1"/>
  <c r="D226" i="55"/>
  <c r="D11" i="39" s="1"/>
  <c r="D222" i="55"/>
  <c r="D7" i="39" s="1"/>
  <c r="D218" i="55"/>
  <c r="D3" i="39" s="1"/>
  <c r="D224" i="55"/>
  <c r="D9" i="39" s="1"/>
  <c r="D220" i="55"/>
  <c r="D5" i="39" s="1"/>
  <c r="D223" i="55"/>
  <c r="D8" i="39" s="1"/>
  <c r="D225" i="55"/>
  <c r="D10" i="39" s="1"/>
  <c r="D219" i="55"/>
  <c r="D4" i="39" s="1"/>
  <c r="D221" i="55"/>
  <c r="D6" i="39" s="1"/>
  <c r="D195" i="55"/>
  <c r="D6" i="38" s="1"/>
  <c r="D198" i="55"/>
  <c r="D9" i="38" s="1"/>
  <c r="D191" i="55"/>
  <c r="D2" i="38" s="1"/>
  <c r="D194" i="55"/>
  <c r="D5" i="38" s="1"/>
  <c r="D197" i="55"/>
  <c r="D8" i="38" s="1"/>
  <c r="D193" i="55"/>
  <c r="D4" i="38" s="1"/>
  <c r="D200" i="55"/>
  <c r="D11" i="38" s="1"/>
  <c r="D196" i="55"/>
  <c r="D7" i="38" s="1"/>
  <c r="D192" i="55"/>
  <c r="D3" i="38" s="1"/>
  <c r="D199" i="55"/>
  <c r="D10" i="38" s="1"/>
  <c r="D205" i="55"/>
  <c r="D212" i="55"/>
  <c r="D207" i="55"/>
  <c r="D209" i="55"/>
  <c r="D211" i="55"/>
  <c r="D213" i="55"/>
  <c r="D210" i="55"/>
  <c r="D208" i="55"/>
  <c r="D204" i="55"/>
  <c r="D206" i="55"/>
  <c r="D246" i="55"/>
  <c r="D5" i="40" s="1"/>
  <c r="D243" i="55"/>
  <c r="D2" i="40" s="1"/>
  <c r="D244" i="55"/>
  <c r="D3" i="40" s="1"/>
  <c r="D245" i="55"/>
  <c r="D4" i="40" s="1"/>
  <c r="D250" i="55"/>
  <c r="D9" i="40" s="1"/>
  <c r="D251" i="55"/>
  <c r="D10" i="40" s="1"/>
  <c r="D247" i="55"/>
  <c r="D6" i="40" s="1"/>
  <c r="D252" i="55"/>
  <c r="D11" i="40" s="1"/>
  <c r="D249" i="55"/>
  <c r="D8" i="40" s="1"/>
  <c r="D248" i="55"/>
  <c r="D7" i="40" s="1"/>
  <c r="D237" i="55"/>
  <c r="D9" i="36" s="1"/>
  <c r="D233" i="55"/>
  <c r="D5" i="36" s="1"/>
  <c r="D235" i="55"/>
  <c r="D7" i="36" s="1"/>
  <c r="D232" i="55"/>
  <c r="D4" i="36" s="1"/>
  <c r="D238" i="55"/>
  <c r="D10" i="36" s="1"/>
  <c r="D231" i="55"/>
  <c r="D3" i="36" s="1"/>
  <c r="D234" i="55"/>
  <c r="D6" i="36" s="1"/>
  <c r="D239" i="55"/>
  <c r="D11" i="36" s="1"/>
  <c r="D230" i="55"/>
  <c r="D2" i="36" s="1"/>
  <c r="D236" i="55"/>
  <c r="D8" i="36" s="1"/>
  <c r="D18" i="55" l="1"/>
  <c r="E18" i="5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<sst xmlns="http://schemas.openxmlformats.org/spreadsheetml/2006/main" count="2414" uniqueCount="1173">
  <si>
    <t>electricity (BTU)</t>
  </si>
  <si>
    <t>coal (BTU)</t>
  </si>
  <si>
    <t>natural gas (BTU)</t>
  </si>
  <si>
    <t>petroleum diesel (BTU)</t>
  </si>
  <si>
    <t>heat (BTU)</t>
  </si>
  <si>
    <t>biomass (BTU)</t>
  </si>
  <si>
    <t>kerosene (BTU)</t>
  </si>
  <si>
    <t>heavy or residual fuel oil (BTU)</t>
  </si>
  <si>
    <t>LPG propane or butane (BTU)</t>
  </si>
  <si>
    <t>hydrogen(BTU)</t>
    <phoneticPr fontId="3" type="noConversion"/>
  </si>
  <si>
    <t>农村人口</t>
    <phoneticPr fontId="3" type="noConversion"/>
  </si>
  <si>
    <t>urban-residential-cooling</t>
    <phoneticPr fontId="3" type="noConversion"/>
  </si>
  <si>
    <t>urban-residential-heating</t>
  </si>
  <si>
    <t>urban-residential-lighting</t>
  </si>
  <si>
    <t>urban-residential-appl</t>
  </si>
  <si>
    <t>urban-residential-other</t>
  </si>
  <si>
    <t>rural-residential-heating</t>
  </si>
  <si>
    <t>rural-residential-cooling</t>
  </si>
  <si>
    <t>rural-residential-lighting</t>
  </si>
  <si>
    <t>rural-residential-appl</t>
  </si>
  <si>
    <t>rural-residential-other</t>
  </si>
  <si>
    <t>commercial-heating</t>
  </si>
  <si>
    <t>commercial-cooling</t>
  </si>
  <si>
    <t>commercial-lighting</t>
  </si>
  <si>
    <t>commercial-appl</t>
  </si>
  <si>
    <t>commercial-other</t>
  </si>
  <si>
    <t>Year</t>
  </si>
  <si>
    <t>hydrogen (BTU)</t>
  </si>
  <si>
    <t>urban-residential-envelope</t>
    <phoneticPr fontId="3" type="noConversion"/>
  </si>
  <si>
    <t>rural-residential-envelope</t>
    <phoneticPr fontId="3" type="noConversion"/>
  </si>
  <si>
    <t>commercial-envelope</t>
    <phoneticPr fontId="3" type="noConversion"/>
  </si>
  <si>
    <t>City</t>
  </si>
  <si>
    <t>北京市</t>
  </si>
  <si>
    <t>天津市</t>
  </si>
  <si>
    <t>河北省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</si>
  <si>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</si>
  <si>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</si>
  <si>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</si>
  <si>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</si>
  <si>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</si>
  <si>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</si>
  <si>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</si>
  <si>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</si>
  <si>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</si>
  <si>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</si>
  <si>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</si>
  <si>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</si>
  <si>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</si>
  <si>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</si>
  <si>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</si>
  <si>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</si>
  <si>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</si>
  <si>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</si>
  <si>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</si>
  <si>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</si>
  <si>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</si>
  <si>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</si>
  <si>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</si>
  <si>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</si>
  <si>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</si>
  <si>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</si>
  <si>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</si>
  <si>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</si>
  <si>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</si>
  <si>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</si>
  <si>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</si>
  <si>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</si>
  <si>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</si>
  <si>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</si>
  <si>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</si>
  <si>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</si>
  <si>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辽宁省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</si>
  <si>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</si>
  <si>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</si>
  <si>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</si>
  <si>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</si>
  <si>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</si>
  <si>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</si>
  <si>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</si>
  <si>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</si>
  <si>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</si>
  <si>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</si>
  <si>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</si>
  <si>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</si>
  <si>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</si>
  <si>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</si>
  <si>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</si>
  <si>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</si>
  <si>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</si>
  <si>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</si>
  <si>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</si>
  <si>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</si>
  <si>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</si>
  <si>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</si>
  <si>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</si>
  <si>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</si>
  <si>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</si>
  <si>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</si>
  <si>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</si>
  <si>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</si>
  <si>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</si>
  <si>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</si>
  <si>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</si>
  <si>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</si>
  <si>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</si>
  <si>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</si>
  <si>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</si>
  <si>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</si>
  <si>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</si>
  <si>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</si>
  <si>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上海市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</si>
  <si>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</si>
  <si>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</si>
  <si>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</si>
  <si>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</si>
  <si>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</si>
  <si>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</si>
  <si>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</si>
  <si>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</si>
  <si>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</si>
  <si>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</si>
  <si>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</si>
  <si>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</si>
  <si>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</si>
  <si>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</si>
  <si>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</si>
  <si>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</si>
  <si>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</si>
  <si>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</si>
  <si>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</si>
  <si>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</si>
  <si>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</si>
  <si>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</si>
  <si>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</si>
  <si>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</si>
  <si>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</si>
  <si>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</si>
  <si>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</si>
  <si>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</si>
  <si>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</si>
  <si>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</si>
  <si>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</si>
  <si>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</si>
  <si>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</si>
  <si>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</si>
  <si>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</si>
  <si>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</si>
  <si>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</si>
  <si>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</si>
  <si>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</si>
  <si>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</si>
  <si>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</si>
  <si>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</si>
  <si>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</si>
  <si>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</si>
  <si>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</si>
  <si>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</si>
  <si>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</si>
  <si>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</si>
  <si>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</si>
  <si>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</si>
  <si>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</si>
  <si>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</si>
  <si>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</si>
  <si>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</si>
  <si>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</si>
  <si>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</si>
  <si>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</si>
  <si>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</si>
  <si>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</si>
  <si>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</si>
  <si>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</si>
  <si>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</si>
  <si>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</si>
  <si>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</si>
  <si>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</si>
  <si>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</si>
  <si>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</si>
  <si>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</si>
  <si>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</si>
  <si>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</si>
  <si>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</si>
  <si>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</si>
  <si>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</si>
  <si>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</si>
  <si>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</si>
  <si>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</si>
  <si>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</si>
  <si>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</si>
  <si>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</si>
  <si>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</si>
  <si>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</si>
  <si>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</si>
  <si>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</si>
  <si>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</si>
  <si>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</si>
  <si>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</si>
  <si>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</si>
  <si>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</si>
  <si>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</si>
  <si>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</si>
  <si>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</si>
  <si>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</si>
  <si>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</si>
  <si>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</si>
  <si>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</si>
  <si>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</si>
  <si>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</si>
  <si>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</si>
  <si>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</si>
  <si>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</si>
  <si>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</si>
  <si>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</si>
  <si>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</si>
  <si>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</si>
  <si>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</si>
  <si>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</si>
  <si>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</si>
  <si>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</si>
  <si>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</si>
  <si>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</si>
  <si>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</si>
  <si>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</si>
  <si>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</si>
  <si>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</si>
  <si>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</si>
  <si>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仙桃市</t>
  </si>
  <si>
    <t>潜江市</t>
  </si>
  <si>
    <t>天门市</t>
  </si>
  <si>
    <t>神农架林区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</si>
  <si>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</si>
  <si>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</si>
  <si>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</si>
  <si>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</si>
  <si>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</si>
  <si>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</si>
  <si>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</si>
  <si>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</si>
  <si>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</si>
  <si>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</si>
  <si>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</si>
  <si>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</si>
  <si>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</si>
  <si>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</si>
  <si>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</si>
  <si>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</si>
  <si>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</si>
  <si>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</si>
  <si>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</si>
  <si>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</si>
  <si>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</si>
  <si>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</si>
  <si>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</si>
  <si>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</si>
  <si>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</si>
  <si>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</si>
  <si>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</si>
  <si>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</si>
  <si>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</si>
  <si>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</si>
  <si>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</si>
  <si>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</si>
  <si>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</si>
  <si>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</si>
  <si>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</si>
  <si>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</si>
  <si>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</si>
  <si>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</si>
  <si>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</si>
  <si>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</si>
  <si>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</si>
  <si>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</si>
  <si>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</si>
  <si>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</si>
  <si>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</si>
  <si>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</si>
  <si>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</si>
  <si>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</si>
  <si>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</si>
  <si>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</si>
  <si>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</si>
  <si>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</si>
  <si>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</si>
  <si>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</si>
  <si>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</si>
  <si>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三沙市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</si>
  <si>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</si>
  <si>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</si>
  <si>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</si>
  <si>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</si>
  <si>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</si>
  <si>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</si>
  <si>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</si>
  <si>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</si>
  <si>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</si>
  <si>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</si>
  <si>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</si>
  <si>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</si>
  <si>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</si>
  <si>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</si>
  <si>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</si>
  <si>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</si>
  <si>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</si>
  <si>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</si>
  <si>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</si>
  <si>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</si>
  <si>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</si>
  <si>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</si>
  <si>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</si>
  <si>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</si>
  <si>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</si>
  <si>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</si>
  <si>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</si>
  <si>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</si>
  <si>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</si>
  <si>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</si>
  <si>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</si>
  <si>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</si>
  <si>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</si>
  <si>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</si>
  <si>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</si>
  <si>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</si>
  <si>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</si>
  <si>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</si>
  <si>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</si>
  <si>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贵州省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</si>
  <si>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</si>
  <si>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</si>
  <si>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</si>
  <si>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</si>
  <si>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</si>
  <si>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</si>
  <si>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</si>
  <si>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</si>
  <si>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</si>
  <si>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</si>
  <si>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</si>
  <si>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</si>
  <si>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</si>
  <si>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</si>
  <si>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</si>
  <si>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</si>
  <si>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</si>
  <si>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</si>
  <si>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</si>
  <si>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</si>
  <si>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</si>
  <si>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</si>
  <si>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</si>
  <si>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</si>
  <si>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</si>
  <si>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</si>
  <si>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西藏自治区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</si>
  <si>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</si>
  <si>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</si>
  <si>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</si>
  <si>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</si>
  <si>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</si>
  <si>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</si>
  <si>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</si>
  <si>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</si>
  <si>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</si>
  <si>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</si>
  <si>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</si>
  <si>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</si>
  <si>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</si>
  <si>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</si>
  <si>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</si>
  <si>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</si>
  <si>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</si>
  <si>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</si>
  <si>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</si>
  <si>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</si>
  <si>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</si>
  <si>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</si>
  <si>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</si>
  <si>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</si>
  <si>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</si>
  <si>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</si>
  <si>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</si>
  <si>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</si>
  <si>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</si>
  <si>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</si>
  <si>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</si>
  <si>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</si>
  <si>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</si>
  <si>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青海省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</si>
  <si>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</si>
  <si>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</si>
  <si>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</si>
  <si>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</si>
  <si>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</si>
  <si>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</si>
  <si>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</si>
  <si>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</si>
  <si>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宁夏回族自治区</t>
  </si>
  <si>
    <t>银川市</t>
  </si>
  <si>
    <t>石嘴山市</t>
  </si>
  <si>
    <t>吴忠市</t>
  </si>
  <si>
    <t>固原市</t>
  </si>
  <si>
    <t>中卫市</t>
  </si>
  <si>
    <t>新疆维吾尔自治区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</si>
  <si>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</si>
  <si>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</si>
  <si>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</si>
  <si>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</si>
  <si>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</si>
  <si>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</si>
  <si>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</si>
  <si>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</si>
  <si>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</si>
  <si>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</si>
  <si>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</si>
  <si>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</si>
  <si>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</si>
  <si>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</si>
  <si>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</si>
  <si>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</si>
  <si>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</si>
  <si>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</si>
  <si>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</si>
  <si>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</si>
  <si>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</si>
  <si>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</si>
  <si>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</si>
  <si>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</si>
  <si>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是否采暖</t>
    <phoneticPr fontId="3" type="noConversion"/>
  </si>
  <si>
    <t>是</t>
    <phoneticPr fontId="3" type="noConversion"/>
  </si>
  <si>
    <t>否</t>
    <phoneticPr fontId="3" type="noConversion"/>
  </si>
  <si>
    <t>采暖人口</t>
    <phoneticPr fontId="3" type="noConversion"/>
  </si>
  <si>
    <t>北京</t>
  </si>
  <si>
    <t>天津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</si>
  <si>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</si>
  <si>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</si>
  <si>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</si>
  <si>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</si>
  <si>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</si>
  <si>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</si>
  <si>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</si>
  <si>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</si>
  <si>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</si>
  <si>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</si>
  <si>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</si>
  <si>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</si>
  <si>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</si>
  <si>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</si>
  <si>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</si>
  <si>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</si>
  <si>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</si>
  <si>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</si>
  <si>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</si>
  <si>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</si>
  <si>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</si>
  <si>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</si>
  <si>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呼和浩特</t>
  </si>
  <si>
    <t>包头</t>
  </si>
  <si>
    <t>乌海</t>
  </si>
  <si>
    <t>赤峰</t>
  </si>
  <si>
    <t>通辽</t>
  </si>
  <si>
    <t>鄂尔多斯</t>
  </si>
  <si>
    <t>呼伦贝尔</t>
  </si>
  <si>
    <t>巴彦淖尔</t>
  </si>
  <si>
    <t>乌兰察布</t>
  </si>
  <si>
    <t>兴安</t>
  </si>
  <si>
    <t>锡林郭勒</t>
  </si>
  <si>
    <t>阿拉善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</si>
  <si>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</si>
  <si>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</si>
  <si>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</si>
  <si>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</si>
  <si>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</si>
  <si>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</si>
  <si>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</si>
  <si>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</si>
  <si>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</si>
  <si>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</si>
  <si>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</si>
  <si>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</si>
  <si>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</si>
  <si>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</si>
  <si>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</t>
  </si>
  <si>
    <t>吉林</t>
  </si>
  <si>
    <t>四平</t>
  </si>
  <si>
    <t>辽源</t>
  </si>
  <si>
    <t>通化</t>
  </si>
  <si>
    <t>白山</t>
  </si>
  <si>
    <t>松原</t>
  </si>
  <si>
    <t>白城</t>
  </si>
  <si>
    <t>延边</t>
  </si>
  <si>
    <t>哈尔滨</t>
  </si>
  <si>
    <t>齐齐哈尔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</si>
  <si>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</si>
  <si>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</si>
  <si>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</si>
  <si>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</si>
  <si>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</si>
  <si>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</si>
  <si>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</si>
  <si>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</si>
  <si>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</si>
  <si>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</si>
  <si>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大兴安岭</t>
  </si>
  <si>
    <t>上海</t>
  </si>
  <si>
    <t>南京</t>
  </si>
  <si>
    <t>无锡</t>
  </si>
  <si>
    <t>徐州</t>
  </si>
  <si>
    <t>常州</t>
  </si>
  <si>
    <t>苏州</t>
  </si>
  <si>
    <t>南通</t>
  </si>
  <si>
    <t>连云港</t>
  </si>
  <si>
    <t>淮安</t>
  </si>
  <si>
    <t>盐城</t>
  </si>
  <si>
    <t>扬州</t>
  </si>
  <si>
    <t>镇江</t>
  </si>
  <si>
    <t>泰州</t>
  </si>
  <si>
    <t>宿迁</t>
  </si>
  <si>
    <t>杭州</t>
  </si>
  <si>
    <t>宁波</t>
  </si>
  <si>
    <t>温州</t>
  </si>
  <si>
    <t>嘉兴</t>
  </si>
  <si>
    <t>湖州</t>
  </si>
  <si>
    <t>绍兴</t>
  </si>
  <si>
    <t>金华</t>
  </si>
  <si>
    <t>衢州</t>
  </si>
  <si>
    <t>舟山</t>
  </si>
  <si>
    <t>台州</t>
  </si>
  <si>
    <t>丽水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</si>
  <si>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</si>
  <si>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</si>
  <si>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</si>
  <si>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</si>
  <si>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</si>
  <si>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</si>
  <si>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</si>
  <si>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</si>
  <si>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</si>
  <si>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</si>
  <si>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</si>
  <si>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</si>
  <si>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</si>
  <si>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</si>
  <si>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</si>
  <si>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</si>
  <si>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</t>
  </si>
  <si>
    <t>厦门</t>
  </si>
  <si>
    <t>莆田</t>
  </si>
  <si>
    <t>三明</t>
  </si>
  <si>
    <t>泉州</t>
  </si>
  <si>
    <t>漳州</t>
  </si>
  <si>
    <t>南平</t>
  </si>
  <si>
    <t>龙岩</t>
  </si>
  <si>
    <t>宁德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</si>
  <si>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</si>
  <si>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</si>
  <si>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</si>
  <si>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</si>
  <si>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</si>
  <si>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</si>
  <si>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</si>
  <si>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</si>
  <si>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</si>
  <si>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</si>
  <si>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</si>
  <si>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</si>
  <si>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</si>
  <si>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</si>
  <si>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</si>
  <si>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</si>
  <si>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</si>
  <si>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</si>
  <si>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</si>
  <si>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</si>
  <si>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</si>
  <si>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</si>
  <si>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临沂</t>
  </si>
  <si>
    <t>德州</t>
  </si>
  <si>
    <t>聊城</t>
  </si>
  <si>
    <t>滨州</t>
  </si>
  <si>
    <t>菏泽</t>
  </si>
  <si>
    <t>郑州</t>
  </si>
  <si>
    <t>开封</t>
  </si>
  <si>
    <t>洛阳</t>
  </si>
  <si>
    <t>平顶山</t>
  </si>
  <si>
    <t>安阳</t>
  </si>
  <si>
    <t>鹤壁</t>
  </si>
  <si>
    <t>新乡</t>
  </si>
  <si>
    <t>焦作</t>
  </si>
  <si>
    <t>濮阳</t>
  </si>
  <si>
    <t>许昌</t>
  </si>
  <si>
    <t>漯河</t>
  </si>
  <si>
    <t>三门峡</t>
  </si>
  <si>
    <t>南阳</t>
  </si>
  <si>
    <t>商丘</t>
  </si>
  <si>
    <t>信阳</t>
  </si>
  <si>
    <t>周口</t>
  </si>
  <si>
    <t>驻马店</t>
  </si>
  <si>
    <t>济源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</si>
  <si>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</si>
  <si>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</si>
  <si>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</si>
  <si>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</si>
  <si>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</si>
  <si>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</si>
  <si>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</si>
  <si>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</si>
  <si>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</si>
  <si>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</si>
  <si>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</si>
  <si>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</si>
  <si>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恩施</t>
  </si>
  <si>
    <t>仙桃</t>
  </si>
  <si>
    <t>潜江</t>
  </si>
  <si>
    <t>天门</t>
  </si>
  <si>
    <t>神农架林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</si>
  <si>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</si>
  <si>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</si>
  <si>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</si>
  <si>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</si>
  <si>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</si>
  <si>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</si>
  <si>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</si>
  <si>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</si>
  <si>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</si>
  <si>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</si>
  <si>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</si>
  <si>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</si>
  <si>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</si>
  <si>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湘西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</si>
  <si>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</si>
  <si>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</si>
  <si>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</si>
  <si>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</si>
  <si>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</si>
  <si>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</si>
  <si>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</si>
  <si>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</si>
  <si>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</si>
  <si>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</si>
  <si>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</si>
  <si>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</si>
  <si>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</si>
  <si>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</si>
  <si>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</si>
  <si>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</si>
  <si>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</si>
  <si>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</si>
  <si>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</si>
  <si>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</si>
  <si>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</si>
  <si>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</si>
  <si>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</si>
  <si>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</si>
  <si>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</si>
  <si>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</si>
  <si>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</si>
  <si>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</si>
  <si>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</si>
  <si>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</si>
  <si>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</si>
  <si>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</si>
  <si>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</si>
  <si>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</si>
  <si>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</si>
  <si>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</si>
  <si>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</si>
  <si>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</si>
  <si>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</si>
  <si>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五指山</t>
  </si>
  <si>
    <t>琼海</t>
  </si>
  <si>
    <t>文昌</t>
  </si>
  <si>
    <t>万宁</t>
  </si>
  <si>
    <t>东方</t>
  </si>
  <si>
    <t>定安</t>
  </si>
  <si>
    <t>屯昌</t>
  </si>
  <si>
    <t>澄迈</t>
  </si>
  <si>
    <t>临高</t>
  </si>
  <si>
    <t>白沙</t>
  </si>
  <si>
    <t>昌江</t>
  </si>
  <si>
    <t>乐东</t>
  </si>
  <si>
    <t>陵水</t>
  </si>
  <si>
    <t>保亭</t>
  </si>
  <si>
    <t>琼中</t>
  </si>
  <si>
    <t>重庆</t>
  </si>
  <si>
    <t>成都</t>
  </si>
  <si>
    <t>自贡</t>
  </si>
  <si>
    <t>攀枝花</t>
  </si>
  <si>
    <t>泸州</t>
  </si>
  <si>
    <t>德阳</t>
  </si>
  <si>
    <t>绵阳</t>
  </si>
  <si>
    <t>广元</t>
  </si>
  <si>
    <t>遂宁</t>
  </si>
  <si>
    <t>内江</t>
  </si>
  <si>
    <t>乐山</t>
  </si>
  <si>
    <t>南充</t>
  </si>
  <si>
    <t>眉山</t>
  </si>
  <si>
    <t>宜宾</t>
  </si>
  <si>
    <t>广安</t>
  </si>
  <si>
    <t>达州</t>
  </si>
  <si>
    <t>雅安</t>
  </si>
  <si>
    <t>巴中</t>
  </si>
  <si>
    <t>资阳</t>
  </si>
  <si>
    <t>阿坝</t>
  </si>
  <si>
    <t>凉山</t>
  </si>
  <si>
    <t>贵阳</t>
  </si>
  <si>
    <t>六盘水</t>
  </si>
  <si>
    <t>遵义</t>
  </si>
  <si>
    <t>安顺</t>
  </si>
  <si>
    <t>毕节</t>
  </si>
  <si>
    <t>铜仁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</si>
  <si>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</si>
  <si>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</si>
  <si>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</si>
  <si>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</si>
  <si>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</si>
  <si>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</si>
  <si>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</si>
  <si>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</si>
  <si>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</si>
  <si>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</si>
  <si>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文山</t>
  </si>
  <si>
    <t>西双版纳</t>
  </si>
  <si>
    <t>大理</t>
  </si>
  <si>
    <t>德宏</t>
  </si>
  <si>
    <t>怒江</t>
  </si>
  <si>
    <t>迪庆</t>
  </si>
  <si>
    <t>拉萨</t>
  </si>
  <si>
    <t>日喀则</t>
  </si>
  <si>
    <t>昌都</t>
  </si>
  <si>
    <t>林芝</t>
  </si>
  <si>
    <t>山南</t>
  </si>
  <si>
    <t>那曲</t>
  </si>
  <si>
    <t>阿里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</si>
  <si>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</si>
  <si>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</si>
  <si>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</si>
  <si>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</si>
  <si>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</si>
  <si>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</si>
  <si>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</si>
  <si>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</si>
  <si>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</si>
  <si>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</si>
  <si>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</si>
  <si>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</si>
  <si>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</si>
  <si>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</si>
  <si>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</si>
  <si>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</si>
  <si>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</si>
  <si>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</si>
  <si>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</si>
  <si>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</si>
  <si>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</si>
  <si>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</si>
  <si>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西宁</t>
  </si>
  <si>
    <t>海东</t>
  </si>
  <si>
    <t>银川</t>
  </si>
  <si>
    <t>石嘴山</t>
  </si>
  <si>
    <t>吴忠</t>
  </si>
  <si>
    <t>固原</t>
  </si>
  <si>
    <t>中卫</t>
  </si>
  <si>
    <t>乌鲁木齐</t>
  </si>
  <si>
    <t>克拉玛依</t>
  </si>
  <si>
    <t>吐鲁番</t>
  </si>
  <si>
    <t>哈密</t>
  </si>
  <si>
    <t>塔城</t>
  </si>
  <si>
    <t>阿勒泰</t>
  </si>
  <si>
    <t>石河子</t>
  </si>
  <si>
    <t>阿拉尔</t>
  </si>
  <si>
    <t>图木舒克</t>
  </si>
  <si>
    <t>五家渠</t>
  </si>
  <si>
    <t>北屯</t>
  </si>
  <si>
    <t>铁门关</t>
  </si>
  <si>
    <t>双河</t>
  </si>
  <si>
    <t>可克达拉</t>
  </si>
  <si>
    <t>昆玉</t>
  </si>
  <si>
    <t>胡杨河</t>
  </si>
  <si>
    <t>总人口</t>
    <phoneticPr fontId="3" type="noConversion"/>
  </si>
  <si>
    <t>城镇化率</t>
    <phoneticPr fontId="3" type="noConversion"/>
  </si>
  <si>
    <t>Leslie人口源数据：</t>
    <phoneticPr fontId="3" type="noConversion"/>
  </si>
  <si>
    <t>城市人口</t>
    <phoneticPr fontId="3" type="noConversion"/>
  </si>
  <si>
    <t>地区</t>
  </si>
  <si>
    <t>建筑面积</t>
  </si>
  <si>
    <t>合计</t>
  </si>
  <si>
    <t>城镇居住建筑</t>
  </si>
  <si>
    <t>村镇公建面积</t>
  </si>
  <si>
    <t>河北</t>
  </si>
  <si>
    <t>山西</t>
  </si>
  <si>
    <t>内蒙古</t>
  </si>
  <si>
    <t>辽宁</t>
  </si>
  <si>
    <t>黑龙江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</si>
  <si>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</si>
  <si>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</si>
  <si>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</si>
  <si>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</si>
  <si>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</si>
  <si>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</si>
  <si>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</si>
  <si>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</si>
  <si>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</si>
  <si>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</si>
  <si>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</si>
  <si>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</si>
  <si>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其中:北方城镇采暖</t>
  </si>
  <si>
    <t>城镇建筑（kgce/m2)</t>
  </si>
  <si>
    <t>北方采暖能耗强度（kgce/ m2）</t>
  </si>
  <si>
    <t>（万m2）</t>
  </si>
  <si>
    <t>面积（万m2）</t>
  </si>
  <si>
    <t>四  川</t>
  </si>
  <si>
    <t>贵  州</t>
  </si>
  <si>
    <t>云  南</t>
  </si>
  <si>
    <t>陕  西</t>
  </si>
  <si>
    <t>甘  肃</t>
  </si>
  <si>
    <t>青  海</t>
  </si>
  <si>
    <t>宁  夏</t>
  </si>
  <si>
    <t>新  疆</t>
  </si>
  <si>
    <t>重庆大学报告附件：</t>
    <phoneticPr fontId="3" type="noConversion"/>
  </si>
  <si>
    <t>村镇住宅面积</t>
    <phoneticPr fontId="3" type="noConversion"/>
  </si>
  <si>
    <t>全国</t>
    <phoneticPr fontId="3" type="noConversion"/>
  </si>
  <si>
    <t>-</t>
    <phoneticPr fontId="3" type="noConversion"/>
  </si>
  <si>
    <t>公共建筑能耗强度(kgce/m2）</t>
    <phoneticPr fontId="3" type="noConversion"/>
  </si>
  <si>
    <t>公共建筑能耗(万kgce）</t>
    <phoneticPr fontId="3" type="noConversion"/>
  </si>
  <si>
    <t>城市公共建筑</t>
    <phoneticPr fontId="3" type="noConversion"/>
  </si>
  <si>
    <t>城市住宅能耗(万kgce）</t>
    <phoneticPr fontId="3" type="noConversion"/>
  </si>
  <si>
    <t>采暖省份人口</t>
    <phoneticPr fontId="3" type="noConversion"/>
  </si>
  <si>
    <t>人均建面年增长率</t>
    <phoneticPr fontId="3" type="noConversion"/>
  </si>
  <si>
    <t>城市住宅人均建面 ㎡</t>
    <phoneticPr fontId="3" type="noConversion"/>
  </si>
  <si>
    <t>农村住宅人均建面 ㎡</t>
    <phoneticPr fontId="3" type="noConversion"/>
  </si>
  <si>
    <t>公共建筑人均建面 ㎡</t>
    <phoneticPr fontId="3" type="noConversion"/>
  </si>
  <si>
    <t>城市住宅建面 万㎡</t>
    <phoneticPr fontId="3" type="noConversion"/>
  </si>
  <si>
    <t>农村住宅建面 万㎡</t>
    <phoneticPr fontId="3" type="noConversion"/>
  </si>
  <si>
    <t>公共建筑建面 万㎡</t>
    <phoneticPr fontId="3" type="noConversion"/>
  </si>
  <si>
    <t xml:space="preserve">       新建面积累计</t>
    <phoneticPr fontId="3" type="noConversion"/>
  </si>
  <si>
    <t xml:space="preserve">       起始年份留存</t>
    <phoneticPr fontId="3" type="noConversion"/>
  </si>
  <si>
    <t>能源名称</t>
  </si>
  <si>
    <t>实物量单位</t>
  </si>
  <si>
    <t>平均低位发热量</t>
  </si>
  <si>
    <t>平均低位发热量</t>
    <phoneticPr fontId="3" type="noConversion"/>
  </si>
  <si>
    <t>平均发热量</t>
    <phoneticPr fontId="3" type="noConversion"/>
  </si>
  <si>
    <t>BTU/万吨标煤</t>
    <phoneticPr fontId="3" type="noConversion"/>
  </si>
  <si>
    <t>TJ/单位</t>
  </si>
  <si>
    <t>万tce/单位</t>
    <phoneticPr fontId="3" type="noConversion"/>
  </si>
  <si>
    <t>BTU/单位</t>
    <phoneticPr fontId="3" type="noConversion"/>
  </si>
  <si>
    <t>煤合计</t>
    <phoneticPr fontId="3" type="noConversion"/>
  </si>
  <si>
    <t>原煤</t>
  </si>
  <si>
    <t>万吨</t>
  </si>
  <si>
    <t>洗精煤</t>
  </si>
  <si>
    <t>其他洗煤</t>
  </si>
  <si>
    <t>型煤</t>
  </si>
  <si>
    <t>煤矸石</t>
  </si>
  <si>
    <t>焦炭</t>
  </si>
  <si>
    <t>焦炉煤气</t>
  </si>
  <si>
    <t>亿立方米</t>
  </si>
  <si>
    <t>高炉煤气</t>
  </si>
  <si>
    <t>转炉煤气</t>
  </si>
  <si>
    <t>其他煤气</t>
  </si>
  <si>
    <t>其他焦化产品</t>
  </si>
  <si>
    <t>油品合计</t>
    <phoneticPr fontId="3" type="noConversion"/>
  </si>
  <si>
    <t>原油</t>
  </si>
  <si>
    <t>汽油</t>
  </si>
  <si>
    <t>煤油</t>
  </si>
  <si>
    <t>柴油</t>
  </si>
  <si>
    <t>燃料油</t>
  </si>
  <si>
    <t>石脑油</t>
  </si>
  <si>
    <t>润滑油</t>
  </si>
  <si>
    <t>石蜡</t>
  </si>
  <si>
    <t>溶剂油</t>
  </si>
  <si>
    <t>石油沥青</t>
  </si>
  <si>
    <t>石油焦</t>
  </si>
  <si>
    <t>液化石油气</t>
  </si>
  <si>
    <t>炼厂干气</t>
  </si>
  <si>
    <t>其他石油制品</t>
  </si>
  <si>
    <t>天然气</t>
  </si>
  <si>
    <t>液化天然气</t>
  </si>
  <si>
    <t>热力</t>
  </si>
  <si>
    <t>万百万千焦</t>
  </si>
  <si>
    <t>电力</t>
  </si>
  <si>
    <t>亿千瓦时</t>
  </si>
  <si>
    <t>其他能源</t>
  </si>
  <si>
    <t>万吨标准煤</t>
  </si>
  <si>
    <t>##氢能源被删掉，无效值</t>
    <phoneticPr fontId="3" type="noConversion"/>
  </si>
  <si>
    <t>农村住宅</t>
    <phoneticPr fontId="3" type="noConversion"/>
  </si>
  <si>
    <t>公共建筑</t>
    <phoneticPr fontId="3" type="noConversion"/>
  </si>
  <si>
    <t>总能耗 万tce</t>
    <phoneticPr fontId="3" type="noConversion"/>
  </si>
  <si>
    <t>城市住宅</t>
    <phoneticPr fontId="3" type="noConversion"/>
  </si>
  <si>
    <t>住宅采暖建面 万㎡</t>
    <phoneticPr fontId="3" type="noConversion"/>
  </si>
  <si>
    <t>公建采暖建面 万㎡</t>
    <phoneticPr fontId="3" type="noConversion"/>
  </si>
  <si>
    <t>住宅采暖</t>
    <phoneticPr fontId="3" type="noConversion"/>
  </si>
  <si>
    <t>公建采暖</t>
    <phoneticPr fontId="3" type="noConversion"/>
  </si>
  <si>
    <t xml:space="preserve">       当年新建</t>
    <phoneticPr fontId="3" type="noConversion"/>
  </si>
  <si>
    <t>十四五期间新建建面统计 万㎡</t>
    <phoneticPr fontId="3" type="noConversion"/>
  </si>
  <si>
    <t>城市住宅</t>
  </si>
  <si>
    <t>农村住宅</t>
  </si>
  <si>
    <t>公共建筑</t>
  </si>
  <si>
    <t>合计</t>
    <phoneticPr fontId="3" type="noConversion"/>
  </si>
  <si>
    <t>要求新增绿色建筑至少5万㎡，故十四五之后的新建建筑近似都按绿建三星处理，相较于现状能效提升20%</t>
    <phoneticPr fontId="3" type="noConversion"/>
  </si>
  <si>
    <t>建筑基线能耗强度 kgce/㎡ （重大报告）</t>
    <phoneticPr fontId="3" type="noConversion"/>
  </si>
  <si>
    <t>2018年各类既存建筑能耗强度 kgce/㎡ （能源平衡表）</t>
    <phoneticPr fontId="3" type="noConversion"/>
  </si>
  <si>
    <t>新建住宅节能率</t>
    <phoneticPr fontId="3" type="noConversion"/>
  </si>
  <si>
    <t>新建公建节能率</t>
    <phoneticPr fontId="3" type="noConversion"/>
  </si>
  <si>
    <t>2018-2023</t>
    <phoneticPr fontId="3" type="noConversion"/>
  </si>
  <si>
    <t>住宅采暖</t>
  </si>
  <si>
    <t>公建采暖</t>
  </si>
  <si>
    <t>新建建筑能耗强度 单位kgce/㎡</t>
    <phoneticPr fontId="3" type="noConversion"/>
  </si>
  <si>
    <t>2018-2025</t>
    <phoneticPr fontId="3" type="noConversion"/>
  </si>
  <si>
    <t>2024-2060</t>
    <phoneticPr fontId="3" type="noConversion"/>
  </si>
  <si>
    <t>2026-2060</t>
    <phoneticPr fontId="3" type="noConversion"/>
  </si>
  <si>
    <t>十四五验算</t>
    <phoneticPr fontId="3" type="noConversion"/>
  </si>
  <si>
    <t>既存建筑能耗 单位万tce</t>
    <phoneticPr fontId="3" type="noConversion"/>
  </si>
  <si>
    <t>新建建筑能耗 单位万tce</t>
    <phoneticPr fontId="3" type="noConversion"/>
  </si>
  <si>
    <t>建筑总能耗 单位万tce</t>
    <phoneticPr fontId="3" type="noConversion"/>
  </si>
  <si>
    <t>total</t>
    <phoneticPr fontId="3" type="noConversion"/>
  </si>
  <si>
    <t>electricity (万tce)</t>
    <phoneticPr fontId="3" type="noConversion"/>
  </si>
  <si>
    <t>coal (万tce)</t>
    <phoneticPr fontId="3" type="noConversion"/>
  </si>
  <si>
    <t>natural gas (万tce)</t>
    <phoneticPr fontId="3" type="noConversion"/>
  </si>
  <si>
    <t>petroleum diesel (万tce)</t>
    <phoneticPr fontId="3" type="noConversion"/>
  </si>
  <si>
    <t>heat (万tce)</t>
    <phoneticPr fontId="3" type="noConversion"/>
  </si>
  <si>
    <t>biomass (万tce)</t>
    <phoneticPr fontId="3" type="noConversion"/>
  </si>
  <si>
    <t>kerosene (万tce)</t>
    <phoneticPr fontId="3" type="noConversion"/>
  </si>
  <si>
    <t>heavy or residual fuel oil (万tce)</t>
    <phoneticPr fontId="3" type="noConversion"/>
  </si>
  <si>
    <t>LPG propane or butane (万tce)</t>
    <phoneticPr fontId="3" type="noConversion"/>
  </si>
  <si>
    <t>hydrogen(万tce)</t>
    <phoneticPr fontId="3" type="noConversion"/>
  </si>
  <si>
    <t>commercial-other</t>
    <phoneticPr fontId="3" type="noConversion"/>
  </si>
  <si>
    <t>Building Component</t>
    <phoneticPr fontId="8" type="noConversion"/>
  </si>
  <si>
    <t>commercial</t>
    <phoneticPr fontId="8" type="noConversion"/>
  </si>
  <si>
    <t>heating</t>
    <phoneticPr fontId="8" type="noConversion"/>
  </si>
  <si>
    <t>cooling and ventilation</t>
    <phoneticPr fontId="8" type="noConversion"/>
  </si>
  <si>
    <t>envelope</t>
    <phoneticPr fontId="8" type="noConversion"/>
  </si>
  <si>
    <t>lighting</t>
    <phoneticPr fontId="8" type="noConversion"/>
  </si>
  <si>
    <t>appliance</t>
    <phoneticPr fontId="8" type="noConversion"/>
  </si>
  <si>
    <t>other component</t>
    <phoneticPr fontId="8" type="noConversion"/>
  </si>
  <si>
    <t>拆分依据：山东省SYCEU输出</t>
    <phoneticPr fontId="3" type="noConversion"/>
  </si>
  <si>
    <t>下为各类建筑各组件照此比例拆分结果：</t>
    <phoneticPr fontId="3" type="noConversion"/>
  </si>
  <si>
    <t>一.建筑能耗的计算</t>
    <phoneticPr fontId="3" type="noConversion"/>
  </si>
  <si>
    <t>二.既存和新建建筑能耗强度的计算</t>
    <phoneticPr fontId="3" type="noConversion"/>
  </si>
  <si>
    <t>各类建筑既存和新建面积计算结果</t>
    <phoneticPr fontId="3" type="noConversion"/>
  </si>
  <si>
    <t>source:</t>
    <phoneticPr fontId="8" type="noConversion"/>
  </si>
  <si>
    <t>Chongqing University &amp; Energy Statistics Committee of China Building Energy Conservation Association</t>
    <phoneticPr fontId="8" type="noConversion"/>
  </si>
  <si>
    <t xml:space="preserve">2018 Annual Report  on China Building Energy Consumption </t>
    <phoneticPr fontId="8" type="noConversion"/>
  </si>
  <si>
    <t>https://kns.cnki.net/kcms2/article/abstract?v=3uoqIhG8C44YLTlOAiTRKibYlV5Vjs7iLik5jEcCI09uHa3oBxtWoLXBqMuT2L2CQ_SDgkvzeuyHBRpPejPl_DToiZ2ygw3-&amp;uniplatform=NZKPT</t>
    <phoneticPr fontId="8" type="noConversion"/>
  </si>
  <si>
    <t>note:</t>
    <phoneticPr fontId="8" type="noConversion"/>
  </si>
  <si>
    <t>人口计算</t>
    <phoneticPr fontId="8" type="noConversion"/>
  </si>
  <si>
    <t>Leslie人口模型</t>
    <phoneticPr fontId="3" type="noConversion"/>
  </si>
  <si>
    <t>建筑面积计算</t>
    <phoneticPr fontId="8" type="noConversion"/>
  </si>
  <si>
    <t>山东历年人口数据&amp;人口变化预测</t>
    <phoneticPr fontId="3" type="noConversion"/>
  </si>
  <si>
    <t>3.用人口乘以人均建面可获取未来城市住宅、农村住宅、公共建筑面积的变化趋势。建筑面积的变化量由新建量和拆除量构成，建筑的拆除量按住宅每年拆除1/70,公建每年拆除1/50考虑，然后用前后两年的总变化量加上上年拆除量即为上年新建量。由此可将每年的建筑面积分为起始年份留存面积和新建面积</t>
    <phoneticPr fontId="3" type="noConversion"/>
  </si>
  <si>
    <t>5.用既存建筑面积和新建建筑面积分别乘以各自对应的能耗强度，即可得到各类建筑未来的能耗变化趋势</t>
    <phoneticPr fontId="3" type="noConversion"/>
  </si>
  <si>
    <t>6.将建筑能耗按SYCEU的比例拆分</t>
    <phoneticPr fontId="3" type="noConversion"/>
  </si>
  <si>
    <t>BCEU BAU Components Energy Use</t>
    <phoneticPr fontId="3" type="noConversion"/>
  </si>
  <si>
    <t>1.根据Leslie人口模型的数据，预测中国城市人口，农村人口，采暖人口的变化</t>
    <phoneticPr fontId="3" type="noConversion"/>
  </si>
  <si>
    <t>2.从&lt;2018 Annual Report  on China Building Energy Consumption &gt;中获取起始年份中国的人均城市住宅面积、人均农村住宅面积、人均公建面积。咨询专家得知，未来中国人均建面年增长率为0.3%，据此预测未来中国人均建筑面积的变化</t>
    <phoneticPr fontId="3" type="noConversion"/>
  </si>
  <si>
    <t>4.从SYCEU中获取起始年份留存建筑的总能耗，除以建面即得留存建筑的能耗强度。 从&lt;2018 Annual Report  on China Building Energy Consumption &gt;获取各类建筑的基线能耗强度，从&lt;建筑节能与可再生能源利用通用规范&gt;中获取未来新建建筑的节能率，据此计算未来新建建筑的能耗强度</t>
    <phoneticPr fontId="3" type="noConversion"/>
  </si>
  <si>
    <t>城镇住宅+城镇公建</t>
    <phoneticPr fontId="3" type="noConversion"/>
  </si>
  <si>
    <t>全国</t>
    <phoneticPr fontId="3" type="noConversion"/>
  </si>
  <si>
    <t>https://www.chndaqi.com/news/328990.html</t>
    <phoneticPr fontId="3" type="noConversion"/>
  </si>
  <si>
    <t>22年之后 根据新规 住宅、公建能耗强度相较于BAU降低30% 20%</t>
    <phoneticPr fontId="3" type="noConversion"/>
  </si>
  <si>
    <t>30年之后，没有特别明确的数据，暂时按新建100%超低能耗计算，相较BAU能耗强度降低50%</t>
    <phoneticPr fontId="3" type="noConversion"/>
  </si>
  <si>
    <t xml:space="preserve"> 其中：拆除</t>
    <phoneticPr fontId="3" type="noConversion"/>
  </si>
  <si>
    <t xml:space="preserve">       改造</t>
    <phoneticPr fontId="3" type="noConversion"/>
  </si>
  <si>
    <t>各类建筑新建率</t>
    <phoneticPr fontId="3" type="noConversion"/>
  </si>
  <si>
    <t>平均值</t>
    <phoneticPr fontId="3" type="noConversion"/>
  </si>
  <si>
    <t>urban residential</t>
    <phoneticPr fontId="8" type="noConversion"/>
  </si>
  <si>
    <t>rural residential</t>
    <phoneticPr fontId="8" type="noConversion"/>
  </si>
  <si>
    <t xml:space="preserve">       拆除量修正值</t>
    <phoneticPr fontId="3" type="noConversion"/>
  </si>
  <si>
    <t xml:space="preserve">       当年改造</t>
    <phoneticPr fontId="3" type="noConversion"/>
  </si>
  <si>
    <t>改造后能效</t>
    <phoneticPr fontId="3" type="noConversion"/>
  </si>
  <si>
    <t>22年新规</t>
  </si>
  <si>
    <t>22年新规</t>
    <phoneticPr fontId="3" type="noConversion"/>
  </si>
  <si>
    <t>绿建三星</t>
  </si>
  <si>
    <t>绿建三星</t>
    <phoneticPr fontId="3" type="noConversion"/>
  </si>
  <si>
    <t>超低能耗</t>
  </si>
  <si>
    <t>超低能耗</t>
    <phoneticPr fontId="3" type="noConversion"/>
  </si>
  <si>
    <t>近零能耗</t>
  </si>
  <si>
    <t>近零能耗</t>
    <phoneticPr fontId="3" type="noConversion"/>
  </si>
  <si>
    <t>零能耗</t>
    <phoneticPr fontId="3" type="noConversion"/>
  </si>
  <si>
    <t>城市住宅改造率</t>
    <phoneticPr fontId="3" type="noConversion"/>
  </si>
  <si>
    <t>城市住宅改造后能效提升</t>
    <phoneticPr fontId="3" type="noConversion"/>
  </si>
  <si>
    <t>农村住宅改造率</t>
    <phoneticPr fontId="3" type="noConversion"/>
  </si>
  <si>
    <t>公建改造率</t>
    <phoneticPr fontId="3" type="noConversion"/>
  </si>
  <si>
    <t>公建改造后能效提升</t>
    <phoneticPr fontId="3" type="noConversion"/>
  </si>
  <si>
    <t>住宅</t>
  </si>
  <si>
    <t>公建</t>
  </si>
  <si>
    <t>零碳建筑</t>
  </si>
  <si>
    <t>情景一：</t>
    <phoneticPr fontId="3" type="noConversion"/>
  </si>
  <si>
    <t>平均能效提升</t>
    <phoneticPr fontId="3" type="noConversion"/>
  </si>
  <si>
    <t>年均改造率</t>
    <phoneticPr fontId="3" type="noConversion"/>
  </si>
  <si>
    <t>Percent energy saving (dimensionless)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</si>
  <si>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</si>
  <si>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</si>
  <si>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</si>
  <si>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</si>
  <si>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</si>
  <si>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</si>
  <si>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</si>
  <si>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</si>
  <si>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</si>
  <si>
    <t>公建</t>
    <phoneticPr fontId="3" type="noConversion"/>
  </si>
  <si>
    <t>改造总比例（vensim直接输入）</t>
    <phoneticPr fontId="3" type="noConversion"/>
  </si>
  <si>
    <t>新建建筑能效</t>
    <phoneticPr fontId="3" type="noConversion"/>
  </si>
  <si>
    <t>既存建筑改造</t>
    <phoneticPr fontId="3" type="noConversion"/>
  </si>
  <si>
    <t>分布式光伏</t>
    <phoneticPr fontId="3" type="noConversion"/>
  </si>
  <si>
    <t>集中供暖电气化</t>
    <phoneticPr fontId="3" type="noConversion"/>
  </si>
  <si>
    <t>家用设施电气化</t>
    <phoneticPr fontId="3" type="noConversion"/>
  </si>
  <si>
    <t>BAU情景</t>
    <phoneticPr fontId="3" type="noConversion"/>
  </si>
  <si>
    <t>附表1：新建建筑能效分布</t>
    <phoneticPr fontId="3" type="noConversion"/>
  </si>
  <si>
    <t>16年规定能耗建筑</t>
  </si>
  <si>
    <t>22年新规能耗建筑</t>
  </si>
  <si>
    <t>超低能耗建筑</t>
  </si>
  <si>
    <t>近零能耗建筑</t>
  </si>
  <si>
    <t>新建建筑能效逐步提升，到2060年新建建筑100%为零碳建筑。具体能效分布见附表1</t>
    <phoneticPr fontId="3" type="noConversion"/>
  </si>
  <si>
    <t>仅改造2020年之前建成的建筑，这部分建筑每年改造1%，改造后的能效从2022标准节能逐步提升至近零能耗，详见附表2。2020年后新建的建筑不改造</t>
    <phoneticPr fontId="3" type="noConversion"/>
  </si>
  <si>
    <t>不进行建筑节能改造。2020年之前建成的建筑，其能效水平一直保持不变。</t>
    <phoneticPr fontId="3" type="noConversion"/>
  </si>
  <si>
    <t>光伏装机量一直保持在2020年水平，不再增加</t>
    <phoneticPr fontId="3" type="noConversion"/>
  </si>
  <si>
    <t>集中供暖电气化率一直保持在2020年水平，不再增加</t>
    <phoneticPr fontId="3" type="noConversion"/>
  </si>
  <si>
    <t>家用设施电气化率一直保持在2020年水平，不再增加</t>
    <phoneticPr fontId="3" type="noConversion"/>
  </si>
  <si>
    <t>电力系统一直保持在2020年水平，不进行改造</t>
    <phoneticPr fontId="3" type="noConversion"/>
  </si>
  <si>
    <t>电力系统优化</t>
    <phoneticPr fontId="3" type="noConversion"/>
  </si>
  <si>
    <t>减排情景</t>
    <phoneticPr fontId="3" type="noConversion"/>
  </si>
  <si>
    <t>2020年后新建建筑全部进行电力系统优化，既存建筑的节能改造也全部进行电力系统优化</t>
    <phoneticPr fontId="3" type="noConversion"/>
  </si>
  <si>
    <t>集中供暖电气化率随时间线性增加，到2050年集中供暖全部电气化</t>
    <phoneticPr fontId="3" type="noConversion"/>
  </si>
  <si>
    <t>家用设施电气化率随时间线性增加，到2030年，公建设施100%电气化，住宅设施80%电气化</t>
    <phoneticPr fontId="3" type="noConversion"/>
  </si>
  <si>
    <t>屋顶光伏装机量随时间线性增加，到2050年，农村屋顶光伏装机20亿kW,城镇屋顶光伏装机8亿kW。</t>
    <phoneticPr fontId="3" type="noConversion"/>
  </si>
  <si>
    <t>2020-2029</t>
    <phoneticPr fontId="3" type="noConversion"/>
  </si>
  <si>
    <t>2030-2039</t>
    <phoneticPr fontId="3" type="noConversion"/>
  </si>
  <si>
    <t>2040-2049</t>
    <phoneticPr fontId="3" type="noConversion"/>
  </si>
  <si>
    <t>2050-2060</t>
    <phoneticPr fontId="3" type="noConversion"/>
  </si>
  <si>
    <t>新建建筑能效始终保持在2016标准节能水平</t>
    <phoneticPr fontId="3" type="noConversion"/>
  </si>
  <si>
    <t>附表2：既存建筑改造后能效水平分布</t>
    <phoneticPr fontId="3" type="noConversion"/>
  </si>
  <si>
    <t>附表3：各能效水平建筑相较于基线能效建筑的节能率</t>
    <phoneticPr fontId="3" type="noConversion"/>
  </si>
  <si>
    <t>注：附表3仅考虑围护结构热工性能提升带来的节能率，分布式光伏和电力系统优化的节能另行计算</t>
    <phoneticPr fontId="3" type="noConversion"/>
  </si>
  <si>
    <t>2020年建筑运行碳排放21,8亿吨co2</t>
    <phoneticPr fontId="3" type="noConversion"/>
  </si>
  <si>
    <t>另一个口径是21.6亿</t>
    <phoneticPr fontId="3" type="noConversion"/>
  </si>
  <si>
    <t>新建占比过大，不科学</t>
    <phoneticPr fontId="3" type="noConversion"/>
  </si>
  <si>
    <t>既改很激进，但减碳量低</t>
    <phoneticPr fontId="3" type="noConversion"/>
  </si>
  <si>
    <t>集中供暖有多少是换热源、有多少是转电，这个比例解释清楚</t>
    <phoneticPr fontId="3" type="noConversion"/>
  </si>
  <si>
    <t>吴博士说是20%的热泵</t>
    <phoneticPr fontId="3" type="noConversion"/>
  </si>
  <si>
    <t>电气化就只是本地化石能源电气化，不含别的</t>
    <phoneticPr fontId="3" type="noConversion"/>
  </si>
  <si>
    <t>家用设施稍小点，农村化石能源建筑排放应该是6亿吨co2，参考</t>
    <phoneticPr fontId="3" type="noConversion"/>
  </si>
  <si>
    <t>2040年住宅也要完全电气化，情景保守了</t>
    <phoneticPr fontId="3" type="noConversion"/>
  </si>
  <si>
    <t>电碳因子单独分出来</t>
    <phoneticPr fontId="3" type="noConversion"/>
  </si>
  <si>
    <t>电碳因子目前接近BAU,政策情景电碳因子用赵言冰发的，最终结果电碳因子加上</t>
    <phoneticPr fontId="3" type="noConversion"/>
  </si>
  <si>
    <t>写零碳政策情景</t>
    <phoneticPr fontId="3" type="noConversion"/>
  </si>
  <si>
    <t>建筑用电调峰，言冰老师认为直接说节能量不合适，建议不放了</t>
    <phoneticPr fontId="3" type="noConversion"/>
  </si>
  <si>
    <t>光伏有效日照小时数全国应为1200小时，现在可能偏低，需要核实</t>
    <phoneticPr fontId="3" type="noConversion"/>
  </si>
  <si>
    <t>2030年建筑碳排放峰值约为26亿吨</t>
    <phoneticPr fontId="3" type="noConversion"/>
  </si>
  <si>
    <t>确认下2060年为什么碳排放还有剩余？正常肯定没了</t>
    <phoneticPr fontId="3" type="noConversion"/>
  </si>
  <si>
    <t>2020-2060年新建总392亿㎡</t>
    <phoneticPr fontId="3" type="noConversion"/>
  </si>
  <si>
    <t>电力系统优化（柔性），去掉，不考虑了</t>
    <phoneticPr fontId="3" type="noConversion"/>
  </si>
  <si>
    <t>新建、既改一个柱子两个颜色</t>
    <phoneticPr fontId="3" type="noConversion"/>
  </si>
  <si>
    <t>建面到2060年调到2050年 2060年750亿，参考750亿情景</t>
    <phoneticPr fontId="3" type="noConversion"/>
  </si>
  <si>
    <t>绿建去掉</t>
    <phoneticPr fontId="3" type="noConversion"/>
  </si>
  <si>
    <t>住宅超低83% 公建78%</t>
    <phoneticPr fontId="3" type="noConversion"/>
  </si>
  <si>
    <t>2040年全部达到近零及以上</t>
    <phoneticPr fontId="3" type="noConversion"/>
  </si>
  <si>
    <t>2030年全部达到超低及以上</t>
    <phoneticPr fontId="3" type="noConversion"/>
  </si>
  <si>
    <t>最高近零能耗</t>
    <phoneticPr fontId="3" type="noConversion"/>
  </si>
  <si>
    <t>建筑2040年新建建筑全部电气化</t>
    <phoneticPr fontId="3" type="noConversion"/>
  </si>
  <si>
    <t xml:space="preserve">2040年住宅既存电气化80% </t>
    <phoneticPr fontId="3" type="noConversion"/>
  </si>
  <si>
    <t>按江亿的</t>
    <phoneticPr fontId="3" type="noConversion"/>
  </si>
  <si>
    <t>20-60年拆除量不能超过改造面积的20%，即起始年份的8%</t>
    <phoneticPr fontId="3" type="noConversion"/>
  </si>
  <si>
    <t>既存建筑有40%是不节能的（能效低于16年标准），只改造这一部分，改之前基线，改之后节能率65%</t>
    <phoneticPr fontId="3" type="noConversion"/>
  </si>
  <si>
    <t>-</t>
    <phoneticPr fontId="3" type="noConversion"/>
  </si>
  <si>
    <t>16年新规是</t>
    <phoneticPr fontId="3" type="noConversion"/>
  </si>
  <si>
    <t>严寒寒冷75% 其他65%</t>
    <phoneticPr fontId="3" type="noConversion"/>
  </si>
  <si>
    <t>2040以后</t>
    <phoneticPr fontId="3" type="noConversion"/>
  </si>
  <si>
    <t>严寒寒冷83% 其他75%</t>
    <phoneticPr fontId="3" type="noConversion"/>
  </si>
  <si>
    <t>建筑改造，改造到节能率75%</t>
    <phoneticPr fontId="3" type="noConversion"/>
  </si>
  <si>
    <t>2030年，燃煤锅炉全部取消</t>
    <phoneticPr fontId="3" type="noConversion"/>
  </si>
  <si>
    <t>2020集中供暖面积 156亿㎡</t>
    <phoneticPr fontId="3" type="noConversion"/>
  </si>
  <si>
    <t>2050年 集中供暖54亿GJ</t>
    <phoneticPr fontId="3" type="noConversion"/>
  </si>
  <si>
    <t>2050集中供暖面积 218亿㎡</t>
    <phoneticPr fontId="3" type="noConversion"/>
  </si>
  <si>
    <t>2020年建筑运行碳排放21.8亿吨co2</t>
    <phoneticPr fontId="3" type="noConversion"/>
  </si>
  <si>
    <t>改SYCEU</t>
    <phoneticPr fontId="3" type="noConversion"/>
  </si>
  <si>
    <t>2020年建筑运行碳排放</t>
    <phoneticPr fontId="3" type="noConversion"/>
  </si>
  <si>
    <t>21.8亿吨</t>
    <phoneticPr fontId="3" type="noConversion"/>
  </si>
  <si>
    <t>一、关键时间点参数（重点核对）</t>
    <phoneticPr fontId="3" type="noConversion"/>
  </si>
  <si>
    <t>2030年建筑运行碳排放（峰值）</t>
    <phoneticPr fontId="3" type="noConversion"/>
  </si>
  <si>
    <t>26亿吨</t>
    <phoneticPr fontId="3" type="noConversion"/>
  </si>
  <si>
    <t>2020-2060建筑新建面积总和</t>
    <phoneticPr fontId="3" type="noConversion"/>
  </si>
  <si>
    <t>392亿㎡</t>
    <phoneticPr fontId="3" type="noConversion"/>
  </si>
  <si>
    <t>建面2050 2060年建面</t>
    <phoneticPr fontId="3" type="noConversion"/>
  </si>
  <si>
    <t>约750亿㎡</t>
    <phoneticPr fontId="3" type="noConversion"/>
  </si>
  <si>
    <t>起始年份建面的40%</t>
    <phoneticPr fontId="3" type="noConversion"/>
  </si>
  <si>
    <t>建筑总改造量</t>
    <phoneticPr fontId="3" type="noConversion"/>
  </si>
  <si>
    <t>建筑总拆除量</t>
    <phoneticPr fontId="3" type="noConversion"/>
  </si>
  <si>
    <t>2020年集中供暖面积</t>
    <phoneticPr fontId="3" type="noConversion"/>
  </si>
  <si>
    <t>156亿㎡</t>
    <phoneticPr fontId="3" type="noConversion"/>
  </si>
  <si>
    <t>2050年集中供暖面积</t>
    <phoneticPr fontId="3" type="noConversion"/>
  </si>
  <si>
    <t>218亿㎡</t>
    <phoneticPr fontId="3" type="noConversion"/>
  </si>
  <si>
    <t>2050年集中供暖量</t>
    <phoneticPr fontId="3" type="noConversion"/>
  </si>
  <si>
    <t>54亿GJ</t>
    <phoneticPr fontId="3" type="noConversion"/>
  </si>
  <si>
    <t>是否核对</t>
    <phoneticPr fontId="3" type="noConversion"/>
  </si>
  <si>
    <t>是</t>
    <phoneticPr fontId="3" type="noConversion"/>
  </si>
  <si>
    <t>60年757.5 50年751.6</t>
    <phoneticPr fontId="3" type="noConversion"/>
  </si>
  <si>
    <t>350.3亿</t>
    <phoneticPr fontId="3" type="noConversion"/>
  </si>
  <si>
    <t>目前数值</t>
    <phoneticPr fontId="3" type="noConversion"/>
  </si>
  <si>
    <t>起始年份建面的20%</t>
    <phoneticPr fontId="3" type="noConversion"/>
  </si>
  <si>
    <t>目前存在问题</t>
    <phoneticPr fontId="3" type="noConversion"/>
  </si>
  <si>
    <t>若要满足750亿㎡，392亿新建，那拆除必须高。建议用：我国城镇住房拆除率及影响因素研究-黄禹 表4.10 中的0.71%每年</t>
    <phoneticPr fontId="3" type="noConversion"/>
  </si>
  <si>
    <t>255亿㎡</t>
    <phoneticPr fontId="3" type="noConversion"/>
  </si>
  <si>
    <t>BAU越高34% 这个数可能带了政策</t>
    <phoneticPr fontId="3" type="noConversion"/>
  </si>
  <si>
    <t>181.9亿㎡</t>
    <phoneticPr fontId="3" type="noConversion"/>
  </si>
  <si>
    <t>2016年节能</t>
    <phoneticPr fontId="3" type="noConversion"/>
  </si>
  <si>
    <t>2022年新规</t>
    <phoneticPr fontId="3" type="noConversion"/>
  </si>
  <si>
    <t>按南北方加权：</t>
    <phoneticPr fontId="3" type="noConversion"/>
  </si>
  <si>
    <t>采暖省份的人口占比</t>
    <phoneticPr fontId="3" type="noConversion"/>
  </si>
  <si>
    <t>注：此表仅考虑维护结构热工性能提升带来的节能率，可再生能源另行计算</t>
    <phoneticPr fontId="3" type="noConversion"/>
  </si>
  <si>
    <t>政策情景</t>
    <phoneticPr fontId="3" type="noConversion"/>
  </si>
  <si>
    <t>注：绿建三星在围护结构上与22年新规相同，零碳建筑在围护结构上与近零能耗相同，故去掉这两个能效等级</t>
    <phoneticPr fontId="3" type="noConversion"/>
  </si>
  <si>
    <t>2020-2060</t>
    <phoneticPr fontId="3" type="noConversion"/>
  </si>
  <si>
    <t>年改造率</t>
    <phoneticPr fontId="3" type="noConversion"/>
  </si>
  <si>
    <t>改造前能效水平</t>
    <phoneticPr fontId="3" type="noConversion"/>
  </si>
  <si>
    <t>基线</t>
    <phoneticPr fontId="3" type="noConversion"/>
  </si>
  <si>
    <t>注：2020年后建成的建筑不改造，2020年前建成的建筑，有40%处于基线能效，这部分建筑到2060年恰好改完</t>
    <phoneticPr fontId="3" type="noConversion"/>
  </si>
  <si>
    <t>20亿kW</t>
    <phoneticPr fontId="3" type="noConversion"/>
  </si>
  <si>
    <t>0.7亿kW</t>
    <phoneticPr fontId="3" type="noConversion"/>
  </si>
  <si>
    <t>全国年有效日照小时数</t>
    <phoneticPr fontId="3" type="noConversion"/>
  </si>
  <si>
    <t>电力供暖占比</t>
    <phoneticPr fontId="3" type="noConversion"/>
  </si>
  <si>
    <t>零碳热源（各类余热供暖）占比</t>
    <phoneticPr fontId="3" type="noConversion"/>
  </si>
  <si>
    <t>传统供暖占比</t>
    <phoneticPr fontId="3" type="noConversion"/>
  </si>
  <si>
    <t>到2030</t>
    <phoneticPr fontId="3" type="noConversion"/>
  </si>
  <si>
    <t>到2060</t>
    <phoneticPr fontId="3" type="noConversion"/>
  </si>
  <si>
    <t>住宅</t>
    <phoneticPr fontId="3" type="noConversion"/>
  </si>
  <si>
    <t>城市</t>
    <phoneticPr fontId="3" type="noConversion"/>
  </si>
  <si>
    <t>农村</t>
    <phoneticPr fontId="3" type="noConversion"/>
  </si>
  <si>
    <t>到2035</t>
    <phoneticPr fontId="3" type="noConversion"/>
  </si>
  <si>
    <t>到2040</t>
    <phoneticPr fontId="3" type="noConversion"/>
  </si>
  <si>
    <t>到2050</t>
    <phoneticPr fontId="3" type="noConversion"/>
  </si>
  <si>
    <t>电碳因子</t>
    <phoneticPr fontId="3" type="noConversion"/>
  </si>
  <si>
    <t>电碳因子 单位：万吨CO2/TWh</t>
    <phoneticPr fontId="3" type="noConversion"/>
  </si>
  <si>
    <t>九、输入参数表头名</t>
    <phoneticPr fontId="3" type="noConversion"/>
  </si>
  <si>
    <t>改造总比例（vensim直接输入）</t>
  </si>
  <si>
    <t>BRESaC</t>
  </si>
  <si>
    <t>SoCEUTiNTY</t>
    <phoneticPr fontId="3" type="noConversion"/>
  </si>
  <si>
    <t>urban-residential-cooling</t>
  </si>
  <si>
    <t>urban-residential-envelope</t>
  </si>
  <si>
    <t>rural-residential-envelope</t>
  </si>
  <si>
    <t>commercial-envelope</t>
  </si>
  <si>
    <t>电力供暖</t>
    <phoneticPr fontId="3" type="noConversion"/>
  </si>
  <si>
    <t>余热</t>
    <phoneticPr fontId="3" type="noConversion"/>
  </si>
  <si>
    <t>urban-residential-heating 供暖清洁</t>
    <phoneticPr fontId="3" type="noConversion"/>
  </si>
  <si>
    <t>rural-residential-heating 供暖清洁</t>
    <phoneticPr fontId="3" type="noConversion"/>
  </si>
  <si>
    <t>commercial-heating 供暖清洁</t>
    <phoneticPr fontId="3" type="noConversion"/>
  </si>
  <si>
    <t>城市住宅装机容量</t>
    <phoneticPr fontId="3" type="noConversion"/>
  </si>
  <si>
    <t>农村住宅装机容量</t>
    <phoneticPr fontId="3" type="noConversion"/>
  </si>
  <si>
    <t>城市公建装机容量</t>
    <phoneticPr fontId="3" type="noConversion"/>
  </si>
  <si>
    <t>0.1亿kW</t>
    <phoneticPr fontId="3" type="noConversion"/>
  </si>
  <si>
    <t>0.2亿kW</t>
    <phoneticPr fontId="3" type="noConversion"/>
  </si>
  <si>
    <t>2亿kW</t>
    <phoneticPr fontId="3" type="noConversion"/>
  </si>
  <si>
    <t>6亿kW</t>
    <phoneticPr fontId="3" type="noConversion"/>
  </si>
  <si>
    <t>各能效水平下建筑节能率</t>
    <phoneticPr fontId="3" type="noConversion"/>
  </si>
  <si>
    <t>新建建筑能效分布</t>
    <phoneticPr fontId="3" type="noConversion"/>
  </si>
  <si>
    <t>即存建筑改造率</t>
    <phoneticPr fontId="3" type="noConversion"/>
  </si>
  <si>
    <t>电</t>
    <phoneticPr fontId="3" type="noConversion"/>
  </si>
  <si>
    <t>all</t>
    <phoneticPr fontId="3" type="noConversion"/>
  </si>
  <si>
    <t>2022年标准节能</t>
    <phoneticPr fontId="3" type="noConversion"/>
  </si>
  <si>
    <t>集中供暖清洁化</t>
  </si>
  <si>
    <t>集中供暖清洁化</t>
    <phoneticPr fontId="3" type="noConversion"/>
  </si>
  <si>
    <t>电力供暖</t>
  </si>
  <si>
    <t>余热</t>
  </si>
  <si>
    <t>total</t>
    <phoneticPr fontId="3" type="noConversion"/>
  </si>
  <si>
    <t>total</t>
    <phoneticPr fontId="3" type="noConversion"/>
  </si>
  <si>
    <t>新建 既改 都作用于 heating cooling lighting</t>
    <phoneticPr fontId="3" type="noConversion"/>
  </si>
  <si>
    <t>新建 既改之间的关系</t>
    <phoneticPr fontId="3" type="noConversion"/>
  </si>
  <si>
    <t>集中供暖受电碳因子的影响</t>
    <phoneticPr fontId="3" type="noConversion"/>
  </si>
  <si>
    <t>生活设施 heating考虑下热泵</t>
    <phoneticPr fontId="3" type="noConversion"/>
  </si>
  <si>
    <t>COP2.5</t>
    <phoneticPr fontId="3" type="noConversion"/>
  </si>
  <si>
    <t>加一个2030累积的</t>
    <phoneticPr fontId="3" type="noConversion"/>
  </si>
  <si>
    <t>注：新建能效仅作用于heating cooling lighting</t>
    <phoneticPr fontId="3" type="noConversion"/>
  </si>
  <si>
    <t>1000h</t>
    <phoneticPr fontId="3" type="noConversion"/>
  </si>
  <si>
    <t>0.3亿kW</t>
    <phoneticPr fontId="3" type="noConversion"/>
  </si>
  <si>
    <t>3亿kW</t>
    <phoneticPr fontId="3" type="noConversion"/>
  </si>
  <si>
    <t>注：中间线性增加</t>
    <phoneticPr fontId="3" type="noConversion"/>
  </si>
  <si>
    <t>注：该部分影响组件为：heating中非集中供暖部分 appliance other，其中heating中非集中供暖部分考虑热泵效率，COP=2.5 其余组件不考虑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</si>
</sst>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_);[Red]\(0\)"/>
    <numFmt numFmtId="178" formatCode="0.0000"/>
    <numFmt numFmtId="179" formatCode="0.00_);[Red]\(0.00\)"/>
    <numFmt numFmtId="180" formatCode="0.0000E+00"/>
    <numFmt numFmtId="181" formatCode="0.000"/>
  </numFmts>
  <fonts count="16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3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/>
    <xf numFmtId="9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2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>
      <alignment vertical="center"/>
    </xf>
    <xf numFmtId="0" fontId="7" fillId="0" borderId="0" xfId="5">
      <alignment vertical="center"/>
    </xf>
    <xf numFmtId="179" fontId="0" fillId="0" borderId="0" xfId="0" applyNumberFormat="1">
      <alignment vertical="center"/>
    </xf>
    <xf numFmtId="0" fontId="9" fillId="0" borderId="0" xfId="0" applyFont="1">
      <alignment vertical="center"/>
    </xf>
    <xf numFmtId="178" fontId="0" fillId="0" borderId="0" xfId="3" applyNumberFormat="1" applyFont="1">
      <alignment vertical="center"/>
    </xf>
    <xf numFmtId="0" fontId="10" fillId="0" borderId="0" xfId="0" applyFont="1">
      <alignment vertical="center"/>
    </xf>
    <xf numFmtId="0" fontId="10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1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9" fontId="10" fillId="3" borderId="1" xfId="0" applyNumberFormat="1" applyFont="1" applyFill="1" applyBorder="1" applyAlignment="1">
      <alignment horizontal="center" vertical="center"/>
    </xf>
    <xf numFmtId="177" fontId="10" fillId="3" borderId="1" xfId="0" applyNumberFormat="1" applyFont="1" applyFill="1" applyBorder="1" applyAlignment="1">
      <alignment horizontal="center" vertical="center"/>
    </xf>
    <xf numFmtId="11" fontId="11" fillId="3" borderId="0" xfId="0" applyNumberFormat="1" applyFont="1" applyFill="1" applyAlignment="1">
      <alignment horizontal="center" vertical="center"/>
    </xf>
    <xf numFmtId="11" fontId="11" fillId="3" borderId="0" xfId="0" applyNumberFormat="1" applyFont="1" applyFill="1" applyAlignment="1">
      <alignment horizontal="center" vertical="center" wrapText="1"/>
    </xf>
    <xf numFmtId="11" fontId="0" fillId="0" borderId="1" xfId="0" applyNumberFormat="1" applyBorder="1" applyAlignment="1">
      <alignment vertical="center" wrapText="1"/>
    </xf>
    <xf numFmtId="177" fontId="0" fillId="0" borderId="1" xfId="0" applyNumberFormat="1" applyBorder="1">
      <alignment vertical="center"/>
    </xf>
    <xf numFmtId="179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11" fontId="10" fillId="3" borderId="1" xfId="0" applyNumberFormat="1" applyFont="1" applyFill="1" applyBorder="1" applyAlignment="1">
      <alignment horizontal="center" vertical="center"/>
    </xf>
    <xf numFmtId="11" fontId="0" fillId="3" borderId="1" xfId="0" applyNumberForma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76" fontId="0" fillId="0" borderId="1" xfId="3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2" fillId="4" borderId="0" xfId="0" applyFont="1" applyFill="1" applyAlignment="1"/>
    <xf numFmtId="0" fontId="0" fillId="0" borderId="0" xfId="0" applyAlignment="1"/>
    <xf numFmtId="0" fontId="0" fillId="0" borderId="0" xfId="0" applyAlignment="1">
      <alignment horizontal="left"/>
    </xf>
    <xf numFmtId="0" fontId="7" fillId="0" borderId="0" xfId="5" applyAlignment="1"/>
    <xf numFmtId="0" fontId="6" fillId="0" borderId="0" xfId="0" applyFo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80" fontId="1" fillId="0" borderId="0" xfId="2" applyNumberFormat="1" applyAlignment="1">
      <alignment vertical="center"/>
    </xf>
    <xf numFmtId="11" fontId="1" fillId="0" borderId="0" xfId="2" applyNumberFormat="1" applyAlignmen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3" applyFont="1" applyAlignment="1">
      <alignment horizontal="center" vertical="center"/>
    </xf>
    <xf numFmtId="10" fontId="0" fillId="0" borderId="0" xfId="0" applyNumberFormat="1">
      <alignment vertical="center"/>
    </xf>
    <xf numFmtId="0" fontId="10" fillId="0" borderId="0" xfId="0" applyFont="1" applyAlignment="1">
      <alignment wrapText="1"/>
    </xf>
    <xf numFmtId="0" fontId="0" fillId="0" borderId="0" xfId="0" applyAlignment="1">
      <alignment horizontal="right"/>
    </xf>
    <xf numFmtId="181" fontId="0" fillId="0" borderId="0" xfId="0" applyNumberFormat="1" applyAlignment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7" fontId="0" fillId="0" borderId="0" xfId="0" applyNumberForma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0" borderId="0" xfId="3" applyFont="1" applyBorder="1" applyAlignment="1">
      <alignment horizontal="center" vertical="center"/>
    </xf>
    <xf numFmtId="0" fontId="0" fillId="6" borderId="0" xfId="0" applyFill="1">
      <alignment vertical="center"/>
    </xf>
    <xf numFmtId="0" fontId="14" fillId="0" borderId="0" xfId="0" applyFont="1">
      <alignment vertical="center"/>
    </xf>
    <xf numFmtId="9" fontId="13" fillId="0" borderId="0" xfId="3" applyFont="1" applyBorder="1" applyAlignment="1">
      <alignment horizontal="center" vertical="center"/>
    </xf>
    <xf numFmtId="9" fontId="13" fillId="0" borderId="1" xfId="3" applyFont="1" applyBorder="1" applyAlignment="1">
      <alignment horizontal="center" vertical="center"/>
    </xf>
    <xf numFmtId="9" fontId="15" fillId="0" borderId="1" xfId="3" applyFont="1" applyBorder="1" applyAlignment="1">
      <alignment horizontal="center" vertical="center"/>
    </xf>
    <xf numFmtId="9" fontId="13" fillId="7" borderId="0" xfId="3" applyFont="1" applyFill="1" applyBorder="1" applyAlignment="1">
      <alignment horizontal="center" vertical="center"/>
    </xf>
    <xf numFmtId="2" fontId="0" fillId="0" borderId="0" xfId="3" applyNumberFormat="1" applyFont="1">
      <alignment vertical="center"/>
    </xf>
    <xf numFmtId="0" fontId="14" fillId="3" borderId="2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1" fontId="4" fillId="2" borderId="0" xfId="0" applyNumberFormat="1" applyFont="1" applyFill="1">
      <alignment vertical="center"/>
    </xf>
  </cellXfs>
  <cellStyles count="6">
    <cellStyle name="百分比" xfId="3" builtinId="5"/>
    <cellStyle name="常规" xfId="0" builtinId="0"/>
    <cellStyle name="常规 2" xfId="1" xr:uid="{DE9BD5D4-8A88-493A-B67C-90CB6C9A7165}"/>
    <cellStyle name="常规 2 2" xfId="4" xr:uid="{047662B0-6227-4D58-9AEE-D2C5B9D07055}"/>
    <cellStyle name="常规 4" xfId="2" xr:uid="{8E83BB6A-5CE1-4E90-9208-E2006A5EC919}"/>
    <cellStyle name="超链接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kns.cnki.net/kcms2/article/abstract?v=3uoqIhG8C44YLTlOAiTRKibYlV5Vjs7iLik5jEcCI09uHa3oBxtWoLXBqMuT2L2CQ_SDgkvzeuyHBRpPejPl_DToiZ2ygw3-&amp;uniplatform=NZKP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ndaqi.com/news/32899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E7EA-9EF0-4965-9FAE-B37A8AE77127}">
  <dimension ref="A1:A5"/>
  <sheetViews>
    <sheetView workbookViewId="0"/>
  </sheetViews>
  <sheetFormatPr defaultRowHeight="13.5" x14ac:dyDescent="0.15"/>
  <cols>
    <col min="1" max="1" width="50.375" customWidth="1"/>
  </cols>
  <sheetData>
    <row r="1" spans="1:1" x14ac:dyDescent="0.15">
      <c r="A1" t="s">
        <v>1161</v>
      </c>
    </row>
    <row r="2" spans="1:1" x14ac:dyDescent="0.15">
      <c r="A2" t="s">
        <v>1162</v>
      </c>
    </row>
    <row r="3" spans="1:1" x14ac:dyDescent="0.15">
      <c r="A3" t="s">
        <v>1163</v>
      </c>
    </row>
    <row r="4" spans="1:1" x14ac:dyDescent="0.15">
      <c r="A4" t="s">
        <v>1164</v>
      </c>
    </row>
    <row r="5" spans="1:1" x14ac:dyDescent="0.15">
      <c r="A5" t="s">
        <v>1165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F0AC-6BBA-4111-ACB7-A5A1891EE996}">
  <dimension ref="A1:E134"/>
  <sheetViews>
    <sheetView topLeftCell="A79" workbookViewId="0">
      <selection activeCell="C94" sqref="C94"/>
    </sheetView>
  </sheetViews>
  <sheetFormatPr defaultRowHeight="13.5" x14ac:dyDescent="0.15"/>
  <cols>
    <col min="1" max="1" width="29.5" customWidth="1"/>
    <col min="2" max="2" width="22.5" customWidth="1"/>
    <col min="3" max="3" width="19.75" customWidth="1"/>
    <col min="4" max="4" width="20.625" customWidth="1"/>
    <col min="5" max="5" width="21.625" customWidth="1"/>
  </cols>
  <sheetData>
    <row r="1" spans="1:4" x14ac:dyDescent="0.15">
      <c r="A1" s="65" t="s">
        <v>1074</v>
      </c>
      <c r="C1" t="s">
        <v>1090</v>
      </c>
      <c r="D1" t="s">
        <v>1094</v>
      </c>
    </row>
    <row r="2" spans="1:4" x14ac:dyDescent="0.15">
      <c r="A2" t="s">
        <v>1072</v>
      </c>
      <c r="B2" t="s">
        <v>1073</v>
      </c>
    </row>
    <row r="3" spans="1:4" x14ac:dyDescent="0.15">
      <c r="A3" t="s">
        <v>1075</v>
      </c>
      <c r="B3" t="s">
        <v>1076</v>
      </c>
    </row>
    <row r="4" spans="1:4" x14ac:dyDescent="0.15">
      <c r="A4" t="s">
        <v>1077</v>
      </c>
      <c r="B4" t="s">
        <v>1078</v>
      </c>
      <c r="C4" t="s">
        <v>1091</v>
      </c>
      <c r="D4" t="s">
        <v>1093</v>
      </c>
    </row>
    <row r="5" spans="1:4" x14ac:dyDescent="0.15">
      <c r="A5" t="s">
        <v>1079</v>
      </c>
      <c r="B5" t="s">
        <v>1080</v>
      </c>
      <c r="C5" t="s">
        <v>1091</v>
      </c>
      <c r="D5" t="s">
        <v>1092</v>
      </c>
    </row>
    <row r="6" spans="1:4" x14ac:dyDescent="0.15">
      <c r="A6" t="s">
        <v>1082</v>
      </c>
      <c r="B6" t="s">
        <v>1081</v>
      </c>
      <c r="C6" t="s">
        <v>1091</v>
      </c>
      <c r="D6" s="49">
        <v>0.4</v>
      </c>
    </row>
    <row r="7" spans="1:4" x14ac:dyDescent="0.15">
      <c r="A7" t="s">
        <v>1083</v>
      </c>
      <c r="B7" t="s">
        <v>1095</v>
      </c>
      <c r="C7" t="s">
        <v>1096</v>
      </c>
      <c r="D7" t="s">
        <v>1097</v>
      </c>
    </row>
    <row r="8" spans="1:4" x14ac:dyDescent="0.15">
      <c r="A8" t="s">
        <v>1084</v>
      </c>
      <c r="B8" t="s">
        <v>1085</v>
      </c>
      <c r="C8" t="s">
        <v>1091</v>
      </c>
      <c r="D8" t="s">
        <v>1100</v>
      </c>
    </row>
    <row r="9" spans="1:4" x14ac:dyDescent="0.15">
      <c r="A9" t="s">
        <v>1086</v>
      </c>
      <c r="B9" t="s">
        <v>1087</v>
      </c>
      <c r="C9" t="s">
        <v>1091</v>
      </c>
      <c r="D9" t="s">
        <v>1098</v>
      </c>
    </row>
    <row r="10" spans="1:4" x14ac:dyDescent="0.15">
      <c r="A10" t="s">
        <v>1088</v>
      </c>
      <c r="B10" t="s">
        <v>1089</v>
      </c>
      <c r="C10" t="s">
        <v>1091</v>
      </c>
      <c r="D10" t="s">
        <v>1099</v>
      </c>
    </row>
    <row r="12" spans="1:4" x14ac:dyDescent="0.15">
      <c r="A12" s="65" t="s">
        <v>1149</v>
      </c>
    </row>
    <row r="13" spans="1:4" x14ac:dyDescent="0.15">
      <c r="A13" s="61"/>
      <c r="B13" s="56" t="s">
        <v>980</v>
      </c>
      <c r="C13" s="56" t="s">
        <v>981</v>
      </c>
    </row>
    <row r="14" spans="1:4" x14ac:dyDescent="0.15">
      <c r="A14" s="61" t="s">
        <v>1101</v>
      </c>
      <c r="B14" s="15">
        <v>0.65</v>
      </c>
      <c r="C14" s="15">
        <v>0.65</v>
      </c>
    </row>
    <row r="15" spans="1:4" x14ac:dyDescent="0.15">
      <c r="A15" s="56" t="s">
        <v>1102</v>
      </c>
      <c r="B15" s="15" t="s">
        <v>1062</v>
      </c>
      <c r="C15" s="15">
        <v>0.72</v>
      </c>
    </row>
    <row r="16" spans="1:4" x14ac:dyDescent="0.15">
      <c r="A16" s="56" t="s">
        <v>970</v>
      </c>
      <c r="B16" s="15" t="s">
        <v>1064</v>
      </c>
      <c r="C16" s="15">
        <v>0.75</v>
      </c>
    </row>
    <row r="17" spans="1:5" x14ac:dyDescent="0.15">
      <c r="A17" s="56" t="s">
        <v>972</v>
      </c>
      <c r="B17" s="15">
        <v>0.82</v>
      </c>
      <c r="C17" s="15">
        <v>0.82</v>
      </c>
    </row>
    <row r="18" spans="1:5" x14ac:dyDescent="0.15">
      <c r="A18" s="56" t="s">
        <v>982</v>
      </c>
      <c r="B18" s="15">
        <v>0.82</v>
      </c>
      <c r="C18" s="15">
        <v>0.82</v>
      </c>
    </row>
    <row r="20" spans="1:5" x14ac:dyDescent="0.15">
      <c r="A20" s="57" t="s">
        <v>1103</v>
      </c>
      <c r="B20" s="56" t="s">
        <v>980</v>
      </c>
      <c r="C20" s="56" t="s">
        <v>981</v>
      </c>
    </row>
    <row r="21" spans="1:5" x14ac:dyDescent="0.15">
      <c r="A21" s="61" t="s">
        <v>1101</v>
      </c>
      <c r="B21" s="15">
        <v>0.65</v>
      </c>
      <c r="C21" s="15">
        <v>0.65</v>
      </c>
    </row>
    <row r="22" spans="1:5" x14ac:dyDescent="0.15">
      <c r="A22" s="56" t="s">
        <v>1102</v>
      </c>
      <c r="B22" s="17">
        <f>0.75*人口变化预测!F8+0.65*(1-人口变化预测!F8)</f>
        <v>0.69090799911556022</v>
      </c>
      <c r="C22" s="15">
        <v>0.72</v>
      </c>
    </row>
    <row r="23" spans="1:5" x14ac:dyDescent="0.15">
      <c r="A23" s="56" t="s">
        <v>970</v>
      </c>
      <c r="B23" s="17">
        <f>0.83*人口变化预测!F8+0.75*(1-人口变化预测!F8)</f>
        <v>0.78272639929244825</v>
      </c>
      <c r="C23" s="15">
        <v>0.75</v>
      </c>
    </row>
    <row r="24" spans="1:5" x14ac:dyDescent="0.15">
      <c r="A24" s="56" t="s">
        <v>972</v>
      </c>
      <c r="B24" s="15">
        <v>0.82</v>
      </c>
      <c r="C24" s="15">
        <v>0.82</v>
      </c>
    </row>
    <row r="25" spans="1:5" x14ac:dyDescent="0.15">
      <c r="A25" s="56" t="s">
        <v>982</v>
      </c>
      <c r="B25" s="15">
        <v>0.82</v>
      </c>
      <c r="C25" s="15">
        <v>0.82</v>
      </c>
    </row>
    <row r="26" spans="1:5" x14ac:dyDescent="0.15">
      <c r="A26" s="13" t="s">
        <v>1105</v>
      </c>
    </row>
    <row r="28" spans="1:5" x14ac:dyDescent="0.15">
      <c r="A28" s="65" t="s">
        <v>1150</v>
      </c>
    </row>
    <row r="29" spans="1:5" x14ac:dyDescent="0.15">
      <c r="A29" s="57" t="s">
        <v>1003</v>
      </c>
      <c r="B29" s="56" t="s">
        <v>1005</v>
      </c>
      <c r="C29" s="56" t="s">
        <v>1006</v>
      </c>
      <c r="D29" s="56" t="s">
        <v>1007</v>
      </c>
      <c r="E29" s="56" t="s">
        <v>1008</v>
      </c>
    </row>
    <row r="30" spans="1:5" x14ac:dyDescent="0.15">
      <c r="A30" s="56">
        <v>2020</v>
      </c>
      <c r="B30" s="59">
        <v>1</v>
      </c>
      <c r="C30" s="59">
        <v>0</v>
      </c>
      <c r="D30" s="59">
        <v>0</v>
      </c>
      <c r="E30" s="59">
        <v>0</v>
      </c>
    </row>
    <row r="31" spans="1:5" x14ac:dyDescent="0.15">
      <c r="A31" s="56">
        <v>2022</v>
      </c>
      <c r="B31" s="59">
        <v>1</v>
      </c>
      <c r="C31" s="59">
        <v>0</v>
      </c>
      <c r="D31" s="59">
        <v>0</v>
      </c>
      <c r="E31" s="59">
        <v>0</v>
      </c>
    </row>
    <row r="32" spans="1:5" x14ac:dyDescent="0.15">
      <c r="A32" s="56">
        <v>2025</v>
      </c>
      <c r="B32" s="59">
        <v>1</v>
      </c>
      <c r="C32" s="59">
        <v>0</v>
      </c>
      <c r="D32" s="59">
        <v>0</v>
      </c>
      <c r="E32" s="59">
        <v>0</v>
      </c>
    </row>
    <row r="33" spans="1:5" x14ac:dyDescent="0.15">
      <c r="A33" s="56">
        <v>2030</v>
      </c>
      <c r="B33" s="59">
        <v>1</v>
      </c>
      <c r="C33" s="59">
        <v>0</v>
      </c>
      <c r="D33" s="59">
        <v>0</v>
      </c>
      <c r="E33" s="59">
        <v>0</v>
      </c>
    </row>
    <row r="34" spans="1:5" x14ac:dyDescent="0.15">
      <c r="A34" s="56">
        <v>2035</v>
      </c>
      <c r="B34" s="59">
        <v>1</v>
      </c>
      <c r="C34" s="59">
        <v>0</v>
      </c>
      <c r="D34" s="59">
        <v>0</v>
      </c>
      <c r="E34" s="59">
        <v>0</v>
      </c>
    </row>
    <row r="35" spans="1:5" x14ac:dyDescent="0.15">
      <c r="A35" s="56" t="s">
        <v>1063</v>
      </c>
      <c r="B35" s="59">
        <v>1</v>
      </c>
      <c r="C35" s="59">
        <v>0</v>
      </c>
      <c r="D35" s="59">
        <v>0</v>
      </c>
      <c r="E35" s="59">
        <v>0</v>
      </c>
    </row>
    <row r="37" spans="1:5" x14ac:dyDescent="0.15">
      <c r="A37" s="57" t="s">
        <v>1106</v>
      </c>
      <c r="B37" s="56" t="s">
        <v>1005</v>
      </c>
      <c r="C37" s="56" t="s">
        <v>1006</v>
      </c>
      <c r="D37" s="56" t="s">
        <v>1007</v>
      </c>
      <c r="E37" s="56" t="s">
        <v>1008</v>
      </c>
    </row>
    <row r="38" spans="1:5" x14ac:dyDescent="0.15">
      <c r="A38" s="56">
        <v>2020</v>
      </c>
      <c r="B38" s="59">
        <v>1</v>
      </c>
      <c r="C38" s="59">
        <v>0</v>
      </c>
      <c r="D38" s="59">
        <v>0</v>
      </c>
      <c r="E38" s="59">
        <v>0</v>
      </c>
    </row>
    <row r="39" spans="1:5" x14ac:dyDescent="0.15">
      <c r="A39" s="56">
        <v>2022</v>
      </c>
      <c r="B39" s="59">
        <v>0</v>
      </c>
      <c r="C39" s="59">
        <v>1</v>
      </c>
      <c r="D39" s="59">
        <v>0</v>
      </c>
      <c r="E39" s="59">
        <v>0</v>
      </c>
    </row>
    <row r="40" spans="1:5" x14ac:dyDescent="0.15">
      <c r="A40" s="56">
        <v>2025</v>
      </c>
      <c r="B40" s="59">
        <v>0</v>
      </c>
      <c r="C40" s="59">
        <v>0.6</v>
      </c>
      <c r="D40" s="59">
        <v>0.4</v>
      </c>
      <c r="E40" s="59">
        <v>0</v>
      </c>
    </row>
    <row r="41" spans="1:5" x14ac:dyDescent="0.15">
      <c r="A41" s="56">
        <v>2030</v>
      </c>
      <c r="B41" s="59">
        <v>0</v>
      </c>
      <c r="C41" s="59">
        <v>0</v>
      </c>
      <c r="D41" s="59">
        <v>1</v>
      </c>
      <c r="E41" s="59">
        <v>0</v>
      </c>
    </row>
    <row r="42" spans="1:5" x14ac:dyDescent="0.15">
      <c r="A42" s="56">
        <v>2035</v>
      </c>
      <c r="B42" s="59">
        <v>0</v>
      </c>
      <c r="C42" s="59">
        <v>0</v>
      </c>
      <c r="D42" s="59">
        <v>0.6</v>
      </c>
      <c r="E42" s="59">
        <v>0.4</v>
      </c>
    </row>
    <row r="43" spans="1:5" x14ac:dyDescent="0.15">
      <c r="A43" s="56" t="s">
        <v>1063</v>
      </c>
      <c r="B43" s="59">
        <v>0</v>
      </c>
      <c r="C43" s="59">
        <v>0</v>
      </c>
      <c r="D43" s="59">
        <v>0</v>
      </c>
      <c r="E43" s="59">
        <v>1</v>
      </c>
    </row>
    <row r="44" spans="1:5" x14ac:dyDescent="0.15">
      <c r="A44" s="13" t="s">
        <v>1107</v>
      </c>
    </row>
    <row r="45" spans="1:5" x14ac:dyDescent="0.15">
      <c r="A45" s="68" t="s">
        <v>1167</v>
      </c>
    </row>
    <row r="47" spans="1:5" x14ac:dyDescent="0.15">
      <c r="A47" s="65" t="s">
        <v>1151</v>
      </c>
    </row>
    <row r="48" spans="1:5" x14ac:dyDescent="0.15">
      <c r="A48" s="57" t="s">
        <v>1003</v>
      </c>
      <c r="B48" s="56" t="s">
        <v>1109</v>
      </c>
    </row>
    <row r="49" spans="1:4" x14ac:dyDescent="0.15">
      <c r="A49" s="56" t="s">
        <v>1108</v>
      </c>
      <c r="B49" s="59">
        <v>0</v>
      </c>
    </row>
    <row r="51" spans="1:4" x14ac:dyDescent="0.15">
      <c r="A51" s="57" t="s">
        <v>1106</v>
      </c>
      <c r="B51" s="56" t="s">
        <v>1109</v>
      </c>
      <c r="C51" s="56" t="s">
        <v>1110</v>
      </c>
      <c r="D51" s="56" t="s">
        <v>965</v>
      </c>
    </row>
    <row r="52" spans="1:4" x14ac:dyDescent="0.15">
      <c r="A52" s="56" t="s">
        <v>1108</v>
      </c>
      <c r="B52" s="59">
        <v>0.01</v>
      </c>
      <c r="C52" s="59" t="s">
        <v>1111</v>
      </c>
      <c r="D52" s="59" t="s">
        <v>1154</v>
      </c>
    </row>
    <row r="53" spans="1:4" x14ac:dyDescent="0.15">
      <c r="A53" s="13" t="s">
        <v>1112</v>
      </c>
    </row>
    <row r="54" spans="1:4" x14ac:dyDescent="0.15">
      <c r="A54" s="68" t="s">
        <v>1167</v>
      </c>
    </row>
    <row r="56" spans="1:4" x14ac:dyDescent="0.15">
      <c r="A56" s="65" t="s">
        <v>1000</v>
      </c>
    </row>
    <row r="57" spans="1:4" x14ac:dyDescent="0.15">
      <c r="A57" s="57" t="s">
        <v>1003</v>
      </c>
      <c r="B57" s="56" t="s">
        <v>1142</v>
      </c>
      <c r="C57" s="56" t="s">
        <v>1144</v>
      </c>
      <c r="D57" s="56" t="s">
        <v>1143</v>
      </c>
    </row>
    <row r="58" spans="1:4" x14ac:dyDescent="0.15">
      <c r="A58" s="56" t="s">
        <v>1108</v>
      </c>
      <c r="B58" s="59" t="s">
        <v>1145</v>
      </c>
      <c r="C58" s="59" t="s">
        <v>1146</v>
      </c>
      <c r="D58" s="59" t="s">
        <v>1114</v>
      </c>
    </row>
    <row r="60" spans="1:4" x14ac:dyDescent="0.15">
      <c r="A60" s="57" t="s">
        <v>1106</v>
      </c>
      <c r="B60" s="56" t="s">
        <v>1142</v>
      </c>
      <c r="C60" s="56" t="s">
        <v>1144</v>
      </c>
      <c r="D60" s="56" t="s">
        <v>1143</v>
      </c>
    </row>
    <row r="61" spans="1:4" x14ac:dyDescent="0.15">
      <c r="A61" s="56">
        <v>2020</v>
      </c>
      <c r="B61" s="59" t="s">
        <v>1145</v>
      </c>
      <c r="C61" s="59" t="s">
        <v>1146</v>
      </c>
      <c r="D61" s="59" t="s">
        <v>1114</v>
      </c>
    </row>
    <row r="62" spans="1:4" x14ac:dyDescent="0.15">
      <c r="A62" s="56">
        <v>2030</v>
      </c>
      <c r="B62" s="70" t="s">
        <v>1169</v>
      </c>
      <c r="C62" s="71" t="s">
        <v>1114</v>
      </c>
      <c r="D62" s="71" t="s">
        <v>1170</v>
      </c>
    </row>
    <row r="63" spans="1:4" x14ac:dyDescent="0.15">
      <c r="A63" s="56">
        <v>2060</v>
      </c>
      <c r="B63" s="59" t="s">
        <v>1147</v>
      </c>
      <c r="C63" s="59" t="s">
        <v>1148</v>
      </c>
      <c r="D63" s="59" t="s">
        <v>1113</v>
      </c>
    </row>
    <row r="64" spans="1:4" x14ac:dyDescent="0.15">
      <c r="A64" s="69" t="s">
        <v>1171</v>
      </c>
      <c r="B64" s="66"/>
      <c r="C64" s="66"/>
    </row>
    <row r="65" spans="1:5" x14ac:dyDescent="0.15">
      <c r="A65" s="66" t="s">
        <v>1115</v>
      </c>
      <c r="B65" s="72" t="s">
        <v>1168</v>
      </c>
    </row>
    <row r="66" spans="1:5" x14ac:dyDescent="0.15">
      <c r="A66" s="66"/>
    </row>
    <row r="67" spans="1:5" x14ac:dyDescent="0.15">
      <c r="A67" s="66"/>
    </row>
    <row r="68" spans="1:5" x14ac:dyDescent="0.15">
      <c r="A68" s="66"/>
    </row>
    <row r="70" spans="1:5" x14ac:dyDescent="0.15">
      <c r="A70" s="65" t="s">
        <v>1001</v>
      </c>
    </row>
    <row r="71" spans="1:5" ht="27" x14ac:dyDescent="0.15">
      <c r="A71" s="57" t="s">
        <v>1003</v>
      </c>
      <c r="B71" s="56" t="s">
        <v>1116</v>
      </c>
      <c r="C71" s="61" t="s">
        <v>1117</v>
      </c>
      <c r="D71" s="56" t="s">
        <v>1118</v>
      </c>
    </row>
    <row r="72" spans="1:5" x14ac:dyDescent="0.15">
      <c r="A72" s="56" t="s">
        <v>1108</v>
      </c>
      <c r="B72" s="59">
        <v>0.02</v>
      </c>
      <c r="C72" s="59">
        <v>0</v>
      </c>
      <c r="D72" s="59">
        <v>0.98</v>
      </c>
    </row>
    <row r="74" spans="1:5" ht="27" x14ac:dyDescent="0.15">
      <c r="A74" s="57" t="s">
        <v>1106</v>
      </c>
      <c r="B74" s="56" t="s">
        <v>1116</v>
      </c>
      <c r="C74" s="61" t="s">
        <v>1117</v>
      </c>
      <c r="D74" s="56" t="s">
        <v>1118</v>
      </c>
    </row>
    <row r="75" spans="1:5" x14ac:dyDescent="0.15">
      <c r="A75" s="56">
        <v>2020</v>
      </c>
      <c r="B75" s="59">
        <v>0.02</v>
      </c>
      <c r="C75" s="59">
        <v>0</v>
      </c>
      <c r="D75" s="59">
        <v>0.98</v>
      </c>
    </row>
    <row r="76" spans="1:5" x14ac:dyDescent="0.15">
      <c r="A76" s="56" t="s">
        <v>1119</v>
      </c>
      <c r="B76" s="59">
        <v>0.08</v>
      </c>
      <c r="C76" s="70">
        <v>0.2</v>
      </c>
      <c r="D76" s="59">
        <v>0.72</v>
      </c>
    </row>
    <row r="77" spans="1:5" x14ac:dyDescent="0.15">
      <c r="A77" s="56" t="s">
        <v>1120</v>
      </c>
      <c r="B77" s="59">
        <v>0.2</v>
      </c>
      <c r="C77" s="59">
        <v>0.8</v>
      </c>
      <c r="D77" s="59">
        <v>0</v>
      </c>
    </row>
    <row r="79" spans="1:5" x14ac:dyDescent="0.15">
      <c r="A79" s="65" t="s">
        <v>1002</v>
      </c>
    </row>
    <row r="80" spans="1:5" x14ac:dyDescent="0.15">
      <c r="A80" s="57" t="s">
        <v>1003</v>
      </c>
      <c r="B80" s="75" t="s">
        <v>996</v>
      </c>
      <c r="C80" s="76"/>
      <c r="D80" s="75" t="s">
        <v>1121</v>
      </c>
      <c r="E80" s="76"/>
    </row>
    <row r="81" spans="1:5" x14ac:dyDescent="0.15">
      <c r="A81" s="57"/>
      <c r="B81" s="56" t="s">
        <v>1122</v>
      </c>
      <c r="C81" s="61" t="s">
        <v>1123</v>
      </c>
      <c r="D81" s="56" t="s">
        <v>1122</v>
      </c>
      <c r="E81" s="61" t="s">
        <v>1123</v>
      </c>
    </row>
    <row r="82" spans="1:5" x14ac:dyDescent="0.15">
      <c r="A82" s="56" t="s">
        <v>1108</v>
      </c>
      <c r="B82" s="59">
        <v>0.02</v>
      </c>
      <c r="C82" s="59">
        <v>0.02</v>
      </c>
      <c r="D82" s="59">
        <v>0.02</v>
      </c>
      <c r="E82" s="59">
        <v>0.02</v>
      </c>
    </row>
    <row r="84" spans="1:5" x14ac:dyDescent="0.15">
      <c r="A84" s="57" t="s">
        <v>1106</v>
      </c>
      <c r="B84" s="75" t="s">
        <v>996</v>
      </c>
      <c r="C84" s="76"/>
      <c r="D84" s="75" t="s">
        <v>1121</v>
      </c>
      <c r="E84" s="76"/>
    </row>
    <row r="85" spans="1:5" x14ac:dyDescent="0.15">
      <c r="A85" s="57"/>
      <c r="B85" s="56" t="s">
        <v>1122</v>
      </c>
      <c r="C85" s="61" t="s">
        <v>1123</v>
      </c>
      <c r="D85" s="56" t="s">
        <v>1122</v>
      </c>
      <c r="E85" s="61" t="s">
        <v>1123</v>
      </c>
    </row>
    <row r="86" spans="1:5" x14ac:dyDescent="0.15">
      <c r="A86" s="56">
        <v>2020</v>
      </c>
      <c r="B86" s="59">
        <v>0.02</v>
      </c>
      <c r="C86" s="59">
        <v>0.02</v>
      </c>
      <c r="D86" s="59">
        <v>0.02</v>
      </c>
      <c r="E86" s="59">
        <v>0.02</v>
      </c>
    </row>
    <row r="87" spans="1:5" x14ac:dyDescent="0.15">
      <c r="A87" s="56" t="s">
        <v>1119</v>
      </c>
      <c r="B87" s="59">
        <v>0.4</v>
      </c>
      <c r="C87" s="59">
        <v>0.2</v>
      </c>
      <c r="D87" s="59">
        <v>0.3</v>
      </c>
      <c r="E87" s="59">
        <v>0.1</v>
      </c>
    </row>
    <row r="88" spans="1:5" x14ac:dyDescent="0.15">
      <c r="A88" s="56" t="s">
        <v>1124</v>
      </c>
      <c r="B88" s="59">
        <v>0.8</v>
      </c>
      <c r="C88" s="59">
        <v>0.6</v>
      </c>
      <c r="D88" s="59">
        <v>0.8</v>
      </c>
      <c r="E88" s="59">
        <v>0.5</v>
      </c>
    </row>
    <row r="89" spans="1:5" x14ac:dyDescent="0.15">
      <c r="A89" s="56" t="s">
        <v>1125</v>
      </c>
      <c r="B89" s="59">
        <v>1</v>
      </c>
      <c r="C89" s="59">
        <v>1</v>
      </c>
      <c r="D89" s="59">
        <v>1</v>
      </c>
      <c r="E89" s="59">
        <v>0.8</v>
      </c>
    </row>
    <row r="90" spans="1:5" x14ac:dyDescent="0.15">
      <c r="A90" s="56" t="s">
        <v>1126</v>
      </c>
      <c r="B90" s="59">
        <v>1</v>
      </c>
      <c r="C90" s="59">
        <v>1</v>
      </c>
      <c r="D90" s="59">
        <v>1</v>
      </c>
      <c r="E90" s="59">
        <v>1</v>
      </c>
    </row>
    <row r="91" spans="1:5" x14ac:dyDescent="0.15">
      <c r="A91" s="74" t="s">
        <v>1172</v>
      </c>
      <c r="B91" s="66"/>
      <c r="C91" s="66"/>
      <c r="D91" s="66"/>
      <c r="E91" s="66"/>
    </row>
    <row r="93" spans="1:5" x14ac:dyDescent="0.15">
      <c r="A93" s="65" t="s">
        <v>1127</v>
      </c>
    </row>
    <row r="94" spans="1:5" ht="27" x14ac:dyDescent="0.15">
      <c r="A94" s="57" t="s">
        <v>1003</v>
      </c>
      <c r="B94" s="60" t="s">
        <v>1128</v>
      </c>
    </row>
    <row r="95" spans="1:5" x14ac:dyDescent="0.15">
      <c r="A95" s="56">
        <v>2020</v>
      </c>
      <c r="B95" s="15">
        <v>60.9</v>
      </c>
    </row>
    <row r="96" spans="1:5" x14ac:dyDescent="0.15">
      <c r="A96" s="56">
        <v>2030</v>
      </c>
      <c r="B96" s="15">
        <v>54.8</v>
      </c>
    </row>
    <row r="97" spans="1:2" x14ac:dyDescent="0.15">
      <c r="A97" s="56">
        <v>2040</v>
      </c>
      <c r="B97" s="15">
        <v>39.6</v>
      </c>
    </row>
    <row r="98" spans="1:2" x14ac:dyDescent="0.15">
      <c r="A98" s="56">
        <v>2050</v>
      </c>
      <c r="B98" s="15">
        <v>16.8</v>
      </c>
    </row>
    <row r="99" spans="1:2" x14ac:dyDescent="0.15">
      <c r="A99" s="56">
        <v>2060</v>
      </c>
      <c r="B99" s="15">
        <v>5.7</v>
      </c>
    </row>
    <row r="101" spans="1:2" ht="27" x14ac:dyDescent="0.15">
      <c r="A101" s="57" t="s">
        <v>1106</v>
      </c>
      <c r="B101" s="60" t="s">
        <v>1128</v>
      </c>
    </row>
    <row r="102" spans="1:2" x14ac:dyDescent="0.15">
      <c r="A102" s="56">
        <v>2020</v>
      </c>
      <c r="B102" s="15">
        <v>50.43</v>
      </c>
    </row>
    <row r="103" spans="1:2" x14ac:dyDescent="0.15">
      <c r="A103" s="56">
        <v>2030</v>
      </c>
      <c r="B103" s="15">
        <v>35.97</v>
      </c>
    </row>
    <row r="104" spans="1:2" x14ac:dyDescent="0.15">
      <c r="A104" s="56">
        <v>2040</v>
      </c>
      <c r="B104" s="15">
        <v>14.96</v>
      </c>
    </row>
    <row r="105" spans="1:2" x14ac:dyDescent="0.15">
      <c r="A105" s="56">
        <v>2050</v>
      </c>
      <c r="B105" s="15">
        <v>0.33</v>
      </c>
    </row>
    <row r="106" spans="1:2" x14ac:dyDescent="0.15">
      <c r="A106" s="56">
        <v>2060</v>
      </c>
      <c r="B106" s="15">
        <v>0</v>
      </c>
    </row>
    <row r="108" spans="1:2" x14ac:dyDescent="0.15">
      <c r="A108" s="65" t="s">
        <v>1129</v>
      </c>
    </row>
    <row r="109" spans="1:2" x14ac:dyDescent="0.15">
      <c r="A109" t="s">
        <v>1130</v>
      </c>
    </row>
    <row r="110" spans="1:2" x14ac:dyDescent="0.15">
      <c r="A110" t="s">
        <v>1131</v>
      </c>
    </row>
    <row r="111" spans="1:2" x14ac:dyDescent="0.15">
      <c r="A111" t="s">
        <v>1132</v>
      </c>
    </row>
    <row r="112" spans="1:2" x14ac:dyDescent="0.15">
      <c r="A112" t="s">
        <v>12</v>
      </c>
    </row>
    <row r="113" spans="1:1" x14ac:dyDescent="0.15">
      <c r="A113" t="s">
        <v>1133</v>
      </c>
    </row>
    <row r="114" spans="1:1" x14ac:dyDescent="0.15">
      <c r="A114" t="s">
        <v>1134</v>
      </c>
    </row>
    <row r="115" spans="1:1" x14ac:dyDescent="0.15">
      <c r="A115" t="s">
        <v>13</v>
      </c>
    </row>
    <row r="116" spans="1:1" x14ac:dyDescent="0.15">
      <c r="A116" t="s">
        <v>14</v>
      </c>
    </row>
    <row r="117" spans="1:1" x14ac:dyDescent="0.15">
      <c r="A117" t="s">
        <v>15</v>
      </c>
    </row>
    <row r="118" spans="1:1" x14ac:dyDescent="0.15">
      <c r="A118" t="s">
        <v>16</v>
      </c>
    </row>
    <row r="119" spans="1:1" x14ac:dyDescent="0.15">
      <c r="A119" t="s">
        <v>17</v>
      </c>
    </row>
    <row r="120" spans="1:1" x14ac:dyDescent="0.15">
      <c r="A120" t="s">
        <v>1135</v>
      </c>
    </row>
    <row r="121" spans="1:1" x14ac:dyDescent="0.15">
      <c r="A121" t="s">
        <v>18</v>
      </c>
    </row>
    <row r="122" spans="1:1" x14ac:dyDescent="0.15">
      <c r="A122" t="s">
        <v>19</v>
      </c>
    </row>
    <row r="123" spans="1:1" x14ac:dyDescent="0.15">
      <c r="A123" t="s">
        <v>20</v>
      </c>
    </row>
    <row r="124" spans="1:1" x14ac:dyDescent="0.15">
      <c r="A124" t="s">
        <v>21</v>
      </c>
    </row>
    <row r="125" spans="1:1" x14ac:dyDescent="0.15">
      <c r="A125" t="s">
        <v>22</v>
      </c>
    </row>
    <row r="126" spans="1:1" x14ac:dyDescent="0.15">
      <c r="A126" t="s">
        <v>1136</v>
      </c>
    </row>
    <row r="127" spans="1:1" x14ac:dyDescent="0.15">
      <c r="A127" t="s">
        <v>23</v>
      </c>
    </row>
    <row r="128" spans="1:1" x14ac:dyDescent="0.15">
      <c r="A128" t="s">
        <v>24</v>
      </c>
    </row>
    <row r="129" spans="1:1" x14ac:dyDescent="0.15">
      <c r="A129" t="s">
        <v>25</v>
      </c>
    </row>
    <row r="130" spans="1:1" x14ac:dyDescent="0.15">
      <c r="A130" t="s">
        <v>1139</v>
      </c>
    </row>
    <row r="131" spans="1:1" x14ac:dyDescent="0.15">
      <c r="A131" t="s">
        <v>1140</v>
      </c>
    </row>
    <row r="132" spans="1:1" x14ac:dyDescent="0.15">
      <c r="A132" t="s">
        <v>1141</v>
      </c>
    </row>
    <row r="134" spans="1:1" x14ac:dyDescent="0.15">
      <c r="A134" s="67" t="s">
        <v>1166</v>
      </c>
    </row>
  </sheetData>
  <mergeCells count="4">
    <mergeCell ref="B84:C84"/>
    <mergeCell ref="D84:E84"/>
    <mergeCell ref="B80:C80"/>
    <mergeCell ref="D80:E8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48FD-B569-4250-BDC0-C74A98C15391}">
  <dimension ref="A1:F55"/>
  <sheetViews>
    <sheetView workbookViewId="0"/>
  </sheetViews>
  <sheetFormatPr defaultRowHeight="13.5" x14ac:dyDescent="0.15"/>
  <cols>
    <col min="1" max="1" width="23.875" customWidth="1"/>
    <col min="2" max="2" width="24.375" customWidth="1"/>
    <col min="3" max="3" width="30.75" customWidth="1"/>
    <col min="4" max="4" width="27.125" customWidth="1"/>
    <col min="5" max="6" width="19.125" customWidth="1"/>
    <col min="7" max="7" width="14.875" customWidth="1"/>
  </cols>
  <sheetData>
    <row r="1" spans="1:6" x14ac:dyDescent="0.15">
      <c r="A1" s="56"/>
      <c r="B1" s="56" t="s">
        <v>1003</v>
      </c>
      <c r="C1" s="56" t="s">
        <v>1017</v>
      </c>
    </row>
    <row r="2" spans="1:6" ht="40.5" x14ac:dyDescent="0.15">
      <c r="A2" s="56" t="s">
        <v>998</v>
      </c>
      <c r="B2" s="32" t="s">
        <v>1026</v>
      </c>
      <c r="C2" s="32" t="s">
        <v>1009</v>
      </c>
      <c r="D2" t="s">
        <v>1070</v>
      </c>
      <c r="E2" t="s">
        <v>1031</v>
      </c>
      <c r="F2" t="s">
        <v>1071</v>
      </c>
    </row>
    <row r="3" spans="1:6" ht="67.5" x14ac:dyDescent="0.15">
      <c r="A3" s="56" t="s">
        <v>999</v>
      </c>
      <c r="B3" s="32" t="s">
        <v>1011</v>
      </c>
      <c r="C3" s="32" t="s">
        <v>1010</v>
      </c>
    </row>
    <row r="4" spans="1:6" ht="40.5" x14ac:dyDescent="0.15">
      <c r="A4" s="56" t="s">
        <v>1000</v>
      </c>
      <c r="B4" s="32" t="s">
        <v>1012</v>
      </c>
      <c r="C4" s="32" t="s">
        <v>1021</v>
      </c>
    </row>
    <row r="5" spans="1:6" ht="27" x14ac:dyDescent="0.15">
      <c r="A5" s="56" t="s">
        <v>1001</v>
      </c>
      <c r="B5" s="32" t="s">
        <v>1013</v>
      </c>
      <c r="C5" s="32" t="s">
        <v>1019</v>
      </c>
    </row>
    <row r="6" spans="1:6" ht="40.5" x14ac:dyDescent="0.15">
      <c r="A6" s="56" t="s">
        <v>1002</v>
      </c>
      <c r="B6" s="32" t="s">
        <v>1014</v>
      </c>
      <c r="C6" s="32" t="s">
        <v>1020</v>
      </c>
      <c r="D6" t="s">
        <v>1037</v>
      </c>
      <c r="E6" t="s">
        <v>1038</v>
      </c>
    </row>
    <row r="7" spans="1:6" ht="40.5" x14ac:dyDescent="0.15">
      <c r="A7" s="56" t="s">
        <v>1016</v>
      </c>
      <c r="B7" s="32" t="s">
        <v>1015</v>
      </c>
      <c r="C7" s="32" t="s">
        <v>1018</v>
      </c>
    </row>
    <row r="9" spans="1:6" x14ac:dyDescent="0.15">
      <c r="D9" s="63"/>
    </row>
    <row r="10" spans="1:6" x14ac:dyDescent="0.15">
      <c r="A10" t="s">
        <v>1061</v>
      </c>
      <c r="B10">
        <v>0.65</v>
      </c>
      <c r="C10">
        <v>0.65</v>
      </c>
    </row>
    <row r="11" spans="1:6" ht="27" x14ac:dyDescent="0.15">
      <c r="A11" s="61" t="s">
        <v>1028</v>
      </c>
      <c r="B11" s="56" t="s">
        <v>980</v>
      </c>
      <c r="C11" s="56" t="s">
        <v>981</v>
      </c>
    </row>
    <row r="12" spans="1:6" x14ac:dyDescent="0.15">
      <c r="A12" s="56" t="s">
        <v>966</v>
      </c>
      <c r="B12" s="15" t="s">
        <v>1062</v>
      </c>
      <c r="C12" s="15">
        <v>0.72</v>
      </c>
    </row>
    <row r="13" spans="1:6" x14ac:dyDescent="0.15">
      <c r="A13" s="56" t="s">
        <v>968</v>
      </c>
      <c r="B13" s="15" t="s">
        <v>819</v>
      </c>
      <c r="C13" s="15" t="s">
        <v>819</v>
      </c>
    </row>
    <row r="14" spans="1:6" x14ac:dyDescent="0.15">
      <c r="A14" s="56" t="s">
        <v>970</v>
      </c>
      <c r="B14" s="15" t="s">
        <v>1064</v>
      </c>
      <c r="C14" s="15">
        <v>0.75</v>
      </c>
    </row>
    <row r="15" spans="1:6" x14ac:dyDescent="0.15">
      <c r="A15" s="56" t="s">
        <v>972</v>
      </c>
      <c r="B15" s="15">
        <v>0.82</v>
      </c>
      <c r="C15" s="15">
        <v>0.82</v>
      </c>
    </row>
    <row r="16" spans="1:6" x14ac:dyDescent="0.15">
      <c r="A16" s="56" t="s">
        <v>982</v>
      </c>
      <c r="B16" s="15">
        <v>0.82</v>
      </c>
      <c r="C16" s="15">
        <v>0.82</v>
      </c>
      <c r="D16" t="s">
        <v>1048</v>
      </c>
    </row>
    <row r="17" spans="1:5" ht="54" x14ac:dyDescent="0.15">
      <c r="A17" s="62" t="s">
        <v>1029</v>
      </c>
    </row>
    <row r="26" spans="1:5" x14ac:dyDescent="0.15">
      <c r="A26" s="57" t="s">
        <v>1004</v>
      </c>
      <c r="B26" s="56" t="s">
        <v>1005</v>
      </c>
      <c r="C26" s="56" t="s">
        <v>1006</v>
      </c>
      <c r="D26" s="56" t="s">
        <v>1007</v>
      </c>
      <c r="E26" s="56" t="s">
        <v>1008</v>
      </c>
    </row>
    <row r="27" spans="1:5" x14ac:dyDescent="0.15">
      <c r="A27" s="56">
        <v>2020</v>
      </c>
      <c r="B27" s="59">
        <v>1</v>
      </c>
      <c r="C27" s="59">
        <v>0</v>
      </c>
      <c r="D27" s="59">
        <v>0</v>
      </c>
      <c r="E27" s="59">
        <v>0</v>
      </c>
    </row>
    <row r="28" spans="1:5" x14ac:dyDescent="0.15">
      <c r="A28" s="56">
        <v>2022</v>
      </c>
      <c r="B28" s="59">
        <v>0</v>
      </c>
      <c r="C28" s="59">
        <v>1</v>
      </c>
      <c r="D28" s="59">
        <v>0</v>
      </c>
      <c r="E28" s="59">
        <v>0</v>
      </c>
    </row>
    <row r="29" spans="1:5" x14ac:dyDescent="0.15">
      <c r="A29" s="56">
        <v>2025</v>
      </c>
      <c r="B29" s="59">
        <v>0</v>
      </c>
      <c r="C29" s="59">
        <v>0.6</v>
      </c>
      <c r="D29" s="59">
        <v>0.4</v>
      </c>
      <c r="E29" s="59">
        <v>0</v>
      </c>
    </row>
    <row r="30" spans="1:5" x14ac:dyDescent="0.15">
      <c r="A30" s="56">
        <v>2030</v>
      </c>
      <c r="B30" s="59">
        <v>0</v>
      </c>
      <c r="C30" s="59">
        <v>0</v>
      </c>
      <c r="D30" s="59">
        <v>1</v>
      </c>
      <c r="E30" s="59">
        <v>0</v>
      </c>
    </row>
    <row r="31" spans="1:5" x14ac:dyDescent="0.15">
      <c r="A31" s="56">
        <v>2035</v>
      </c>
      <c r="B31" s="59">
        <v>0</v>
      </c>
      <c r="C31" s="59">
        <v>0</v>
      </c>
      <c r="D31" s="59">
        <v>0.6</v>
      </c>
      <c r="E31" s="59">
        <v>0.4</v>
      </c>
    </row>
    <row r="32" spans="1:5" x14ac:dyDescent="0.15">
      <c r="A32" s="56" t="s">
        <v>1063</v>
      </c>
      <c r="B32" s="59">
        <v>0</v>
      </c>
      <c r="C32" s="59">
        <v>0</v>
      </c>
      <c r="D32" s="59">
        <v>0</v>
      </c>
      <c r="E32" s="59">
        <v>1</v>
      </c>
    </row>
    <row r="35" spans="1:6" ht="27" x14ac:dyDescent="0.15">
      <c r="A35" s="60" t="s">
        <v>1027</v>
      </c>
      <c r="B35" s="56" t="s">
        <v>967</v>
      </c>
      <c r="C35" s="56" t="s">
        <v>969</v>
      </c>
      <c r="D35" s="56" t="s">
        <v>971</v>
      </c>
      <c r="E35" s="56" t="s">
        <v>973</v>
      </c>
      <c r="F35" s="56" t="s">
        <v>974</v>
      </c>
    </row>
    <row r="36" spans="1:6" x14ac:dyDescent="0.15">
      <c r="A36" s="56" t="s">
        <v>1022</v>
      </c>
      <c r="B36" s="58">
        <v>1</v>
      </c>
      <c r="C36" s="15">
        <v>0</v>
      </c>
      <c r="D36" s="15">
        <v>0</v>
      </c>
      <c r="E36" s="15">
        <v>0</v>
      </c>
      <c r="F36" s="15">
        <v>0</v>
      </c>
    </row>
    <row r="37" spans="1:6" x14ac:dyDescent="0.15">
      <c r="A37" s="56" t="s">
        <v>1023</v>
      </c>
      <c r="B37" s="15">
        <v>0</v>
      </c>
      <c r="C37" s="58">
        <v>1</v>
      </c>
      <c r="D37" s="15">
        <v>0</v>
      </c>
      <c r="E37" s="15">
        <v>0</v>
      </c>
      <c r="F37" s="15">
        <v>0</v>
      </c>
    </row>
    <row r="38" spans="1:6" x14ac:dyDescent="0.15">
      <c r="A38" s="56" t="s">
        <v>1024</v>
      </c>
      <c r="B38" s="15">
        <v>0</v>
      </c>
      <c r="C38" s="15">
        <v>0</v>
      </c>
      <c r="D38" s="58">
        <v>1</v>
      </c>
      <c r="E38" s="15">
        <v>0</v>
      </c>
      <c r="F38" s="15">
        <v>0</v>
      </c>
    </row>
    <row r="39" spans="1:6" x14ac:dyDescent="0.15">
      <c r="A39" s="56" t="s">
        <v>1025</v>
      </c>
      <c r="B39" s="15">
        <v>0</v>
      </c>
      <c r="C39" s="15">
        <v>0</v>
      </c>
      <c r="D39" s="15">
        <v>0</v>
      </c>
      <c r="E39" s="58">
        <v>1</v>
      </c>
      <c r="F39" s="15">
        <v>0</v>
      </c>
    </row>
    <row r="53" spans="4:4" x14ac:dyDescent="0.15">
      <c r="D53">
        <f>5.4*10^18/1055</f>
        <v>5118483412322275</v>
      </c>
    </row>
    <row r="54" spans="4:4" x14ac:dyDescent="0.15">
      <c r="D54">
        <f>6.89*10^15</f>
        <v>6890000000000000</v>
      </c>
    </row>
    <row r="55" spans="4:4" x14ac:dyDescent="0.15">
      <c r="D55">
        <f>D54/D53</f>
        <v>1.3461018518518517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52B0-7958-4F9F-B66D-708521A91A4F}">
  <dimension ref="A1:F50"/>
  <sheetViews>
    <sheetView workbookViewId="0"/>
  </sheetViews>
  <sheetFormatPr defaultRowHeight="13.5" x14ac:dyDescent="0.15"/>
  <cols>
    <col min="1" max="1" width="23.875" customWidth="1"/>
    <col min="2" max="2" width="24.375" customWidth="1"/>
    <col min="3" max="3" width="30.75" customWidth="1"/>
    <col min="4" max="4" width="27.125" customWidth="1"/>
    <col min="5" max="6" width="19.125" customWidth="1"/>
    <col min="7" max="7" width="14.875" customWidth="1"/>
  </cols>
  <sheetData>
    <row r="1" spans="1:6" x14ac:dyDescent="0.15">
      <c r="A1" s="56"/>
      <c r="B1" s="56" t="s">
        <v>1003</v>
      </c>
      <c r="C1" s="56" t="s">
        <v>1017</v>
      </c>
    </row>
    <row r="2" spans="1:6" ht="40.5" x14ac:dyDescent="0.15">
      <c r="A2" s="56" t="s">
        <v>998</v>
      </c>
      <c r="B2" s="32" t="s">
        <v>1026</v>
      </c>
      <c r="C2" s="32" t="s">
        <v>1009</v>
      </c>
      <c r="D2" t="s">
        <v>1030</v>
      </c>
      <c r="E2" t="s">
        <v>1031</v>
      </c>
    </row>
    <row r="3" spans="1:6" ht="67.5" x14ac:dyDescent="0.15">
      <c r="A3" s="56" t="s">
        <v>999</v>
      </c>
      <c r="B3" s="32" t="s">
        <v>1011</v>
      </c>
      <c r="C3" s="32" t="s">
        <v>1010</v>
      </c>
      <c r="D3" t="s">
        <v>1032</v>
      </c>
    </row>
    <row r="4" spans="1:6" ht="40.5" x14ac:dyDescent="0.15">
      <c r="A4" s="56" t="s">
        <v>1000</v>
      </c>
      <c r="B4" s="32" t="s">
        <v>1012</v>
      </c>
      <c r="C4" s="32" t="s">
        <v>1021</v>
      </c>
      <c r="D4" t="s">
        <v>1033</v>
      </c>
    </row>
    <row r="5" spans="1:6" ht="27" x14ac:dyDescent="0.15">
      <c r="A5" s="56" t="s">
        <v>1001</v>
      </c>
      <c r="B5" s="32" t="s">
        <v>1013</v>
      </c>
      <c r="C5" s="32" t="s">
        <v>1019</v>
      </c>
      <c r="D5" t="s">
        <v>1034</v>
      </c>
      <c r="E5" t="s">
        <v>1035</v>
      </c>
      <c r="F5" t="s">
        <v>1036</v>
      </c>
    </row>
    <row r="6" spans="1:6" ht="40.5" x14ac:dyDescent="0.15">
      <c r="A6" s="56" t="s">
        <v>1002</v>
      </c>
      <c r="B6" s="32" t="s">
        <v>1014</v>
      </c>
      <c r="C6" s="32" t="s">
        <v>1020</v>
      </c>
      <c r="D6" t="s">
        <v>1037</v>
      </c>
      <c r="E6" t="s">
        <v>1038</v>
      </c>
    </row>
    <row r="7" spans="1:6" ht="40.5" x14ac:dyDescent="0.15">
      <c r="A7" s="56" t="s">
        <v>1016</v>
      </c>
      <c r="B7" s="32" t="s">
        <v>1015</v>
      </c>
      <c r="C7" s="32" t="s">
        <v>1018</v>
      </c>
      <c r="D7" t="s">
        <v>1040</v>
      </c>
    </row>
    <row r="8" spans="1:6" x14ac:dyDescent="0.15">
      <c r="D8" t="s">
        <v>1039</v>
      </c>
    </row>
    <row r="9" spans="1:6" x14ac:dyDescent="0.15">
      <c r="D9" s="63" t="s">
        <v>1041</v>
      </c>
    </row>
    <row r="10" spans="1:6" x14ac:dyDescent="0.15">
      <c r="A10" t="s">
        <v>1061</v>
      </c>
      <c r="B10">
        <v>0.65</v>
      </c>
      <c r="C10">
        <v>0.65</v>
      </c>
      <c r="D10" t="s">
        <v>1042</v>
      </c>
    </row>
    <row r="11" spans="1:6" ht="27" x14ac:dyDescent="0.15">
      <c r="A11" s="61" t="s">
        <v>1028</v>
      </c>
      <c r="B11" s="56" t="s">
        <v>980</v>
      </c>
      <c r="C11" s="56" t="s">
        <v>981</v>
      </c>
      <c r="D11" t="s">
        <v>1043</v>
      </c>
    </row>
    <row r="12" spans="1:6" x14ac:dyDescent="0.15">
      <c r="A12" s="56" t="s">
        <v>966</v>
      </c>
      <c r="B12" s="15" t="s">
        <v>1062</v>
      </c>
      <c r="C12" s="15">
        <v>0.72</v>
      </c>
      <c r="D12" t="s">
        <v>1044</v>
      </c>
    </row>
    <row r="13" spans="1:6" x14ac:dyDescent="0.15">
      <c r="A13" s="56" t="s">
        <v>968</v>
      </c>
      <c r="B13" s="15" t="s">
        <v>1060</v>
      </c>
      <c r="C13" s="15" t="s">
        <v>1060</v>
      </c>
      <c r="D13" t="s">
        <v>1045</v>
      </c>
    </row>
    <row r="14" spans="1:6" x14ac:dyDescent="0.15">
      <c r="A14" s="56" t="s">
        <v>970</v>
      </c>
      <c r="B14" s="15" t="s">
        <v>1064</v>
      </c>
      <c r="C14" s="15">
        <v>0.75</v>
      </c>
      <c r="D14" t="s">
        <v>1046</v>
      </c>
    </row>
    <row r="15" spans="1:6" x14ac:dyDescent="0.15">
      <c r="A15" s="56" t="s">
        <v>972</v>
      </c>
      <c r="B15" s="15">
        <v>0.82</v>
      </c>
      <c r="C15" s="15">
        <v>0.82</v>
      </c>
      <c r="D15" t="s">
        <v>1047</v>
      </c>
    </row>
    <row r="16" spans="1:6" x14ac:dyDescent="0.15">
      <c r="A16" s="56" t="s">
        <v>982</v>
      </c>
      <c r="B16" s="15">
        <v>0.82</v>
      </c>
      <c r="C16" s="15">
        <v>0.82</v>
      </c>
      <c r="D16" t="s">
        <v>1048</v>
      </c>
    </row>
    <row r="17" spans="1:5" ht="54" x14ac:dyDescent="0.15">
      <c r="A17" s="62" t="s">
        <v>1029</v>
      </c>
      <c r="D17" t="s">
        <v>1049</v>
      </c>
    </row>
    <row r="18" spans="1:5" x14ac:dyDescent="0.15">
      <c r="D18" t="s">
        <v>1050</v>
      </c>
    </row>
    <row r="19" spans="1:5" x14ac:dyDescent="0.15">
      <c r="D19" t="s">
        <v>1053</v>
      </c>
      <c r="E19" t="s">
        <v>1051</v>
      </c>
    </row>
    <row r="20" spans="1:5" x14ac:dyDescent="0.15">
      <c r="D20" t="s">
        <v>1052</v>
      </c>
    </row>
    <row r="21" spans="1:5" x14ac:dyDescent="0.15">
      <c r="D21" t="s">
        <v>1054</v>
      </c>
    </row>
    <row r="22" spans="1:5" x14ac:dyDescent="0.15">
      <c r="D22" t="s">
        <v>1055</v>
      </c>
    </row>
    <row r="23" spans="1:5" x14ac:dyDescent="0.15">
      <c r="D23" t="s">
        <v>1056</v>
      </c>
      <c r="E23" t="s">
        <v>1057</v>
      </c>
    </row>
    <row r="26" spans="1:5" x14ac:dyDescent="0.15">
      <c r="A26" s="57" t="s">
        <v>1004</v>
      </c>
      <c r="B26" s="56" t="s">
        <v>1005</v>
      </c>
      <c r="C26" s="56" t="s">
        <v>1006</v>
      </c>
      <c r="D26" s="56" t="s">
        <v>1007</v>
      </c>
      <c r="E26" s="56" t="s">
        <v>1008</v>
      </c>
    </row>
    <row r="27" spans="1:5" x14ac:dyDescent="0.15">
      <c r="A27" s="56">
        <v>2020</v>
      </c>
      <c r="B27" s="59">
        <v>1</v>
      </c>
      <c r="C27" s="59">
        <v>0</v>
      </c>
      <c r="D27" s="59">
        <v>0</v>
      </c>
      <c r="E27" s="59">
        <v>0</v>
      </c>
    </row>
    <row r="28" spans="1:5" x14ac:dyDescent="0.15">
      <c r="A28" s="56">
        <v>2022</v>
      </c>
      <c r="B28" s="59">
        <v>0</v>
      </c>
      <c r="C28" s="59">
        <v>1</v>
      </c>
      <c r="D28" s="59">
        <v>0</v>
      </c>
      <c r="E28" s="59">
        <v>0</v>
      </c>
    </row>
    <row r="29" spans="1:5" x14ac:dyDescent="0.15">
      <c r="A29" s="56">
        <v>2025</v>
      </c>
      <c r="B29" s="59">
        <v>0</v>
      </c>
      <c r="C29" s="59">
        <v>0.6</v>
      </c>
      <c r="D29" s="59">
        <v>0.4</v>
      </c>
      <c r="E29" s="59">
        <v>0</v>
      </c>
    </row>
    <row r="30" spans="1:5" x14ac:dyDescent="0.15">
      <c r="A30" s="56">
        <v>2030</v>
      </c>
      <c r="B30" s="59">
        <v>0</v>
      </c>
      <c r="C30" s="59">
        <v>0</v>
      </c>
      <c r="D30" s="59">
        <v>1</v>
      </c>
      <c r="E30" s="59">
        <v>0</v>
      </c>
    </row>
    <row r="31" spans="1:5" x14ac:dyDescent="0.15">
      <c r="A31" s="56">
        <v>2035</v>
      </c>
      <c r="B31" s="59">
        <v>0</v>
      </c>
      <c r="C31" s="59">
        <v>0</v>
      </c>
      <c r="D31" s="59">
        <v>0.6</v>
      </c>
      <c r="E31" s="59">
        <v>0.4</v>
      </c>
    </row>
    <row r="32" spans="1:5" x14ac:dyDescent="0.15">
      <c r="A32" s="56" t="s">
        <v>1063</v>
      </c>
      <c r="B32" s="59">
        <v>0</v>
      </c>
      <c r="C32" s="59">
        <v>0</v>
      </c>
      <c r="D32" s="59">
        <v>0</v>
      </c>
      <c r="E32" s="59">
        <v>1</v>
      </c>
    </row>
    <row r="35" spans="1:6" ht="27" x14ac:dyDescent="0.15">
      <c r="A35" s="60" t="s">
        <v>1027</v>
      </c>
      <c r="B35" s="56" t="s">
        <v>967</v>
      </c>
      <c r="C35" s="56" t="s">
        <v>969</v>
      </c>
      <c r="D35" s="56" t="s">
        <v>971</v>
      </c>
      <c r="E35" s="56" t="s">
        <v>973</v>
      </c>
      <c r="F35" s="56" t="s">
        <v>974</v>
      </c>
    </row>
    <row r="36" spans="1:6" x14ac:dyDescent="0.15">
      <c r="A36" s="56" t="s">
        <v>1022</v>
      </c>
      <c r="B36" s="58">
        <v>1</v>
      </c>
      <c r="C36" s="15">
        <v>0</v>
      </c>
      <c r="D36" s="15">
        <v>0</v>
      </c>
      <c r="E36" s="15">
        <v>0</v>
      </c>
      <c r="F36" s="15">
        <v>0</v>
      </c>
    </row>
    <row r="37" spans="1:6" x14ac:dyDescent="0.15">
      <c r="A37" s="56" t="s">
        <v>1023</v>
      </c>
      <c r="B37" s="15">
        <v>0</v>
      </c>
      <c r="C37" s="58">
        <v>1</v>
      </c>
      <c r="D37" s="15">
        <v>0</v>
      </c>
      <c r="E37" s="15">
        <v>0</v>
      </c>
      <c r="F37" s="15">
        <v>0</v>
      </c>
    </row>
    <row r="38" spans="1:6" x14ac:dyDescent="0.15">
      <c r="A38" s="56" t="s">
        <v>1024</v>
      </c>
      <c r="B38" s="15">
        <v>0</v>
      </c>
      <c r="C38" s="15">
        <v>0</v>
      </c>
      <c r="D38" s="58">
        <v>1</v>
      </c>
      <c r="E38" s="15">
        <v>0</v>
      </c>
      <c r="F38" s="15">
        <v>0</v>
      </c>
    </row>
    <row r="39" spans="1:6" x14ac:dyDescent="0.15">
      <c r="A39" s="56" t="s">
        <v>1025</v>
      </c>
      <c r="B39" s="15">
        <v>0</v>
      </c>
      <c r="C39" s="15">
        <v>0</v>
      </c>
      <c r="D39" s="15">
        <v>0</v>
      </c>
      <c r="E39" s="58">
        <v>1</v>
      </c>
      <c r="F39" s="15">
        <v>0</v>
      </c>
    </row>
    <row r="41" spans="1:6" x14ac:dyDescent="0.15">
      <c r="D41" t="s">
        <v>1065</v>
      </c>
    </row>
    <row r="42" spans="1:6" x14ac:dyDescent="0.15">
      <c r="D42" t="s">
        <v>1059</v>
      </c>
    </row>
    <row r="43" spans="1:6" x14ac:dyDescent="0.15">
      <c r="D43" t="s">
        <v>1058</v>
      </c>
    </row>
    <row r="46" spans="1:6" x14ac:dyDescent="0.15">
      <c r="D46" t="s">
        <v>1067</v>
      </c>
    </row>
    <row r="48" spans="1:6" x14ac:dyDescent="0.15">
      <c r="D48" t="s">
        <v>1066</v>
      </c>
    </row>
    <row r="49" spans="4:4" x14ac:dyDescent="0.15">
      <c r="D49" t="s">
        <v>1068</v>
      </c>
    </row>
    <row r="50" spans="4:4" x14ac:dyDescent="0.15">
      <c r="D50" t="s">
        <v>1069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DB56-C28D-49EB-8C67-207D263B81DC}">
  <dimension ref="A1:B23"/>
  <sheetViews>
    <sheetView workbookViewId="0"/>
  </sheetViews>
  <sheetFormatPr defaultRowHeight="13.5" x14ac:dyDescent="0.15"/>
  <cols>
    <col min="1" max="1" width="10.75" customWidth="1"/>
    <col min="2" max="2" width="102.125" customWidth="1"/>
  </cols>
  <sheetData>
    <row r="1" spans="1:2" x14ac:dyDescent="0.15">
      <c r="A1" s="13" t="s">
        <v>948</v>
      </c>
    </row>
    <row r="3" spans="1:2" x14ac:dyDescent="0.15">
      <c r="A3" s="13" t="s">
        <v>936</v>
      </c>
      <c r="B3" s="41" t="s">
        <v>941</v>
      </c>
    </row>
    <row r="4" spans="1:2" x14ac:dyDescent="0.15">
      <c r="B4" s="42" t="s">
        <v>942</v>
      </c>
    </row>
    <row r="6" spans="1:2" x14ac:dyDescent="0.15">
      <c r="B6" s="41" t="s">
        <v>943</v>
      </c>
    </row>
    <row r="7" spans="1:2" x14ac:dyDescent="0.15">
      <c r="B7" s="42" t="s">
        <v>937</v>
      </c>
    </row>
    <row r="8" spans="1:2" x14ac:dyDescent="0.15">
      <c r="B8" s="43">
        <v>2018</v>
      </c>
    </row>
    <row r="9" spans="1:2" x14ac:dyDescent="0.15">
      <c r="B9" s="42" t="s">
        <v>938</v>
      </c>
    </row>
    <row r="10" spans="1:2" x14ac:dyDescent="0.15">
      <c r="B10" s="44" t="s">
        <v>939</v>
      </c>
    </row>
    <row r="12" spans="1:2" x14ac:dyDescent="0.15">
      <c r="B12" s="42"/>
    </row>
    <row r="13" spans="1:2" x14ac:dyDescent="0.15">
      <c r="B13" s="43"/>
    </row>
    <row r="14" spans="1:2" x14ac:dyDescent="0.15">
      <c r="B14" s="42"/>
    </row>
    <row r="15" spans="1:2" x14ac:dyDescent="0.15">
      <c r="B15" s="44"/>
    </row>
    <row r="18" spans="1:2" x14ac:dyDescent="0.15">
      <c r="A18" s="13" t="s">
        <v>940</v>
      </c>
      <c r="B18" s="2" t="s">
        <v>949</v>
      </c>
    </row>
    <row r="19" spans="1:2" ht="40.5" x14ac:dyDescent="0.15">
      <c r="A19" s="45"/>
      <c r="B19" s="2" t="s">
        <v>950</v>
      </c>
    </row>
    <row r="20" spans="1:2" ht="40.5" x14ac:dyDescent="0.15">
      <c r="B20" s="2" t="s">
        <v>945</v>
      </c>
    </row>
    <row r="21" spans="1:2" ht="40.5" x14ac:dyDescent="0.15">
      <c r="B21" s="2" t="s">
        <v>951</v>
      </c>
    </row>
    <row r="22" spans="1:2" x14ac:dyDescent="0.15">
      <c r="B22" s="2" t="s">
        <v>946</v>
      </c>
    </row>
    <row r="23" spans="1:2" x14ac:dyDescent="0.15">
      <c r="B23" s="2" t="s">
        <v>947</v>
      </c>
    </row>
  </sheetData>
  <phoneticPr fontId="3" type="noConversion"/>
  <hyperlinks>
    <hyperlink ref="B10" r:id="rId1" xr:uid="{7C43C6CB-0268-44F3-9A83-615B366B121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E107-276E-4E6F-BFE6-1EDE2B81A9A1}">
  <dimension ref="A1:AV378"/>
  <sheetViews>
    <sheetView workbookViewId="0"/>
  </sheetViews>
  <sheetFormatPr defaultColWidth="13.375" defaultRowHeight="13.5" x14ac:dyDescent="0.15"/>
  <cols>
    <col min="1" max="1" width="26.625" customWidth="1"/>
    <col min="4" max="7" width="14.375" bestFit="1" customWidth="1"/>
  </cols>
  <sheetData>
    <row r="1" spans="1:48" s="19" customFormat="1" ht="30" x14ac:dyDescent="0.15">
      <c r="A1" s="46" t="s">
        <v>944</v>
      </c>
      <c r="B1" s="19">
        <v>2016</v>
      </c>
      <c r="C1" s="19">
        <v>2017</v>
      </c>
      <c r="D1" s="19">
        <v>2018</v>
      </c>
      <c r="E1" s="19">
        <v>2019</v>
      </c>
      <c r="F1" s="19">
        <v>2020</v>
      </c>
      <c r="G1" s="19">
        <v>2021</v>
      </c>
      <c r="H1" s="19">
        <v>2022</v>
      </c>
      <c r="I1" s="19">
        <v>2023</v>
      </c>
      <c r="J1" s="19">
        <v>2024</v>
      </c>
      <c r="K1" s="19">
        <v>2025</v>
      </c>
      <c r="L1" s="19">
        <v>2026</v>
      </c>
      <c r="M1" s="19">
        <v>2027</v>
      </c>
      <c r="N1" s="19">
        <v>2028</v>
      </c>
      <c r="O1" s="19">
        <v>2029</v>
      </c>
      <c r="P1" s="19">
        <v>2030</v>
      </c>
      <c r="Q1" s="19">
        <v>2031</v>
      </c>
      <c r="R1" s="19">
        <v>2032</v>
      </c>
      <c r="S1" s="19">
        <v>2033</v>
      </c>
      <c r="T1" s="19">
        <v>2034</v>
      </c>
      <c r="U1" s="19">
        <v>2035</v>
      </c>
      <c r="V1" s="19">
        <v>2036</v>
      </c>
      <c r="W1" s="19">
        <v>2037</v>
      </c>
      <c r="X1" s="19">
        <v>2038</v>
      </c>
      <c r="Y1" s="19">
        <v>2039</v>
      </c>
      <c r="Z1" s="19">
        <v>2040</v>
      </c>
      <c r="AA1" s="19">
        <v>2041</v>
      </c>
      <c r="AB1" s="19">
        <v>2042</v>
      </c>
      <c r="AC1" s="19">
        <v>2043</v>
      </c>
      <c r="AD1" s="19">
        <v>2044</v>
      </c>
      <c r="AE1" s="19">
        <v>2045</v>
      </c>
      <c r="AF1" s="19">
        <v>2046</v>
      </c>
      <c r="AG1" s="19">
        <v>2047</v>
      </c>
      <c r="AH1" s="19">
        <v>2048</v>
      </c>
      <c r="AI1" s="19">
        <v>2049</v>
      </c>
      <c r="AJ1" s="19">
        <v>2050</v>
      </c>
      <c r="AK1" s="19">
        <v>2051</v>
      </c>
      <c r="AL1" s="19">
        <v>2052</v>
      </c>
      <c r="AM1" s="19">
        <v>2053</v>
      </c>
      <c r="AN1" s="19">
        <v>2054</v>
      </c>
      <c r="AO1" s="19">
        <v>2055</v>
      </c>
      <c r="AP1" s="19">
        <v>2056</v>
      </c>
      <c r="AQ1" s="19">
        <v>2057</v>
      </c>
      <c r="AR1" s="19">
        <v>2058</v>
      </c>
      <c r="AS1" s="19">
        <v>2059</v>
      </c>
      <c r="AT1" s="19">
        <v>2060</v>
      </c>
    </row>
    <row r="2" spans="1:48" s="15" customFormat="1" x14ac:dyDescent="0.15">
      <c r="A2" s="19" t="s">
        <v>778</v>
      </c>
      <c r="B2" s="39">
        <v>0.58799999999999997</v>
      </c>
      <c r="C2" s="39">
        <f>$B$2*($F$2/$B$2)^((C1-2016)/4)</f>
        <v>0.6003551066238092</v>
      </c>
      <c r="D2" s="39">
        <f>$B$2*($F$2/$B$2)^((D1-2016)/4)</f>
        <v>0.61296981981170973</v>
      </c>
      <c r="E2" s="39">
        <f>$B$2*($F$2/$B$2)^((E1-2016)/4)</f>
        <v>0.6258495944391772</v>
      </c>
      <c r="F2" s="39">
        <v>0.63900000000000001</v>
      </c>
      <c r="G2" s="39">
        <f>$F$2*(0.8/$F$2)^((G1-2020)/40)</f>
        <v>0.64259980049074727</v>
      </c>
      <c r="H2" s="39">
        <f t="shared" ref="H2:AT2" si="0">$F$2*(0.8/$F$2)^((H1-2020)/40)</f>
        <v>0.64621988042370604</v>
      </c>
      <c r="I2" s="39">
        <f t="shared" si="0"/>
        <v>0.64986035404292353</v>
      </c>
      <c r="J2" s="39">
        <f t="shared" si="0"/>
        <v>0.65352133623603903</v>
      </c>
      <c r="K2" s="39">
        <f t="shared" si="0"/>
        <v>0.65720294253791112</v>
      </c>
      <c r="L2" s="39">
        <f t="shared" si="0"/>
        <v>0.6609052891342625</v>
      </c>
      <c r="M2" s="39">
        <f t="shared" si="0"/>
        <v>0.66462849286534698</v>
      </c>
      <c r="N2" s="39">
        <f t="shared" si="0"/>
        <v>0.66837267122963684</v>
      </c>
      <c r="O2" s="39">
        <f t="shared" si="0"/>
        <v>0.67213794238753122</v>
      </c>
      <c r="P2" s="39">
        <f t="shared" si="0"/>
        <v>0.67592442516508444</v>
      </c>
      <c r="Q2" s="39">
        <f t="shared" si="0"/>
        <v>0.67973223905775637</v>
      </c>
      <c r="R2" s="39">
        <f t="shared" si="0"/>
        <v>0.68356150423418327</v>
      </c>
      <c r="S2" s="39">
        <f t="shared" si="0"/>
        <v>0.68741234153997066</v>
      </c>
      <c r="T2" s="39">
        <f t="shared" si="0"/>
        <v>0.69128487250150639</v>
      </c>
      <c r="U2" s="39">
        <f t="shared" si="0"/>
        <v>0.69517921932979598</v>
      </c>
      <c r="V2" s="39">
        <f t="shared" si="0"/>
        <v>0.69909550492431971</v>
      </c>
      <c r="W2" s="39">
        <f t="shared" si="0"/>
        <v>0.703033852876911</v>
      </c>
      <c r="X2" s="39">
        <f t="shared" si="0"/>
        <v>0.70699438747565624</v>
      </c>
      <c r="Y2" s="39">
        <f t="shared" si="0"/>
        <v>0.71097723370881805</v>
      </c>
      <c r="Z2" s="39">
        <f t="shared" si="0"/>
        <v>0.71498251726877915</v>
      </c>
      <c r="AA2" s="39">
        <f t="shared" si="0"/>
        <v>0.71901036455600897</v>
      </c>
      <c r="AB2" s="39">
        <f t="shared" si="0"/>
        <v>0.7230609026830529</v>
      </c>
      <c r="AC2" s="39">
        <f t="shared" si="0"/>
        <v>0.7271342594785436</v>
      </c>
      <c r="AD2" s="39">
        <f t="shared" si="0"/>
        <v>0.73123056349123539</v>
      </c>
      <c r="AE2" s="39">
        <f t="shared" si="0"/>
        <v>0.73534994399406028</v>
      </c>
      <c r="AF2" s="39">
        <f t="shared" si="0"/>
        <v>0.73949253098820866</v>
      </c>
      <c r="AG2" s="39">
        <f t="shared" si="0"/>
        <v>0.74365845520723106</v>
      </c>
      <c r="AH2" s="39">
        <f t="shared" si="0"/>
        <v>0.74784784812116412</v>
      </c>
      <c r="AI2" s="39">
        <f t="shared" si="0"/>
        <v>0.75206084194068035</v>
      </c>
      <c r="AJ2" s="39">
        <f t="shared" si="0"/>
        <v>0.75629756962125916</v>
      </c>
      <c r="AK2" s="39">
        <f t="shared" si="0"/>
        <v>0.7605581648673837</v>
      </c>
      <c r="AL2" s="39">
        <f t="shared" si="0"/>
        <v>0.76484276213675995</v>
      </c>
      <c r="AM2" s="39">
        <f t="shared" si="0"/>
        <v>0.76915149664456017</v>
      </c>
      <c r="AN2" s="39">
        <f t="shared" si="0"/>
        <v>0.77348450436769023</v>
      </c>
      <c r="AO2" s="39">
        <f t="shared" si="0"/>
        <v>0.77784192204908031</v>
      </c>
      <c r="AP2" s="39">
        <f t="shared" si="0"/>
        <v>0.78222388720200042</v>
      </c>
      <c r="AQ2" s="39">
        <f t="shared" si="0"/>
        <v>0.78663053811440109</v>
      </c>
      <c r="AR2" s="39">
        <f t="shared" si="0"/>
        <v>0.79106201385327579</v>
      </c>
      <c r="AS2" s="39">
        <f t="shared" si="0"/>
        <v>0.79551845426905143</v>
      </c>
      <c r="AT2" s="39">
        <f t="shared" si="0"/>
        <v>0.8</v>
      </c>
    </row>
    <row r="3" spans="1:48" s="15" customFormat="1" x14ac:dyDescent="0.15">
      <c r="A3" s="19" t="s">
        <v>777</v>
      </c>
      <c r="B3" s="21">
        <f>SUM(D12:D378)</f>
        <v>1386002387.7281156</v>
      </c>
      <c r="C3" s="21">
        <f t="shared" ref="C3:AT3" si="1">SUM(E12:E378)</f>
        <v>1393442752.5707853</v>
      </c>
      <c r="D3" s="21">
        <f t="shared" si="1"/>
        <v>1400313390.5626495</v>
      </c>
      <c r="E3" s="21">
        <f t="shared" si="1"/>
        <v>1400793135</v>
      </c>
      <c r="F3" s="21">
        <f t="shared" si="1"/>
        <v>1410976903</v>
      </c>
      <c r="G3" s="21">
        <f t="shared" si="1"/>
        <v>1420266066</v>
      </c>
      <c r="H3" s="21">
        <f t="shared" si="1"/>
        <v>1428670957</v>
      </c>
      <c r="I3" s="21">
        <f t="shared" si="1"/>
        <v>1436203098</v>
      </c>
      <c r="J3" s="21">
        <f t="shared" si="1"/>
        <v>1442875150</v>
      </c>
      <c r="K3" s="21">
        <f t="shared" si="1"/>
        <v>1448701015</v>
      </c>
      <c r="L3" s="21">
        <f t="shared" si="1"/>
        <v>1453695689</v>
      </c>
      <c r="M3" s="21">
        <f t="shared" si="1"/>
        <v>1457875428</v>
      </c>
      <c r="N3" s="21">
        <f t="shared" si="1"/>
        <v>1461257603</v>
      </c>
      <c r="O3" s="21">
        <f t="shared" si="1"/>
        <v>1463860785</v>
      </c>
      <c r="P3" s="21">
        <f t="shared" si="1"/>
        <v>1465704725</v>
      </c>
      <c r="Q3" s="21">
        <f t="shared" si="1"/>
        <v>1466810320</v>
      </c>
      <c r="R3" s="21">
        <f t="shared" si="1"/>
        <v>1467199701</v>
      </c>
      <c r="S3" s="21">
        <f t="shared" si="1"/>
        <v>1466896114</v>
      </c>
      <c r="T3" s="21">
        <f t="shared" si="1"/>
        <v>1465924022</v>
      </c>
      <c r="U3" s="21">
        <f t="shared" si="1"/>
        <v>1464309042</v>
      </c>
      <c r="V3" s="21">
        <f t="shared" si="1"/>
        <v>1462077972</v>
      </c>
      <c r="W3" s="21">
        <f t="shared" si="1"/>
        <v>1459258813</v>
      </c>
      <c r="X3" s="21">
        <f t="shared" si="1"/>
        <v>1455880691</v>
      </c>
      <c r="Y3" s="21">
        <f t="shared" si="1"/>
        <v>1451973938</v>
      </c>
      <c r="Z3" s="21">
        <f t="shared" si="1"/>
        <v>1447570066</v>
      </c>
      <c r="AA3" s="21">
        <f t="shared" si="1"/>
        <v>1442701773</v>
      </c>
      <c r="AB3" s="21">
        <f t="shared" si="1"/>
        <v>1437402901</v>
      </c>
      <c r="AC3" s="21">
        <f t="shared" si="1"/>
        <v>1431708470</v>
      </c>
      <c r="AD3" s="21">
        <f t="shared" si="1"/>
        <v>1425654722</v>
      </c>
      <c r="AE3" s="21">
        <f t="shared" si="1"/>
        <v>1419279033</v>
      </c>
      <c r="AF3" s="21">
        <f t="shared" si="1"/>
        <v>1412619937</v>
      </c>
      <c r="AG3" s="21">
        <f t="shared" si="1"/>
        <v>1405717218</v>
      </c>
      <c r="AH3" s="21">
        <f t="shared" si="1"/>
        <v>1398611771</v>
      </c>
      <c r="AI3" s="21">
        <f t="shared" si="1"/>
        <v>1391345677</v>
      </c>
      <c r="AJ3" s="21">
        <f t="shared" si="1"/>
        <v>1383962233</v>
      </c>
      <c r="AK3" s="21">
        <f t="shared" si="1"/>
        <v>1376505845</v>
      </c>
      <c r="AL3" s="21">
        <f t="shared" si="1"/>
        <v>1369022176</v>
      </c>
      <c r="AM3" s="21">
        <f t="shared" si="1"/>
        <v>1361557975</v>
      </c>
      <c r="AN3" s="21">
        <f t="shared" si="1"/>
        <v>1354161244</v>
      </c>
      <c r="AO3" s="21">
        <f t="shared" si="1"/>
        <v>1346881133</v>
      </c>
      <c r="AP3" s="21">
        <f t="shared" si="1"/>
        <v>1339767961</v>
      </c>
      <c r="AQ3" s="21">
        <f t="shared" si="1"/>
        <v>1332873221</v>
      </c>
      <c r="AR3" s="21">
        <f t="shared" si="1"/>
        <v>1326249585</v>
      </c>
      <c r="AS3" s="21">
        <f t="shared" si="1"/>
        <v>1319950938</v>
      </c>
      <c r="AT3" s="21">
        <f t="shared" si="1"/>
        <v>1314032289</v>
      </c>
    </row>
    <row r="4" spans="1:48" s="15" customFormat="1" x14ac:dyDescent="0.15">
      <c r="A4" s="19" t="s">
        <v>780</v>
      </c>
      <c r="B4" s="40">
        <f t="shared" ref="B4" si="2">B3*B2</f>
        <v>814969403.98413193</v>
      </c>
      <c r="C4" s="40">
        <f t="shared" ref="C4:AT4" si="3">C3*C2</f>
        <v>836560472.29380798</v>
      </c>
      <c r="D4" s="40">
        <f t="shared" si="3"/>
        <v>858349846.69311154</v>
      </c>
      <c r="E4" s="40">
        <f t="shared" si="3"/>
        <v>876685815.43293357</v>
      </c>
      <c r="F4" s="40">
        <f t="shared" si="3"/>
        <v>901614241.01699996</v>
      </c>
      <c r="G4" s="40">
        <f t="shared" si="3"/>
        <v>912662690.65537846</v>
      </c>
      <c r="H4" s="40">
        <f t="shared" si="3"/>
        <v>923235574.99736166</v>
      </c>
      <c r="I4" s="40">
        <f t="shared" si="3"/>
        <v>933331453.74382365</v>
      </c>
      <c r="J4" s="40">
        <f t="shared" si="3"/>
        <v>942949696.04977524</v>
      </c>
      <c r="K4" s="40">
        <f t="shared" si="3"/>
        <v>952090569.91565847</v>
      </c>
      <c r="L4" s="40">
        <f t="shared" si="3"/>
        <v>960755169.65177596</v>
      </c>
      <c r="M4" s="40">
        <f t="shared" si="3"/>
        <v>968945548.49706268</v>
      </c>
      <c r="N4" s="40">
        <f t="shared" si="3"/>
        <v>976664647.47172618</v>
      </c>
      <c r="O4" s="40">
        <f t="shared" si="3"/>
        <v>983916375.97169626</v>
      </c>
      <c r="P4" s="40">
        <f t="shared" si="3"/>
        <v>990705623.70737314</v>
      </c>
      <c r="Q4" s="40">
        <f t="shared" si="3"/>
        <v>997038263.08662415</v>
      </c>
      <c r="R4" s="40">
        <f t="shared" si="3"/>
        <v>1002921234.6275039</v>
      </c>
      <c r="S4" s="40">
        <f t="shared" si="3"/>
        <v>1008362492.5206237</v>
      </c>
      <c r="T4" s="40">
        <f t="shared" si="3"/>
        <v>1013371100.6451654</v>
      </c>
      <c r="U4" s="40">
        <f t="shared" si="3"/>
        <v>1017957216.6751214</v>
      </c>
      <c r="V4" s="40">
        <f t="shared" si="3"/>
        <v>1022132138.0740653</v>
      </c>
      <c r="W4" s="40">
        <f t="shared" si="3"/>
        <v>1025908345.6479778</v>
      </c>
      <c r="X4" s="40">
        <f t="shared" si="3"/>
        <v>1029299477.3711802</v>
      </c>
      <c r="Y4" s="40">
        <f t="shared" si="3"/>
        <v>1032320413.8565389</v>
      </c>
      <c r="Z4" s="40">
        <f t="shared" si="3"/>
        <v>1034987289.7116128</v>
      </c>
      <c r="AA4" s="40">
        <f t="shared" si="3"/>
        <v>1037317527.7503304</v>
      </c>
      <c r="AB4" s="40">
        <f t="shared" si="3"/>
        <v>1039329839.1162989</v>
      </c>
      <c r="AC4" s="40">
        <f t="shared" si="3"/>
        <v>1041044278.1226087</v>
      </c>
      <c r="AD4" s="40">
        <f t="shared" si="3"/>
        <v>1042482305.7120005</v>
      </c>
      <c r="AE4" s="40">
        <f t="shared" si="3"/>
        <v>1043666757.4284941</v>
      </c>
      <c r="AF4" s="40">
        <f t="shared" si="3"/>
        <v>1044621892.5365338</v>
      </c>
      <c r="AG4" s="40">
        <f t="shared" si="3"/>
        <v>1045373494.7960864</v>
      </c>
      <c r="AH4" s="40">
        <f t="shared" si="3"/>
        <v>1045948803.2992804</v>
      </c>
      <c r="AI4" s="40">
        <f t="shared" si="3"/>
        <v>1046376601.2751459</v>
      </c>
      <c r="AJ4" s="40">
        <f t="shared" si="3"/>
        <v>1046687273.2655108</v>
      </c>
      <c r="AK4" s="40">
        <f t="shared" si="3"/>
        <v>1046912759.4024273</v>
      </c>
      <c r="AL4" s="40">
        <f t="shared" si="3"/>
        <v>1047086702.5183175</v>
      </c>
      <c r="AM4" s="40">
        <f t="shared" si="3"/>
        <v>1047244354.2395866</v>
      </c>
      <c r="AN4" s="40">
        <f t="shared" si="3"/>
        <v>1047422738.6492748</v>
      </c>
      <c r="AO4" s="40">
        <f t="shared" si="3"/>
        <v>1047660609.2643629</v>
      </c>
      <c r="AP4" s="40">
        <f t="shared" si="3"/>
        <v>1047998502.4021181</v>
      </c>
      <c r="AQ4" s="40">
        <f t="shared" si="3"/>
        <v>1048478779.073505</v>
      </c>
      <c r="AR4" s="40">
        <f t="shared" si="3"/>
        <v>1049145667.5821713</v>
      </c>
      <c r="AS4" s="40">
        <f t="shared" si="3"/>
        <v>1050045329.9087446</v>
      </c>
      <c r="AT4" s="40">
        <f t="shared" si="3"/>
        <v>1051225831.2</v>
      </c>
    </row>
    <row r="5" spans="1:48" s="15" customFormat="1" x14ac:dyDescent="0.15">
      <c r="A5" s="19" t="s">
        <v>10</v>
      </c>
      <c r="B5" s="40">
        <f t="shared" ref="B5" si="4">B3-B4</f>
        <v>571032983.74398363</v>
      </c>
      <c r="C5" s="40">
        <f t="shared" ref="C5:AT5" si="5">C3-C4</f>
        <v>556882280.2769773</v>
      </c>
      <c r="D5" s="40">
        <f t="shared" si="5"/>
        <v>541963543.86953795</v>
      </c>
      <c r="E5" s="40">
        <f t="shared" si="5"/>
        <v>524107319.56706643</v>
      </c>
      <c r="F5" s="40">
        <f t="shared" si="5"/>
        <v>509362661.98300004</v>
      </c>
      <c r="G5" s="40">
        <f t="shared" si="5"/>
        <v>507603375.34462154</v>
      </c>
      <c r="H5" s="40">
        <f t="shared" si="5"/>
        <v>505435382.00263834</v>
      </c>
      <c r="I5" s="40">
        <f t="shared" si="5"/>
        <v>502871644.25617635</v>
      </c>
      <c r="J5" s="40">
        <f t="shared" si="5"/>
        <v>499925453.95022476</v>
      </c>
      <c r="K5" s="40">
        <f t="shared" si="5"/>
        <v>496610445.08434153</v>
      </c>
      <c r="L5" s="40">
        <f t="shared" si="5"/>
        <v>492940519.34822404</v>
      </c>
      <c r="M5" s="40">
        <f t="shared" si="5"/>
        <v>488929879.50293732</v>
      </c>
      <c r="N5" s="40">
        <f t="shared" si="5"/>
        <v>484592955.52827382</v>
      </c>
      <c r="O5" s="40">
        <f t="shared" si="5"/>
        <v>479944409.02830374</v>
      </c>
      <c r="P5" s="40">
        <f t="shared" si="5"/>
        <v>474999101.29262686</v>
      </c>
      <c r="Q5" s="40">
        <f t="shared" si="5"/>
        <v>469772056.91337585</v>
      </c>
      <c r="R5" s="40">
        <f t="shared" si="5"/>
        <v>464278466.37249613</v>
      </c>
      <c r="S5" s="40">
        <f t="shared" si="5"/>
        <v>458533621.47937632</v>
      </c>
      <c r="T5" s="40">
        <f t="shared" si="5"/>
        <v>452552921.35483456</v>
      </c>
      <c r="U5" s="40">
        <f t="shared" si="5"/>
        <v>446351825.32487857</v>
      </c>
      <c r="V5" s="40">
        <f t="shared" si="5"/>
        <v>439945833.92593467</v>
      </c>
      <c r="W5" s="40">
        <f t="shared" si="5"/>
        <v>433350467.35202217</v>
      </c>
      <c r="X5" s="40">
        <f t="shared" si="5"/>
        <v>426581213.62881982</v>
      </c>
      <c r="Y5" s="40">
        <f t="shared" si="5"/>
        <v>419653524.14346111</v>
      </c>
      <c r="Z5" s="40">
        <f t="shared" si="5"/>
        <v>412582776.28838718</v>
      </c>
      <c r="AA5" s="40">
        <f t="shared" si="5"/>
        <v>405384245.24966955</v>
      </c>
      <c r="AB5" s="40">
        <f t="shared" si="5"/>
        <v>398073061.88370109</v>
      </c>
      <c r="AC5" s="40">
        <f t="shared" si="5"/>
        <v>390664191.87739134</v>
      </c>
      <c r="AD5" s="40">
        <f t="shared" si="5"/>
        <v>383172416.28799951</v>
      </c>
      <c r="AE5" s="40">
        <f t="shared" si="5"/>
        <v>375612275.5715059</v>
      </c>
      <c r="AF5" s="40">
        <f t="shared" si="5"/>
        <v>367998044.46346617</v>
      </c>
      <c r="AG5" s="40">
        <f t="shared" si="5"/>
        <v>360343723.20391357</v>
      </c>
      <c r="AH5" s="40">
        <f t="shared" si="5"/>
        <v>352662967.70071959</v>
      </c>
      <c r="AI5" s="40">
        <f t="shared" si="5"/>
        <v>344969075.72485411</v>
      </c>
      <c r="AJ5" s="40">
        <f t="shared" si="5"/>
        <v>337274959.7344892</v>
      </c>
      <c r="AK5" s="40">
        <f t="shared" si="5"/>
        <v>329593085.59757268</v>
      </c>
      <c r="AL5" s="40">
        <f t="shared" si="5"/>
        <v>321935473.48168254</v>
      </c>
      <c r="AM5" s="40">
        <f t="shared" si="5"/>
        <v>314313620.76041341</v>
      </c>
      <c r="AN5" s="40">
        <f t="shared" si="5"/>
        <v>306738505.35072517</v>
      </c>
      <c r="AO5" s="40">
        <f t="shared" si="5"/>
        <v>299220523.73563707</v>
      </c>
      <c r="AP5" s="40">
        <f t="shared" si="5"/>
        <v>291769458.59788191</v>
      </c>
      <c r="AQ5" s="40">
        <f t="shared" si="5"/>
        <v>284394441.92649496</v>
      </c>
      <c r="AR5" s="40">
        <f t="shared" si="5"/>
        <v>277103917.41782868</v>
      </c>
      <c r="AS5" s="40">
        <f t="shared" si="5"/>
        <v>269905608.09125543</v>
      </c>
      <c r="AT5" s="40">
        <f t="shared" si="5"/>
        <v>262806457.79999995</v>
      </c>
    </row>
    <row r="6" spans="1:48" s="15" customFormat="1" hidden="1" x14ac:dyDescent="0.15">
      <c r="A6" s="19" t="s">
        <v>824</v>
      </c>
      <c r="B6" s="15">
        <f t="shared" ref="B6" si="6">SUMIFS(D12:D378,$C$12:$C$378,"是")</f>
        <v>586766828.3489542</v>
      </c>
      <c r="C6" s="15">
        <f t="shared" ref="C6" si="7">SUMIFS(E12:E378,$C$12:$C$378,"是")</f>
        <v>589984367.88680363</v>
      </c>
      <c r="D6" s="15">
        <f t="shared" ref="D6" si="8">SUMIFS(F12:F378,$C$12:$C$378,"是")</f>
        <v>592936312.32294476</v>
      </c>
      <c r="E6" s="15">
        <f t="shared" ref="E6" si="9">SUMIFS(G12:G378,$C$12:$C$378,"是")</f>
        <v>573112213</v>
      </c>
      <c r="F6" s="15">
        <f t="shared" ref="F6" si="10">SUMIFS(H12:H378,$C$12:$C$378,"是")</f>
        <v>577202419</v>
      </c>
      <c r="G6" s="15">
        <f t="shared" ref="G6" si="11">SUMIFS(I12:I378,$C$12:$C$378,"是")</f>
        <v>580887802</v>
      </c>
      <c r="H6" s="15">
        <f t="shared" ref="H6" si="12">SUMIFS(J12:J378,$C$12:$C$378,"是")</f>
        <v>584177205</v>
      </c>
      <c r="I6" s="15">
        <f t="shared" ref="I6" si="13">SUMIFS(K12:K378,$C$12:$C$378,"是")</f>
        <v>587079716</v>
      </c>
      <c r="J6" s="15">
        <f t="shared" ref="J6" si="14">SUMIFS(L12:L378,$C$12:$C$378,"是")</f>
        <v>589604661</v>
      </c>
      <c r="K6" s="15">
        <f t="shared" ref="K6" si="15">SUMIFS(M12:M378,$C$12:$C$378,"是")</f>
        <v>591761687</v>
      </c>
      <c r="L6" s="15">
        <f t="shared" ref="L6" si="16">SUMIFS(N12:N378,$C$12:$C$378,"是")</f>
        <v>593560663</v>
      </c>
      <c r="M6" s="15">
        <f t="shared" ref="M6" si="17">SUMIFS(O12:O378,$C$12:$C$378,"是")</f>
        <v>595011743</v>
      </c>
      <c r="N6" s="15">
        <f t="shared" ref="N6" si="18">SUMIFS(P12:P378,$C$12:$C$378,"是")</f>
        <v>596125346</v>
      </c>
      <c r="O6" s="15">
        <f t="shared" ref="O6" si="19">SUMIFS(Q12:Q378,$C$12:$C$378,"是")</f>
        <v>596912152</v>
      </c>
      <c r="P6" s="15">
        <f t="shared" ref="P6" si="20">SUMIFS(R12:R378,$C$12:$C$378,"是")</f>
        <v>597383106</v>
      </c>
      <c r="Q6" s="15">
        <f t="shared" ref="Q6" si="21">SUMIFS(S12:S378,$C$12:$C$378,"是")</f>
        <v>597549414</v>
      </c>
      <c r="R6" s="15">
        <f t="shared" ref="R6" si="22">SUMIFS(T12:T378,$C$12:$C$378,"是")</f>
        <v>597422565</v>
      </c>
      <c r="S6" s="15">
        <f t="shared" ref="S6" si="23">SUMIFS(U12:U378,$C$12:$C$378,"是")</f>
        <v>597014286</v>
      </c>
      <c r="T6" s="15">
        <f t="shared" ref="T6" si="24">SUMIFS(V12:V378,$C$12:$C$378,"是")</f>
        <v>596336593</v>
      </c>
      <c r="U6" s="15">
        <f t="shared" ref="U6" si="25">SUMIFS(W12:W378,$C$12:$C$378,"是")</f>
        <v>595401766</v>
      </c>
      <c r="V6" s="15">
        <f t="shared" ref="V6" si="26">SUMIFS(X12:X378,$C$12:$C$378,"是")</f>
        <v>594222335</v>
      </c>
      <c r="W6" s="15">
        <f t="shared" ref="W6" si="27">SUMIFS(Y12:Y378,$C$12:$C$378,"是")</f>
        <v>592811113</v>
      </c>
      <c r="X6" s="15">
        <f t="shared" ref="X6" si="28">SUMIFS(Z12:Z378,$C$12:$C$378,"是")</f>
        <v>591181162</v>
      </c>
      <c r="Y6" s="15">
        <f t="shared" ref="Y6" si="29">SUMIFS(AA12:AA378,$C$12:$C$378,"是")</f>
        <v>589345814</v>
      </c>
      <c r="Z6" s="15">
        <f t="shared" ref="Z6" si="30">SUMIFS(AB12:AB378,$C$12:$C$378,"是")</f>
        <v>587318673</v>
      </c>
      <c r="AA6" s="15">
        <f t="shared" ref="AA6" si="31">SUMIFS(AC12:AC378,$C$12:$C$378,"是")</f>
        <v>585113618</v>
      </c>
      <c r="AB6" s="15">
        <f t="shared" ref="AB6" si="32">SUMIFS(AD12:AD378,$C$12:$C$378,"是")</f>
        <v>582744767</v>
      </c>
      <c r="AC6" s="15">
        <f t="shared" ref="AC6" si="33">SUMIFS(AE12:AE378,$C$12:$C$378,"是")</f>
        <v>580226521</v>
      </c>
      <c r="AD6" s="15">
        <f t="shared" ref="AD6" si="34">SUMIFS(AF12:AF378,$C$12:$C$378,"是")</f>
        <v>577573545</v>
      </c>
      <c r="AE6" s="15">
        <f t="shared" ref="AE6" si="35">SUMIFS(AG12:AG378,$C$12:$C$378,"是")</f>
        <v>574800774</v>
      </c>
      <c r="AF6" s="15">
        <f t="shared" ref="AF6" si="36">SUMIFS(AH12:AH378,$C$12:$C$378,"是")</f>
        <v>571923378</v>
      </c>
      <c r="AG6" s="15">
        <f t="shared" ref="AG6" si="37">SUMIFS(AI12:AI378,$C$12:$C$378,"是")</f>
        <v>568956842</v>
      </c>
      <c r="AH6" s="15">
        <f t="shared" ref="AH6" si="38">SUMIFS(AJ12:AJ378,$C$12:$C$378,"是")</f>
        <v>565916879</v>
      </c>
      <c r="AI6" s="15">
        <f t="shared" ref="AI6" si="39">SUMIFS(AK12:AK378,$C$12:$C$378,"是")</f>
        <v>562819483</v>
      </c>
      <c r="AJ6" s="15">
        <f t="shared" ref="AJ6" si="40">SUMIFS(AL12:AL378,$C$12:$C$378,"是")</f>
        <v>559680919</v>
      </c>
      <c r="AK6" s="15">
        <f t="shared" ref="AK6" si="41">SUMIFS(AM12:AM378,$C$12:$C$378,"是")</f>
        <v>556517680</v>
      </c>
      <c r="AL6" s="15">
        <f t="shared" ref="AL6" si="42">SUMIFS(AN12:AN378,$C$12:$C$378,"是")</f>
        <v>553346585</v>
      </c>
      <c r="AM6" s="15">
        <f t="shared" ref="AM6" si="43">SUMIFS(AO12:AO378,$C$12:$C$378,"是")</f>
        <v>550184666</v>
      </c>
      <c r="AN6" s="15">
        <f t="shared" ref="AN6" si="44">SUMIFS(AP12:AP378,$C$12:$C$378,"是")</f>
        <v>547049248</v>
      </c>
      <c r="AO6" s="15">
        <f t="shared" ref="AO6" si="45">SUMIFS(AQ12:AQ378,$C$12:$C$378,"是")</f>
        <v>543957923</v>
      </c>
      <c r="AP6" s="15">
        <f t="shared" ref="AP6" si="46">SUMIFS(AR12:AR378,$C$12:$C$378,"是")</f>
        <v>540928522</v>
      </c>
      <c r="AQ6" s="15">
        <f t="shared" ref="AQ6" si="47">SUMIFS(AS12:AS378,$C$12:$C$378,"是")</f>
        <v>537979168</v>
      </c>
      <c r="AR6" s="15">
        <f t="shared" ref="AR6" si="48">SUMIFS(AT12:AT378,$C$12:$C$378,"是")</f>
        <v>535128230</v>
      </c>
      <c r="AS6" s="15">
        <f t="shared" ref="AS6" si="49">SUMIFS(AU12:AU378,$C$12:$C$378,"是")</f>
        <v>532394380</v>
      </c>
      <c r="AT6" s="15">
        <f t="shared" ref="AT6" si="50">SUMIFS(AV12:AV378,$C$12:$C$378,"是")</f>
        <v>529796515</v>
      </c>
    </row>
    <row r="7" spans="1:48" s="15" customFormat="1" x14ac:dyDescent="0.15">
      <c r="A7" s="19" t="s">
        <v>429</v>
      </c>
      <c r="B7" s="40">
        <f t="shared" ref="B7:AT7" si="51">SUMIFS(D12:D378,$C$12:$C$378,"是")*B2</f>
        <v>345018895.06918508</v>
      </c>
      <c r="C7" s="40">
        <f t="shared" si="51"/>
        <v>354200128.08906269</v>
      </c>
      <c r="D7" s="40">
        <f t="shared" si="51"/>
        <v>363452064.52441508</v>
      </c>
      <c r="E7" s="40">
        <f t="shared" si="51"/>
        <v>358682046.07418936</v>
      </c>
      <c r="F7" s="40">
        <f t="shared" si="51"/>
        <v>368832345.741</v>
      </c>
      <c r="G7" s="40">
        <f t="shared" si="51"/>
        <v>373278385.67270869</v>
      </c>
      <c r="H7" s="40">
        <f t="shared" si="51"/>
        <v>377506923.56135482</v>
      </c>
      <c r="I7" s="40">
        <f t="shared" si="51"/>
        <v>381519832.09117901</v>
      </c>
      <c r="J7" s="40">
        <f t="shared" si="51"/>
        <v>385319225.90771681</v>
      </c>
      <c r="K7" s="40">
        <f t="shared" si="51"/>
        <v>388907521.97759837</v>
      </c>
      <c r="L7" s="40">
        <f t="shared" si="51"/>
        <v>392287381.59873956</v>
      </c>
      <c r="M7" s="40">
        <f t="shared" si="51"/>
        <v>395461757.98727316</v>
      </c>
      <c r="N7" s="40">
        <f t="shared" si="51"/>
        <v>398433889.89371151</v>
      </c>
      <c r="O7" s="40">
        <f t="shared" si="51"/>
        <v>401207305.63139325</v>
      </c>
      <c r="P7" s="40">
        <f t="shared" si="51"/>
        <v>403785832.52638268</v>
      </c>
      <c r="Q7" s="40">
        <f t="shared" si="51"/>
        <v>406173601.12587023</v>
      </c>
      <c r="R7" s="40">
        <f t="shared" si="51"/>
        <v>408375067.19484413</v>
      </c>
      <c r="S7" s="40">
        <f t="shared" si="51"/>
        <v>410394988.27207375</v>
      </c>
      <c r="T7" s="40">
        <f t="shared" si="51"/>
        <v>412238465.65998769</v>
      </c>
      <c r="U7" s="40">
        <f t="shared" si="51"/>
        <v>413910934.87546188</v>
      </c>
      <c r="V7" s="40">
        <f t="shared" si="51"/>
        <v>415418163.32413328</v>
      </c>
      <c r="W7" s="40">
        <f t="shared" si="51"/>
        <v>416766280.80063987</v>
      </c>
      <c r="X7" s="40">
        <f t="shared" si="51"/>
        <v>417961763.51533669</v>
      </c>
      <c r="Y7" s="40">
        <f t="shared" si="51"/>
        <v>419011456.5355916</v>
      </c>
      <c r="Z7" s="40">
        <f t="shared" si="51"/>
        <v>419922583.26049894</v>
      </c>
      <c r="AA7" s="40">
        <f t="shared" si="51"/>
        <v>420702755.78486538</v>
      </c>
      <c r="AB7" s="40">
        <f t="shared" si="51"/>
        <v>421359957.26084536</v>
      </c>
      <c r="AC7" s="40">
        <f t="shared" si="51"/>
        <v>421902581.67714661</v>
      </c>
      <c r="AD7" s="40">
        <f t="shared" si="51"/>
        <v>422339428.7679804</v>
      </c>
      <c r="AE7" s="40">
        <f t="shared" si="51"/>
        <v>422679716.96864247</v>
      </c>
      <c r="AF7" s="40">
        <f t="shared" si="51"/>
        <v>422933066.32854599</v>
      </c>
      <c r="AG7" s="40">
        <f t="shared" si="51"/>
        <v>423109566.20130461</v>
      </c>
      <c r="AH7" s="40">
        <f t="shared" si="51"/>
        <v>423219720.17559522</v>
      </c>
      <c r="AI7" s="40">
        <f t="shared" si="51"/>
        <v>423274494.24559844</v>
      </c>
      <c r="AJ7" s="40">
        <f t="shared" si="51"/>
        <v>423285318.80309284</v>
      </c>
      <c r="AK7" s="40">
        <f t="shared" si="51"/>
        <v>423264065.41705388</v>
      </c>
      <c r="AL7" s="40">
        <f t="shared" si="51"/>
        <v>423223130.49034339</v>
      </c>
      <c r="AM7" s="40">
        <f t="shared" si="51"/>
        <v>423175359.28478748</v>
      </c>
      <c r="AN7" s="40">
        <f t="shared" si="51"/>
        <v>423134116.45399767</v>
      </c>
      <c r="AO7" s="40">
        <f t="shared" si="51"/>
        <v>423113276.34014565</v>
      </c>
      <c r="AP7" s="40">
        <f t="shared" si="51"/>
        <v>423127211.1772728</v>
      </c>
      <c r="AQ7" s="40">
        <f t="shared" si="51"/>
        <v>423190842.41817778</v>
      </c>
      <c r="AR7" s="40">
        <f t="shared" si="51"/>
        <v>423319615.29353893</v>
      </c>
      <c r="AS7" s="40">
        <f t="shared" si="51"/>
        <v>423529554.23913002</v>
      </c>
      <c r="AT7" s="40">
        <f t="shared" si="51"/>
        <v>423837212</v>
      </c>
    </row>
    <row r="8" spans="1:48" x14ac:dyDescent="0.15">
      <c r="A8" s="64" t="s">
        <v>1104</v>
      </c>
      <c r="B8">
        <f>B7/B2/B3</f>
        <v>0.42335196067790398</v>
      </c>
      <c r="C8">
        <f t="shared" ref="C8:AT8" si="52">C7/C2/C3</f>
        <v>0.42340050698052134</v>
      </c>
      <c r="D8">
        <f t="shared" si="52"/>
        <v>0.42343115213995164</v>
      </c>
      <c r="E8">
        <f t="shared" si="52"/>
        <v>0.40913408174291205</v>
      </c>
      <c r="F8">
        <f t="shared" si="52"/>
        <v>0.4090799911556029</v>
      </c>
      <c r="G8">
        <f t="shared" si="52"/>
        <v>0.40899928253302364</v>
      </c>
      <c r="H8">
        <f t="shared" si="52"/>
        <v>0.40889555578751785</v>
      </c>
      <c r="I8">
        <f t="shared" si="52"/>
        <v>0.40877207187308268</v>
      </c>
      <c r="J8">
        <f t="shared" si="52"/>
        <v>0.40863179395667049</v>
      </c>
      <c r="K8">
        <f t="shared" si="52"/>
        <v>0.40847744349789111</v>
      </c>
      <c r="L8">
        <f t="shared" si="52"/>
        <v>0.40831149702886682</v>
      </c>
      <c r="M8">
        <f t="shared" si="52"/>
        <v>0.40813620393909267</v>
      </c>
      <c r="N8">
        <f t="shared" si="52"/>
        <v>0.40795363170473098</v>
      </c>
      <c r="O8">
        <f t="shared" si="52"/>
        <v>0.40776565511999829</v>
      </c>
      <c r="P8">
        <f t="shared" si="52"/>
        <v>0.40757397844917231</v>
      </c>
      <c r="Q8">
        <f t="shared" si="52"/>
        <v>0.40738015396564703</v>
      </c>
      <c r="R8">
        <f t="shared" si="52"/>
        <v>0.40718558257121673</v>
      </c>
      <c r="S8">
        <f t="shared" si="52"/>
        <v>0.4069915246908889</v>
      </c>
      <c r="T8">
        <f t="shared" si="52"/>
        <v>0.40679911376743916</v>
      </c>
      <c r="U8">
        <f t="shared" si="52"/>
        <v>0.4066093624517822</v>
      </c>
      <c r="V8">
        <f t="shared" si="52"/>
        <v>0.40642315005071428</v>
      </c>
      <c r="W8">
        <f t="shared" si="52"/>
        <v>0.40624124227920633</v>
      </c>
      <c r="X8">
        <f t="shared" si="52"/>
        <v>0.40606429198118954</v>
      </c>
      <c r="Y8">
        <f t="shared" si="52"/>
        <v>0.4058928322169375</v>
      </c>
      <c r="Z8">
        <f t="shared" si="52"/>
        <v>0.40572728518966211</v>
      </c>
      <c r="AA8">
        <f t="shared" si="52"/>
        <v>0.40556796210438983</v>
      </c>
      <c r="AB8">
        <f t="shared" si="52"/>
        <v>0.40541504862316957</v>
      </c>
      <c r="AC8">
        <f t="shared" si="52"/>
        <v>0.40526862357669785</v>
      </c>
      <c r="AD8">
        <f t="shared" si="52"/>
        <v>0.40512863043706876</v>
      </c>
      <c r="AE8">
        <f t="shared" si="52"/>
        <v>0.40499490278878797</v>
      </c>
      <c r="AF8">
        <f t="shared" si="52"/>
        <v>0.40486712881498854</v>
      </c>
      <c r="AG8">
        <f t="shared" si="52"/>
        <v>0.40474487664701847</v>
      </c>
      <c r="AH8">
        <f t="shared" si="52"/>
        <v>0.40462756765973196</v>
      </c>
      <c r="AI8">
        <f t="shared" si="52"/>
        <v>0.40451448716435695</v>
      </c>
      <c r="AJ8">
        <f t="shared" si="52"/>
        <v>0.40440476311754964</v>
      </c>
      <c r="AK8">
        <f t="shared" si="52"/>
        <v>0.40429736061164345</v>
      </c>
      <c r="AL8">
        <f t="shared" si="52"/>
        <v>0.40419110420604321</v>
      </c>
      <c r="AM8">
        <f t="shared" si="52"/>
        <v>0.40408464134624894</v>
      </c>
      <c r="AN8">
        <f t="shared" si="52"/>
        <v>0.40397644698802204</v>
      </c>
      <c r="AO8">
        <f t="shared" si="52"/>
        <v>0.40386483236898973</v>
      </c>
      <c r="AP8">
        <f t="shared" si="52"/>
        <v>0.40374791586764924</v>
      </c>
      <c r="AQ8">
        <f t="shared" si="52"/>
        <v>0.40362366016805135</v>
      </c>
      <c r="AR8">
        <f t="shared" si="52"/>
        <v>0.40348983784978898</v>
      </c>
      <c r="AS8">
        <f t="shared" si="52"/>
        <v>0.40334406732320538</v>
      </c>
      <c r="AT8">
        <f t="shared" si="52"/>
        <v>0.40318378736582172</v>
      </c>
    </row>
    <row r="10" spans="1:48" ht="12.4" customHeight="1" x14ac:dyDescent="0.15">
      <c r="A10" t="s">
        <v>779</v>
      </c>
    </row>
    <row r="11" spans="1:48" x14ac:dyDescent="0.15">
      <c r="A11" t="s">
        <v>31</v>
      </c>
      <c r="C11" t="s">
        <v>426</v>
      </c>
      <c r="D11">
        <v>2016</v>
      </c>
      <c r="E11">
        <v>2017</v>
      </c>
      <c r="F11">
        <v>2018</v>
      </c>
      <c r="G11">
        <v>2019</v>
      </c>
      <c r="H11">
        <v>2020</v>
      </c>
      <c r="I11">
        <v>2021</v>
      </c>
      <c r="J11">
        <v>2022</v>
      </c>
      <c r="K11">
        <v>2023</v>
      </c>
      <c r="L11">
        <v>2024</v>
      </c>
      <c r="M11">
        <v>2025</v>
      </c>
      <c r="N11">
        <v>2026</v>
      </c>
      <c r="O11">
        <v>2027</v>
      </c>
      <c r="P11">
        <v>2028</v>
      </c>
      <c r="Q11">
        <v>2029</v>
      </c>
      <c r="R11">
        <v>2030</v>
      </c>
      <c r="S11">
        <v>2031</v>
      </c>
      <c r="T11">
        <v>2032</v>
      </c>
      <c r="U11">
        <v>2033</v>
      </c>
      <c r="V11">
        <v>2034</v>
      </c>
      <c r="W11">
        <v>2035</v>
      </c>
      <c r="X11">
        <v>2036</v>
      </c>
      <c r="Y11">
        <v>2037</v>
      </c>
      <c r="Z11">
        <v>2038</v>
      </c>
      <c r="AA11">
        <v>2039</v>
      </c>
      <c r="AB11">
        <v>2040</v>
      </c>
      <c r="AC11">
        <v>2041</v>
      </c>
      <c r="AD11">
        <v>2042</v>
      </c>
      <c r="AE11">
        <v>2043</v>
      </c>
      <c r="AF11">
        <v>2044</v>
      </c>
      <c r="AG11">
        <v>2045</v>
      </c>
      <c r="AH11">
        <v>2046</v>
      </c>
      <c r="AI11">
        <v>2047</v>
      </c>
      <c r="AJ11">
        <v>2048</v>
      </c>
      <c r="AK11">
        <v>2049</v>
      </c>
      <c r="AL11">
        <v>2050</v>
      </c>
      <c r="AM11">
        <v>2051</v>
      </c>
      <c r="AN11">
        <v>2052</v>
      </c>
      <c r="AO11">
        <v>2053</v>
      </c>
      <c r="AP11">
        <v>2054</v>
      </c>
      <c r="AQ11">
        <v>2055</v>
      </c>
      <c r="AR11">
        <v>2056</v>
      </c>
      <c r="AS11">
        <v>2057</v>
      </c>
      <c r="AT11">
        <v>2058</v>
      </c>
      <c r="AU11">
        <v>2059</v>
      </c>
      <c r="AV11">
        <v>2060</v>
      </c>
    </row>
    <row r="12" spans="1:48" x14ac:dyDescent="0.15">
      <c r="A12" t="s">
        <v>32</v>
      </c>
      <c r="B12" t="s">
        <v>430</v>
      </c>
      <c r="C12" t="s">
        <v>427</v>
      </c>
      <c r="D12" s="5">
        <v>20876817.777075499</v>
      </c>
      <c r="E12" s="5">
        <v>21043311.607973099</v>
      </c>
      <c r="F12" s="5">
        <v>21192712.389067899</v>
      </c>
      <c r="G12" s="5">
        <v>21641222</v>
      </c>
      <c r="H12">
        <v>21891193</v>
      </c>
      <c r="I12">
        <v>22092349</v>
      </c>
      <c r="J12">
        <v>22249167</v>
      </c>
      <c r="K12">
        <v>22365919</v>
      </c>
      <c r="L12">
        <v>22446671</v>
      </c>
      <c r="M12">
        <v>22495287</v>
      </c>
      <c r="N12">
        <v>22515425</v>
      </c>
      <c r="O12">
        <v>22510539</v>
      </c>
      <c r="P12">
        <v>22483879</v>
      </c>
      <c r="Q12">
        <v>22438490</v>
      </c>
      <c r="R12">
        <v>22377211</v>
      </c>
      <c r="S12">
        <v>22302681</v>
      </c>
      <c r="T12">
        <v>22217329</v>
      </c>
      <c r="U12">
        <v>22123385</v>
      </c>
      <c r="V12">
        <v>22022870</v>
      </c>
      <c r="W12">
        <v>21917603</v>
      </c>
      <c r="X12">
        <v>21809199</v>
      </c>
      <c r="Y12">
        <v>21699066</v>
      </c>
      <c r="Z12">
        <v>21588410</v>
      </c>
      <c r="AA12">
        <v>21478232</v>
      </c>
      <c r="AB12">
        <v>21369328</v>
      </c>
      <c r="AC12">
        <v>21262290</v>
      </c>
      <c r="AD12">
        <v>21157505</v>
      </c>
      <c r="AE12">
        <v>21055156</v>
      </c>
      <c r="AF12">
        <v>20955222</v>
      </c>
      <c r="AG12">
        <v>20857477</v>
      </c>
      <c r="AH12">
        <v>20761490</v>
      </c>
      <c r="AI12">
        <v>20666628</v>
      </c>
      <c r="AJ12">
        <v>20572049</v>
      </c>
      <c r="AK12">
        <v>20476712</v>
      </c>
      <c r="AL12">
        <v>20379368</v>
      </c>
      <c r="AM12">
        <v>20278564</v>
      </c>
      <c r="AN12">
        <v>20172643</v>
      </c>
      <c r="AO12">
        <v>20059744</v>
      </c>
      <c r="AP12">
        <v>19937802</v>
      </c>
      <c r="AQ12">
        <v>19804545</v>
      </c>
      <c r="AR12">
        <v>19657500</v>
      </c>
      <c r="AS12">
        <v>19493987</v>
      </c>
      <c r="AT12">
        <v>19311122</v>
      </c>
      <c r="AU12">
        <v>19105817</v>
      </c>
      <c r="AV12">
        <v>18874781</v>
      </c>
    </row>
    <row r="13" spans="1:48" x14ac:dyDescent="0.15">
      <c r="A13" t="s">
        <v>33</v>
      </c>
      <c r="B13" t="s">
        <v>431</v>
      </c>
      <c r="C13" t="s">
        <v>427</v>
      </c>
      <c r="D13" s="5">
        <v>13567333.6771656</v>
      </c>
      <c r="E13" s="5">
        <v>13653977.224587301</v>
      </c>
      <c r="F13" s="5">
        <v>13732216.5743411</v>
      </c>
      <c r="G13" s="5">
        <v>13739203</v>
      </c>
      <c r="H13">
        <v>13864934</v>
      </c>
      <c r="I13">
        <v>13965579</v>
      </c>
      <c r="J13">
        <v>14043199</v>
      </c>
      <c r="K13">
        <v>14099770</v>
      </c>
      <c r="L13">
        <v>14137179</v>
      </c>
      <c r="M13">
        <v>14157227</v>
      </c>
      <c r="N13">
        <v>14161631</v>
      </c>
      <c r="O13">
        <v>14152018</v>
      </c>
      <c r="P13">
        <v>14129932</v>
      </c>
      <c r="Q13">
        <v>14096828</v>
      </c>
      <c r="R13">
        <v>14054075</v>
      </c>
      <c r="S13">
        <v>14002956</v>
      </c>
      <c r="T13">
        <v>13944668</v>
      </c>
      <c r="U13">
        <v>13880322</v>
      </c>
      <c r="V13">
        <v>13810939</v>
      </c>
      <c r="W13">
        <v>13737458</v>
      </c>
      <c r="X13">
        <v>13660729</v>
      </c>
      <c r="Y13">
        <v>13581517</v>
      </c>
      <c r="Z13">
        <v>13500498</v>
      </c>
      <c r="AA13">
        <v>13418265</v>
      </c>
      <c r="AB13">
        <v>13335323</v>
      </c>
      <c r="AC13">
        <v>13252088</v>
      </c>
      <c r="AD13">
        <v>13168894</v>
      </c>
      <c r="AE13">
        <v>13085986</v>
      </c>
      <c r="AF13">
        <v>13003523</v>
      </c>
      <c r="AG13">
        <v>12921577</v>
      </c>
      <c r="AH13">
        <v>12840135</v>
      </c>
      <c r="AI13">
        <v>12759095</v>
      </c>
      <c r="AJ13">
        <v>12678272</v>
      </c>
      <c r="AK13">
        <v>12597391</v>
      </c>
      <c r="AL13">
        <v>12516094</v>
      </c>
      <c r="AM13">
        <v>12433933</v>
      </c>
      <c r="AN13">
        <v>12350377</v>
      </c>
      <c r="AO13">
        <v>12264805</v>
      </c>
      <c r="AP13">
        <v>12176513</v>
      </c>
      <c r="AQ13">
        <v>12084708</v>
      </c>
      <c r="AR13">
        <v>11988512</v>
      </c>
      <c r="AS13">
        <v>11886960</v>
      </c>
      <c r="AT13">
        <v>11779000</v>
      </c>
      <c r="AU13">
        <v>11663494</v>
      </c>
      <c r="AV13">
        <v>11539219</v>
      </c>
    </row>
    <row r="14" spans="1:48" x14ac:dyDescent="0.15">
      <c r="A14" t="s">
        <v>35</v>
      </c>
      <c r="B14" t="s">
        <v>432</v>
      </c>
      <c r="C14" t="s">
        <v>427</v>
      </c>
      <c r="D14" s="5">
        <v>10686650.885422399</v>
      </c>
      <c r="E14" s="5">
        <v>10759179.805173101</v>
      </c>
      <c r="F14" s="5">
        <v>10826288.877432499</v>
      </c>
      <c r="G14" s="5">
        <v>11135097</v>
      </c>
      <c r="H14">
        <v>11234139</v>
      </c>
      <c r="I14">
        <v>11322464</v>
      </c>
      <c r="J14">
        <v>11400612</v>
      </c>
      <c r="K14">
        <v>11469108</v>
      </c>
      <c r="L14">
        <v>11528463</v>
      </c>
      <c r="M14">
        <v>11579176</v>
      </c>
      <c r="N14">
        <v>11621729</v>
      </c>
      <c r="O14">
        <v>11656594</v>
      </c>
      <c r="P14">
        <v>11684227</v>
      </c>
      <c r="Q14">
        <v>11705069</v>
      </c>
      <c r="R14">
        <v>11719549</v>
      </c>
      <c r="S14">
        <v>11728082</v>
      </c>
      <c r="T14">
        <v>11731069</v>
      </c>
      <c r="U14">
        <v>11728896</v>
      </c>
      <c r="V14">
        <v>11721937</v>
      </c>
      <c r="W14">
        <v>11710551</v>
      </c>
      <c r="X14">
        <v>11695084</v>
      </c>
      <c r="Y14">
        <v>11675867</v>
      </c>
      <c r="Z14">
        <v>11653217</v>
      </c>
      <c r="AA14">
        <v>11627439</v>
      </c>
      <c r="AB14">
        <v>11598822</v>
      </c>
      <c r="AC14">
        <v>11567644</v>
      </c>
      <c r="AD14">
        <v>11534165</v>
      </c>
      <c r="AE14">
        <v>11498636</v>
      </c>
      <c r="AF14">
        <v>11461289</v>
      </c>
      <c r="AG14">
        <v>11422347</v>
      </c>
      <c r="AH14">
        <v>11382015</v>
      </c>
      <c r="AI14">
        <v>11340488</v>
      </c>
      <c r="AJ14">
        <v>11297944</v>
      </c>
      <c r="AK14">
        <v>11254549</v>
      </c>
      <c r="AL14">
        <v>11210455</v>
      </c>
      <c r="AM14">
        <v>11165798</v>
      </c>
      <c r="AN14">
        <v>11120704</v>
      </c>
      <c r="AO14">
        <v>11075281</v>
      </c>
      <c r="AP14">
        <v>11029627</v>
      </c>
      <c r="AQ14">
        <v>10983823</v>
      </c>
      <c r="AR14">
        <v>10937938</v>
      </c>
      <c r="AS14">
        <v>10892027</v>
      </c>
      <c r="AT14">
        <v>10846130</v>
      </c>
      <c r="AU14">
        <v>10800274</v>
      </c>
      <c r="AV14">
        <v>10754473</v>
      </c>
    </row>
    <row r="15" spans="1:48" x14ac:dyDescent="0.15">
      <c r="A15" t="s">
        <v>36</v>
      </c>
      <c r="B15" t="s">
        <v>433</v>
      </c>
      <c r="C15" t="s">
        <v>427</v>
      </c>
      <c r="D15" s="5">
        <v>7874731.2275879504</v>
      </c>
      <c r="E15" s="5">
        <v>7909763.9558593202</v>
      </c>
      <c r="F15" s="5">
        <v>7940411.9361830698</v>
      </c>
      <c r="G15" s="5">
        <v>7678887</v>
      </c>
      <c r="H15">
        <v>7717136</v>
      </c>
      <c r="I15">
        <v>7749822</v>
      </c>
      <c r="J15">
        <v>7777124</v>
      </c>
      <c r="K15">
        <v>7799223</v>
      </c>
      <c r="L15">
        <v>7816298</v>
      </c>
      <c r="M15">
        <v>7828530</v>
      </c>
      <c r="N15">
        <v>7836100</v>
      </c>
      <c r="O15">
        <v>7839190</v>
      </c>
      <c r="P15">
        <v>7837984</v>
      </c>
      <c r="Q15">
        <v>7832663</v>
      </c>
      <c r="R15">
        <v>7823411</v>
      </c>
      <c r="S15">
        <v>7810414</v>
      </c>
      <c r="T15">
        <v>7793854</v>
      </c>
      <c r="U15">
        <v>7773918</v>
      </c>
      <c r="V15">
        <v>7750791</v>
      </c>
      <c r="W15">
        <v>7724660</v>
      </c>
      <c r="X15">
        <v>7695713</v>
      </c>
      <c r="Y15">
        <v>7664135</v>
      </c>
      <c r="Z15">
        <v>7630116</v>
      </c>
      <c r="AA15">
        <v>7593844</v>
      </c>
      <c r="AB15">
        <v>7555509</v>
      </c>
      <c r="AC15">
        <v>7515300</v>
      </c>
      <c r="AD15">
        <v>7473408</v>
      </c>
      <c r="AE15">
        <v>7430023</v>
      </c>
      <c r="AF15">
        <v>7385337</v>
      </c>
      <c r="AG15">
        <v>7339543</v>
      </c>
      <c r="AH15">
        <v>7292832</v>
      </c>
      <c r="AI15">
        <v>7245399</v>
      </c>
      <c r="AJ15">
        <v>7197436</v>
      </c>
      <c r="AK15">
        <v>7149139</v>
      </c>
      <c r="AL15">
        <v>7100701</v>
      </c>
      <c r="AM15">
        <v>7052320</v>
      </c>
      <c r="AN15">
        <v>7004189</v>
      </c>
      <c r="AO15">
        <v>6956507</v>
      </c>
      <c r="AP15">
        <v>6909471</v>
      </c>
      <c r="AQ15">
        <v>6863277</v>
      </c>
      <c r="AR15">
        <v>6818125</v>
      </c>
      <c r="AS15">
        <v>6774213</v>
      </c>
      <c r="AT15">
        <v>6731741</v>
      </c>
      <c r="AU15">
        <v>6690909</v>
      </c>
      <c r="AV15">
        <v>6651916</v>
      </c>
    </row>
    <row r="16" spans="1:48" x14ac:dyDescent="0.15">
      <c r="A16" t="s">
        <v>37</v>
      </c>
      <c r="B16" t="s">
        <v>434</v>
      </c>
      <c r="C16" t="s">
        <v>427</v>
      </c>
      <c r="D16" s="5">
        <v>3106235.0472198701</v>
      </c>
      <c r="E16" s="5">
        <v>3121107.7472535199</v>
      </c>
      <c r="F16" s="5">
        <v>3134335.6492077801</v>
      </c>
      <c r="G16" s="5">
        <v>3118115</v>
      </c>
      <c r="H16">
        <v>3136546</v>
      </c>
      <c r="I16">
        <v>3152301</v>
      </c>
      <c r="J16">
        <v>3165496</v>
      </c>
      <c r="K16">
        <v>3176243</v>
      </c>
      <c r="L16">
        <v>3184654</v>
      </c>
      <c r="M16">
        <v>3190839</v>
      </c>
      <c r="N16">
        <v>3194906</v>
      </c>
      <c r="O16">
        <v>3196962</v>
      </c>
      <c r="P16">
        <v>3197112</v>
      </c>
      <c r="Q16">
        <v>3195459</v>
      </c>
      <c r="R16">
        <v>3192105</v>
      </c>
      <c r="S16">
        <v>3187150</v>
      </c>
      <c r="T16">
        <v>3180692</v>
      </c>
      <c r="U16">
        <v>3172828</v>
      </c>
      <c r="V16">
        <v>3163652</v>
      </c>
      <c r="W16">
        <v>3153260</v>
      </c>
      <c r="X16">
        <v>3141741</v>
      </c>
      <c r="Y16">
        <v>3129187</v>
      </c>
      <c r="Z16">
        <v>3115685</v>
      </c>
      <c r="AA16">
        <v>3101323</v>
      </c>
      <c r="AB16">
        <v>3086185</v>
      </c>
      <c r="AC16">
        <v>3070356</v>
      </c>
      <c r="AD16">
        <v>3053917</v>
      </c>
      <c r="AE16">
        <v>3036948</v>
      </c>
      <c r="AF16">
        <v>3019527</v>
      </c>
      <c r="AG16">
        <v>3001732</v>
      </c>
      <c r="AH16">
        <v>2983639</v>
      </c>
      <c r="AI16">
        <v>2965319</v>
      </c>
      <c r="AJ16">
        <v>2946846</v>
      </c>
      <c r="AK16">
        <v>2928290</v>
      </c>
      <c r="AL16">
        <v>2909719</v>
      </c>
      <c r="AM16">
        <v>2891201</v>
      </c>
      <c r="AN16">
        <v>2872800</v>
      </c>
      <c r="AO16">
        <v>2854581</v>
      </c>
      <c r="AP16">
        <v>2836605</v>
      </c>
      <c r="AQ16">
        <v>2818933</v>
      </c>
      <c r="AR16">
        <v>2801623</v>
      </c>
      <c r="AS16">
        <v>2784733</v>
      </c>
      <c r="AT16">
        <v>2768318</v>
      </c>
      <c r="AU16">
        <v>2752432</v>
      </c>
      <c r="AV16">
        <v>2737126</v>
      </c>
    </row>
    <row r="17" spans="1:48" x14ac:dyDescent="0.15">
      <c r="A17" t="s">
        <v>38</v>
      </c>
      <c r="B17" t="s">
        <v>435</v>
      </c>
      <c r="C17" t="s">
        <v>427</v>
      </c>
      <c r="D17" s="5">
        <v>9673167.1312729791</v>
      </c>
      <c r="E17" s="5">
        <v>9731065.4401651006</v>
      </c>
      <c r="F17" s="5">
        <v>9783611.7382886708</v>
      </c>
      <c r="G17" s="5">
        <v>9366372</v>
      </c>
      <c r="H17">
        <v>9413329</v>
      </c>
      <c r="I17">
        <v>9462180</v>
      </c>
      <c r="J17">
        <v>9512262</v>
      </c>
      <c r="K17">
        <v>9562952</v>
      </c>
      <c r="L17">
        <v>9613662</v>
      </c>
      <c r="M17">
        <v>9663844</v>
      </c>
      <c r="N17">
        <v>9712987</v>
      </c>
      <c r="O17">
        <v>9760617</v>
      </c>
      <c r="P17">
        <v>9806298</v>
      </c>
      <c r="Q17">
        <v>9849633</v>
      </c>
      <c r="R17">
        <v>9890260</v>
      </c>
      <c r="S17">
        <v>9927857</v>
      </c>
      <c r="T17">
        <v>9962140</v>
      </c>
      <c r="U17">
        <v>9992860</v>
      </c>
      <c r="V17">
        <v>10019810</v>
      </c>
      <c r="W17">
        <v>10042816</v>
      </c>
      <c r="X17">
        <v>10061745</v>
      </c>
      <c r="Y17">
        <v>10076500</v>
      </c>
      <c r="Z17">
        <v>10087024</v>
      </c>
      <c r="AA17">
        <v>10093294</v>
      </c>
      <c r="AB17">
        <v>10095328</v>
      </c>
      <c r="AC17">
        <v>10093180</v>
      </c>
      <c r="AD17">
        <v>10086943</v>
      </c>
      <c r="AE17">
        <v>10076746</v>
      </c>
      <c r="AF17">
        <v>10062758</v>
      </c>
      <c r="AG17">
        <v>10045183</v>
      </c>
      <c r="AH17">
        <v>10024266</v>
      </c>
      <c r="AI17">
        <v>10000285</v>
      </c>
      <c r="AJ17">
        <v>9973561</v>
      </c>
      <c r="AK17">
        <v>9944450</v>
      </c>
      <c r="AL17">
        <v>9913345</v>
      </c>
      <c r="AM17">
        <v>9880678</v>
      </c>
      <c r="AN17">
        <v>9846919</v>
      </c>
      <c r="AO17">
        <v>9812575</v>
      </c>
      <c r="AP17">
        <v>9778191</v>
      </c>
      <c r="AQ17">
        <v>9744349</v>
      </c>
      <c r="AR17">
        <v>9711669</v>
      </c>
      <c r="AS17">
        <v>9680811</v>
      </c>
      <c r="AT17">
        <v>9652468</v>
      </c>
      <c r="AU17">
        <v>9627376</v>
      </c>
      <c r="AV17">
        <v>9606304</v>
      </c>
    </row>
    <row r="18" spans="1:48" x14ac:dyDescent="0.15">
      <c r="A18" t="s">
        <v>39</v>
      </c>
      <c r="B18" t="s">
        <v>436</v>
      </c>
      <c r="C18" t="s">
        <v>427</v>
      </c>
      <c r="D18" s="5">
        <v>7482382.9596012402</v>
      </c>
      <c r="E18" s="5">
        <v>7531475.7750139404</v>
      </c>
      <c r="F18" s="5">
        <v>7576754.6709521599</v>
      </c>
      <c r="G18" s="5">
        <v>7058880</v>
      </c>
      <c r="H18">
        <v>7110576</v>
      </c>
      <c r="I18">
        <v>7159488</v>
      </c>
      <c r="J18">
        <v>7205534</v>
      </c>
      <c r="K18">
        <v>7248644</v>
      </c>
      <c r="L18">
        <v>7288757</v>
      </c>
      <c r="M18">
        <v>7325823</v>
      </c>
      <c r="N18">
        <v>7359802</v>
      </c>
      <c r="O18">
        <v>7390663</v>
      </c>
      <c r="P18">
        <v>7418388</v>
      </c>
      <c r="Q18">
        <v>7442968</v>
      </c>
      <c r="R18">
        <v>7464404</v>
      </c>
      <c r="S18">
        <v>7482708</v>
      </c>
      <c r="T18">
        <v>7497902</v>
      </c>
      <c r="U18">
        <v>7510018</v>
      </c>
      <c r="V18">
        <v>7519098</v>
      </c>
      <c r="W18">
        <v>7525196</v>
      </c>
      <c r="X18">
        <v>7528375</v>
      </c>
      <c r="Y18">
        <v>7528709</v>
      </c>
      <c r="Z18">
        <v>7526282</v>
      </c>
      <c r="AA18">
        <v>7521187</v>
      </c>
      <c r="AB18">
        <v>7513531</v>
      </c>
      <c r="AC18">
        <v>7503427</v>
      </c>
      <c r="AD18">
        <v>7491001</v>
      </c>
      <c r="AE18">
        <v>7476388</v>
      </c>
      <c r="AF18">
        <v>7459735</v>
      </c>
      <c r="AG18">
        <v>7441198</v>
      </c>
      <c r="AH18">
        <v>7420943</v>
      </c>
      <c r="AI18">
        <v>7399148</v>
      </c>
      <c r="AJ18">
        <v>7376000</v>
      </c>
      <c r="AK18">
        <v>7351696</v>
      </c>
      <c r="AL18">
        <v>7326444</v>
      </c>
      <c r="AM18">
        <v>7300463</v>
      </c>
      <c r="AN18">
        <v>7273981</v>
      </c>
      <c r="AO18">
        <v>7247237</v>
      </c>
      <c r="AP18">
        <v>7220481</v>
      </c>
      <c r="AQ18">
        <v>7193972</v>
      </c>
      <c r="AR18">
        <v>7167980</v>
      </c>
      <c r="AS18">
        <v>7142785</v>
      </c>
      <c r="AT18">
        <v>7118678</v>
      </c>
      <c r="AU18">
        <v>7095960</v>
      </c>
      <c r="AV18">
        <v>7074941</v>
      </c>
    </row>
    <row r="19" spans="1:48" x14ac:dyDescent="0.15">
      <c r="A19" t="s">
        <v>40</v>
      </c>
      <c r="B19" t="s">
        <v>437</v>
      </c>
      <c r="C19" t="s">
        <v>427</v>
      </c>
      <c r="D19" s="5">
        <v>11726942.1862655</v>
      </c>
      <c r="E19" s="5">
        <v>11792754.199718</v>
      </c>
      <c r="F19" s="5">
        <v>11852313.022347599</v>
      </c>
      <c r="G19" s="5">
        <v>11475860</v>
      </c>
      <c r="H19">
        <v>11542974</v>
      </c>
      <c r="I19">
        <v>11605691</v>
      </c>
      <c r="J19">
        <v>11663886</v>
      </c>
      <c r="K19">
        <v>11717453</v>
      </c>
      <c r="L19">
        <v>11766300</v>
      </c>
      <c r="M19">
        <v>11810353</v>
      </c>
      <c r="N19">
        <v>11849553</v>
      </c>
      <c r="O19">
        <v>11883859</v>
      </c>
      <c r="P19">
        <v>11913244</v>
      </c>
      <c r="Q19">
        <v>11937700</v>
      </c>
      <c r="R19">
        <v>11957233</v>
      </c>
      <c r="S19">
        <v>11971868</v>
      </c>
      <c r="T19">
        <v>11981643</v>
      </c>
      <c r="U19">
        <v>11986615</v>
      </c>
      <c r="V19">
        <v>11986856</v>
      </c>
      <c r="W19">
        <v>11982455</v>
      </c>
      <c r="X19">
        <v>11973518</v>
      </c>
      <c r="Y19">
        <v>11960165</v>
      </c>
      <c r="Z19">
        <v>11942535</v>
      </c>
      <c r="AA19">
        <v>11920781</v>
      </c>
      <c r="AB19">
        <v>11895075</v>
      </c>
      <c r="AC19">
        <v>11865602</v>
      </c>
      <c r="AD19">
        <v>11832567</v>
      </c>
      <c r="AE19">
        <v>11796189</v>
      </c>
      <c r="AF19">
        <v>11756704</v>
      </c>
      <c r="AG19">
        <v>11714363</v>
      </c>
      <c r="AH19">
        <v>11669436</v>
      </c>
      <c r="AI19">
        <v>11622207</v>
      </c>
      <c r="AJ19">
        <v>11572979</v>
      </c>
      <c r="AK19">
        <v>11522067</v>
      </c>
      <c r="AL19">
        <v>11469807</v>
      </c>
      <c r="AM19">
        <v>11416549</v>
      </c>
      <c r="AN19">
        <v>11362659</v>
      </c>
      <c r="AO19">
        <v>11308520</v>
      </c>
      <c r="AP19">
        <v>11254532</v>
      </c>
      <c r="AQ19">
        <v>11201110</v>
      </c>
      <c r="AR19">
        <v>11148687</v>
      </c>
      <c r="AS19">
        <v>11097710</v>
      </c>
      <c r="AT19">
        <v>11048645</v>
      </c>
      <c r="AU19">
        <v>11001973</v>
      </c>
      <c r="AV19">
        <v>10958191</v>
      </c>
    </row>
    <row r="20" spans="1:48" x14ac:dyDescent="0.15">
      <c r="A20" t="s">
        <v>41</v>
      </c>
      <c r="B20" t="s">
        <v>438</v>
      </c>
      <c r="C20" t="s">
        <v>427</v>
      </c>
      <c r="D20" s="5">
        <v>4466424.35352943</v>
      </c>
      <c r="E20" s="5">
        <v>4479269.9615583597</v>
      </c>
      <c r="F20" s="5">
        <v>4490122.7431898899</v>
      </c>
      <c r="G20" s="5">
        <v>4107476</v>
      </c>
      <c r="H20">
        <v>4118494</v>
      </c>
      <c r="I20">
        <v>4128506</v>
      </c>
      <c r="J20">
        <v>4137368</v>
      </c>
      <c r="K20">
        <v>4144948</v>
      </c>
      <c r="L20">
        <v>4151128</v>
      </c>
      <c r="M20">
        <v>4155802</v>
      </c>
      <c r="N20">
        <v>4158876</v>
      </c>
      <c r="O20">
        <v>4160270</v>
      </c>
      <c r="P20">
        <v>4159916</v>
      </c>
      <c r="Q20">
        <v>4157759</v>
      </c>
      <c r="R20">
        <v>4153756</v>
      </c>
      <c r="S20">
        <v>4147879</v>
      </c>
      <c r="T20">
        <v>4140110</v>
      </c>
      <c r="U20">
        <v>4130445</v>
      </c>
      <c r="V20">
        <v>4118892</v>
      </c>
      <c r="W20">
        <v>4105474</v>
      </c>
      <c r="X20">
        <v>4090223</v>
      </c>
      <c r="Y20">
        <v>4073187</v>
      </c>
      <c r="Z20">
        <v>4054425</v>
      </c>
      <c r="AA20">
        <v>4034009</v>
      </c>
      <c r="AB20">
        <v>4012024</v>
      </c>
      <c r="AC20">
        <v>3988568</v>
      </c>
      <c r="AD20">
        <v>3963751</v>
      </c>
      <c r="AE20">
        <v>3937696</v>
      </c>
      <c r="AF20">
        <v>3910540</v>
      </c>
      <c r="AG20">
        <v>3882430</v>
      </c>
      <c r="AH20">
        <v>3853528</v>
      </c>
      <c r="AI20">
        <v>3824008</v>
      </c>
      <c r="AJ20">
        <v>3794056</v>
      </c>
      <c r="AK20">
        <v>3763873</v>
      </c>
      <c r="AL20">
        <v>3733669</v>
      </c>
      <c r="AM20">
        <v>3703671</v>
      </c>
      <c r="AN20">
        <v>3674116</v>
      </c>
      <c r="AO20">
        <v>3645253</v>
      </c>
      <c r="AP20">
        <v>3617347</v>
      </c>
      <c r="AQ20">
        <v>3590673</v>
      </c>
      <c r="AR20">
        <v>3565519</v>
      </c>
      <c r="AS20">
        <v>3542188</v>
      </c>
      <c r="AT20">
        <v>3520991</v>
      </c>
      <c r="AU20">
        <v>3502258</v>
      </c>
      <c r="AV20">
        <v>3486326</v>
      </c>
    </row>
    <row r="21" spans="1:48" x14ac:dyDescent="0.15">
      <c r="A21" t="s">
        <v>42</v>
      </c>
      <c r="B21" t="s">
        <v>439</v>
      </c>
      <c r="C21" t="s">
        <v>427</v>
      </c>
      <c r="D21" s="5">
        <v>3599572.4268873399</v>
      </c>
      <c r="E21" s="5">
        <v>3613787.7166828499</v>
      </c>
      <c r="F21" s="5">
        <v>3626369.09655185</v>
      </c>
      <c r="G21" s="5">
        <v>3341797</v>
      </c>
      <c r="H21">
        <v>3354153</v>
      </c>
      <c r="I21">
        <v>3366260</v>
      </c>
      <c r="J21">
        <v>3377932</v>
      </c>
      <c r="K21">
        <v>3388991</v>
      </c>
      <c r="L21">
        <v>3399277</v>
      </c>
      <c r="M21">
        <v>3408640</v>
      </c>
      <c r="N21">
        <v>3416946</v>
      </c>
      <c r="O21">
        <v>3424074</v>
      </c>
      <c r="P21">
        <v>3429915</v>
      </c>
      <c r="Q21">
        <v>3434376</v>
      </c>
      <c r="R21">
        <v>3437374</v>
      </c>
      <c r="S21">
        <v>3438844</v>
      </c>
      <c r="T21">
        <v>3438731</v>
      </c>
      <c r="U21">
        <v>3436994</v>
      </c>
      <c r="V21">
        <v>3433608</v>
      </c>
      <c r="W21">
        <v>3428558</v>
      </c>
      <c r="X21">
        <v>3421844</v>
      </c>
      <c r="Y21">
        <v>3413481</v>
      </c>
      <c r="Z21">
        <v>3403495</v>
      </c>
      <c r="AA21">
        <v>3391928</v>
      </c>
      <c r="AB21">
        <v>3378833</v>
      </c>
      <c r="AC21">
        <v>3364277</v>
      </c>
      <c r="AD21">
        <v>3348343</v>
      </c>
      <c r="AE21">
        <v>3331125</v>
      </c>
      <c r="AF21">
        <v>3312731</v>
      </c>
      <c r="AG21">
        <v>3293283</v>
      </c>
      <c r="AH21">
        <v>3272915</v>
      </c>
      <c r="AI21">
        <v>3251777</v>
      </c>
      <c r="AJ21">
        <v>3230032</v>
      </c>
      <c r="AK21">
        <v>3207853</v>
      </c>
      <c r="AL21">
        <v>3185432</v>
      </c>
      <c r="AM21">
        <v>3162970</v>
      </c>
      <c r="AN21">
        <v>3140684</v>
      </c>
      <c r="AO21">
        <v>3118803</v>
      </c>
      <c r="AP21">
        <v>3097571</v>
      </c>
      <c r="AQ21">
        <v>3077245</v>
      </c>
      <c r="AR21">
        <v>3058094</v>
      </c>
      <c r="AS21">
        <v>3040403</v>
      </c>
      <c r="AT21">
        <v>3024468</v>
      </c>
      <c r="AU21">
        <v>3010602</v>
      </c>
      <c r="AV21">
        <v>2999127</v>
      </c>
    </row>
    <row r="22" spans="1:48" x14ac:dyDescent="0.15">
      <c r="A22" t="s">
        <v>43</v>
      </c>
      <c r="B22" t="s">
        <v>440</v>
      </c>
      <c r="C22" t="s">
        <v>427</v>
      </c>
      <c r="D22" s="5">
        <v>7456414.8777747201</v>
      </c>
      <c r="E22" s="5">
        <v>7494078.0902634095</v>
      </c>
      <c r="F22" s="5">
        <v>7527827.41402537</v>
      </c>
      <c r="G22" s="5">
        <v>7266521</v>
      </c>
      <c r="H22">
        <v>7300129</v>
      </c>
      <c r="I22">
        <v>7332887</v>
      </c>
      <c r="J22">
        <v>7364507</v>
      </c>
      <c r="K22">
        <v>7394719</v>
      </c>
      <c r="L22">
        <v>7423274</v>
      </c>
      <c r="M22">
        <v>7449946</v>
      </c>
      <c r="N22">
        <v>7474526</v>
      </c>
      <c r="O22">
        <v>7496828</v>
      </c>
      <c r="P22">
        <v>7516685</v>
      </c>
      <c r="Q22">
        <v>7533952</v>
      </c>
      <c r="R22">
        <v>7548503</v>
      </c>
      <c r="S22">
        <v>7560233</v>
      </c>
      <c r="T22">
        <v>7569060</v>
      </c>
      <c r="U22">
        <v>7574918</v>
      </c>
      <c r="V22">
        <v>7577765</v>
      </c>
      <c r="W22">
        <v>7577579</v>
      </c>
      <c r="X22">
        <v>7574358</v>
      </c>
      <c r="Y22">
        <v>7568120</v>
      </c>
      <c r="Z22">
        <v>7558904</v>
      </c>
      <c r="AA22">
        <v>7546770</v>
      </c>
      <c r="AB22">
        <v>7531799</v>
      </c>
      <c r="AC22">
        <v>7514091</v>
      </c>
      <c r="AD22">
        <v>7493768</v>
      </c>
      <c r="AE22">
        <v>7470971</v>
      </c>
      <c r="AF22">
        <v>7445863</v>
      </c>
      <c r="AG22">
        <v>7418628</v>
      </c>
      <c r="AH22">
        <v>7389467</v>
      </c>
      <c r="AI22">
        <v>7358607</v>
      </c>
      <c r="AJ22">
        <v>7326291</v>
      </c>
      <c r="AK22">
        <v>7292785</v>
      </c>
      <c r="AL22">
        <v>7258374</v>
      </c>
      <c r="AM22">
        <v>7223364</v>
      </c>
      <c r="AN22">
        <v>7188084</v>
      </c>
      <c r="AO22">
        <v>7152879</v>
      </c>
      <c r="AP22">
        <v>7118118</v>
      </c>
      <c r="AQ22">
        <v>7084189</v>
      </c>
      <c r="AR22">
        <v>7051502</v>
      </c>
      <c r="AS22">
        <v>7020485</v>
      </c>
      <c r="AT22">
        <v>6991590</v>
      </c>
      <c r="AU22">
        <v>6965287</v>
      </c>
      <c r="AV22">
        <v>6942067</v>
      </c>
    </row>
    <row r="23" spans="1:48" x14ac:dyDescent="0.15">
      <c r="A23" t="s">
        <v>44</v>
      </c>
      <c r="B23" t="s">
        <v>441</v>
      </c>
      <c r="C23" t="s">
        <v>427</v>
      </c>
      <c r="D23" s="5">
        <v>4593015.8206246002</v>
      </c>
      <c r="E23" s="5">
        <v>4625006.9468506398</v>
      </c>
      <c r="F23" s="5">
        <v>4654532.1526477998</v>
      </c>
      <c r="G23" s="5">
        <v>5414885</v>
      </c>
      <c r="H23">
        <v>5463661</v>
      </c>
      <c r="I23">
        <v>5507146</v>
      </c>
      <c r="J23">
        <v>5545612</v>
      </c>
      <c r="K23">
        <v>5579322</v>
      </c>
      <c r="L23">
        <v>5608534</v>
      </c>
      <c r="M23">
        <v>5633497</v>
      </c>
      <c r="N23">
        <v>5654453</v>
      </c>
      <c r="O23">
        <v>5671636</v>
      </c>
      <c r="P23">
        <v>5685274</v>
      </c>
      <c r="Q23">
        <v>5695585</v>
      </c>
      <c r="R23">
        <v>5702781</v>
      </c>
      <c r="S23">
        <v>5707067</v>
      </c>
      <c r="T23">
        <v>5708639</v>
      </c>
      <c r="U23">
        <v>5707688</v>
      </c>
      <c r="V23">
        <v>5704394</v>
      </c>
      <c r="W23">
        <v>5698931</v>
      </c>
      <c r="X23">
        <v>5691468</v>
      </c>
      <c r="Y23">
        <v>5682163</v>
      </c>
      <c r="Z23">
        <v>5671168</v>
      </c>
      <c r="AA23">
        <v>5658627</v>
      </c>
      <c r="AB23">
        <v>5644677</v>
      </c>
      <c r="AC23">
        <v>5629447</v>
      </c>
      <c r="AD23">
        <v>5613060</v>
      </c>
      <c r="AE23">
        <v>5595629</v>
      </c>
      <c r="AF23">
        <v>5577261</v>
      </c>
      <c r="AG23">
        <v>5558056</v>
      </c>
      <c r="AH23">
        <v>5538104</v>
      </c>
      <c r="AI23">
        <v>5517492</v>
      </c>
      <c r="AJ23">
        <v>5496295</v>
      </c>
      <c r="AK23">
        <v>5474582</v>
      </c>
      <c r="AL23">
        <v>5452416</v>
      </c>
      <c r="AM23">
        <v>5429850</v>
      </c>
      <c r="AN23">
        <v>5406932</v>
      </c>
      <c r="AO23">
        <v>5383701</v>
      </c>
      <c r="AP23">
        <v>5360187</v>
      </c>
      <c r="AQ23">
        <v>5336417</v>
      </c>
      <c r="AR23">
        <v>5312406</v>
      </c>
      <c r="AS23">
        <v>5288163</v>
      </c>
      <c r="AT23">
        <v>5263691</v>
      </c>
      <c r="AU23">
        <v>5238983</v>
      </c>
      <c r="AV23">
        <v>5214027</v>
      </c>
    </row>
    <row r="24" spans="1:48" x14ac:dyDescent="0.15">
      <c r="A24" t="s">
        <v>45</v>
      </c>
      <c r="B24" t="s">
        <v>442</v>
      </c>
      <c r="C24" t="s">
        <v>427</v>
      </c>
      <c r="D24" s="5">
        <v>4513455.4578120001</v>
      </c>
      <c r="E24" s="5">
        <v>4535957.9955553301</v>
      </c>
      <c r="F24" s="5">
        <v>4556447.7291182699</v>
      </c>
      <c r="G24" s="5">
        <v>4188881</v>
      </c>
      <c r="H24">
        <v>4212532</v>
      </c>
      <c r="I24">
        <v>4234283</v>
      </c>
      <c r="J24">
        <v>4254096</v>
      </c>
      <c r="K24">
        <v>4271939</v>
      </c>
      <c r="L24">
        <v>4287788</v>
      </c>
      <c r="M24">
        <v>4301625</v>
      </c>
      <c r="N24">
        <v>4313439</v>
      </c>
      <c r="O24">
        <v>4323227</v>
      </c>
      <c r="P24">
        <v>4330992</v>
      </c>
      <c r="Q24">
        <v>4336744</v>
      </c>
      <c r="R24">
        <v>4340501</v>
      </c>
      <c r="S24">
        <v>4342288</v>
      </c>
      <c r="T24">
        <v>4342135</v>
      </c>
      <c r="U24">
        <v>4340081</v>
      </c>
      <c r="V24">
        <v>4336171</v>
      </c>
      <c r="W24">
        <v>4330457</v>
      </c>
      <c r="X24">
        <v>4322999</v>
      </c>
      <c r="Y24">
        <v>4313862</v>
      </c>
      <c r="Z24">
        <v>4303121</v>
      </c>
      <c r="AA24">
        <v>4290855</v>
      </c>
      <c r="AB24">
        <v>4277152</v>
      </c>
      <c r="AC24">
        <v>4262105</v>
      </c>
      <c r="AD24">
        <v>4245816</v>
      </c>
      <c r="AE24">
        <v>4228394</v>
      </c>
      <c r="AF24">
        <v>4209952</v>
      </c>
      <c r="AG24">
        <v>4190614</v>
      </c>
      <c r="AH24">
        <v>4170508</v>
      </c>
      <c r="AI24">
        <v>4149771</v>
      </c>
      <c r="AJ24">
        <v>4128546</v>
      </c>
      <c r="AK24">
        <v>4106983</v>
      </c>
      <c r="AL24">
        <v>4085238</v>
      </c>
      <c r="AM24">
        <v>4063476</v>
      </c>
      <c r="AN24">
        <v>4041868</v>
      </c>
      <c r="AO24">
        <v>4020592</v>
      </c>
      <c r="AP24">
        <v>3999834</v>
      </c>
      <c r="AQ24">
        <v>3979784</v>
      </c>
      <c r="AR24">
        <v>3960642</v>
      </c>
      <c r="AS24">
        <v>3942614</v>
      </c>
      <c r="AT24">
        <v>3925913</v>
      </c>
      <c r="AU24">
        <v>3910759</v>
      </c>
      <c r="AV24">
        <v>3897379</v>
      </c>
    </row>
    <row r="25" spans="1:48" x14ac:dyDescent="0.15">
      <c r="A25" t="s">
        <v>47</v>
      </c>
      <c r="B25" t="s">
        <v>443</v>
      </c>
      <c r="C25" t="s">
        <v>427</v>
      </c>
      <c r="D25" s="5">
        <v>4415095.9341087202</v>
      </c>
      <c r="E25" s="5">
        <v>4449729.86689544</v>
      </c>
      <c r="F25" s="5">
        <v>4482780.2658089697</v>
      </c>
      <c r="G25" s="5">
        <v>5239059</v>
      </c>
      <c r="H25">
        <v>5303644</v>
      </c>
      <c r="I25">
        <v>5360421</v>
      </c>
      <c r="J25">
        <v>5409895</v>
      </c>
      <c r="K25">
        <v>5452553</v>
      </c>
      <c r="L25">
        <v>5488867</v>
      </c>
      <c r="M25">
        <v>5519288</v>
      </c>
      <c r="N25">
        <v>5544252</v>
      </c>
      <c r="O25">
        <v>5564176</v>
      </c>
      <c r="P25">
        <v>5579460</v>
      </c>
      <c r="Q25">
        <v>5590487</v>
      </c>
      <c r="R25">
        <v>5597620</v>
      </c>
      <c r="S25">
        <v>5601208</v>
      </c>
      <c r="T25">
        <v>5601579</v>
      </c>
      <c r="U25">
        <v>5599047</v>
      </c>
      <c r="V25">
        <v>5593904</v>
      </c>
      <c r="W25">
        <v>5586428</v>
      </c>
      <c r="X25">
        <v>5576878</v>
      </c>
      <c r="Y25">
        <v>5565496</v>
      </c>
      <c r="Z25">
        <v>5552506</v>
      </c>
      <c r="AA25">
        <v>5538115</v>
      </c>
      <c r="AB25">
        <v>5522510</v>
      </c>
      <c r="AC25">
        <v>5505864</v>
      </c>
      <c r="AD25">
        <v>5488330</v>
      </c>
      <c r="AE25">
        <v>5470044</v>
      </c>
      <c r="AF25">
        <v>5451126</v>
      </c>
      <c r="AG25">
        <v>5431675</v>
      </c>
      <c r="AH25">
        <v>5411775</v>
      </c>
      <c r="AI25">
        <v>5391493</v>
      </c>
      <c r="AJ25">
        <v>5370876</v>
      </c>
      <c r="AK25">
        <v>5349955</v>
      </c>
      <c r="AL25">
        <v>5328743</v>
      </c>
      <c r="AM25">
        <v>5307236</v>
      </c>
      <c r="AN25">
        <v>5285411</v>
      </c>
      <c r="AO25">
        <v>5263229</v>
      </c>
      <c r="AP25">
        <v>5240632</v>
      </c>
      <c r="AQ25">
        <v>5217546</v>
      </c>
      <c r="AR25">
        <v>5193878</v>
      </c>
      <c r="AS25">
        <v>5169518</v>
      </c>
      <c r="AT25">
        <v>5144339</v>
      </c>
      <c r="AU25">
        <v>5118196</v>
      </c>
      <c r="AV25">
        <v>5090925</v>
      </c>
    </row>
    <row r="26" spans="1:48" x14ac:dyDescent="0.15">
      <c r="A26" t="s">
        <v>48</v>
      </c>
      <c r="B26" t="s">
        <v>444</v>
      </c>
      <c r="C26" t="s">
        <v>427</v>
      </c>
      <c r="D26" s="5">
        <v>3430533.9228623598</v>
      </c>
      <c r="E26" s="5">
        <v>3449998.3475641701</v>
      </c>
      <c r="F26" s="5">
        <v>3468885.35701202</v>
      </c>
      <c r="G26" s="5">
        <v>3078819</v>
      </c>
      <c r="H26">
        <v>3105346</v>
      </c>
      <c r="I26">
        <v>3129816</v>
      </c>
      <c r="J26">
        <v>3152210</v>
      </c>
      <c r="K26">
        <v>3172517</v>
      </c>
      <c r="L26">
        <v>3190730</v>
      </c>
      <c r="M26">
        <v>3206851</v>
      </c>
      <c r="N26">
        <v>3220885</v>
      </c>
      <c r="O26">
        <v>3232845</v>
      </c>
      <c r="P26">
        <v>3242750</v>
      </c>
      <c r="Q26">
        <v>3250624</v>
      </c>
      <c r="R26">
        <v>3256499</v>
      </c>
      <c r="S26">
        <v>3260411</v>
      </c>
      <c r="T26">
        <v>3262404</v>
      </c>
      <c r="U26">
        <v>3262528</v>
      </c>
      <c r="V26">
        <v>3260837</v>
      </c>
      <c r="W26">
        <v>3257393</v>
      </c>
      <c r="X26">
        <v>3252264</v>
      </c>
      <c r="Y26">
        <v>3245524</v>
      </c>
      <c r="Z26">
        <v>3237253</v>
      </c>
      <c r="AA26">
        <v>3227536</v>
      </c>
      <c r="AB26">
        <v>3216467</v>
      </c>
      <c r="AC26">
        <v>3204143</v>
      </c>
      <c r="AD26">
        <v>3190670</v>
      </c>
      <c r="AE26">
        <v>3176157</v>
      </c>
      <c r="AF26">
        <v>3160721</v>
      </c>
      <c r="AG26">
        <v>3144486</v>
      </c>
      <c r="AH26">
        <v>3127581</v>
      </c>
      <c r="AI26">
        <v>3110139</v>
      </c>
      <c r="AJ26">
        <v>3092304</v>
      </c>
      <c r="AK26">
        <v>3074222</v>
      </c>
      <c r="AL26">
        <v>3056046</v>
      </c>
      <c r="AM26">
        <v>3037937</v>
      </c>
      <c r="AN26">
        <v>3020061</v>
      </c>
      <c r="AO26">
        <v>3002588</v>
      </c>
      <c r="AP26">
        <v>2985698</v>
      </c>
      <c r="AQ26">
        <v>2969574</v>
      </c>
      <c r="AR26">
        <v>2954406</v>
      </c>
      <c r="AS26">
        <v>2940392</v>
      </c>
      <c r="AT26">
        <v>2927734</v>
      </c>
      <c r="AU26">
        <v>2916640</v>
      </c>
      <c r="AV26">
        <v>2907326</v>
      </c>
    </row>
    <row r="27" spans="1:48" x14ac:dyDescent="0.15">
      <c r="A27" t="s">
        <v>49</v>
      </c>
      <c r="B27" t="s">
        <v>445</v>
      </c>
      <c r="C27" t="s">
        <v>427</v>
      </c>
      <c r="D27" s="5">
        <v>1415780.5971631201</v>
      </c>
      <c r="E27" s="5">
        <v>1422691.4921624199</v>
      </c>
      <c r="F27" s="5">
        <v>1429136.40754371</v>
      </c>
      <c r="G27" s="5">
        <v>1310028</v>
      </c>
      <c r="H27">
        <v>1318415</v>
      </c>
      <c r="I27">
        <v>1325998</v>
      </c>
      <c r="J27">
        <v>1332770</v>
      </c>
      <c r="K27">
        <v>1338726</v>
      </c>
      <c r="L27">
        <v>1343864</v>
      </c>
      <c r="M27">
        <v>1348185</v>
      </c>
      <c r="N27">
        <v>1351689</v>
      </c>
      <c r="O27">
        <v>1354383</v>
      </c>
      <c r="P27">
        <v>1356272</v>
      </c>
      <c r="Q27">
        <v>1357367</v>
      </c>
      <c r="R27">
        <v>1357679</v>
      </c>
      <c r="S27">
        <v>1357223</v>
      </c>
      <c r="T27">
        <v>1356013</v>
      </c>
      <c r="U27">
        <v>1354070</v>
      </c>
      <c r="V27">
        <v>1351415</v>
      </c>
      <c r="W27">
        <v>1348070</v>
      </c>
      <c r="X27">
        <v>1344062</v>
      </c>
      <c r="Y27">
        <v>1339419</v>
      </c>
      <c r="Z27">
        <v>1334172</v>
      </c>
      <c r="AA27">
        <v>1328353</v>
      </c>
      <c r="AB27">
        <v>1321997</v>
      </c>
      <c r="AC27">
        <v>1315142</v>
      </c>
      <c r="AD27">
        <v>1307828</v>
      </c>
      <c r="AE27">
        <v>1300097</v>
      </c>
      <c r="AF27">
        <v>1291994</v>
      </c>
      <c r="AG27">
        <v>1283566</v>
      </c>
      <c r="AH27">
        <v>1274861</v>
      </c>
      <c r="AI27">
        <v>1265933</v>
      </c>
      <c r="AJ27">
        <v>1256834</v>
      </c>
      <c r="AK27">
        <v>1247621</v>
      </c>
      <c r="AL27">
        <v>1238352</v>
      </c>
      <c r="AM27">
        <v>1229090</v>
      </c>
      <c r="AN27">
        <v>1219896</v>
      </c>
      <c r="AO27">
        <v>1210837</v>
      </c>
      <c r="AP27">
        <v>1201982</v>
      </c>
      <c r="AQ27">
        <v>1193399</v>
      </c>
      <c r="AR27">
        <v>1185163</v>
      </c>
      <c r="AS27">
        <v>1177349</v>
      </c>
      <c r="AT27">
        <v>1170032</v>
      </c>
      <c r="AU27">
        <v>1163295</v>
      </c>
      <c r="AV27">
        <v>1157218</v>
      </c>
    </row>
    <row r="28" spans="1:48" x14ac:dyDescent="0.15">
      <c r="A28" t="s">
        <v>50</v>
      </c>
      <c r="B28" t="s">
        <v>446</v>
      </c>
      <c r="C28" t="s">
        <v>427</v>
      </c>
      <c r="D28" s="5">
        <v>3458773.6175242499</v>
      </c>
      <c r="E28" s="5">
        <v>3479728.2593237199</v>
      </c>
      <c r="F28" s="5">
        <v>3500025.14764649</v>
      </c>
      <c r="G28" s="5">
        <v>3153980</v>
      </c>
      <c r="H28">
        <v>3180707</v>
      </c>
      <c r="I28">
        <v>3205700</v>
      </c>
      <c r="J28">
        <v>3228901</v>
      </c>
      <c r="K28">
        <v>3250260</v>
      </c>
      <c r="L28">
        <v>3269735</v>
      </c>
      <c r="M28">
        <v>3287293</v>
      </c>
      <c r="N28">
        <v>3302908</v>
      </c>
      <c r="O28">
        <v>3316563</v>
      </c>
      <c r="P28">
        <v>3328247</v>
      </c>
      <c r="Q28">
        <v>3337958</v>
      </c>
      <c r="R28">
        <v>3345703</v>
      </c>
      <c r="S28">
        <v>3351496</v>
      </c>
      <c r="T28">
        <v>3355357</v>
      </c>
      <c r="U28">
        <v>3357319</v>
      </c>
      <c r="V28">
        <v>3357416</v>
      </c>
      <c r="W28">
        <v>3355697</v>
      </c>
      <c r="X28">
        <v>3352214</v>
      </c>
      <c r="Y28">
        <v>3347029</v>
      </c>
      <c r="Z28">
        <v>3340211</v>
      </c>
      <c r="AA28">
        <v>3331838</v>
      </c>
      <c r="AB28">
        <v>3321995</v>
      </c>
      <c r="AC28">
        <v>3310776</v>
      </c>
      <c r="AD28">
        <v>3298281</v>
      </c>
      <c r="AE28">
        <v>3284621</v>
      </c>
      <c r="AF28">
        <v>3269911</v>
      </c>
      <c r="AG28">
        <v>3254278</v>
      </c>
      <c r="AH28">
        <v>3237853</v>
      </c>
      <c r="AI28">
        <v>3220779</v>
      </c>
      <c r="AJ28">
        <v>3203204</v>
      </c>
      <c r="AK28">
        <v>3185285</v>
      </c>
      <c r="AL28">
        <v>3167186</v>
      </c>
      <c r="AM28">
        <v>3149081</v>
      </c>
      <c r="AN28">
        <v>3131149</v>
      </c>
      <c r="AO28">
        <v>3113580</v>
      </c>
      <c r="AP28">
        <v>3096569</v>
      </c>
      <c r="AQ28">
        <v>3080323</v>
      </c>
      <c r="AR28">
        <v>3065051</v>
      </c>
      <c r="AS28">
        <v>3050976</v>
      </c>
      <c r="AT28">
        <v>3038325</v>
      </c>
      <c r="AU28">
        <v>3027335</v>
      </c>
      <c r="AV28">
        <v>3018249</v>
      </c>
    </row>
    <row r="29" spans="1:48" x14ac:dyDescent="0.15">
      <c r="A29" t="s">
        <v>51</v>
      </c>
      <c r="B29" t="s">
        <v>447</v>
      </c>
      <c r="C29" t="s">
        <v>427</v>
      </c>
      <c r="D29" s="5">
        <v>2355559.8873338099</v>
      </c>
      <c r="E29" s="5">
        <v>2370498.50447213</v>
      </c>
      <c r="F29" s="5">
        <v>2385224.30009748</v>
      </c>
      <c r="G29" s="5">
        <v>2172950</v>
      </c>
      <c r="H29">
        <v>2194435</v>
      </c>
      <c r="I29">
        <v>2214058</v>
      </c>
      <c r="J29">
        <v>2231828</v>
      </c>
      <c r="K29">
        <v>2247764</v>
      </c>
      <c r="L29">
        <v>2261883</v>
      </c>
      <c r="M29">
        <v>2274211</v>
      </c>
      <c r="N29">
        <v>2284775</v>
      </c>
      <c r="O29">
        <v>2293605</v>
      </c>
      <c r="P29">
        <v>2300737</v>
      </c>
      <c r="Q29">
        <v>2306211</v>
      </c>
      <c r="R29">
        <v>2310067</v>
      </c>
      <c r="S29">
        <v>2312355</v>
      </c>
      <c r="T29">
        <v>2313123</v>
      </c>
      <c r="U29">
        <v>2312426</v>
      </c>
      <c r="V29">
        <v>2310322</v>
      </c>
      <c r="W29">
        <v>2306873</v>
      </c>
      <c r="X29">
        <v>2302146</v>
      </c>
      <c r="Y29">
        <v>2296208</v>
      </c>
      <c r="Z29">
        <v>2289135</v>
      </c>
      <c r="AA29">
        <v>2281002</v>
      </c>
      <c r="AB29">
        <v>2271892</v>
      </c>
      <c r="AC29">
        <v>2261889</v>
      </c>
      <c r="AD29">
        <v>2251081</v>
      </c>
      <c r="AE29">
        <v>2239562</v>
      </c>
      <c r="AF29">
        <v>2227428</v>
      </c>
      <c r="AG29">
        <v>2214778</v>
      </c>
      <c r="AH29">
        <v>2201718</v>
      </c>
      <c r="AI29">
        <v>2188354</v>
      </c>
      <c r="AJ29">
        <v>2174799</v>
      </c>
      <c r="AK29">
        <v>2161168</v>
      </c>
      <c r="AL29">
        <v>2147580</v>
      </c>
      <c r="AM29">
        <v>2134159</v>
      </c>
      <c r="AN29">
        <v>2121032</v>
      </c>
      <c r="AO29">
        <v>2108329</v>
      </c>
      <c r="AP29">
        <v>2096186</v>
      </c>
      <c r="AQ29">
        <v>2084740</v>
      </c>
      <c r="AR29">
        <v>2074134</v>
      </c>
      <c r="AS29">
        <v>2064514</v>
      </c>
      <c r="AT29">
        <v>2056030</v>
      </c>
      <c r="AU29">
        <v>2048837</v>
      </c>
      <c r="AV29">
        <v>2043090</v>
      </c>
    </row>
    <row r="30" spans="1:48" x14ac:dyDescent="0.15">
      <c r="A30" t="s">
        <v>52</v>
      </c>
      <c r="B30" t="s">
        <v>448</v>
      </c>
      <c r="C30" t="s">
        <v>427</v>
      </c>
      <c r="D30" s="5">
        <v>1773476.54609824</v>
      </c>
      <c r="E30" s="5">
        <v>1786351.9809266501</v>
      </c>
      <c r="F30" s="5">
        <v>1799394.79703156</v>
      </c>
      <c r="G30" s="5">
        <v>1573920</v>
      </c>
      <c r="H30">
        <v>1593316</v>
      </c>
      <c r="I30">
        <v>1611527</v>
      </c>
      <c r="J30">
        <v>1628537</v>
      </c>
      <c r="K30">
        <v>1644339</v>
      </c>
      <c r="L30">
        <v>1658925</v>
      </c>
      <c r="M30">
        <v>1672294</v>
      </c>
      <c r="N30">
        <v>1684446</v>
      </c>
      <c r="O30">
        <v>1695389</v>
      </c>
      <c r="P30">
        <v>1705130</v>
      </c>
      <c r="Q30">
        <v>1713684</v>
      </c>
      <c r="R30">
        <v>1721067</v>
      </c>
      <c r="S30">
        <v>1727299</v>
      </c>
      <c r="T30">
        <v>1732407</v>
      </c>
      <c r="U30">
        <v>1736417</v>
      </c>
      <c r="V30">
        <v>1739363</v>
      </c>
      <c r="W30">
        <v>1741280</v>
      </c>
      <c r="X30">
        <v>1742210</v>
      </c>
      <c r="Y30">
        <v>1742194</v>
      </c>
      <c r="Z30">
        <v>1741282</v>
      </c>
      <c r="AA30">
        <v>1739525</v>
      </c>
      <c r="AB30">
        <v>1736977</v>
      </c>
      <c r="AC30">
        <v>1733699</v>
      </c>
      <c r="AD30">
        <v>1729753</v>
      </c>
      <c r="AE30">
        <v>1725206</v>
      </c>
      <c r="AF30">
        <v>1720129</v>
      </c>
      <c r="AG30">
        <v>1714597</v>
      </c>
      <c r="AH30">
        <v>1708687</v>
      </c>
      <c r="AI30">
        <v>1702482</v>
      </c>
      <c r="AJ30">
        <v>1696068</v>
      </c>
      <c r="AK30">
        <v>1689534</v>
      </c>
      <c r="AL30">
        <v>1682976</v>
      </c>
      <c r="AM30">
        <v>1676489</v>
      </c>
      <c r="AN30">
        <v>1670176</v>
      </c>
      <c r="AO30">
        <v>1664142</v>
      </c>
      <c r="AP30">
        <v>1658495</v>
      </c>
      <c r="AQ30">
        <v>1653349</v>
      </c>
      <c r="AR30">
        <v>1648820</v>
      </c>
      <c r="AS30">
        <v>1645030</v>
      </c>
      <c r="AT30">
        <v>1642101</v>
      </c>
      <c r="AU30">
        <v>1640163</v>
      </c>
      <c r="AV30">
        <v>1639348</v>
      </c>
    </row>
    <row r="31" spans="1:48" x14ac:dyDescent="0.15">
      <c r="A31" t="s">
        <v>53</v>
      </c>
      <c r="B31" t="s">
        <v>449</v>
      </c>
      <c r="C31" t="s">
        <v>427</v>
      </c>
      <c r="D31" s="5">
        <v>3365355.4486727002</v>
      </c>
      <c r="E31" s="5">
        <v>3381905.66133314</v>
      </c>
      <c r="F31" s="5">
        <v>3397431.16035916</v>
      </c>
      <c r="G31" s="5">
        <v>3358771</v>
      </c>
      <c r="H31">
        <v>3379226</v>
      </c>
      <c r="I31">
        <v>3398592</v>
      </c>
      <c r="J31">
        <v>3416759</v>
      </c>
      <c r="K31">
        <v>3433625</v>
      </c>
      <c r="L31">
        <v>3449099</v>
      </c>
      <c r="M31">
        <v>3463101</v>
      </c>
      <c r="N31">
        <v>3475558</v>
      </c>
      <c r="O31">
        <v>3486411</v>
      </c>
      <c r="P31">
        <v>3495606</v>
      </c>
      <c r="Q31">
        <v>3503103</v>
      </c>
      <c r="R31">
        <v>3508871</v>
      </c>
      <c r="S31">
        <v>3512886</v>
      </c>
      <c r="T31">
        <v>3515137</v>
      </c>
      <c r="U31">
        <v>3515622</v>
      </c>
      <c r="V31">
        <v>3514349</v>
      </c>
      <c r="W31">
        <v>3511336</v>
      </c>
      <c r="X31">
        <v>3506609</v>
      </c>
      <c r="Y31">
        <v>3500207</v>
      </c>
      <c r="Z31">
        <v>3492176</v>
      </c>
      <c r="AA31">
        <v>3482575</v>
      </c>
      <c r="AB31">
        <v>3471468</v>
      </c>
      <c r="AC31">
        <v>3458935</v>
      </c>
      <c r="AD31">
        <v>3445061</v>
      </c>
      <c r="AE31">
        <v>3429943</v>
      </c>
      <c r="AF31">
        <v>3413688</v>
      </c>
      <c r="AG31">
        <v>3396412</v>
      </c>
      <c r="AH31">
        <v>3378242</v>
      </c>
      <c r="AI31">
        <v>3359312</v>
      </c>
      <c r="AJ31">
        <v>3339770</v>
      </c>
      <c r="AK31">
        <v>3319772</v>
      </c>
      <c r="AL31">
        <v>3299483</v>
      </c>
      <c r="AM31">
        <v>3279079</v>
      </c>
      <c r="AN31">
        <v>3258745</v>
      </c>
      <c r="AO31">
        <v>3238676</v>
      </c>
      <c r="AP31">
        <v>3219079</v>
      </c>
      <c r="AQ31">
        <v>3200168</v>
      </c>
      <c r="AR31">
        <v>3182168</v>
      </c>
      <c r="AS31">
        <v>3165315</v>
      </c>
      <c r="AT31">
        <v>3149852</v>
      </c>
      <c r="AU31">
        <v>3136034</v>
      </c>
      <c r="AV31">
        <v>3124127</v>
      </c>
    </row>
    <row r="32" spans="1:48" x14ac:dyDescent="0.15">
      <c r="A32" t="s">
        <v>54</v>
      </c>
      <c r="B32" t="s">
        <v>450</v>
      </c>
      <c r="C32" t="s">
        <v>427</v>
      </c>
      <c r="D32" s="5">
        <v>5306711.4754837099</v>
      </c>
      <c r="E32" s="5">
        <v>5341748.5224150596</v>
      </c>
      <c r="F32" s="5">
        <v>5376604.0728234202</v>
      </c>
      <c r="G32" s="5">
        <v>4722471</v>
      </c>
      <c r="H32">
        <v>4774173</v>
      </c>
      <c r="I32">
        <v>4821656</v>
      </c>
      <c r="J32">
        <v>4864980</v>
      </c>
      <c r="K32">
        <v>4904216</v>
      </c>
      <c r="L32">
        <v>4939438</v>
      </c>
      <c r="M32">
        <v>4970726</v>
      </c>
      <c r="N32">
        <v>4998168</v>
      </c>
      <c r="O32">
        <v>5021857</v>
      </c>
      <c r="P32">
        <v>5041894</v>
      </c>
      <c r="Q32">
        <v>5058382</v>
      </c>
      <c r="R32">
        <v>5071436</v>
      </c>
      <c r="S32">
        <v>5081172</v>
      </c>
      <c r="T32">
        <v>5087715</v>
      </c>
      <c r="U32">
        <v>5091195</v>
      </c>
      <c r="V32">
        <v>5091750</v>
      </c>
      <c r="W32">
        <v>5089522</v>
      </c>
      <c r="X32">
        <v>5084661</v>
      </c>
      <c r="Y32">
        <v>5077321</v>
      </c>
      <c r="Z32">
        <v>5067664</v>
      </c>
      <c r="AA32">
        <v>5055859</v>
      </c>
      <c r="AB32">
        <v>5042078</v>
      </c>
      <c r="AC32">
        <v>5026502</v>
      </c>
      <c r="AD32">
        <v>5009317</v>
      </c>
      <c r="AE32">
        <v>4990717</v>
      </c>
      <c r="AF32">
        <v>4970898</v>
      </c>
      <c r="AG32">
        <v>4950068</v>
      </c>
      <c r="AH32">
        <v>4928435</v>
      </c>
      <c r="AI32">
        <v>4906219</v>
      </c>
      <c r="AJ32">
        <v>4883642</v>
      </c>
      <c r="AK32">
        <v>4860933</v>
      </c>
      <c r="AL32">
        <v>4838330</v>
      </c>
      <c r="AM32">
        <v>4816074</v>
      </c>
      <c r="AN32">
        <v>4794412</v>
      </c>
      <c r="AO32">
        <v>4773601</v>
      </c>
      <c r="AP32">
        <v>4753900</v>
      </c>
      <c r="AQ32">
        <v>4735576</v>
      </c>
      <c r="AR32">
        <v>4718903</v>
      </c>
      <c r="AS32">
        <v>4704159</v>
      </c>
      <c r="AT32">
        <v>4691630</v>
      </c>
      <c r="AU32">
        <v>4681608</v>
      </c>
      <c r="AV32">
        <v>4674391</v>
      </c>
    </row>
    <row r="33" spans="1:48" x14ac:dyDescent="0.15">
      <c r="A33" t="s">
        <v>55</v>
      </c>
      <c r="B33" t="s">
        <v>451</v>
      </c>
      <c r="C33" t="s">
        <v>427</v>
      </c>
      <c r="D33" s="5">
        <v>3154034.8770379</v>
      </c>
      <c r="E33" s="5">
        <v>3169581.35774701</v>
      </c>
      <c r="F33" s="5">
        <v>3184766.63973147</v>
      </c>
      <c r="G33" s="5">
        <v>2669690</v>
      </c>
      <c r="H33">
        <v>2689385</v>
      </c>
      <c r="I33">
        <v>2707930</v>
      </c>
      <c r="J33">
        <v>2725250</v>
      </c>
      <c r="K33">
        <v>2741280</v>
      </c>
      <c r="L33">
        <v>2755960</v>
      </c>
      <c r="M33">
        <v>2769242</v>
      </c>
      <c r="N33">
        <v>2781082</v>
      </c>
      <c r="O33">
        <v>2791447</v>
      </c>
      <c r="P33">
        <v>2800311</v>
      </c>
      <c r="Q33">
        <v>2807655</v>
      </c>
      <c r="R33">
        <v>2813470</v>
      </c>
      <c r="S33">
        <v>2817753</v>
      </c>
      <c r="T33">
        <v>2820512</v>
      </c>
      <c r="U33">
        <v>2821760</v>
      </c>
      <c r="V33">
        <v>2821519</v>
      </c>
      <c r="W33">
        <v>2819820</v>
      </c>
      <c r="X33">
        <v>2816702</v>
      </c>
      <c r="Y33">
        <v>2812210</v>
      </c>
      <c r="Z33">
        <v>2806400</v>
      </c>
      <c r="AA33">
        <v>2799333</v>
      </c>
      <c r="AB33">
        <v>2791081</v>
      </c>
      <c r="AC33">
        <v>2781723</v>
      </c>
      <c r="AD33">
        <v>2771344</v>
      </c>
      <c r="AE33">
        <v>2760041</v>
      </c>
      <c r="AF33">
        <v>2747915</v>
      </c>
      <c r="AG33">
        <v>2735078</v>
      </c>
      <c r="AH33">
        <v>2721649</v>
      </c>
      <c r="AI33">
        <v>2707755</v>
      </c>
      <c r="AJ33">
        <v>2693531</v>
      </c>
      <c r="AK33">
        <v>2679119</v>
      </c>
      <c r="AL33">
        <v>2664673</v>
      </c>
      <c r="AM33">
        <v>2650349</v>
      </c>
      <c r="AN33">
        <v>2636317</v>
      </c>
      <c r="AO33">
        <v>2622752</v>
      </c>
      <c r="AP33">
        <v>2609836</v>
      </c>
      <c r="AQ33">
        <v>2597761</v>
      </c>
      <c r="AR33">
        <v>2586728</v>
      </c>
      <c r="AS33">
        <v>2576943</v>
      </c>
      <c r="AT33">
        <v>2568623</v>
      </c>
      <c r="AU33">
        <v>2561991</v>
      </c>
      <c r="AV33">
        <v>2557279</v>
      </c>
    </row>
    <row r="34" spans="1:48" x14ac:dyDescent="0.15">
      <c r="A34" t="s">
        <v>56</v>
      </c>
      <c r="B34" t="s">
        <v>452</v>
      </c>
      <c r="C34" t="s">
        <v>427</v>
      </c>
      <c r="D34" s="5">
        <v>4495076.4585373104</v>
      </c>
      <c r="E34" s="5">
        <v>4527430.26329563</v>
      </c>
      <c r="F34" s="5">
        <v>4559237.8755143303</v>
      </c>
      <c r="G34" s="5">
        <v>3933325</v>
      </c>
      <c r="H34">
        <v>3976257</v>
      </c>
      <c r="I34">
        <v>4016222</v>
      </c>
      <c r="J34">
        <v>4053226</v>
      </c>
      <c r="K34">
        <v>4087284</v>
      </c>
      <c r="L34">
        <v>4118412</v>
      </c>
      <c r="M34">
        <v>4146636</v>
      </c>
      <c r="N34">
        <v>4171987</v>
      </c>
      <c r="O34">
        <v>4194503</v>
      </c>
      <c r="P34">
        <v>4214228</v>
      </c>
      <c r="Q34">
        <v>4231212</v>
      </c>
      <c r="R34">
        <v>4245512</v>
      </c>
      <c r="S34">
        <v>4257189</v>
      </c>
      <c r="T34">
        <v>4266315</v>
      </c>
      <c r="U34">
        <v>4272962</v>
      </c>
      <c r="V34">
        <v>4277214</v>
      </c>
      <c r="W34">
        <v>4279159</v>
      </c>
      <c r="X34">
        <v>4278890</v>
      </c>
      <c r="Y34">
        <v>4276509</v>
      </c>
      <c r="Z34">
        <v>4272121</v>
      </c>
      <c r="AA34">
        <v>4265841</v>
      </c>
      <c r="AB34">
        <v>4257787</v>
      </c>
      <c r="AC34">
        <v>4248086</v>
      </c>
      <c r="AD34">
        <v>4236870</v>
      </c>
      <c r="AE34">
        <v>4224276</v>
      </c>
      <c r="AF34">
        <v>4210451</v>
      </c>
      <c r="AG34">
        <v>4195543</v>
      </c>
      <c r="AH34">
        <v>4179712</v>
      </c>
      <c r="AI34">
        <v>4163119</v>
      </c>
      <c r="AJ34">
        <v>4145936</v>
      </c>
      <c r="AK34">
        <v>4128339</v>
      </c>
      <c r="AL34">
        <v>4110509</v>
      </c>
      <c r="AM34">
        <v>4092635</v>
      </c>
      <c r="AN34">
        <v>4074913</v>
      </c>
      <c r="AO34">
        <v>4057545</v>
      </c>
      <c r="AP34">
        <v>4040736</v>
      </c>
      <c r="AQ34">
        <v>4024702</v>
      </c>
      <c r="AR34">
        <v>4009663</v>
      </c>
      <c r="AS34">
        <v>3995845</v>
      </c>
      <c r="AT34">
        <v>3983481</v>
      </c>
      <c r="AU34">
        <v>3972811</v>
      </c>
      <c r="AV34">
        <v>3964078</v>
      </c>
    </row>
    <row r="35" spans="1:48" x14ac:dyDescent="0.15">
      <c r="A35" t="s">
        <v>57</v>
      </c>
      <c r="B35" t="s">
        <v>453</v>
      </c>
      <c r="C35" t="s">
        <v>427</v>
      </c>
      <c r="D35" s="5">
        <v>3883083.88062981</v>
      </c>
      <c r="E35" s="5">
        <v>3912916.2707032398</v>
      </c>
      <c r="F35" s="5">
        <v>3942717.0579183302</v>
      </c>
      <c r="G35" s="5">
        <v>3358840</v>
      </c>
      <c r="H35">
        <v>3398227</v>
      </c>
      <c r="I35">
        <v>3435901</v>
      </c>
      <c r="J35">
        <v>3471770</v>
      </c>
      <c r="K35">
        <v>3505753</v>
      </c>
      <c r="L35">
        <v>3537778</v>
      </c>
      <c r="M35">
        <v>3567783</v>
      </c>
      <c r="N35">
        <v>3595717</v>
      </c>
      <c r="O35">
        <v>3621538</v>
      </c>
      <c r="P35">
        <v>3645215</v>
      </c>
      <c r="Q35">
        <v>3666726</v>
      </c>
      <c r="R35">
        <v>3686060</v>
      </c>
      <c r="S35">
        <v>3703216</v>
      </c>
      <c r="T35">
        <v>3718202</v>
      </c>
      <c r="U35">
        <v>3731036</v>
      </c>
      <c r="V35">
        <v>3741748</v>
      </c>
      <c r="W35">
        <v>3750375</v>
      </c>
      <c r="X35">
        <v>3756968</v>
      </c>
      <c r="Y35">
        <v>3761583</v>
      </c>
      <c r="Z35">
        <v>3764291</v>
      </c>
      <c r="AA35">
        <v>3765170</v>
      </c>
      <c r="AB35">
        <v>3764308</v>
      </c>
      <c r="AC35">
        <v>3761804</v>
      </c>
      <c r="AD35">
        <v>3757768</v>
      </c>
      <c r="AE35">
        <v>3752317</v>
      </c>
      <c r="AF35">
        <v>3745582</v>
      </c>
      <c r="AG35">
        <v>3737700</v>
      </c>
      <c r="AH35">
        <v>3728821</v>
      </c>
      <c r="AI35">
        <v>3719104</v>
      </c>
      <c r="AJ35">
        <v>3708717</v>
      </c>
      <c r="AK35">
        <v>3697840</v>
      </c>
      <c r="AL35">
        <v>3686661</v>
      </c>
      <c r="AM35">
        <v>3675380</v>
      </c>
      <c r="AN35">
        <v>3664205</v>
      </c>
      <c r="AO35">
        <v>3653356</v>
      </c>
      <c r="AP35">
        <v>3643062</v>
      </c>
      <c r="AQ35">
        <v>3633561</v>
      </c>
      <c r="AR35">
        <v>3625104</v>
      </c>
      <c r="AS35">
        <v>3617948</v>
      </c>
      <c r="AT35">
        <v>3612364</v>
      </c>
      <c r="AU35">
        <v>3608630</v>
      </c>
      <c r="AV35">
        <v>3607036</v>
      </c>
    </row>
    <row r="36" spans="1:48" x14ac:dyDescent="0.15">
      <c r="A36" t="s">
        <v>59</v>
      </c>
      <c r="B36" t="s">
        <v>454</v>
      </c>
      <c r="C36" t="s">
        <v>427</v>
      </c>
      <c r="D36" s="5">
        <v>3010844.3634813102</v>
      </c>
      <c r="E36" s="5">
        <v>3032112.06586676</v>
      </c>
      <c r="F36" s="5">
        <v>3051996.2254380099</v>
      </c>
      <c r="G36" s="5">
        <v>3411869</v>
      </c>
      <c r="H36">
        <v>3445930</v>
      </c>
      <c r="I36">
        <v>3475682</v>
      </c>
      <c r="J36">
        <v>3501393</v>
      </c>
      <c r="K36">
        <v>3523317</v>
      </c>
      <c r="L36">
        <v>3541703</v>
      </c>
      <c r="M36">
        <v>3556788</v>
      </c>
      <c r="N36">
        <v>3568802</v>
      </c>
      <c r="O36">
        <v>3577965</v>
      </c>
      <c r="P36">
        <v>3584487</v>
      </c>
      <c r="Q36">
        <v>3588570</v>
      </c>
      <c r="R36">
        <v>3590407</v>
      </c>
      <c r="S36">
        <v>3590181</v>
      </c>
      <c r="T36">
        <v>3588068</v>
      </c>
      <c r="U36">
        <v>3584231</v>
      </c>
      <c r="V36">
        <v>3578828</v>
      </c>
      <c r="W36">
        <v>3572006</v>
      </c>
      <c r="X36">
        <v>3563901</v>
      </c>
      <c r="Y36">
        <v>3554645</v>
      </c>
      <c r="Z36">
        <v>3544355</v>
      </c>
      <c r="AA36">
        <v>3533143</v>
      </c>
      <c r="AB36">
        <v>3521110</v>
      </c>
      <c r="AC36">
        <v>3508349</v>
      </c>
      <c r="AD36">
        <v>3494942</v>
      </c>
      <c r="AE36">
        <v>3480965</v>
      </c>
      <c r="AF36">
        <v>3466483</v>
      </c>
      <c r="AG36">
        <v>3451550</v>
      </c>
      <c r="AH36">
        <v>3436214</v>
      </c>
      <c r="AI36">
        <v>3420513</v>
      </c>
      <c r="AJ36">
        <v>3404476</v>
      </c>
      <c r="AK36">
        <v>3388122</v>
      </c>
      <c r="AL36">
        <v>3371461</v>
      </c>
      <c r="AM36">
        <v>3354494</v>
      </c>
      <c r="AN36">
        <v>3337215</v>
      </c>
      <c r="AO36">
        <v>3319605</v>
      </c>
      <c r="AP36">
        <v>3301639</v>
      </c>
      <c r="AQ36">
        <v>3283282</v>
      </c>
      <c r="AR36">
        <v>3264490</v>
      </c>
      <c r="AS36">
        <v>3245208</v>
      </c>
      <c r="AT36">
        <v>3225375</v>
      </c>
      <c r="AU36">
        <v>3204919</v>
      </c>
      <c r="AV36">
        <v>3183760</v>
      </c>
    </row>
    <row r="37" spans="1:48" x14ac:dyDescent="0.15">
      <c r="A37" t="s">
        <v>60</v>
      </c>
      <c r="B37" t="s">
        <v>455</v>
      </c>
      <c r="C37" t="s">
        <v>427</v>
      </c>
      <c r="D37" s="5">
        <v>2760751.0719401999</v>
      </c>
      <c r="E37" s="5">
        <v>2775699.7039834699</v>
      </c>
      <c r="F37" s="5">
        <v>2789285.6496340702</v>
      </c>
      <c r="G37" s="5">
        <v>2689200</v>
      </c>
      <c r="H37">
        <v>2709238</v>
      </c>
      <c r="I37">
        <v>2726280</v>
      </c>
      <c r="J37">
        <v>2740487</v>
      </c>
      <c r="K37">
        <v>2752017</v>
      </c>
      <c r="L37">
        <v>2761021</v>
      </c>
      <c r="M37">
        <v>2767649</v>
      </c>
      <c r="N37">
        <v>2772042</v>
      </c>
      <c r="O37">
        <v>2774339</v>
      </c>
      <c r="P37">
        <v>2774675</v>
      </c>
      <c r="Q37">
        <v>2773177</v>
      </c>
      <c r="R37">
        <v>2769971</v>
      </c>
      <c r="S37">
        <v>2765177</v>
      </c>
      <c r="T37">
        <v>2758909</v>
      </c>
      <c r="U37">
        <v>2751278</v>
      </c>
      <c r="V37">
        <v>2742391</v>
      </c>
      <c r="W37">
        <v>2732348</v>
      </c>
      <c r="X37">
        <v>2721246</v>
      </c>
      <c r="Y37">
        <v>2709177</v>
      </c>
      <c r="Z37">
        <v>2696228</v>
      </c>
      <c r="AA37">
        <v>2682482</v>
      </c>
      <c r="AB37">
        <v>2668017</v>
      </c>
      <c r="AC37">
        <v>2652907</v>
      </c>
      <c r="AD37">
        <v>2637219</v>
      </c>
      <c r="AE37">
        <v>2621019</v>
      </c>
      <c r="AF37">
        <v>2604365</v>
      </c>
      <c r="AG37">
        <v>2587313</v>
      </c>
      <c r="AH37">
        <v>2569912</v>
      </c>
      <c r="AI37">
        <v>2552209</v>
      </c>
      <c r="AJ37">
        <v>2534243</v>
      </c>
      <c r="AK37">
        <v>2516051</v>
      </c>
      <c r="AL37">
        <v>2497665</v>
      </c>
      <c r="AM37">
        <v>2479112</v>
      </c>
      <c r="AN37">
        <v>2460413</v>
      </c>
      <c r="AO37">
        <v>2441587</v>
      </c>
      <c r="AP37">
        <v>2422646</v>
      </c>
      <c r="AQ37">
        <v>2403598</v>
      </c>
      <c r="AR37">
        <v>2384449</v>
      </c>
      <c r="AS37">
        <v>2365195</v>
      </c>
      <c r="AT37">
        <v>2345833</v>
      </c>
      <c r="AU37">
        <v>2326351</v>
      </c>
      <c r="AV37">
        <v>2306734</v>
      </c>
    </row>
    <row r="38" spans="1:48" x14ac:dyDescent="0.15">
      <c r="A38" t="s">
        <v>61</v>
      </c>
      <c r="B38" t="s">
        <v>456</v>
      </c>
      <c r="C38" t="s">
        <v>427</v>
      </c>
      <c r="D38" s="5">
        <v>559656.24923297903</v>
      </c>
      <c r="E38" s="5">
        <v>563313.36448212794</v>
      </c>
      <c r="F38" s="5">
        <v>566675.05744529702</v>
      </c>
      <c r="G38" s="5">
        <v>551867</v>
      </c>
      <c r="H38">
        <v>556601</v>
      </c>
      <c r="I38">
        <v>560731</v>
      </c>
      <c r="J38">
        <v>564287</v>
      </c>
      <c r="K38">
        <v>567298</v>
      </c>
      <c r="L38">
        <v>569794</v>
      </c>
      <c r="M38">
        <v>571802</v>
      </c>
      <c r="N38">
        <v>573350</v>
      </c>
      <c r="O38">
        <v>574463</v>
      </c>
      <c r="P38">
        <v>575166</v>
      </c>
      <c r="Q38">
        <v>575484</v>
      </c>
      <c r="R38">
        <v>575440</v>
      </c>
      <c r="S38">
        <v>575057</v>
      </c>
      <c r="T38">
        <v>574354</v>
      </c>
      <c r="U38">
        <v>573354</v>
      </c>
      <c r="V38">
        <v>572076</v>
      </c>
      <c r="W38">
        <v>570538</v>
      </c>
      <c r="X38">
        <v>568758</v>
      </c>
      <c r="Y38">
        <v>566753</v>
      </c>
      <c r="Z38">
        <v>564538</v>
      </c>
      <c r="AA38">
        <v>562130</v>
      </c>
      <c r="AB38">
        <v>559541</v>
      </c>
      <c r="AC38">
        <v>556785</v>
      </c>
      <c r="AD38">
        <v>553874</v>
      </c>
      <c r="AE38">
        <v>550820</v>
      </c>
      <c r="AF38">
        <v>547632</v>
      </c>
      <c r="AG38">
        <v>544320</v>
      </c>
      <c r="AH38">
        <v>540893</v>
      </c>
      <c r="AI38">
        <v>537359</v>
      </c>
      <c r="AJ38">
        <v>533723</v>
      </c>
      <c r="AK38">
        <v>529992</v>
      </c>
      <c r="AL38">
        <v>526170</v>
      </c>
      <c r="AM38">
        <v>522262</v>
      </c>
      <c r="AN38">
        <v>518270</v>
      </c>
      <c r="AO38">
        <v>514197</v>
      </c>
      <c r="AP38">
        <v>510043</v>
      </c>
      <c r="AQ38">
        <v>505809</v>
      </c>
      <c r="AR38">
        <v>501494</v>
      </c>
      <c r="AS38">
        <v>497096</v>
      </c>
      <c r="AT38">
        <v>492614</v>
      </c>
      <c r="AU38">
        <v>488043</v>
      </c>
      <c r="AV38">
        <v>483379</v>
      </c>
    </row>
    <row r="39" spans="1:48" x14ac:dyDescent="0.15">
      <c r="A39" t="s">
        <v>62</v>
      </c>
      <c r="B39" t="s">
        <v>457</v>
      </c>
      <c r="C39" t="s">
        <v>427</v>
      </c>
      <c r="D39" s="5">
        <v>4518221.3288498102</v>
      </c>
      <c r="E39" s="5">
        <v>4541587.64530023</v>
      </c>
      <c r="F39" s="5">
        <v>4562946.7524432698</v>
      </c>
      <c r="G39" s="5">
        <v>4010589</v>
      </c>
      <c r="H39">
        <v>4035776</v>
      </c>
      <c r="I39">
        <v>4058221</v>
      </c>
      <c r="J39">
        <v>4077956</v>
      </c>
      <c r="K39">
        <v>4095017</v>
      </c>
      <c r="L39">
        <v>4109441</v>
      </c>
      <c r="M39">
        <v>4121273</v>
      </c>
      <c r="N39">
        <v>4130558</v>
      </c>
      <c r="O39">
        <v>4137348</v>
      </c>
      <c r="P39">
        <v>4141695</v>
      </c>
      <c r="Q39">
        <v>4143658</v>
      </c>
      <c r="R39">
        <v>4143298</v>
      </c>
      <c r="S39">
        <v>4140681</v>
      </c>
      <c r="T39">
        <v>4135876</v>
      </c>
      <c r="U39">
        <v>4128956</v>
      </c>
      <c r="V39">
        <v>4119998</v>
      </c>
      <c r="W39">
        <v>4109082</v>
      </c>
      <c r="X39">
        <v>4096292</v>
      </c>
      <c r="Y39">
        <v>4081716</v>
      </c>
      <c r="Z39">
        <v>4065447</v>
      </c>
      <c r="AA39">
        <v>4047580</v>
      </c>
      <c r="AB39">
        <v>4028213</v>
      </c>
      <c r="AC39">
        <v>4007451</v>
      </c>
      <c r="AD39">
        <v>3985400</v>
      </c>
      <c r="AE39">
        <v>3962171</v>
      </c>
      <c r="AF39">
        <v>3937878</v>
      </c>
      <c r="AG39">
        <v>3912639</v>
      </c>
      <c r="AH39">
        <v>3886577</v>
      </c>
      <c r="AI39">
        <v>3859817</v>
      </c>
      <c r="AJ39">
        <v>3832489</v>
      </c>
      <c r="AK39">
        <v>3804726</v>
      </c>
      <c r="AL39">
        <v>3776665</v>
      </c>
      <c r="AM39">
        <v>3748446</v>
      </c>
      <c r="AN39">
        <v>3720216</v>
      </c>
      <c r="AO39">
        <v>3692121</v>
      </c>
      <c r="AP39">
        <v>3664314</v>
      </c>
      <c r="AQ39">
        <v>3636952</v>
      </c>
      <c r="AR39">
        <v>3610193</v>
      </c>
      <c r="AS39">
        <v>3584201</v>
      </c>
      <c r="AT39">
        <v>3559144</v>
      </c>
      <c r="AU39">
        <v>3535193</v>
      </c>
      <c r="AV39">
        <v>3512522</v>
      </c>
    </row>
    <row r="40" spans="1:48" x14ac:dyDescent="0.15">
      <c r="A40" t="s">
        <v>63</v>
      </c>
      <c r="B40" t="s">
        <v>458</v>
      </c>
      <c r="C40" t="s">
        <v>427</v>
      </c>
      <c r="D40" s="5">
        <v>3280475.7552</v>
      </c>
      <c r="E40" s="5">
        <v>3301417.9632392302</v>
      </c>
      <c r="F40" s="5">
        <v>3321147.0920251301</v>
      </c>
      <c r="G40" s="5">
        <v>2849106</v>
      </c>
      <c r="H40">
        <v>2873049</v>
      </c>
      <c r="I40">
        <v>2894700</v>
      </c>
      <c r="J40">
        <v>2914105</v>
      </c>
      <c r="K40">
        <v>2931314</v>
      </c>
      <c r="L40">
        <v>2946375</v>
      </c>
      <c r="M40">
        <v>2959340</v>
      </c>
      <c r="N40">
        <v>2970262</v>
      </c>
      <c r="O40">
        <v>2979195</v>
      </c>
      <c r="P40">
        <v>2986196</v>
      </c>
      <c r="Q40">
        <v>2991323</v>
      </c>
      <c r="R40">
        <v>2994634</v>
      </c>
      <c r="S40">
        <v>2996192</v>
      </c>
      <c r="T40">
        <v>2996060</v>
      </c>
      <c r="U40">
        <v>2994300</v>
      </c>
      <c r="V40">
        <v>2990981</v>
      </c>
      <c r="W40">
        <v>2986168</v>
      </c>
      <c r="X40">
        <v>2979932</v>
      </c>
      <c r="Y40">
        <v>2972344</v>
      </c>
      <c r="Z40">
        <v>2963476</v>
      </c>
      <c r="AA40">
        <v>2953402</v>
      </c>
      <c r="AB40">
        <v>2942198</v>
      </c>
      <c r="AC40">
        <v>2929942</v>
      </c>
      <c r="AD40">
        <v>2916713</v>
      </c>
      <c r="AE40">
        <v>2902591</v>
      </c>
      <c r="AF40">
        <v>2887660</v>
      </c>
      <c r="AG40">
        <v>2872002</v>
      </c>
      <c r="AH40">
        <v>2855705</v>
      </c>
      <c r="AI40">
        <v>2838854</v>
      </c>
      <c r="AJ40">
        <v>2821539</v>
      </c>
      <c r="AK40">
        <v>2803850</v>
      </c>
      <c r="AL40">
        <v>2785881</v>
      </c>
      <c r="AM40">
        <v>2767724</v>
      </c>
      <c r="AN40">
        <v>2749474</v>
      </c>
      <c r="AO40">
        <v>2731230</v>
      </c>
      <c r="AP40">
        <v>2713090</v>
      </c>
      <c r="AQ40">
        <v>2695154</v>
      </c>
      <c r="AR40">
        <v>2677525</v>
      </c>
      <c r="AS40">
        <v>2660305</v>
      </c>
      <c r="AT40">
        <v>2643600</v>
      </c>
      <c r="AU40">
        <v>2627518</v>
      </c>
      <c r="AV40">
        <v>2612166</v>
      </c>
    </row>
    <row r="41" spans="1:48" x14ac:dyDescent="0.15">
      <c r="A41" t="s">
        <v>64</v>
      </c>
      <c r="B41" t="s">
        <v>459</v>
      </c>
      <c r="C41" t="s">
        <v>427</v>
      </c>
      <c r="D41" s="5">
        <v>2062508.9722303599</v>
      </c>
      <c r="E41" s="5">
        <v>2078369.75135932</v>
      </c>
      <c r="F41" s="5">
        <v>2092896.91403665</v>
      </c>
      <c r="G41" s="5">
        <v>2133438</v>
      </c>
      <c r="H41">
        <v>2153553</v>
      </c>
      <c r="I41">
        <v>2171355</v>
      </c>
      <c r="J41">
        <v>2186982</v>
      </c>
      <c r="K41">
        <v>2200567</v>
      </c>
      <c r="L41">
        <v>2212235</v>
      </c>
      <c r="M41">
        <v>2222109</v>
      </c>
      <c r="N41">
        <v>2230304</v>
      </c>
      <c r="O41">
        <v>2236932</v>
      </c>
      <c r="P41">
        <v>2242098</v>
      </c>
      <c r="Q41">
        <v>2245901</v>
      </c>
      <c r="R41">
        <v>2248436</v>
      </c>
      <c r="S41">
        <v>2249793</v>
      </c>
      <c r="T41">
        <v>2250053</v>
      </c>
      <c r="U41">
        <v>2249297</v>
      </c>
      <c r="V41">
        <v>2247596</v>
      </c>
      <c r="W41">
        <v>2245018</v>
      </c>
      <c r="X41">
        <v>2241626</v>
      </c>
      <c r="Y41">
        <v>2237474</v>
      </c>
      <c r="Z41">
        <v>2232615</v>
      </c>
      <c r="AA41">
        <v>2227095</v>
      </c>
      <c r="AB41">
        <v>2220953</v>
      </c>
      <c r="AC41">
        <v>2214224</v>
      </c>
      <c r="AD41">
        <v>2206939</v>
      </c>
      <c r="AE41">
        <v>2199120</v>
      </c>
      <c r="AF41">
        <v>2190787</v>
      </c>
      <c r="AG41">
        <v>2181953</v>
      </c>
      <c r="AH41">
        <v>2172625</v>
      </c>
      <c r="AI41">
        <v>2162806</v>
      </c>
      <c r="AJ41">
        <v>2152494</v>
      </c>
      <c r="AK41">
        <v>2141678</v>
      </c>
      <c r="AL41">
        <v>2130347</v>
      </c>
      <c r="AM41">
        <v>2118480</v>
      </c>
      <c r="AN41">
        <v>2106052</v>
      </c>
      <c r="AO41">
        <v>2093034</v>
      </c>
      <c r="AP41">
        <v>2079390</v>
      </c>
      <c r="AQ41">
        <v>2065080</v>
      </c>
      <c r="AR41">
        <v>2050056</v>
      </c>
      <c r="AS41">
        <v>2034266</v>
      </c>
      <c r="AT41">
        <v>2017655</v>
      </c>
      <c r="AU41">
        <v>2000159</v>
      </c>
      <c r="AV41">
        <v>1981710</v>
      </c>
    </row>
    <row r="42" spans="1:48" x14ac:dyDescent="0.15">
      <c r="A42" t="s">
        <v>65</v>
      </c>
      <c r="B42" t="s">
        <v>460</v>
      </c>
      <c r="C42" t="s">
        <v>427</v>
      </c>
      <c r="D42" s="5">
        <v>2643398.3882237701</v>
      </c>
      <c r="E42" s="5">
        <v>2656496.22065655</v>
      </c>
      <c r="F42" s="5">
        <v>2668410.1515515102</v>
      </c>
      <c r="G42" s="5">
        <v>2227031</v>
      </c>
      <c r="H42">
        <v>2242752</v>
      </c>
      <c r="I42">
        <v>2255936</v>
      </c>
      <c r="J42">
        <v>2266700</v>
      </c>
      <c r="K42">
        <v>2275162</v>
      </c>
      <c r="L42">
        <v>2281434</v>
      </c>
      <c r="M42">
        <v>2285629</v>
      </c>
      <c r="N42">
        <v>2287854</v>
      </c>
      <c r="O42">
        <v>2288217</v>
      </c>
      <c r="P42">
        <v>2286821</v>
      </c>
      <c r="Q42">
        <v>2283768</v>
      </c>
      <c r="R42">
        <v>2279156</v>
      </c>
      <c r="S42">
        <v>2273083</v>
      </c>
      <c r="T42">
        <v>2265643</v>
      </c>
      <c r="U42">
        <v>2256926</v>
      </c>
      <c r="V42">
        <v>2247023</v>
      </c>
      <c r="W42">
        <v>2236021</v>
      </c>
      <c r="X42">
        <v>2224003</v>
      </c>
      <c r="Y42">
        <v>2211051</v>
      </c>
      <c r="Z42">
        <v>2197246</v>
      </c>
      <c r="AA42">
        <v>2182663</v>
      </c>
      <c r="AB42">
        <v>2167378</v>
      </c>
      <c r="AC42">
        <v>2151463</v>
      </c>
      <c r="AD42">
        <v>2134987</v>
      </c>
      <c r="AE42">
        <v>2118017</v>
      </c>
      <c r="AF42">
        <v>2100619</v>
      </c>
      <c r="AG42">
        <v>2082854</v>
      </c>
      <c r="AH42">
        <v>2064783</v>
      </c>
      <c r="AI42">
        <v>2046463</v>
      </c>
      <c r="AJ42">
        <v>2027949</v>
      </c>
      <c r="AK42">
        <v>2009293</v>
      </c>
      <c r="AL42">
        <v>1990545</v>
      </c>
      <c r="AM42">
        <v>1971754</v>
      </c>
      <c r="AN42">
        <v>1952963</v>
      </c>
      <c r="AO42">
        <v>1934217</v>
      </c>
      <c r="AP42">
        <v>1915556</v>
      </c>
      <c r="AQ42">
        <v>1897016</v>
      </c>
      <c r="AR42">
        <v>1878634</v>
      </c>
      <c r="AS42">
        <v>1860442</v>
      </c>
      <c r="AT42">
        <v>1842471</v>
      </c>
      <c r="AU42">
        <v>1824750</v>
      </c>
      <c r="AV42">
        <v>1807303</v>
      </c>
    </row>
    <row r="43" spans="1:48" x14ac:dyDescent="0.15">
      <c r="A43" t="s">
        <v>66</v>
      </c>
      <c r="B43" t="s">
        <v>461</v>
      </c>
      <c r="C43" t="s">
        <v>427</v>
      </c>
      <c r="D43" s="5">
        <v>1736374.7569170899</v>
      </c>
      <c r="E43" s="5">
        <v>1745605.2456713901</v>
      </c>
      <c r="F43" s="5">
        <v>1754026.1101824599</v>
      </c>
      <c r="G43" s="5">
        <v>1527505</v>
      </c>
      <c r="H43">
        <v>1538649</v>
      </c>
      <c r="I43">
        <v>1548094</v>
      </c>
      <c r="J43">
        <v>1555917</v>
      </c>
      <c r="K43">
        <v>1562197</v>
      </c>
      <c r="L43">
        <v>1567009</v>
      </c>
      <c r="M43">
        <v>1570426</v>
      </c>
      <c r="N43">
        <v>1572521</v>
      </c>
      <c r="O43">
        <v>1573365</v>
      </c>
      <c r="P43">
        <v>1573025</v>
      </c>
      <c r="Q43">
        <v>1571569</v>
      </c>
      <c r="R43">
        <v>1569062</v>
      </c>
      <c r="S43">
        <v>1565568</v>
      </c>
      <c r="T43">
        <v>1561148</v>
      </c>
      <c r="U43">
        <v>1555862</v>
      </c>
      <c r="V43">
        <v>1549770</v>
      </c>
      <c r="W43">
        <v>1542927</v>
      </c>
      <c r="X43">
        <v>1535389</v>
      </c>
      <c r="Y43">
        <v>1527209</v>
      </c>
      <c r="Z43">
        <v>1518438</v>
      </c>
      <c r="AA43">
        <v>1509127</v>
      </c>
      <c r="AB43">
        <v>1499323</v>
      </c>
      <c r="AC43">
        <v>1489073</v>
      </c>
      <c r="AD43">
        <v>1478422</v>
      </c>
      <c r="AE43">
        <v>1467413</v>
      </c>
      <c r="AF43">
        <v>1456087</v>
      </c>
      <c r="AG43">
        <v>1444483</v>
      </c>
      <c r="AH43">
        <v>1432640</v>
      </c>
      <c r="AI43">
        <v>1420593</v>
      </c>
      <c r="AJ43">
        <v>1408378</v>
      </c>
      <c r="AK43">
        <v>1396027</v>
      </c>
      <c r="AL43">
        <v>1383570</v>
      </c>
      <c r="AM43">
        <v>1371038</v>
      </c>
      <c r="AN43">
        <v>1358458</v>
      </c>
      <c r="AO43">
        <v>1345856</v>
      </c>
      <c r="AP43">
        <v>1333256</v>
      </c>
      <c r="AQ43">
        <v>1320680</v>
      </c>
      <c r="AR43">
        <v>1308150</v>
      </c>
      <c r="AS43">
        <v>1295684</v>
      </c>
      <c r="AT43">
        <v>1283300</v>
      </c>
      <c r="AU43">
        <v>1271013</v>
      </c>
      <c r="AV43">
        <v>1258838</v>
      </c>
    </row>
    <row r="44" spans="1:48" x14ac:dyDescent="0.15">
      <c r="A44" t="s">
        <v>67</v>
      </c>
      <c r="B44" t="s">
        <v>462</v>
      </c>
      <c r="C44" t="s">
        <v>427</v>
      </c>
      <c r="D44" s="5">
        <v>2193907.69142828</v>
      </c>
      <c r="E44" s="5">
        <v>2200457.7106361599</v>
      </c>
      <c r="F44" s="5">
        <v>2206161.35141664</v>
      </c>
      <c r="G44" s="5">
        <v>1699347</v>
      </c>
      <c r="H44">
        <v>1706214</v>
      </c>
      <c r="I44">
        <v>1711700</v>
      </c>
      <c r="J44">
        <v>1715846</v>
      </c>
      <c r="K44">
        <v>1718693</v>
      </c>
      <c r="L44">
        <v>1720285</v>
      </c>
      <c r="M44">
        <v>1720663</v>
      </c>
      <c r="N44">
        <v>1719872</v>
      </c>
      <c r="O44">
        <v>1717956</v>
      </c>
      <c r="P44">
        <v>1714961</v>
      </c>
      <c r="Q44">
        <v>1710934</v>
      </c>
      <c r="R44">
        <v>1705920</v>
      </c>
      <c r="S44">
        <v>1699968</v>
      </c>
      <c r="T44">
        <v>1693127</v>
      </c>
      <c r="U44">
        <v>1685445</v>
      </c>
      <c r="V44">
        <v>1676973</v>
      </c>
      <c r="W44">
        <v>1667761</v>
      </c>
      <c r="X44">
        <v>1657862</v>
      </c>
      <c r="Y44">
        <v>1647328</v>
      </c>
      <c r="Z44">
        <v>1636211</v>
      </c>
      <c r="AA44">
        <v>1624567</v>
      </c>
      <c r="AB44">
        <v>1612449</v>
      </c>
      <c r="AC44">
        <v>1599913</v>
      </c>
      <c r="AD44">
        <v>1587015</v>
      </c>
      <c r="AE44">
        <v>1573814</v>
      </c>
      <c r="AF44">
        <v>1560365</v>
      </c>
      <c r="AG44">
        <v>1546729</v>
      </c>
      <c r="AH44">
        <v>1532964</v>
      </c>
      <c r="AI44">
        <v>1519131</v>
      </c>
      <c r="AJ44">
        <v>1505291</v>
      </c>
      <c r="AK44">
        <v>1491505</v>
      </c>
      <c r="AL44">
        <v>1477836</v>
      </c>
      <c r="AM44">
        <v>1464348</v>
      </c>
      <c r="AN44">
        <v>1451103</v>
      </c>
      <c r="AO44">
        <v>1438168</v>
      </c>
      <c r="AP44">
        <v>1425608</v>
      </c>
      <c r="AQ44">
        <v>1413489</v>
      </c>
      <c r="AR44">
        <v>1401878</v>
      </c>
      <c r="AS44">
        <v>1390844</v>
      </c>
      <c r="AT44">
        <v>1380455</v>
      </c>
      <c r="AU44">
        <v>1370781</v>
      </c>
      <c r="AV44">
        <v>1361892</v>
      </c>
    </row>
    <row r="45" spans="1:48" x14ac:dyDescent="0.15">
      <c r="A45" t="s">
        <v>68</v>
      </c>
      <c r="B45" t="s">
        <v>463</v>
      </c>
      <c r="C45" t="s">
        <v>427</v>
      </c>
      <c r="D45" s="5">
        <v>1689965.1784689701</v>
      </c>
      <c r="E45" s="5">
        <v>1700785.5953257501</v>
      </c>
      <c r="F45" s="5">
        <v>1710830.46162123</v>
      </c>
      <c r="G45" s="5">
        <v>1405203</v>
      </c>
      <c r="H45">
        <v>1416872</v>
      </c>
      <c r="I45">
        <v>1427190</v>
      </c>
      <c r="J45">
        <v>1436208</v>
      </c>
      <c r="K45">
        <v>1443976</v>
      </c>
      <c r="L45">
        <v>1450543</v>
      </c>
      <c r="M45">
        <v>1455960</v>
      </c>
      <c r="N45">
        <v>1460273</v>
      </c>
      <c r="O45">
        <v>1463530</v>
      </c>
      <c r="P45">
        <v>1465778</v>
      </c>
      <c r="Q45">
        <v>1467062</v>
      </c>
      <c r="R45">
        <v>1467428</v>
      </c>
      <c r="S45">
        <v>1466921</v>
      </c>
      <c r="T45">
        <v>1465585</v>
      </c>
      <c r="U45">
        <v>1463461</v>
      </c>
      <c r="V45">
        <v>1460594</v>
      </c>
      <c r="W45">
        <v>1457023</v>
      </c>
      <c r="X45">
        <v>1452791</v>
      </c>
      <c r="Y45">
        <v>1447938</v>
      </c>
      <c r="Z45">
        <v>1442503</v>
      </c>
      <c r="AA45">
        <v>1436525</v>
      </c>
      <c r="AB45">
        <v>1430042</v>
      </c>
      <c r="AC45">
        <v>1423091</v>
      </c>
      <c r="AD45">
        <v>1415709</v>
      </c>
      <c r="AE45">
        <v>1407933</v>
      </c>
      <c r="AF45">
        <v>1399796</v>
      </c>
      <c r="AG45">
        <v>1391334</v>
      </c>
      <c r="AH45">
        <v>1382581</v>
      </c>
      <c r="AI45">
        <v>1373569</v>
      </c>
      <c r="AJ45">
        <v>1364331</v>
      </c>
      <c r="AK45">
        <v>1354898</v>
      </c>
      <c r="AL45">
        <v>1345302</v>
      </c>
      <c r="AM45">
        <v>1335573</v>
      </c>
      <c r="AN45">
        <v>1325740</v>
      </c>
      <c r="AO45">
        <v>1315831</v>
      </c>
      <c r="AP45">
        <v>1305876</v>
      </c>
      <c r="AQ45">
        <v>1295901</v>
      </c>
      <c r="AR45">
        <v>1285933</v>
      </c>
      <c r="AS45">
        <v>1275997</v>
      </c>
      <c r="AT45">
        <v>1266120</v>
      </c>
      <c r="AU45">
        <v>1256326</v>
      </c>
      <c r="AV45">
        <v>1246637</v>
      </c>
    </row>
    <row r="46" spans="1:48" x14ac:dyDescent="0.15">
      <c r="A46" t="s">
        <v>69</v>
      </c>
      <c r="B46" t="s">
        <v>464</v>
      </c>
      <c r="C46" t="s">
        <v>427</v>
      </c>
      <c r="D46" s="5">
        <v>1076544.0565340901</v>
      </c>
      <c r="E46" s="5">
        <v>1083082.96056059</v>
      </c>
      <c r="F46" s="5">
        <v>1089065.41582434</v>
      </c>
      <c r="G46" s="5">
        <v>1098467</v>
      </c>
      <c r="H46">
        <v>1107031</v>
      </c>
      <c r="I46">
        <v>1114465</v>
      </c>
      <c r="J46">
        <v>1120819</v>
      </c>
      <c r="K46">
        <v>1126144</v>
      </c>
      <c r="L46">
        <v>1130486</v>
      </c>
      <c r="M46">
        <v>1133894</v>
      </c>
      <c r="N46">
        <v>1136413</v>
      </c>
      <c r="O46">
        <v>1138088</v>
      </c>
      <c r="P46">
        <v>1138962</v>
      </c>
      <c r="Q46">
        <v>1139077</v>
      </c>
      <c r="R46">
        <v>1138475</v>
      </c>
      <c r="S46">
        <v>1137196</v>
      </c>
      <c r="T46">
        <v>1135279</v>
      </c>
      <c r="U46">
        <v>1132761</v>
      </c>
      <c r="V46">
        <v>1129679</v>
      </c>
      <c r="W46">
        <v>1126067</v>
      </c>
      <c r="X46">
        <v>1121961</v>
      </c>
      <c r="Y46">
        <v>1117393</v>
      </c>
      <c r="Z46">
        <v>1112395</v>
      </c>
      <c r="AA46">
        <v>1106998</v>
      </c>
      <c r="AB46">
        <v>1101231</v>
      </c>
      <c r="AC46">
        <v>1095123</v>
      </c>
      <c r="AD46">
        <v>1088700</v>
      </c>
      <c r="AE46">
        <v>1081989</v>
      </c>
      <c r="AF46">
        <v>1075015</v>
      </c>
      <c r="AG46">
        <v>1067800</v>
      </c>
      <c r="AH46">
        <v>1060368</v>
      </c>
      <c r="AI46">
        <v>1052740</v>
      </c>
      <c r="AJ46">
        <v>1044936</v>
      </c>
      <c r="AK46">
        <v>1036975</v>
      </c>
      <c r="AL46">
        <v>1028875</v>
      </c>
      <c r="AM46">
        <v>1020652</v>
      </c>
      <c r="AN46">
        <v>1012322</v>
      </c>
      <c r="AO46">
        <v>1003899</v>
      </c>
      <c r="AP46">
        <v>995397</v>
      </c>
      <c r="AQ46">
        <v>986827</v>
      </c>
      <c r="AR46">
        <v>978200</v>
      </c>
      <c r="AS46">
        <v>969525</v>
      </c>
      <c r="AT46">
        <v>960812</v>
      </c>
      <c r="AU46">
        <v>952068</v>
      </c>
      <c r="AV46">
        <v>943298</v>
      </c>
    </row>
    <row r="47" spans="1:48" x14ac:dyDescent="0.15">
      <c r="A47" t="s">
        <v>70</v>
      </c>
      <c r="B47" t="s">
        <v>465</v>
      </c>
      <c r="C47" t="s">
        <v>427</v>
      </c>
      <c r="D47" s="5">
        <v>243635.47045456301</v>
      </c>
      <c r="E47" s="5">
        <v>245241.39223790099</v>
      </c>
      <c r="F47" s="5">
        <v>246702.85602973099</v>
      </c>
      <c r="G47" s="5">
        <v>260157</v>
      </c>
      <c r="H47">
        <v>262351</v>
      </c>
      <c r="I47">
        <v>264256</v>
      </c>
      <c r="J47">
        <v>265888</v>
      </c>
      <c r="K47">
        <v>267260</v>
      </c>
      <c r="L47">
        <v>268388</v>
      </c>
      <c r="M47">
        <v>269285</v>
      </c>
      <c r="N47">
        <v>269964</v>
      </c>
      <c r="O47">
        <v>270438</v>
      </c>
      <c r="P47">
        <v>270720</v>
      </c>
      <c r="Q47">
        <v>270820</v>
      </c>
      <c r="R47">
        <v>270751</v>
      </c>
      <c r="S47">
        <v>270522</v>
      </c>
      <c r="T47">
        <v>270144</v>
      </c>
      <c r="U47">
        <v>269627</v>
      </c>
      <c r="V47">
        <v>268980</v>
      </c>
      <c r="W47">
        <v>268211</v>
      </c>
      <c r="X47">
        <v>267328</v>
      </c>
      <c r="Y47">
        <v>266339</v>
      </c>
      <c r="Z47">
        <v>265252</v>
      </c>
      <c r="AA47">
        <v>264072</v>
      </c>
      <c r="AB47">
        <v>262805</v>
      </c>
      <c r="AC47">
        <v>261458</v>
      </c>
      <c r="AD47">
        <v>260036</v>
      </c>
      <c r="AE47">
        <v>258541</v>
      </c>
      <c r="AF47">
        <v>256980</v>
      </c>
      <c r="AG47">
        <v>255355</v>
      </c>
      <c r="AH47">
        <v>253669</v>
      </c>
      <c r="AI47">
        <v>251924</v>
      </c>
      <c r="AJ47">
        <v>250123</v>
      </c>
      <c r="AK47">
        <v>248267</v>
      </c>
      <c r="AL47">
        <v>246357</v>
      </c>
      <c r="AM47">
        <v>244393</v>
      </c>
      <c r="AN47">
        <v>242375</v>
      </c>
      <c r="AO47">
        <v>240303</v>
      </c>
      <c r="AP47">
        <v>238175</v>
      </c>
      <c r="AQ47">
        <v>235989</v>
      </c>
      <c r="AR47">
        <v>233744</v>
      </c>
      <c r="AS47">
        <v>231437</v>
      </c>
      <c r="AT47">
        <v>229065</v>
      </c>
      <c r="AU47">
        <v>226623</v>
      </c>
      <c r="AV47">
        <v>224108</v>
      </c>
    </row>
    <row r="48" spans="1:48" x14ac:dyDescent="0.15">
      <c r="A48" t="s">
        <v>72</v>
      </c>
      <c r="B48" t="s">
        <v>466</v>
      </c>
      <c r="C48" t="s">
        <v>427</v>
      </c>
      <c r="D48" s="5">
        <v>8412162.5675059799</v>
      </c>
      <c r="E48" s="5">
        <v>8449934.9012438897</v>
      </c>
      <c r="F48" s="5">
        <v>8482422.1874400899</v>
      </c>
      <c r="G48" s="5">
        <v>8966542</v>
      </c>
      <c r="H48">
        <v>9026893</v>
      </c>
      <c r="I48">
        <v>9072566</v>
      </c>
      <c r="J48">
        <v>9104673</v>
      </c>
      <c r="K48">
        <v>9124287</v>
      </c>
      <c r="L48">
        <v>9132438</v>
      </c>
      <c r="M48">
        <v>9130114</v>
      </c>
      <c r="N48">
        <v>9118260</v>
      </c>
      <c r="O48">
        <v>9097782</v>
      </c>
      <c r="P48">
        <v>9069541</v>
      </c>
      <c r="Q48">
        <v>9034359</v>
      </c>
      <c r="R48">
        <v>8993013</v>
      </c>
      <c r="S48">
        <v>8946240</v>
      </c>
      <c r="T48">
        <v>8894735</v>
      </c>
      <c r="U48">
        <v>8839152</v>
      </c>
      <c r="V48">
        <v>8780100</v>
      </c>
      <c r="W48">
        <v>8718149</v>
      </c>
      <c r="X48">
        <v>8653827</v>
      </c>
      <c r="Y48">
        <v>8587617</v>
      </c>
      <c r="Z48">
        <v>8519965</v>
      </c>
      <c r="AA48">
        <v>8451271</v>
      </c>
      <c r="AB48">
        <v>8381895</v>
      </c>
      <c r="AC48">
        <v>8312154</v>
      </c>
      <c r="AD48">
        <v>8242325</v>
      </c>
      <c r="AE48">
        <v>8172641</v>
      </c>
      <c r="AF48">
        <v>8103294</v>
      </c>
      <c r="AG48">
        <v>8034434</v>
      </c>
      <c r="AH48">
        <v>7966169</v>
      </c>
      <c r="AI48">
        <v>7898567</v>
      </c>
      <c r="AJ48">
        <v>7831650</v>
      </c>
      <c r="AK48">
        <v>7765402</v>
      </c>
      <c r="AL48">
        <v>7699763</v>
      </c>
      <c r="AM48">
        <v>7634632</v>
      </c>
      <c r="AN48">
        <v>7569865</v>
      </c>
      <c r="AO48">
        <v>7505278</v>
      </c>
      <c r="AP48">
        <v>7440644</v>
      </c>
      <c r="AQ48">
        <v>7375692</v>
      </c>
      <c r="AR48">
        <v>7310114</v>
      </c>
      <c r="AS48">
        <v>7243555</v>
      </c>
      <c r="AT48">
        <v>7175622</v>
      </c>
      <c r="AU48">
        <v>7105877</v>
      </c>
      <c r="AV48">
        <v>7033843</v>
      </c>
    </row>
    <row r="49" spans="1:48" x14ac:dyDescent="0.15">
      <c r="A49" t="s">
        <v>73</v>
      </c>
      <c r="B49" t="s">
        <v>467</v>
      </c>
      <c r="C49" t="s">
        <v>427</v>
      </c>
      <c r="D49" s="5">
        <v>6952716.2188611003</v>
      </c>
      <c r="E49" s="5">
        <v>6986874.5986029897</v>
      </c>
      <c r="F49" s="5">
        <v>7016742.1929365797</v>
      </c>
      <c r="G49" s="5">
        <v>7393906</v>
      </c>
      <c r="H49">
        <v>7450013</v>
      </c>
      <c r="I49">
        <v>7493174</v>
      </c>
      <c r="J49">
        <v>7524421</v>
      </c>
      <c r="K49">
        <v>7544742</v>
      </c>
      <c r="L49">
        <v>7555087</v>
      </c>
      <c r="M49">
        <v>7556363</v>
      </c>
      <c r="N49">
        <v>7549440</v>
      </c>
      <c r="O49">
        <v>7535142</v>
      </c>
      <c r="P49">
        <v>7514257</v>
      </c>
      <c r="Q49">
        <v>7487531</v>
      </c>
      <c r="R49">
        <v>7455669</v>
      </c>
      <c r="S49">
        <v>7419335</v>
      </c>
      <c r="T49">
        <v>7379153</v>
      </c>
      <c r="U49">
        <v>7335707</v>
      </c>
      <c r="V49">
        <v>7289538</v>
      </c>
      <c r="W49">
        <v>7241150</v>
      </c>
      <c r="X49">
        <v>7191004</v>
      </c>
      <c r="Y49">
        <v>7139521</v>
      </c>
      <c r="Z49">
        <v>7087080</v>
      </c>
      <c r="AA49">
        <v>7034022</v>
      </c>
      <c r="AB49">
        <v>6980646</v>
      </c>
      <c r="AC49">
        <v>6927209</v>
      </c>
      <c r="AD49">
        <v>6873930</v>
      </c>
      <c r="AE49">
        <v>6820986</v>
      </c>
      <c r="AF49">
        <v>6768513</v>
      </c>
      <c r="AG49">
        <v>6716608</v>
      </c>
      <c r="AH49">
        <v>6665325</v>
      </c>
      <c r="AI49">
        <v>6614680</v>
      </c>
      <c r="AJ49">
        <v>6564646</v>
      </c>
      <c r="AK49">
        <v>6515157</v>
      </c>
      <c r="AL49">
        <v>6466106</v>
      </c>
      <c r="AM49">
        <v>6417346</v>
      </c>
      <c r="AN49">
        <v>6368687</v>
      </c>
      <c r="AO49">
        <v>6319900</v>
      </c>
      <c r="AP49">
        <v>6270717</v>
      </c>
      <c r="AQ49">
        <v>6220827</v>
      </c>
      <c r="AR49">
        <v>6169879</v>
      </c>
      <c r="AS49">
        <v>6117482</v>
      </c>
      <c r="AT49">
        <v>6063203</v>
      </c>
      <c r="AU49">
        <v>6006570</v>
      </c>
      <c r="AV49">
        <v>5947071</v>
      </c>
    </row>
    <row r="50" spans="1:48" x14ac:dyDescent="0.15">
      <c r="A50" t="s">
        <v>74</v>
      </c>
      <c r="B50" t="s">
        <v>468</v>
      </c>
      <c r="C50" t="s">
        <v>427</v>
      </c>
      <c r="D50" s="5">
        <v>3751376.0916709099</v>
      </c>
      <c r="E50" s="5">
        <v>3763440.14392302</v>
      </c>
      <c r="F50" s="5">
        <v>3773489.9009828898</v>
      </c>
      <c r="G50" s="5">
        <v>3310253</v>
      </c>
      <c r="H50">
        <v>3325054</v>
      </c>
      <c r="I50">
        <v>3336089</v>
      </c>
      <c r="J50">
        <v>3343570</v>
      </c>
      <c r="K50">
        <v>3347705</v>
      </c>
      <c r="L50">
        <v>3348694</v>
      </c>
      <c r="M50">
        <v>3346735</v>
      </c>
      <c r="N50">
        <v>3342019</v>
      </c>
      <c r="O50">
        <v>3334732</v>
      </c>
      <c r="P50">
        <v>3325055</v>
      </c>
      <c r="Q50">
        <v>3313163</v>
      </c>
      <c r="R50">
        <v>3299228</v>
      </c>
      <c r="S50">
        <v>3283413</v>
      </c>
      <c r="T50">
        <v>3265879</v>
      </c>
      <c r="U50">
        <v>3246780</v>
      </c>
      <c r="V50">
        <v>3226266</v>
      </c>
      <c r="W50">
        <v>3204480</v>
      </c>
      <c r="X50">
        <v>3181562</v>
      </c>
      <c r="Y50">
        <v>3157645</v>
      </c>
      <c r="Z50">
        <v>3132857</v>
      </c>
      <c r="AA50">
        <v>3107322</v>
      </c>
      <c r="AB50">
        <v>3081157</v>
      </c>
      <c r="AC50">
        <v>3054474</v>
      </c>
      <c r="AD50">
        <v>3027382</v>
      </c>
      <c r="AE50">
        <v>2999981</v>
      </c>
      <c r="AF50">
        <v>2972369</v>
      </c>
      <c r="AG50">
        <v>2944638</v>
      </c>
      <c r="AH50">
        <v>2916873</v>
      </c>
      <c r="AI50">
        <v>2889155</v>
      </c>
      <c r="AJ50">
        <v>2861561</v>
      </c>
      <c r="AK50">
        <v>2834160</v>
      </c>
      <c r="AL50">
        <v>2807019</v>
      </c>
      <c r="AM50">
        <v>2780197</v>
      </c>
      <c r="AN50">
        <v>2753748</v>
      </c>
      <c r="AO50">
        <v>2727722</v>
      </c>
      <c r="AP50">
        <v>2702164</v>
      </c>
      <c r="AQ50">
        <v>2677113</v>
      </c>
      <c r="AR50">
        <v>2652602</v>
      </c>
      <c r="AS50">
        <v>2628659</v>
      </c>
      <c r="AT50">
        <v>2605308</v>
      </c>
      <c r="AU50">
        <v>2582566</v>
      </c>
      <c r="AV50">
        <v>2560448</v>
      </c>
    </row>
    <row r="51" spans="1:48" x14ac:dyDescent="0.15">
      <c r="A51" t="s">
        <v>75</v>
      </c>
      <c r="B51" t="s">
        <v>469</v>
      </c>
      <c r="C51" t="s">
        <v>427</v>
      </c>
      <c r="D51" s="5">
        <v>2190766.8873111298</v>
      </c>
      <c r="E51" s="5">
        <v>2196076.1504970598</v>
      </c>
      <c r="F51" s="5">
        <v>2200096.8594659702</v>
      </c>
      <c r="G51" s="5">
        <v>1725298</v>
      </c>
      <c r="H51">
        <v>1731688</v>
      </c>
      <c r="I51">
        <v>1735669</v>
      </c>
      <c r="J51">
        <v>1737399</v>
      </c>
      <c r="K51">
        <v>1737028</v>
      </c>
      <c r="L51">
        <v>1734704</v>
      </c>
      <c r="M51">
        <v>1730570</v>
      </c>
      <c r="N51">
        <v>1724765</v>
      </c>
      <c r="O51">
        <v>1717420</v>
      </c>
      <c r="P51">
        <v>1708665</v>
      </c>
      <c r="Q51">
        <v>1698625</v>
      </c>
      <c r="R51">
        <v>1687419</v>
      </c>
      <c r="S51">
        <v>1675162</v>
      </c>
      <c r="T51">
        <v>1661964</v>
      </c>
      <c r="U51">
        <v>1647931</v>
      </c>
      <c r="V51">
        <v>1633165</v>
      </c>
      <c r="W51">
        <v>1617762</v>
      </c>
      <c r="X51">
        <v>1601813</v>
      </c>
      <c r="Y51">
        <v>1585407</v>
      </c>
      <c r="Z51">
        <v>1568626</v>
      </c>
      <c r="AA51">
        <v>1551548</v>
      </c>
      <c r="AB51">
        <v>1534247</v>
      </c>
      <c r="AC51">
        <v>1516792</v>
      </c>
      <c r="AD51">
        <v>1499247</v>
      </c>
      <c r="AE51">
        <v>1481671</v>
      </c>
      <c r="AF51">
        <v>1464120</v>
      </c>
      <c r="AG51">
        <v>1446645</v>
      </c>
      <c r="AH51">
        <v>1429291</v>
      </c>
      <c r="AI51">
        <v>1412099</v>
      </c>
      <c r="AJ51">
        <v>1395106</v>
      </c>
      <c r="AK51">
        <v>1378345</v>
      </c>
      <c r="AL51">
        <v>1361843</v>
      </c>
      <c r="AM51">
        <v>1345622</v>
      </c>
      <c r="AN51">
        <v>1329701</v>
      </c>
      <c r="AO51">
        <v>1314093</v>
      </c>
      <c r="AP51">
        <v>1298808</v>
      </c>
      <c r="AQ51">
        <v>1283850</v>
      </c>
      <c r="AR51">
        <v>1269219</v>
      </c>
      <c r="AS51">
        <v>1254910</v>
      </c>
      <c r="AT51">
        <v>1240913</v>
      </c>
      <c r="AU51">
        <v>1227215</v>
      </c>
      <c r="AV51">
        <v>1213797</v>
      </c>
    </row>
    <row r="52" spans="1:48" x14ac:dyDescent="0.15">
      <c r="A52" t="s">
        <v>76</v>
      </c>
      <c r="B52" t="s">
        <v>470</v>
      </c>
      <c r="C52" t="s">
        <v>427</v>
      </c>
      <c r="D52" s="5">
        <v>1760975.47794166</v>
      </c>
      <c r="E52" s="5">
        <v>1767452.34888462</v>
      </c>
      <c r="F52" s="5">
        <v>1772982.6107018599</v>
      </c>
      <c r="G52" s="5">
        <v>1318051</v>
      </c>
      <c r="H52">
        <v>1325891</v>
      </c>
      <c r="I52">
        <v>1331719</v>
      </c>
      <c r="J52">
        <v>1335669</v>
      </c>
      <c r="K52">
        <v>1337869</v>
      </c>
      <c r="L52">
        <v>1338445</v>
      </c>
      <c r="M52">
        <v>1337516</v>
      </c>
      <c r="N52">
        <v>1335199</v>
      </c>
      <c r="O52">
        <v>1331607</v>
      </c>
      <c r="P52">
        <v>1326846</v>
      </c>
      <c r="Q52">
        <v>1321022</v>
      </c>
      <c r="R52">
        <v>1314233</v>
      </c>
      <c r="S52">
        <v>1306575</v>
      </c>
      <c r="T52">
        <v>1298139</v>
      </c>
      <c r="U52">
        <v>1289013</v>
      </c>
      <c r="V52">
        <v>1279278</v>
      </c>
      <c r="W52">
        <v>1269013</v>
      </c>
      <c r="X52">
        <v>1258293</v>
      </c>
      <c r="Y52">
        <v>1247188</v>
      </c>
      <c r="Z52">
        <v>1235765</v>
      </c>
      <c r="AA52">
        <v>1224084</v>
      </c>
      <c r="AB52">
        <v>1212203</v>
      </c>
      <c r="AC52">
        <v>1200176</v>
      </c>
      <c r="AD52">
        <v>1188053</v>
      </c>
      <c r="AE52">
        <v>1175877</v>
      </c>
      <c r="AF52">
        <v>1163690</v>
      </c>
      <c r="AG52">
        <v>1151529</v>
      </c>
      <c r="AH52">
        <v>1139426</v>
      </c>
      <c r="AI52">
        <v>1127409</v>
      </c>
      <c r="AJ52">
        <v>1115502</v>
      </c>
      <c r="AK52">
        <v>1103725</v>
      </c>
      <c r="AL52">
        <v>1092094</v>
      </c>
      <c r="AM52">
        <v>1080620</v>
      </c>
      <c r="AN52">
        <v>1069311</v>
      </c>
      <c r="AO52">
        <v>1058169</v>
      </c>
      <c r="AP52">
        <v>1047193</v>
      </c>
      <c r="AQ52">
        <v>1036379</v>
      </c>
      <c r="AR52">
        <v>1025716</v>
      </c>
      <c r="AS52">
        <v>1015191</v>
      </c>
      <c r="AT52">
        <v>1004785</v>
      </c>
      <c r="AU52">
        <v>994478</v>
      </c>
      <c r="AV52">
        <v>984242</v>
      </c>
    </row>
    <row r="53" spans="1:48" x14ac:dyDescent="0.15">
      <c r="A53" t="s">
        <v>77</v>
      </c>
      <c r="B53" t="s">
        <v>471</v>
      </c>
      <c r="C53" t="s">
        <v>427</v>
      </c>
      <c r="D53" s="5">
        <v>2500222.1445452701</v>
      </c>
      <c r="E53" s="5">
        <v>2507015.94613971</v>
      </c>
      <c r="F53" s="5">
        <v>2512657.5047355201</v>
      </c>
      <c r="G53" s="5">
        <v>2179105</v>
      </c>
      <c r="H53">
        <v>2188204</v>
      </c>
      <c r="I53">
        <v>2194766</v>
      </c>
      <c r="J53">
        <v>2198921</v>
      </c>
      <c r="K53">
        <v>2200799</v>
      </c>
      <c r="L53">
        <v>2200529</v>
      </c>
      <c r="M53">
        <v>2198233</v>
      </c>
      <c r="N53">
        <v>2194033</v>
      </c>
      <c r="O53">
        <v>2188050</v>
      </c>
      <c r="P53">
        <v>2180400</v>
      </c>
      <c r="Q53">
        <v>2171198</v>
      </c>
      <c r="R53">
        <v>2160554</v>
      </c>
      <c r="S53">
        <v>2148578</v>
      </c>
      <c r="T53">
        <v>2135377</v>
      </c>
      <c r="U53">
        <v>2121055</v>
      </c>
      <c r="V53">
        <v>2105714</v>
      </c>
      <c r="W53">
        <v>2089451</v>
      </c>
      <c r="X53">
        <v>2072364</v>
      </c>
      <c r="Y53">
        <v>2054547</v>
      </c>
      <c r="Z53">
        <v>2036091</v>
      </c>
      <c r="AA53">
        <v>2017084</v>
      </c>
      <c r="AB53">
        <v>1997613</v>
      </c>
      <c r="AC53">
        <v>1977762</v>
      </c>
      <c r="AD53">
        <v>1957611</v>
      </c>
      <c r="AE53">
        <v>1937239</v>
      </c>
      <c r="AF53">
        <v>1916723</v>
      </c>
      <c r="AG53">
        <v>1896135</v>
      </c>
      <c r="AH53">
        <v>1875546</v>
      </c>
      <c r="AI53">
        <v>1855026</v>
      </c>
      <c r="AJ53">
        <v>1834639</v>
      </c>
      <c r="AK53">
        <v>1814449</v>
      </c>
      <c r="AL53">
        <v>1794517</v>
      </c>
      <c r="AM53">
        <v>1774900</v>
      </c>
      <c r="AN53">
        <v>1755655</v>
      </c>
      <c r="AO53">
        <v>1736835</v>
      </c>
      <c r="AP53">
        <v>1718489</v>
      </c>
      <c r="AQ53">
        <v>1700666</v>
      </c>
      <c r="AR53">
        <v>1683412</v>
      </c>
      <c r="AS53">
        <v>1666769</v>
      </c>
      <c r="AT53">
        <v>1650777</v>
      </c>
      <c r="AU53">
        <v>1635474</v>
      </c>
      <c r="AV53">
        <v>1620896</v>
      </c>
    </row>
    <row r="54" spans="1:48" x14ac:dyDescent="0.15">
      <c r="A54" t="s">
        <v>78</v>
      </c>
      <c r="B54" t="s">
        <v>472</v>
      </c>
      <c r="C54" t="s">
        <v>427</v>
      </c>
      <c r="D54" s="5">
        <v>3211793.0630625999</v>
      </c>
      <c r="E54" s="5">
        <v>3222373.95172199</v>
      </c>
      <c r="F54" s="5">
        <v>3231359.8559301002</v>
      </c>
      <c r="G54" s="5">
        <v>2690454</v>
      </c>
      <c r="H54">
        <v>2703572</v>
      </c>
      <c r="I54">
        <v>2713397</v>
      </c>
      <c r="J54">
        <v>2720123</v>
      </c>
      <c r="K54">
        <v>2723939</v>
      </c>
      <c r="L54">
        <v>2725029</v>
      </c>
      <c r="M54">
        <v>2723573</v>
      </c>
      <c r="N54">
        <v>2719744</v>
      </c>
      <c r="O54">
        <v>2713712</v>
      </c>
      <c r="P54">
        <v>2705641</v>
      </c>
      <c r="Q54">
        <v>2695690</v>
      </c>
      <c r="R54">
        <v>2684012</v>
      </c>
      <c r="S54">
        <v>2670756</v>
      </c>
      <c r="T54">
        <v>2656065</v>
      </c>
      <c r="U54">
        <v>2640079</v>
      </c>
      <c r="V54">
        <v>2622930</v>
      </c>
      <c r="W54">
        <v>2604747</v>
      </c>
      <c r="X54">
        <v>2585653</v>
      </c>
      <c r="Y54">
        <v>2565767</v>
      </c>
      <c r="Z54">
        <v>2545201</v>
      </c>
      <c r="AA54">
        <v>2524064</v>
      </c>
      <c r="AB54">
        <v>2502458</v>
      </c>
      <c r="AC54">
        <v>2480482</v>
      </c>
      <c r="AD54">
        <v>2458228</v>
      </c>
      <c r="AE54">
        <v>2435784</v>
      </c>
      <c r="AF54">
        <v>2413232</v>
      </c>
      <c r="AG54">
        <v>2390651</v>
      </c>
      <c r="AH54">
        <v>2368112</v>
      </c>
      <c r="AI54">
        <v>2345683</v>
      </c>
      <c r="AJ54">
        <v>2323426</v>
      </c>
      <c r="AK54">
        <v>2301399</v>
      </c>
      <c r="AL54">
        <v>2279653</v>
      </c>
      <c r="AM54">
        <v>2258237</v>
      </c>
      <c r="AN54">
        <v>2237190</v>
      </c>
      <c r="AO54">
        <v>2216552</v>
      </c>
      <c r="AP54">
        <v>2196353</v>
      </c>
      <c r="AQ54">
        <v>2176620</v>
      </c>
      <c r="AR54">
        <v>2157374</v>
      </c>
      <c r="AS54">
        <v>2138634</v>
      </c>
      <c r="AT54">
        <v>2120408</v>
      </c>
      <c r="AU54">
        <v>2102706</v>
      </c>
      <c r="AV54">
        <v>2085527</v>
      </c>
    </row>
    <row r="55" spans="1:48" x14ac:dyDescent="0.15">
      <c r="A55" t="s">
        <v>79</v>
      </c>
      <c r="B55" t="s">
        <v>473</v>
      </c>
      <c r="C55" t="s">
        <v>427</v>
      </c>
      <c r="D55" s="5">
        <v>2520721.9861831702</v>
      </c>
      <c r="E55" s="5">
        <v>2532082.8697446198</v>
      </c>
      <c r="F55" s="5">
        <v>2541935.19992773</v>
      </c>
      <c r="G55" s="5">
        <v>2313836</v>
      </c>
      <c r="H55">
        <v>2328378</v>
      </c>
      <c r="I55">
        <v>2339740</v>
      </c>
      <c r="J55">
        <v>2348140</v>
      </c>
      <c r="K55">
        <v>2353787</v>
      </c>
      <c r="L55">
        <v>2356884</v>
      </c>
      <c r="M55">
        <v>2357624</v>
      </c>
      <c r="N55">
        <v>2356197</v>
      </c>
      <c r="O55">
        <v>2352780</v>
      </c>
      <c r="P55">
        <v>2347547</v>
      </c>
      <c r="Q55">
        <v>2340661</v>
      </c>
      <c r="R55">
        <v>2332280</v>
      </c>
      <c r="S55">
        <v>2322553</v>
      </c>
      <c r="T55">
        <v>2311624</v>
      </c>
      <c r="U55">
        <v>2299625</v>
      </c>
      <c r="V55">
        <v>2286684</v>
      </c>
      <c r="W55">
        <v>2272921</v>
      </c>
      <c r="X55">
        <v>2258448</v>
      </c>
      <c r="Y55">
        <v>2243369</v>
      </c>
      <c r="Z55">
        <v>2227782</v>
      </c>
      <c r="AA55">
        <v>2211775</v>
      </c>
      <c r="AB55">
        <v>2195430</v>
      </c>
      <c r="AC55">
        <v>2178823</v>
      </c>
      <c r="AD55">
        <v>2162020</v>
      </c>
      <c r="AE55">
        <v>2145080</v>
      </c>
      <c r="AF55">
        <v>2128056</v>
      </c>
      <c r="AG55">
        <v>2110992</v>
      </c>
      <c r="AH55">
        <v>2093924</v>
      </c>
      <c r="AI55">
        <v>2076882</v>
      </c>
      <c r="AJ55">
        <v>2059889</v>
      </c>
      <c r="AK55">
        <v>2042957</v>
      </c>
      <c r="AL55">
        <v>2026095</v>
      </c>
      <c r="AM55">
        <v>2009301</v>
      </c>
      <c r="AN55">
        <v>1992567</v>
      </c>
      <c r="AO55">
        <v>1975878</v>
      </c>
      <c r="AP55">
        <v>1959210</v>
      </c>
      <c r="AQ55">
        <v>1942533</v>
      </c>
      <c r="AR55">
        <v>1925808</v>
      </c>
      <c r="AS55">
        <v>1908990</v>
      </c>
      <c r="AT55">
        <v>1892024</v>
      </c>
      <c r="AU55">
        <v>1874852</v>
      </c>
      <c r="AV55">
        <v>1857403</v>
      </c>
    </row>
    <row r="56" spans="1:48" x14ac:dyDescent="0.15">
      <c r="A56" t="s">
        <v>80</v>
      </c>
      <c r="B56" t="s">
        <v>474</v>
      </c>
      <c r="C56" t="s">
        <v>427</v>
      </c>
      <c r="D56" s="5">
        <v>1865281.35492666</v>
      </c>
      <c r="E56" s="5">
        <v>1871004.2389545899</v>
      </c>
      <c r="F56" s="5">
        <v>1875912.55727895</v>
      </c>
      <c r="G56" s="5">
        <v>1639583</v>
      </c>
      <c r="H56">
        <v>1647149</v>
      </c>
      <c r="I56">
        <v>1653063</v>
      </c>
      <c r="J56">
        <v>1657388</v>
      </c>
      <c r="K56">
        <v>1660189</v>
      </c>
      <c r="L56">
        <v>1661531</v>
      </c>
      <c r="M56">
        <v>1661478</v>
      </c>
      <c r="N56">
        <v>1660093</v>
      </c>
      <c r="O56">
        <v>1657442</v>
      </c>
      <c r="P56">
        <v>1653586</v>
      </c>
      <c r="Q56">
        <v>1648590</v>
      </c>
      <c r="R56">
        <v>1642517</v>
      </c>
      <c r="S56">
        <v>1635429</v>
      </c>
      <c r="T56">
        <v>1627390</v>
      </c>
      <c r="U56">
        <v>1618461</v>
      </c>
      <c r="V56">
        <v>1608706</v>
      </c>
      <c r="W56">
        <v>1598187</v>
      </c>
      <c r="X56">
        <v>1586965</v>
      </c>
      <c r="Y56">
        <v>1575103</v>
      </c>
      <c r="Z56">
        <v>1562661</v>
      </c>
      <c r="AA56">
        <v>1549701</v>
      </c>
      <c r="AB56">
        <v>1536284</v>
      </c>
      <c r="AC56">
        <v>1522472</v>
      </c>
      <c r="AD56">
        <v>1508325</v>
      </c>
      <c r="AE56">
        <v>1493903</v>
      </c>
      <c r="AF56">
        <v>1479268</v>
      </c>
      <c r="AG56">
        <v>1464478</v>
      </c>
      <c r="AH56">
        <v>1449594</v>
      </c>
      <c r="AI56">
        <v>1434676</v>
      </c>
      <c r="AJ56">
        <v>1419783</v>
      </c>
      <c r="AK56">
        <v>1404974</v>
      </c>
      <c r="AL56">
        <v>1390310</v>
      </c>
      <c r="AM56">
        <v>1375848</v>
      </c>
      <c r="AN56">
        <v>1361647</v>
      </c>
      <c r="AO56">
        <v>1347766</v>
      </c>
      <c r="AP56">
        <v>1334263</v>
      </c>
      <c r="AQ56">
        <v>1321197</v>
      </c>
      <c r="AR56">
        <v>1308625</v>
      </c>
      <c r="AS56">
        <v>1296605</v>
      </c>
      <c r="AT56">
        <v>1285194</v>
      </c>
      <c r="AU56">
        <v>1274450</v>
      </c>
      <c r="AV56">
        <v>1264430</v>
      </c>
    </row>
    <row r="57" spans="1:48" x14ac:dyDescent="0.15">
      <c r="A57" t="s">
        <v>81</v>
      </c>
      <c r="B57" t="s">
        <v>475</v>
      </c>
      <c r="C57" t="s">
        <v>427</v>
      </c>
      <c r="D57" s="5">
        <v>1915064.2390304699</v>
      </c>
      <c r="E57" s="5">
        <v>1922070.8583672601</v>
      </c>
      <c r="F57" s="5">
        <v>1928072.14851835</v>
      </c>
      <c r="G57" s="5">
        <v>1596297</v>
      </c>
      <c r="H57">
        <v>1604443</v>
      </c>
      <c r="I57">
        <v>1610629</v>
      </c>
      <c r="J57">
        <v>1614970</v>
      </c>
      <c r="K57">
        <v>1617576</v>
      </c>
      <c r="L57">
        <v>1618558</v>
      </c>
      <c r="M57">
        <v>1618019</v>
      </c>
      <c r="N57">
        <v>1616063</v>
      </c>
      <c r="O57">
        <v>1612788</v>
      </c>
      <c r="P57">
        <v>1608292</v>
      </c>
      <c r="Q57">
        <v>1602667</v>
      </c>
      <c r="R57">
        <v>1596003</v>
      </c>
      <c r="S57">
        <v>1588387</v>
      </c>
      <c r="T57">
        <v>1579904</v>
      </c>
      <c r="U57">
        <v>1570634</v>
      </c>
      <c r="V57">
        <v>1560655</v>
      </c>
      <c r="W57">
        <v>1550041</v>
      </c>
      <c r="X57">
        <v>1538865</v>
      </c>
      <c r="Y57">
        <v>1527194</v>
      </c>
      <c r="Z57">
        <v>1515094</v>
      </c>
      <c r="AA57">
        <v>1502628</v>
      </c>
      <c r="AB57">
        <v>1489855</v>
      </c>
      <c r="AC57">
        <v>1476831</v>
      </c>
      <c r="AD57">
        <v>1463609</v>
      </c>
      <c r="AE57">
        <v>1450240</v>
      </c>
      <c r="AF57">
        <v>1436769</v>
      </c>
      <c r="AG57">
        <v>1423243</v>
      </c>
      <c r="AH57">
        <v>1409700</v>
      </c>
      <c r="AI57">
        <v>1396179</v>
      </c>
      <c r="AJ57">
        <v>1382715</v>
      </c>
      <c r="AK57">
        <v>1369338</v>
      </c>
      <c r="AL57">
        <v>1356079</v>
      </c>
      <c r="AM57">
        <v>1342961</v>
      </c>
      <c r="AN57">
        <v>1330008</v>
      </c>
      <c r="AO57">
        <v>1317239</v>
      </c>
      <c r="AP57">
        <v>1304670</v>
      </c>
      <c r="AQ57">
        <v>1292314</v>
      </c>
      <c r="AR57">
        <v>1280181</v>
      </c>
      <c r="AS57">
        <v>1268279</v>
      </c>
      <c r="AT57">
        <v>1256610</v>
      </c>
      <c r="AU57">
        <v>1245177</v>
      </c>
      <c r="AV57">
        <v>1233976</v>
      </c>
    </row>
    <row r="58" spans="1:48" x14ac:dyDescent="0.15">
      <c r="A58" t="s">
        <v>82</v>
      </c>
      <c r="B58" t="s">
        <v>476</v>
      </c>
      <c r="C58" t="s">
        <v>427</v>
      </c>
      <c r="D58" s="5">
        <v>1445970.59762303</v>
      </c>
      <c r="E58" s="5">
        <v>1453023.2917964801</v>
      </c>
      <c r="F58" s="5">
        <v>1459327.13066136</v>
      </c>
      <c r="G58" s="5">
        <v>1380450</v>
      </c>
      <c r="H58">
        <v>1389604</v>
      </c>
      <c r="I58">
        <v>1397154</v>
      </c>
      <c r="J58">
        <v>1403182</v>
      </c>
      <c r="K58">
        <v>1407768</v>
      </c>
      <c r="L58">
        <v>1410992</v>
      </c>
      <c r="M58">
        <v>1412930</v>
      </c>
      <c r="N58">
        <v>1413657</v>
      </c>
      <c r="O58">
        <v>1413244</v>
      </c>
      <c r="P58">
        <v>1411764</v>
      </c>
      <c r="Q58">
        <v>1409284</v>
      </c>
      <c r="R58">
        <v>1405871</v>
      </c>
      <c r="S58">
        <v>1401591</v>
      </c>
      <c r="T58">
        <v>1396506</v>
      </c>
      <c r="U58">
        <v>1390676</v>
      </c>
      <c r="V58">
        <v>1384162</v>
      </c>
      <c r="W58">
        <v>1377020</v>
      </c>
      <c r="X58">
        <v>1369305</v>
      </c>
      <c r="Y58">
        <v>1361070</v>
      </c>
      <c r="Z58">
        <v>1352367</v>
      </c>
      <c r="AA58">
        <v>1343244</v>
      </c>
      <c r="AB58">
        <v>1333749</v>
      </c>
      <c r="AC58">
        <v>1323926</v>
      </c>
      <c r="AD58">
        <v>1313821</v>
      </c>
      <c r="AE58">
        <v>1303473</v>
      </c>
      <c r="AF58">
        <v>1292922</v>
      </c>
      <c r="AG58">
        <v>1282205</v>
      </c>
      <c r="AH58">
        <v>1271359</v>
      </c>
      <c r="AI58">
        <v>1260417</v>
      </c>
      <c r="AJ58">
        <v>1249410</v>
      </c>
      <c r="AK58">
        <v>1238367</v>
      </c>
      <c r="AL58">
        <v>1227318</v>
      </c>
      <c r="AM58">
        <v>1216286</v>
      </c>
      <c r="AN58">
        <v>1205297</v>
      </c>
      <c r="AO58">
        <v>1194372</v>
      </c>
      <c r="AP58">
        <v>1183530</v>
      </c>
      <c r="AQ58">
        <v>1172790</v>
      </c>
      <c r="AR58">
        <v>1162168</v>
      </c>
      <c r="AS58">
        <v>1151677</v>
      </c>
      <c r="AT58">
        <v>1141330</v>
      </c>
      <c r="AU58">
        <v>1131137</v>
      </c>
      <c r="AV58">
        <v>1121106</v>
      </c>
    </row>
    <row r="59" spans="1:48" x14ac:dyDescent="0.15">
      <c r="A59" t="s">
        <v>83</v>
      </c>
      <c r="B59" t="s">
        <v>477</v>
      </c>
      <c r="C59" t="s">
        <v>427</v>
      </c>
      <c r="D59" s="5">
        <v>2788918.1752372198</v>
      </c>
      <c r="E59" s="5">
        <v>2797996.3766313498</v>
      </c>
      <c r="F59" s="5">
        <v>2805873.80441191</v>
      </c>
      <c r="G59" s="5">
        <v>2377360</v>
      </c>
      <c r="H59">
        <v>2388101</v>
      </c>
      <c r="I59">
        <v>2396611</v>
      </c>
      <c r="J59">
        <v>2402966</v>
      </c>
      <c r="K59">
        <v>2407241</v>
      </c>
      <c r="L59">
        <v>2409510</v>
      </c>
      <c r="M59">
        <v>2409852</v>
      </c>
      <c r="N59">
        <v>2408341</v>
      </c>
      <c r="O59">
        <v>2405056</v>
      </c>
      <c r="P59">
        <v>2400075</v>
      </c>
      <c r="Q59">
        <v>2393477</v>
      </c>
      <c r="R59">
        <v>2385340</v>
      </c>
      <c r="S59">
        <v>2375745</v>
      </c>
      <c r="T59">
        <v>2364773</v>
      </c>
      <c r="U59">
        <v>2352503</v>
      </c>
      <c r="V59">
        <v>2339019</v>
      </c>
      <c r="W59">
        <v>2324402</v>
      </c>
      <c r="X59">
        <v>2308736</v>
      </c>
      <c r="Y59">
        <v>2292103</v>
      </c>
      <c r="Z59">
        <v>2274588</v>
      </c>
      <c r="AA59">
        <v>2256276</v>
      </c>
      <c r="AB59">
        <v>2237252</v>
      </c>
      <c r="AC59">
        <v>2217602</v>
      </c>
      <c r="AD59">
        <v>2197413</v>
      </c>
      <c r="AE59">
        <v>2176772</v>
      </c>
      <c r="AF59">
        <v>2155767</v>
      </c>
      <c r="AG59">
        <v>2134485</v>
      </c>
      <c r="AH59">
        <v>2113017</v>
      </c>
      <c r="AI59">
        <v>2091451</v>
      </c>
      <c r="AJ59">
        <v>2069878</v>
      </c>
      <c r="AK59">
        <v>2048389</v>
      </c>
      <c r="AL59">
        <v>2027075</v>
      </c>
      <c r="AM59">
        <v>2006028</v>
      </c>
      <c r="AN59">
        <v>1985341</v>
      </c>
      <c r="AO59">
        <v>1965107</v>
      </c>
      <c r="AP59">
        <v>1945420</v>
      </c>
      <c r="AQ59">
        <v>1926375</v>
      </c>
      <c r="AR59">
        <v>1908066</v>
      </c>
      <c r="AS59">
        <v>1890590</v>
      </c>
      <c r="AT59">
        <v>1874042</v>
      </c>
      <c r="AU59">
        <v>1858519</v>
      </c>
      <c r="AV59">
        <v>1844120</v>
      </c>
    </row>
    <row r="60" spans="1:48" x14ac:dyDescent="0.15">
      <c r="A60" t="s">
        <v>84</v>
      </c>
      <c r="B60" t="s">
        <v>478</v>
      </c>
      <c r="C60" t="s">
        <v>427</v>
      </c>
      <c r="D60" s="5">
        <v>3118909.6133950101</v>
      </c>
      <c r="E60" s="5">
        <v>3127618.0659850501</v>
      </c>
      <c r="F60" s="5">
        <v>3135203.7044721199</v>
      </c>
      <c r="G60" s="5">
        <v>2863591</v>
      </c>
      <c r="H60">
        <v>2872635</v>
      </c>
      <c r="I60">
        <v>2880777</v>
      </c>
      <c r="J60">
        <v>2887915</v>
      </c>
      <c r="K60">
        <v>2893954</v>
      </c>
      <c r="L60">
        <v>2898811</v>
      </c>
      <c r="M60">
        <v>2902412</v>
      </c>
      <c r="N60">
        <v>2904692</v>
      </c>
      <c r="O60">
        <v>2905596</v>
      </c>
      <c r="P60">
        <v>2905080</v>
      </c>
      <c r="Q60">
        <v>2903109</v>
      </c>
      <c r="R60">
        <v>2899657</v>
      </c>
      <c r="S60">
        <v>2894708</v>
      </c>
      <c r="T60">
        <v>2888257</v>
      </c>
      <c r="U60">
        <v>2880306</v>
      </c>
      <c r="V60">
        <v>2870871</v>
      </c>
      <c r="W60">
        <v>2859973</v>
      </c>
      <c r="X60">
        <v>2847647</v>
      </c>
      <c r="Y60">
        <v>2833934</v>
      </c>
      <c r="Z60">
        <v>2818887</v>
      </c>
      <c r="AA60">
        <v>2802568</v>
      </c>
      <c r="AB60">
        <v>2785050</v>
      </c>
      <c r="AC60">
        <v>2766414</v>
      </c>
      <c r="AD60">
        <v>2746751</v>
      </c>
      <c r="AE60">
        <v>2726163</v>
      </c>
      <c r="AF60">
        <v>2704761</v>
      </c>
      <c r="AG60">
        <v>2682664</v>
      </c>
      <c r="AH60">
        <v>2660004</v>
      </c>
      <c r="AI60">
        <v>2636921</v>
      </c>
      <c r="AJ60">
        <v>2613564</v>
      </c>
      <c r="AK60">
        <v>2590094</v>
      </c>
      <c r="AL60">
        <v>2566679</v>
      </c>
      <c r="AM60">
        <v>2543498</v>
      </c>
      <c r="AN60">
        <v>2520741</v>
      </c>
      <c r="AO60">
        <v>2498606</v>
      </c>
      <c r="AP60">
        <v>2477300</v>
      </c>
      <c r="AQ60">
        <v>2457044</v>
      </c>
      <c r="AR60">
        <v>2438063</v>
      </c>
      <c r="AS60">
        <v>2420596</v>
      </c>
      <c r="AT60">
        <v>2404889</v>
      </c>
      <c r="AU60">
        <v>2391200</v>
      </c>
      <c r="AV60">
        <v>2379796</v>
      </c>
    </row>
    <row r="61" spans="1:48" x14ac:dyDescent="0.15">
      <c r="A61" t="s">
        <v>85</v>
      </c>
      <c r="B61" t="s">
        <v>479</v>
      </c>
      <c r="C61" t="s">
        <v>427</v>
      </c>
      <c r="D61" s="5">
        <v>2695154.7953410302</v>
      </c>
      <c r="E61" s="5">
        <v>2703835.7934807399</v>
      </c>
      <c r="F61" s="5">
        <v>2711423.4672780498</v>
      </c>
      <c r="G61" s="5">
        <v>2424266</v>
      </c>
      <c r="H61">
        <v>2433970</v>
      </c>
      <c r="I61">
        <v>2442286</v>
      </c>
      <c r="J61">
        <v>2449209</v>
      </c>
      <c r="K61">
        <v>2454738</v>
      </c>
      <c r="L61">
        <v>2458875</v>
      </c>
      <c r="M61">
        <v>2461626</v>
      </c>
      <c r="N61">
        <v>2463002</v>
      </c>
      <c r="O61">
        <v>2463018</v>
      </c>
      <c r="P61">
        <v>2461692</v>
      </c>
      <c r="Q61">
        <v>2459046</v>
      </c>
      <c r="R61">
        <v>2455106</v>
      </c>
      <c r="S61">
        <v>2449904</v>
      </c>
      <c r="T61">
        <v>2443474</v>
      </c>
      <c r="U61">
        <v>2435853</v>
      </c>
      <c r="V61">
        <v>2427084</v>
      </c>
      <c r="W61">
        <v>2417214</v>
      </c>
      <c r="X61">
        <v>2406293</v>
      </c>
      <c r="Y61">
        <v>2394374</v>
      </c>
      <c r="Z61">
        <v>2381517</v>
      </c>
      <c r="AA61">
        <v>2367784</v>
      </c>
      <c r="AB61">
        <v>2353240</v>
      </c>
      <c r="AC61">
        <v>2337957</v>
      </c>
      <c r="AD61">
        <v>2322007</v>
      </c>
      <c r="AE61">
        <v>2305470</v>
      </c>
      <c r="AF61">
        <v>2288427</v>
      </c>
      <c r="AG61">
        <v>2270965</v>
      </c>
      <c r="AH61">
        <v>2253173</v>
      </c>
      <c r="AI61">
        <v>2235147</v>
      </c>
      <c r="AJ61">
        <v>2216983</v>
      </c>
      <c r="AK61">
        <v>2198784</v>
      </c>
      <c r="AL61">
        <v>2180656</v>
      </c>
      <c r="AM61">
        <v>2162708</v>
      </c>
      <c r="AN61">
        <v>2145056</v>
      </c>
      <c r="AO61">
        <v>2127817</v>
      </c>
      <c r="AP61">
        <v>2111112</v>
      </c>
      <c r="AQ61">
        <v>2095068</v>
      </c>
      <c r="AR61">
        <v>2079815</v>
      </c>
      <c r="AS61">
        <v>2065487</v>
      </c>
      <c r="AT61">
        <v>2052220</v>
      </c>
      <c r="AU61">
        <v>2040159</v>
      </c>
      <c r="AV61">
        <v>2029447</v>
      </c>
    </row>
    <row r="62" spans="1:48" x14ac:dyDescent="0.15">
      <c r="A62" t="s">
        <v>87</v>
      </c>
      <c r="B62" t="s">
        <v>480</v>
      </c>
      <c r="C62" t="s">
        <v>427</v>
      </c>
      <c r="D62" s="5">
        <v>8054197.82835864</v>
      </c>
      <c r="E62" s="5">
        <v>8107122.5994147398</v>
      </c>
      <c r="F62" s="5">
        <v>8155463.8777338099</v>
      </c>
      <c r="G62" s="5">
        <v>8984871</v>
      </c>
      <c r="H62">
        <v>9066391</v>
      </c>
      <c r="I62">
        <v>9134712</v>
      </c>
      <c r="J62">
        <v>9190745</v>
      </c>
      <c r="K62">
        <v>9235370</v>
      </c>
      <c r="L62">
        <v>9269432</v>
      </c>
      <c r="M62">
        <v>9293744</v>
      </c>
      <c r="N62">
        <v>9309084</v>
      </c>
      <c r="O62">
        <v>9316198</v>
      </c>
      <c r="P62">
        <v>9315799</v>
      </c>
      <c r="Q62">
        <v>9308566</v>
      </c>
      <c r="R62">
        <v>9295145</v>
      </c>
      <c r="S62">
        <v>9276148</v>
      </c>
      <c r="T62">
        <v>9252154</v>
      </c>
      <c r="U62">
        <v>9223711</v>
      </c>
      <c r="V62">
        <v>9191330</v>
      </c>
      <c r="W62">
        <v>9155491</v>
      </c>
      <c r="X62">
        <v>9116640</v>
      </c>
      <c r="Y62">
        <v>9075191</v>
      </c>
      <c r="Z62">
        <v>9031522</v>
      </c>
      <c r="AA62">
        <v>8985981</v>
      </c>
      <c r="AB62">
        <v>8938880</v>
      </c>
      <c r="AC62">
        <v>8890500</v>
      </c>
      <c r="AD62">
        <v>8841087</v>
      </c>
      <c r="AE62">
        <v>8790853</v>
      </c>
      <c r="AF62">
        <v>8739980</v>
      </c>
      <c r="AG62">
        <v>8688614</v>
      </c>
      <c r="AH62">
        <v>8636868</v>
      </c>
      <c r="AI62">
        <v>8584823</v>
      </c>
      <c r="AJ62">
        <v>8532526</v>
      </c>
      <c r="AK62">
        <v>8479989</v>
      </c>
      <c r="AL62">
        <v>8427194</v>
      </c>
      <c r="AM62">
        <v>8374088</v>
      </c>
      <c r="AN62">
        <v>8320584</v>
      </c>
      <c r="AO62">
        <v>8266562</v>
      </c>
      <c r="AP62">
        <v>8211871</v>
      </c>
      <c r="AQ62">
        <v>8156324</v>
      </c>
      <c r="AR62">
        <v>8099702</v>
      </c>
      <c r="AS62">
        <v>8041752</v>
      </c>
      <c r="AT62">
        <v>7982189</v>
      </c>
      <c r="AU62">
        <v>7920692</v>
      </c>
      <c r="AV62">
        <v>7856910</v>
      </c>
    </row>
    <row r="63" spans="1:48" x14ac:dyDescent="0.15">
      <c r="A63" t="s">
        <v>88</v>
      </c>
      <c r="B63" t="s">
        <v>481</v>
      </c>
      <c r="C63" t="s">
        <v>427</v>
      </c>
      <c r="D63" s="5">
        <v>4567490.2583792703</v>
      </c>
      <c r="E63" s="5">
        <v>4586674.4110772796</v>
      </c>
      <c r="F63" s="5">
        <v>4603323.47254977</v>
      </c>
      <c r="G63" s="5">
        <v>3602581</v>
      </c>
      <c r="H63">
        <v>3623476</v>
      </c>
      <c r="I63">
        <v>3639845</v>
      </c>
      <c r="J63">
        <v>3651951</v>
      </c>
      <c r="K63">
        <v>3660054</v>
      </c>
      <c r="L63">
        <v>3664401</v>
      </c>
      <c r="M63">
        <v>3665237</v>
      </c>
      <c r="N63">
        <v>3662797</v>
      </c>
      <c r="O63">
        <v>3657307</v>
      </c>
      <c r="P63">
        <v>3648989</v>
      </c>
      <c r="Q63">
        <v>3638055</v>
      </c>
      <c r="R63">
        <v>3624711</v>
      </c>
      <c r="S63">
        <v>3609154</v>
      </c>
      <c r="T63">
        <v>3591575</v>
      </c>
      <c r="U63">
        <v>3572157</v>
      </c>
      <c r="V63">
        <v>3551075</v>
      </c>
      <c r="W63">
        <v>3528497</v>
      </c>
      <c r="X63">
        <v>3504585</v>
      </c>
      <c r="Y63">
        <v>3479491</v>
      </c>
      <c r="Z63">
        <v>3453360</v>
      </c>
      <c r="AA63">
        <v>3426332</v>
      </c>
      <c r="AB63">
        <v>3398537</v>
      </c>
      <c r="AC63">
        <v>3370097</v>
      </c>
      <c r="AD63">
        <v>3341130</v>
      </c>
      <c r="AE63">
        <v>3311744</v>
      </c>
      <c r="AF63">
        <v>3282039</v>
      </c>
      <c r="AG63">
        <v>3252109</v>
      </c>
      <c r="AH63">
        <v>3222040</v>
      </c>
      <c r="AI63">
        <v>3191910</v>
      </c>
      <c r="AJ63">
        <v>3161792</v>
      </c>
      <c r="AK63">
        <v>3131748</v>
      </c>
      <c r="AL63">
        <v>3101834</v>
      </c>
      <c r="AM63">
        <v>3072101</v>
      </c>
      <c r="AN63">
        <v>3042587</v>
      </c>
      <c r="AO63">
        <v>3013329</v>
      </c>
      <c r="AP63">
        <v>2984352</v>
      </c>
      <c r="AQ63">
        <v>2955674</v>
      </c>
      <c r="AR63">
        <v>2927309</v>
      </c>
      <c r="AS63">
        <v>2899258</v>
      </c>
      <c r="AT63">
        <v>2871520</v>
      </c>
      <c r="AU63">
        <v>2844083</v>
      </c>
      <c r="AV63">
        <v>2816929</v>
      </c>
    </row>
    <row r="64" spans="1:48" x14ac:dyDescent="0.15">
      <c r="A64" t="s">
        <v>89</v>
      </c>
      <c r="B64" t="s">
        <v>482</v>
      </c>
      <c r="C64" t="s">
        <v>427</v>
      </c>
      <c r="D64" s="5">
        <v>3523641.6256643198</v>
      </c>
      <c r="E64" s="5">
        <v>3541346.9960690802</v>
      </c>
      <c r="F64" s="5">
        <v>3557136.2394500701</v>
      </c>
      <c r="G64" s="5">
        <v>1803515</v>
      </c>
      <c r="H64">
        <v>1814633</v>
      </c>
      <c r="I64">
        <v>1823941</v>
      </c>
      <c r="J64">
        <v>1831517</v>
      </c>
      <c r="K64">
        <v>1837437</v>
      </c>
      <c r="L64">
        <v>1841775</v>
      </c>
      <c r="M64">
        <v>1844606</v>
      </c>
      <c r="N64">
        <v>1846002</v>
      </c>
      <c r="O64">
        <v>1846035</v>
      </c>
      <c r="P64">
        <v>1844775</v>
      </c>
      <c r="Q64">
        <v>1842292</v>
      </c>
      <c r="R64">
        <v>1838654</v>
      </c>
      <c r="S64">
        <v>1833928</v>
      </c>
      <c r="T64">
        <v>1828181</v>
      </c>
      <c r="U64">
        <v>1821477</v>
      </c>
      <c r="V64">
        <v>1813881</v>
      </c>
      <c r="W64">
        <v>1805456</v>
      </c>
      <c r="X64">
        <v>1796262</v>
      </c>
      <c r="Y64">
        <v>1786362</v>
      </c>
      <c r="Z64">
        <v>1775814</v>
      </c>
      <c r="AA64">
        <v>1764678</v>
      </c>
      <c r="AB64">
        <v>1753010</v>
      </c>
      <c r="AC64">
        <v>1740867</v>
      </c>
      <c r="AD64">
        <v>1728305</v>
      </c>
      <c r="AE64">
        <v>1715377</v>
      </c>
      <c r="AF64">
        <v>1702136</v>
      </c>
      <c r="AG64">
        <v>1688636</v>
      </c>
      <c r="AH64">
        <v>1674926</v>
      </c>
      <c r="AI64">
        <v>1661056</v>
      </c>
      <c r="AJ64">
        <v>1647075</v>
      </c>
      <c r="AK64">
        <v>1633032</v>
      </c>
      <c r="AL64">
        <v>1618972</v>
      </c>
      <c r="AM64">
        <v>1604941</v>
      </c>
      <c r="AN64">
        <v>1590983</v>
      </c>
      <c r="AO64">
        <v>1577142</v>
      </c>
      <c r="AP64">
        <v>1563459</v>
      </c>
      <c r="AQ64">
        <v>1549977</v>
      </c>
      <c r="AR64">
        <v>1536735</v>
      </c>
      <c r="AS64">
        <v>1523772</v>
      </c>
      <c r="AT64">
        <v>1511126</v>
      </c>
      <c r="AU64">
        <v>1498833</v>
      </c>
      <c r="AV64">
        <v>1486931</v>
      </c>
    </row>
    <row r="65" spans="1:48" x14ac:dyDescent="0.15">
      <c r="A65" t="s">
        <v>90</v>
      </c>
      <c r="B65" t="s">
        <v>483</v>
      </c>
      <c r="C65" t="s">
        <v>427</v>
      </c>
      <c r="D65" s="5">
        <v>1213696.84211191</v>
      </c>
      <c r="E65" s="5">
        <v>1218438.5716981301</v>
      </c>
      <c r="F65" s="5">
        <v>1222592.2313707999</v>
      </c>
      <c r="G65" s="5">
        <v>991587</v>
      </c>
      <c r="H65">
        <v>996843</v>
      </c>
      <c r="I65">
        <v>1001070</v>
      </c>
      <c r="J65">
        <v>1004311</v>
      </c>
      <c r="K65">
        <v>1006606</v>
      </c>
      <c r="L65">
        <v>1007997</v>
      </c>
      <c r="M65">
        <v>1008522</v>
      </c>
      <c r="N65">
        <v>1008222</v>
      </c>
      <c r="O65">
        <v>1007136</v>
      </c>
      <c r="P65">
        <v>1005305</v>
      </c>
      <c r="Q65">
        <v>1002766</v>
      </c>
      <c r="R65">
        <v>999559</v>
      </c>
      <c r="S65">
        <v>995721</v>
      </c>
      <c r="T65">
        <v>991291</v>
      </c>
      <c r="U65">
        <v>986306</v>
      </c>
      <c r="V65">
        <v>980804</v>
      </c>
      <c r="W65">
        <v>974821</v>
      </c>
      <c r="X65">
        <v>968394</v>
      </c>
      <c r="Y65">
        <v>961560</v>
      </c>
      <c r="Z65">
        <v>954354</v>
      </c>
      <c r="AA65">
        <v>946812</v>
      </c>
      <c r="AB65">
        <v>938969</v>
      </c>
      <c r="AC65">
        <v>930861</v>
      </c>
      <c r="AD65">
        <v>922522</v>
      </c>
      <c r="AE65">
        <v>913987</v>
      </c>
      <c r="AF65">
        <v>905289</v>
      </c>
      <c r="AG65">
        <v>896462</v>
      </c>
      <c r="AH65">
        <v>887540</v>
      </c>
      <c r="AI65">
        <v>878555</v>
      </c>
      <c r="AJ65">
        <v>869541</v>
      </c>
      <c r="AK65">
        <v>860530</v>
      </c>
      <c r="AL65">
        <v>851553</v>
      </c>
      <c r="AM65">
        <v>842643</v>
      </c>
      <c r="AN65">
        <v>833831</v>
      </c>
      <c r="AO65">
        <v>825148</v>
      </c>
      <c r="AP65">
        <v>816625</v>
      </c>
      <c r="AQ65">
        <v>808292</v>
      </c>
      <c r="AR65">
        <v>800179</v>
      </c>
      <c r="AS65">
        <v>792317</v>
      </c>
      <c r="AT65">
        <v>784734</v>
      </c>
      <c r="AU65">
        <v>777460</v>
      </c>
      <c r="AV65">
        <v>770524</v>
      </c>
    </row>
    <row r="66" spans="1:48" x14ac:dyDescent="0.15">
      <c r="A66" t="s">
        <v>91</v>
      </c>
      <c r="B66" t="s">
        <v>484</v>
      </c>
      <c r="C66" t="s">
        <v>427</v>
      </c>
      <c r="D66" s="5">
        <v>2409346.1225436102</v>
      </c>
      <c r="E66" s="5">
        <v>2420166.6484507401</v>
      </c>
      <c r="F66" s="5">
        <v>2429688.1915327301</v>
      </c>
      <c r="G66" s="5">
        <v>1801292</v>
      </c>
      <c r="H66">
        <v>1812003</v>
      </c>
      <c r="I66">
        <v>1820591</v>
      </c>
      <c r="J66">
        <v>1827164</v>
      </c>
      <c r="K66">
        <v>1831833</v>
      </c>
      <c r="L66">
        <v>1834701</v>
      </c>
      <c r="M66">
        <v>1835874</v>
      </c>
      <c r="N66">
        <v>1835450</v>
      </c>
      <c r="O66">
        <v>1833528</v>
      </c>
      <c r="P66">
        <v>1830202</v>
      </c>
      <c r="Q66">
        <v>1825566</v>
      </c>
      <c r="R66">
        <v>1819710</v>
      </c>
      <c r="S66">
        <v>1812720</v>
      </c>
      <c r="T66">
        <v>1804682</v>
      </c>
      <c r="U66">
        <v>1795678</v>
      </c>
      <c r="V66">
        <v>1785786</v>
      </c>
      <c r="W66">
        <v>1775086</v>
      </c>
      <c r="X66">
        <v>1763649</v>
      </c>
      <c r="Y66">
        <v>1751549</v>
      </c>
      <c r="Z66">
        <v>1738854</v>
      </c>
      <c r="AA66">
        <v>1725631</v>
      </c>
      <c r="AB66">
        <v>1711943</v>
      </c>
      <c r="AC66">
        <v>1697853</v>
      </c>
      <c r="AD66">
        <v>1683418</v>
      </c>
      <c r="AE66">
        <v>1668695</v>
      </c>
      <c r="AF66">
        <v>1653736</v>
      </c>
      <c r="AG66">
        <v>1638594</v>
      </c>
      <c r="AH66">
        <v>1623316</v>
      </c>
      <c r="AI66">
        <v>1607948</v>
      </c>
      <c r="AJ66">
        <v>1592533</v>
      </c>
      <c r="AK66">
        <v>1577110</v>
      </c>
      <c r="AL66">
        <v>1561719</v>
      </c>
      <c r="AM66">
        <v>1546394</v>
      </c>
      <c r="AN66">
        <v>1531168</v>
      </c>
      <c r="AO66">
        <v>1516070</v>
      </c>
      <c r="AP66">
        <v>1501128</v>
      </c>
      <c r="AQ66">
        <v>1486368</v>
      </c>
      <c r="AR66">
        <v>1471810</v>
      </c>
      <c r="AS66">
        <v>1457474</v>
      </c>
      <c r="AT66">
        <v>1443378</v>
      </c>
      <c r="AU66">
        <v>1429535</v>
      </c>
      <c r="AV66">
        <v>1415958</v>
      </c>
    </row>
    <row r="67" spans="1:48" x14ac:dyDescent="0.15">
      <c r="A67" t="s">
        <v>92</v>
      </c>
      <c r="B67" t="s">
        <v>485</v>
      </c>
      <c r="C67" t="s">
        <v>427</v>
      </c>
      <c r="D67" s="5">
        <v>1332360.9987421699</v>
      </c>
      <c r="E67" s="5">
        <v>1336343.2204654401</v>
      </c>
      <c r="F67" s="5">
        <v>1339620.94966686</v>
      </c>
      <c r="G67" s="5">
        <v>947979</v>
      </c>
      <c r="H67">
        <v>951797</v>
      </c>
      <c r="I67">
        <v>954665</v>
      </c>
      <c r="J67">
        <v>956623</v>
      </c>
      <c r="K67">
        <v>957711</v>
      </c>
      <c r="L67">
        <v>957969</v>
      </c>
      <c r="M67">
        <v>957438</v>
      </c>
      <c r="N67">
        <v>956155</v>
      </c>
      <c r="O67">
        <v>954158</v>
      </c>
      <c r="P67">
        <v>951486</v>
      </c>
      <c r="Q67">
        <v>948176</v>
      </c>
      <c r="R67">
        <v>944264</v>
      </c>
      <c r="S67">
        <v>939786</v>
      </c>
      <c r="T67">
        <v>934779</v>
      </c>
      <c r="U67">
        <v>929276</v>
      </c>
      <c r="V67">
        <v>923313</v>
      </c>
      <c r="W67">
        <v>916924</v>
      </c>
      <c r="X67">
        <v>910142</v>
      </c>
      <c r="Y67">
        <v>903000</v>
      </c>
      <c r="Z67">
        <v>895531</v>
      </c>
      <c r="AA67">
        <v>887765</v>
      </c>
      <c r="AB67">
        <v>879736</v>
      </c>
      <c r="AC67">
        <v>871472</v>
      </c>
      <c r="AD67">
        <v>863006</v>
      </c>
      <c r="AE67">
        <v>854366</v>
      </c>
      <c r="AF67">
        <v>845581</v>
      </c>
      <c r="AG67">
        <v>836681</v>
      </c>
      <c r="AH67">
        <v>827693</v>
      </c>
      <c r="AI67">
        <v>818645</v>
      </c>
      <c r="AJ67">
        <v>809565</v>
      </c>
      <c r="AK67">
        <v>800477</v>
      </c>
      <c r="AL67">
        <v>791410</v>
      </c>
      <c r="AM67">
        <v>782388</v>
      </c>
      <c r="AN67">
        <v>773436</v>
      </c>
      <c r="AO67">
        <v>764578</v>
      </c>
      <c r="AP67">
        <v>755838</v>
      </c>
      <c r="AQ67">
        <v>747241</v>
      </c>
      <c r="AR67">
        <v>738807</v>
      </c>
      <c r="AS67">
        <v>730561</v>
      </c>
      <c r="AT67">
        <v>722523</v>
      </c>
      <c r="AU67">
        <v>714715</v>
      </c>
      <c r="AV67">
        <v>707157</v>
      </c>
    </row>
    <row r="68" spans="1:48" x14ac:dyDescent="0.15">
      <c r="A68" t="s">
        <v>93</v>
      </c>
      <c r="B68" t="s">
        <v>486</v>
      </c>
      <c r="C68" t="s">
        <v>427</v>
      </c>
      <c r="D68" s="5">
        <v>3023060.3066939502</v>
      </c>
      <c r="E68" s="5">
        <v>3041719.3807646199</v>
      </c>
      <c r="F68" s="5">
        <v>3058718.47299603</v>
      </c>
      <c r="G68" s="5">
        <v>2235875</v>
      </c>
      <c r="H68">
        <v>2252899</v>
      </c>
      <c r="I68">
        <v>2267902</v>
      </c>
      <c r="J68">
        <v>2280961</v>
      </c>
      <c r="K68">
        <v>2292152</v>
      </c>
      <c r="L68">
        <v>2301549</v>
      </c>
      <c r="M68">
        <v>2309225</v>
      </c>
      <c r="N68">
        <v>2315253</v>
      </c>
      <c r="O68">
        <v>2319704</v>
      </c>
      <c r="P68">
        <v>2322648</v>
      </c>
      <c r="Q68">
        <v>2324154</v>
      </c>
      <c r="R68">
        <v>2324290</v>
      </c>
      <c r="S68">
        <v>2323122</v>
      </c>
      <c r="T68">
        <v>2320717</v>
      </c>
      <c r="U68">
        <v>2317139</v>
      </c>
      <c r="V68">
        <v>2312451</v>
      </c>
      <c r="W68">
        <v>2306716</v>
      </c>
      <c r="X68">
        <v>2299996</v>
      </c>
      <c r="Y68">
        <v>2292349</v>
      </c>
      <c r="Z68">
        <v>2283837</v>
      </c>
      <c r="AA68">
        <v>2274515</v>
      </c>
      <c r="AB68">
        <v>2264442</v>
      </c>
      <c r="AC68">
        <v>2253674</v>
      </c>
      <c r="AD68">
        <v>2242264</v>
      </c>
      <c r="AE68">
        <v>2230266</v>
      </c>
      <c r="AF68">
        <v>2217734</v>
      </c>
      <c r="AG68">
        <v>2204718</v>
      </c>
      <c r="AH68">
        <v>2191269</v>
      </c>
      <c r="AI68">
        <v>2177435</v>
      </c>
      <c r="AJ68">
        <v>2163266</v>
      </c>
      <c r="AK68">
        <v>2148808</v>
      </c>
      <c r="AL68">
        <v>2134107</v>
      </c>
      <c r="AM68">
        <v>2119207</v>
      </c>
      <c r="AN68">
        <v>2104153</v>
      </c>
      <c r="AO68">
        <v>2088987</v>
      </c>
      <c r="AP68">
        <v>2073751</v>
      </c>
      <c r="AQ68">
        <v>2058485</v>
      </c>
      <c r="AR68">
        <v>2043229</v>
      </c>
      <c r="AS68">
        <v>2028020</v>
      </c>
      <c r="AT68">
        <v>2012895</v>
      </c>
      <c r="AU68">
        <v>1997892</v>
      </c>
      <c r="AV68">
        <v>1983044</v>
      </c>
    </row>
    <row r="69" spans="1:48" x14ac:dyDescent="0.15">
      <c r="A69" t="s">
        <v>94</v>
      </c>
      <c r="B69" t="s">
        <v>487</v>
      </c>
      <c r="C69" t="s">
        <v>427</v>
      </c>
      <c r="D69" s="5">
        <v>2111000.36984711</v>
      </c>
      <c r="E69" s="5">
        <v>2120752.5862824898</v>
      </c>
      <c r="F69" s="5">
        <v>2129326.9485647599</v>
      </c>
      <c r="G69" s="5">
        <v>1542159</v>
      </c>
      <c r="H69">
        <v>1551295</v>
      </c>
      <c r="I69">
        <v>1558751</v>
      </c>
      <c r="J69">
        <v>1564608</v>
      </c>
      <c r="K69">
        <v>1568944</v>
      </c>
      <c r="L69">
        <v>1571835</v>
      </c>
      <c r="M69">
        <v>1573356</v>
      </c>
      <c r="N69">
        <v>1573581</v>
      </c>
      <c r="O69">
        <v>1572581</v>
      </c>
      <c r="P69">
        <v>1570427</v>
      </c>
      <c r="Q69">
        <v>1567186</v>
      </c>
      <c r="R69">
        <v>1562925</v>
      </c>
      <c r="S69">
        <v>1557709</v>
      </c>
      <c r="T69">
        <v>1551602</v>
      </c>
      <c r="U69">
        <v>1544665</v>
      </c>
      <c r="V69">
        <v>1536959</v>
      </c>
      <c r="W69">
        <v>1528540</v>
      </c>
      <c r="X69">
        <v>1519468</v>
      </c>
      <c r="Y69">
        <v>1509795</v>
      </c>
      <c r="Z69">
        <v>1499576</v>
      </c>
      <c r="AA69">
        <v>1488862</v>
      </c>
      <c r="AB69">
        <v>1477704</v>
      </c>
      <c r="AC69">
        <v>1466149</v>
      </c>
      <c r="AD69">
        <v>1454245</v>
      </c>
      <c r="AE69">
        <v>1442036</v>
      </c>
      <c r="AF69">
        <v>1429566</v>
      </c>
      <c r="AG69">
        <v>1416877</v>
      </c>
      <c r="AH69">
        <v>1404008</v>
      </c>
      <c r="AI69">
        <v>1390999</v>
      </c>
      <c r="AJ69">
        <v>1377885</v>
      </c>
      <c r="AK69">
        <v>1364703</v>
      </c>
      <c r="AL69">
        <v>1351484</v>
      </c>
      <c r="AM69">
        <v>1338262</v>
      </c>
      <c r="AN69">
        <v>1325066</v>
      </c>
      <c r="AO69">
        <v>1311925</v>
      </c>
      <c r="AP69">
        <v>1298866</v>
      </c>
      <c r="AQ69">
        <v>1285913</v>
      </c>
      <c r="AR69">
        <v>1273090</v>
      </c>
      <c r="AS69">
        <v>1260418</v>
      </c>
      <c r="AT69">
        <v>1247919</v>
      </c>
      <c r="AU69">
        <v>1235611</v>
      </c>
      <c r="AV69">
        <v>1223509</v>
      </c>
    </row>
    <row r="70" spans="1:48" x14ac:dyDescent="0.15">
      <c r="A70" t="s">
        <v>95</v>
      </c>
      <c r="B70" t="s">
        <v>488</v>
      </c>
      <c r="C70" t="s">
        <v>427</v>
      </c>
      <c r="D70" s="5">
        <v>2352109.2304356298</v>
      </c>
      <c r="E70" s="5">
        <v>2361912.7402698598</v>
      </c>
      <c r="F70" s="5">
        <v>2370270.1071029799</v>
      </c>
      <c r="G70" s="5">
        <v>1929973</v>
      </c>
      <c r="H70">
        <v>1941575</v>
      </c>
      <c r="I70">
        <v>1950292</v>
      </c>
      <c r="J70">
        <v>1956318</v>
      </c>
      <c r="K70">
        <v>1959845</v>
      </c>
      <c r="L70">
        <v>1961053</v>
      </c>
      <c r="M70">
        <v>1960119</v>
      </c>
      <c r="N70">
        <v>1957212</v>
      </c>
      <c r="O70">
        <v>1952495</v>
      </c>
      <c r="P70">
        <v>1946123</v>
      </c>
      <c r="Q70">
        <v>1938247</v>
      </c>
      <c r="R70">
        <v>1929010</v>
      </c>
      <c r="S70">
        <v>1918546</v>
      </c>
      <c r="T70">
        <v>1906987</v>
      </c>
      <c r="U70">
        <v>1894454</v>
      </c>
      <c r="V70">
        <v>1881065</v>
      </c>
      <c r="W70">
        <v>1866929</v>
      </c>
      <c r="X70">
        <v>1852149</v>
      </c>
      <c r="Y70">
        <v>1836822</v>
      </c>
      <c r="Z70">
        <v>1821038</v>
      </c>
      <c r="AA70">
        <v>1804880</v>
      </c>
      <c r="AB70">
        <v>1788424</v>
      </c>
      <c r="AC70">
        <v>1771741</v>
      </c>
      <c r="AD70">
        <v>1754895</v>
      </c>
      <c r="AE70">
        <v>1737941</v>
      </c>
      <c r="AF70">
        <v>1720931</v>
      </c>
      <c r="AG70">
        <v>1703908</v>
      </c>
      <c r="AH70">
        <v>1686908</v>
      </c>
      <c r="AI70">
        <v>1669963</v>
      </c>
      <c r="AJ70">
        <v>1653096</v>
      </c>
      <c r="AK70">
        <v>1636324</v>
      </c>
      <c r="AL70">
        <v>1619657</v>
      </c>
      <c r="AM70">
        <v>1603101</v>
      </c>
      <c r="AN70">
        <v>1586651</v>
      </c>
      <c r="AO70">
        <v>1570299</v>
      </c>
      <c r="AP70">
        <v>1554029</v>
      </c>
      <c r="AQ70">
        <v>1537818</v>
      </c>
      <c r="AR70">
        <v>1521637</v>
      </c>
      <c r="AS70">
        <v>1505450</v>
      </c>
      <c r="AT70">
        <v>1489216</v>
      </c>
      <c r="AU70">
        <v>1472884</v>
      </c>
      <c r="AV70">
        <v>1456399</v>
      </c>
    </row>
    <row r="71" spans="1:48" x14ac:dyDescent="0.15">
      <c r="A71" t="s">
        <v>97</v>
      </c>
      <c r="B71" t="s">
        <v>489</v>
      </c>
      <c r="C71" t="s">
        <v>427</v>
      </c>
      <c r="D71" s="5">
        <v>11159329.903621901</v>
      </c>
      <c r="E71" s="5">
        <v>11231578.548893301</v>
      </c>
      <c r="F71" s="5">
        <v>11297060.323820099</v>
      </c>
      <c r="G71" s="5">
        <v>9917409</v>
      </c>
      <c r="H71">
        <v>10009299</v>
      </c>
      <c r="I71">
        <v>10084516</v>
      </c>
      <c r="J71">
        <v>10144303</v>
      </c>
      <c r="K71">
        <v>10189852</v>
      </c>
      <c r="L71">
        <v>10222307</v>
      </c>
      <c r="M71">
        <v>10242767</v>
      </c>
      <c r="N71">
        <v>10252281</v>
      </c>
      <c r="O71">
        <v>10251849</v>
      </c>
      <c r="P71">
        <v>10242426</v>
      </c>
      <c r="Q71">
        <v>10224918</v>
      </c>
      <c r="R71">
        <v>10200183</v>
      </c>
      <c r="S71">
        <v>10169030</v>
      </c>
      <c r="T71">
        <v>10132223</v>
      </c>
      <c r="U71">
        <v>10090475</v>
      </c>
      <c r="V71">
        <v>10044453</v>
      </c>
      <c r="W71">
        <v>9994777</v>
      </c>
      <c r="X71">
        <v>9942016</v>
      </c>
      <c r="Y71">
        <v>9886694</v>
      </c>
      <c r="Z71">
        <v>9829286</v>
      </c>
      <c r="AA71">
        <v>9770220</v>
      </c>
      <c r="AB71">
        <v>9709875</v>
      </c>
      <c r="AC71">
        <v>9648583</v>
      </c>
      <c r="AD71">
        <v>9586628</v>
      </c>
      <c r="AE71">
        <v>9524245</v>
      </c>
      <c r="AF71">
        <v>9461623</v>
      </c>
      <c r="AG71">
        <v>9398902</v>
      </c>
      <c r="AH71">
        <v>9336175</v>
      </c>
      <c r="AI71">
        <v>9273487</v>
      </c>
      <c r="AJ71">
        <v>9210833</v>
      </c>
      <c r="AK71">
        <v>9148163</v>
      </c>
      <c r="AL71">
        <v>9085379</v>
      </c>
      <c r="AM71">
        <v>9022332</v>
      </c>
      <c r="AN71">
        <v>8958830</v>
      </c>
      <c r="AO71">
        <v>8894628</v>
      </c>
      <c r="AP71">
        <v>8829438</v>
      </c>
      <c r="AQ71">
        <v>8762921</v>
      </c>
      <c r="AR71">
        <v>8694690</v>
      </c>
      <c r="AS71">
        <v>8624313</v>
      </c>
      <c r="AT71">
        <v>8551306</v>
      </c>
      <c r="AU71">
        <v>8475142</v>
      </c>
      <c r="AV71">
        <v>8395242</v>
      </c>
    </row>
    <row r="72" spans="1:48" x14ac:dyDescent="0.15">
      <c r="A72" t="s">
        <v>98</v>
      </c>
      <c r="B72" t="s">
        <v>490</v>
      </c>
      <c r="C72" t="s">
        <v>427</v>
      </c>
      <c r="D72" s="5">
        <v>5585608.1664534397</v>
      </c>
      <c r="E72" s="5">
        <v>5613563.01504061</v>
      </c>
      <c r="F72" s="5">
        <v>5638473.5292274999</v>
      </c>
      <c r="G72" s="5">
        <v>4041329</v>
      </c>
      <c r="H72">
        <v>4067265</v>
      </c>
      <c r="I72">
        <v>4088844</v>
      </c>
      <c r="J72">
        <v>4106287</v>
      </c>
      <c r="K72">
        <v>4119812</v>
      </c>
      <c r="L72">
        <v>4129630</v>
      </c>
      <c r="M72">
        <v>4135948</v>
      </c>
      <c r="N72">
        <v>4138965</v>
      </c>
      <c r="O72">
        <v>4138877</v>
      </c>
      <c r="P72">
        <v>4135874</v>
      </c>
      <c r="Q72">
        <v>4130141</v>
      </c>
      <c r="R72">
        <v>4121855</v>
      </c>
      <c r="S72">
        <v>4111191</v>
      </c>
      <c r="T72">
        <v>4098317</v>
      </c>
      <c r="U72">
        <v>4083395</v>
      </c>
      <c r="V72">
        <v>4066582</v>
      </c>
      <c r="W72">
        <v>4048030</v>
      </c>
      <c r="X72">
        <v>4027885</v>
      </c>
      <c r="Y72">
        <v>4006288</v>
      </c>
      <c r="Z72">
        <v>3983375</v>
      </c>
      <c r="AA72">
        <v>3959275</v>
      </c>
      <c r="AB72">
        <v>3934113</v>
      </c>
      <c r="AC72">
        <v>3908007</v>
      </c>
      <c r="AD72">
        <v>3881073</v>
      </c>
      <c r="AE72">
        <v>3853417</v>
      </c>
      <c r="AF72">
        <v>3825142</v>
      </c>
      <c r="AG72">
        <v>3796347</v>
      </c>
      <c r="AH72">
        <v>3767122</v>
      </c>
      <c r="AI72">
        <v>3737554</v>
      </c>
      <c r="AJ72">
        <v>3707724</v>
      </c>
      <c r="AK72">
        <v>3677708</v>
      </c>
      <c r="AL72">
        <v>3647576</v>
      </c>
      <c r="AM72">
        <v>3617392</v>
      </c>
      <c r="AN72">
        <v>3587216</v>
      </c>
      <c r="AO72">
        <v>3557101</v>
      </c>
      <c r="AP72">
        <v>3527097</v>
      </c>
      <c r="AQ72">
        <v>3497245</v>
      </c>
      <c r="AR72">
        <v>3467583</v>
      </c>
      <c r="AS72">
        <v>3438143</v>
      </c>
      <c r="AT72">
        <v>3408953</v>
      </c>
      <c r="AU72">
        <v>3380032</v>
      </c>
      <c r="AV72">
        <v>3351398</v>
      </c>
    </row>
    <row r="73" spans="1:48" x14ac:dyDescent="0.15">
      <c r="A73" t="s">
        <v>99</v>
      </c>
      <c r="B73" t="s">
        <v>491</v>
      </c>
      <c r="C73" t="s">
        <v>427</v>
      </c>
      <c r="D73" s="5">
        <v>1916259.97624697</v>
      </c>
      <c r="E73" s="5">
        <v>1922579.2645240901</v>
      </c>
      <c r="F73" s="5">
        <v>1927886.18506411</v>
      </c>
      <c r="G73" s="5">
        <v>1494917</v>
      </c>
      <c r="H73">
        <v>1501955</v>
      </c>
      <c r="I73">
        <v>1507250</v>
      </c>
      <c r="J73">
        <v>1510893</v>
      </c>
      <c r="K73">
        <v>1512974</v>
      </c>
      <c r="L73">
        <v>1513577</v>
      </c>
      <c r="M73">
        <v>1512789</v>
      </c>
      <c r="N73">
        <v>1510690</v>
      </c>
      <c r="O73">
        <v>1507361</v>
      </c>
      <c r="P73">
        <v>1502880</v>
      </c>
      <c r="Q73">
        <v>1497324</v>
      </c>
      <c r="R73">
        <v>1490766</v>
      </c>
      <c r="S73">
        <v>1483278</v>
      </c>
      <c r="T73">
        <v>1474931</v>
      </c>
      <c r="U73">
        <v>1465792</v>
      </c>
      <c r="V73">
        <v>1455927</v>
      </c>
      <c r="W73">
        <v>1445400</v>
      </c>
      <c r="X73">
        <v>1434273</v>
      </c>
      <c r="Y73">
        <v>1422604</v>
      </c>
      <c r="Z73">
        <v>1410453</v>
      </c>
      <c r="AA73">
        <v>1397874</v>
      </c>
      <c r="AB73">
        <v>1384921</v>
      </c>
      <c r="AC73">
        <v>1371646</v>
      </c>
      <c r="AD73">
        <v>1358097</v>
      </c>
      <c r="AE73">
        <v>1344322</v>
      </c>
      <c r="AF73">
        <v>1330367</v>
      </c>
      <c r="AG73">
        <v>1316274</v>
      </c>
      <c r="AH73">
        <v>1302085</v>
      </c>
      <c r="AI73">
        <v>1287840</v>
      </c>
      <c r="AJ73">
        <v>1273574</v>
      </c>
      <c r="AK73">
        <v>1259323</v>
      </c>
      <c r="AL73">
        <v>1245120</v>
      </c>
      <c r="AM73">
        <v>1230996</v>
      </c>
      <c r="AN73">
        <v>1216980</v>
      </c>
      <c r="AO73">
        <v>1203098</v>
      </c>
      <c r="AP73">
        <v>1189375</v>
      </c>
      <c r="AQ73">
        <v>1175835</v>
      </c>
      <c r="AR73">
        <v>1162497</v>
      </c>
      <c r="AS73">
        <v>1149379</v>
      </c>
      <c r="AT73">
        <v>1136500</v>
      </c>
      <c r="AU73">
        <v>1123873</v>
      </c>
      <c r="AV73">
        <v>1111510</v>
      </c>
    </row>
    <row r="74" spans="1:48" x14ac:dyDescent="0.15">
      <c r="A74" t="s">
        <v>100</v>
      </c>
      <c r="B74" t="s">
        <v>492</v>
      </c>
      <c r="C74" t="s">
        <v>427</v>
      </c>
      <c r="D74" s="5">
        <v>1089078.1337558001</v>
      </c>
      <c r="E74" s="5">
        <v>1092727.2746031401</v>
      </c>
      <c r="F74" s="5">
        <v>1095821.14349603</v>
      </c>
      <c r="G74" s="5">
        <v>886703</v>
      </c>
      <c r="H74">
        <v>891220</v>
      </c>
      <c r="I74">
        <v>894663</v>
      </c>
      <c r="J74">
        <v>897088</v>
      </c>
      <c r="K74">
        <v>898549</v>
      </c>
      <c r="L74">
        <v>899097</v>
      </c>
      <c r="M74">
        <v>898783</v>
      </c>
      <c r="N74">
        <v>897658</v>
      </c>
      <c r="O74">
        <v>895769</v>
      </c>
      <c r="P74">
        <v>893165</v>
      </c>
      <c r="Q74">
        <v>889892</v>
      </c>
      <c r="R74">
        <v>885994</v>
      </c>
      <c r="S74">
        <v>881517</v>
      </c>
      <c r="T74">
        <v>876503</v>
      </c>
      <c r="U74">
        <v>870994</v>
      </c>
      <c r="V74">
        <v>865030</v>
      </c>
      <c r="W74">
        <v>858650</v>
      </c>
      <c r="X74">
        <v>851894</v>
      </c>
      <c r="Y74">
        <v>844798</v>
      </c>
      <c r="Z74">
        <v>837398</v>
      </c>
      <c r="AA74">
        <v>829729</v>
      </c>
      <c r="AB74">
        <v>821824</v>
      </c>
      <c r="AC74">
        <v>813716</v>
      </c>
      <c r="AD74">
        <v>805437</v>
      </c>
      <c r="AE74">
        <v>797016</v>
      </c>
      <c r="AF74">
        <v>788482</v>
      </c>
      <c r="AG74">
        <v>779864</v>
      </c>
      <c r="AH74">
        <v>771188</v>
      </c>
      <c r="AI74">
        <v>762479</v>
      </c>
      <c r="AJ74">
        <v>753762</v>
      </c>
      <c r="AK74">
        <v>745060</v>
      </c>
      <c r="AL74">
        <v>736395</v>
      </c>
      <c r="AM74">
        <v>727788</v>
      </c>
      <c r="AN74">
        <v>719259</v>
      </c>
      <c r="AO74">
        <v>710826</v>
      </c>
      <c r="AP74">
        <v>702507</v>
      </c>
      <c r="AQ74">
        <v>694318</v>
      </c>
      <c r="AR74">
        <v>686274</v>
      </c>
      <c r="AS74">
        <v>678389</v>
      </c>
      <c r="AT74">
        <v>670675</v>
      </c>
      <c r="AU74">
        <v>663145</v>
      </c>
      <c r="AV74">
        <v>655809</v>
      </c>
    </row>
    <row r="75" spans="1:48" x14ac:dyDescent="0.15">
      <c r="A75" t="s">
        <v>101</v>
      </c>
      <c r="B75" t="s">
        <v>493</v>
      </c>
      <c r="C75" t="s">
        <v>427</v>
      </c>
      <c r="D75" s="5">
        <v>1509548.2284260299</v>
      </c>
      <c r="E75" s="5">
        <v>1515482.2315029099</v>
      </c>
      <c r="F75" s="5">
        <v>1520674.5930941999</v>
      </c>
      <c r="G75" s="5">
        <v>1202100</v>
      </c>
      <c r="H75">
        <v>1208727</v>
      </c>
      <c r="I75">
        <v>1214047</v>
      </c>
      <c r="J75">
        <v>1218120</v>
      </c>
      <c r="K75">
        <v>1221004</v>
      </c>
      <c r="L75">
        <v>1222757</v>
      </c>
      <c r="M75">
        <v>1223433</v>
      </c>
      <c r="N75">
        <v>1223087</v>
      </c>
      <c r="O75">
        <v>1221775</v>
      </c>
      <c r="P75">
        <v>1219549</v>
      </c>
      <c r="Q75">
        <v>1216460</v>
      </c>
      <c r="R75">
        <v>1212560</v>
      </c>
      <c r="S75">
        <v>1207898</v>
      </c>
      <c r="T75">
        <v>1202525</v>
      </c>
      <c r="U75">
        <v>1196487</v>
      </c>
      <c r="V75">
        <v>1189831</v>
      </c>
      <c r="W75">
        <v>1182604</v>
      </c>
      <c r="X75">
        <v>1174851</v>
      </c>
      <c r="Y75">
        <v>1166615</v>
      </c>
      <c r="Z75">
        <v>1157940</v>
      </c>
      <c r="AA75">
        <v>1148867</v>
      </c>
      <c r="AB75">
        <v>1139438</v>
      </c>
      <c r="AC75">
        <v>1129692</v>
      </c>
      <c r="AD75">
        <v>1119669</v>
      </c>
      <c r="AE75">
        <v>1109406</v>
      </c>
      <c r="AF75">
        <v>1098940</v>
      </c>
      <c r="AG75">
        <v>1088308</v>
      </c>
      <c r="AH75">
        <v>1077544</v>
      </c>
      <c r="AI75">
        <v>1066682</v>
      </c>
      <c r="AJ75">
        <v>1055756</v>
      </c>
      <c r="AK75">
        <v>1044797</v>
      </c>
      <c r="AL75">
        <v>1033836</v>
      </c>
      <c r="AM75">
        <v>1022903</v>
      </c>
      <c r="AN75">
        <v>1012027</v>
      </c>
      <c r="AO75">
        <v>1001237</v>
      </c>
      <c r="AP75">
        <v>990559</v>
      </c>
      <c r="AQ75">
        <v>980019</v>
      </c>
      <c r="AR75">
        <v>969642</v>
      </c>
      <c r="AS75">
        <v>959452</v>
      </c>
      <c r="AT75">
        <v>949472</v>
      </c>
      <c r="AU75">
        <v>939725</v>
      </c>
      <c r="AV75">
        <v>930230</v>
      </c>
    </row>
    <row r="76" spans="1:48" x14ac:dyDescent="0.15">
      <c r="A76" t="s">
        <v>102</v>
      </c>
      <c r="B76" t="s">
        <v>494</v>
      </c>
      <c r="C76" t="s">
        <v>427</v>
      </c>
      <c r="D76" s="5">
        <v>3041350.2205353999</v>
      </c>
      <c r="E76" s="5">
        <v>3060468.7716196598</v>
      </c>
      <c r="F76" s="5">
        <v>3078013.2772935401</v>
      </c>
      <c r="G76" s="5">
        <v>2757907</v>
      </c>
      <c r="H76">
        <v>2781453</v>
      </c>
      <c r="I76">
        <v>2801609</v>
      </c>
      <c r="J76">
        <v>2818559</v>
      </c>
      <c r="K76">
        <v>2832484</v>
      </c>
      <c r="L76">
        <v>2843560</v>
      </c>
      <c r="M76">
        <v>2851954</v>
      </c>
      <c r="N76">
        <v>2857833</v>
      </c>
      <c r="O76">
        <v>2861353</v>
      </c>
      <c r="P76">
        <v>2862668</v>
      </c>
      <c r="Q76">
        <v>2861927</v>
      </c>
      <c r="R76">
        <v>2859271</v>
      </c>
      <c r="S76">
        <v>2854837</v>
      </c>
      <c r="T76">
        <v>2848757</v>
      </c>
      <c r="U76">
        <v>2841158</v>
      </c>
      <c r="V76">
        <v>2832159</v>
      </c>
      <c r="W76">
        <v>2821877</v>
      </c>
      <c r="X76">
        <v>2810420</v>
      </c>
      <c r="Y76">
        <v>2797895</v>
      </c>
      <c r="Z76">
        <v>2784399</v>
      </c>
      <c r="AA76">
        <v>2770027</v>
      </c>
      <c r="AB76">
        <v>2754866</v>
      </c>
      <c r="AC76">
        <v>2739001</v>
      </c>
      <c r="AD76">
        <v>2722507</v>
      </c>
      <c r="AE76">
        <v>2705458</v>
      </c>
      <c r="AF76">
        <v>2687919</v>
      </c>
      <c r="AG76">
        <v>2669953</v>
      </c>
      <c r="AH76">
        <v>2651614</v>
      </c>
      <c r="AI76">
        <v>2632954</v>
      </c>
      <c r="AJ76">
        <v>2614018</v>
      </c>
      <c r="AK76">
        <v>2594844</v>
      </c>
      <c r="AL76">
        <v>2575467</v>
      </c>
      <c r="AM76">
        <v>2555917</v>
      </c>
      <c r="AN76">
        <v>2536216</v>
      </c>
      <c r="AO76">
        <v>2516382</v>
      </c>
      <c r="AP76">
        <v>2496428</v>
      </c>
      <c r="AQ76">
        <v>2476361</v>
      </c>
      <c r="AR76">
        <v>2456183</v>
      </c>
      <c r="AS76">
        <v>2435890</v>
      </c>
      <c r="AT76">
        <v>2415473</v>
      </c>
      <c r="AU76">
        <v>2394917</v>
      </c>
      <c r="AV76">
        <v>2374203</v>
      </c>
    </row>
    <row r="77" spans="1:48" x14ac:dyDescent="0.15">
      <c r="A77" t="s">
        <v>103</v>
      </c>
      <c r="B77" t="s">
        <v>495</v>
      </c>
      <c r="C77" t="s">
        <v>427</v>
      </c>
      <c r="D77" s="5">
        <v>1170732.16590863</v>
      </c>
      <c r="E77" s="5">
        <v>1173374.4614433199</v>
      </c>
      <c r="F77" s="5">
        <v>1175478.15676004</v>
      </c>
      <c r="G77" s="5">
        <v>875130</v>
      </c>
      <c r="H77">
        <v>878812</v>
      </c>
      <c r="I77">
        <v>881356</v>
      </c>
      <c r="J77">
        <v>882822</v>
      </c>
      <c r="K77">
        <v>883271</v>
      </c>
      <c r="L77">
        <v>882761</v>
      </c>
      <c r="M77">
        <v>881349</v>
      </c>
      <c r="N77">
        <v>879091</v>
      </c>
      <c r="O77">
        <v>876042</v>
      </c>
      <c r="P77">
        <v>872256</v>
      </c>
      <c r="Q77">
        <v>867783</v>
      </c>
      <c r="R77">
        <v>862676</v>
      </c>
      <c r="S77">
        <v>856983</v>
      </c>
      <c r="T77">
        <v>850752</v>
      </c>
      <c r="U77">
        <v>844031</v>
      </c>
      <c r="V77">
        <v>836864</v>
      </c>
      <c r="W77">
        <v>829295</v>
      </c>
      <c r="X77">
        <v>821368</v>
      </c>
      <c r="Y77">
        <v>813123</v>
      </c>
      <c r="Z77">
        <v>804602</v>
      </c>
      <c r="AA77">
        <v>795842</v>
      </c>
      <c r="AB77">
        <v>786881</v>
      </c>
      <c r="AC77">
        <v>777756</v>
      </c>
      <c r="AD77">
        <v>768500</v>
      </c>
      <c r="AE77">
        <v>759148</v>
      </c>
      <c r="AF77">
        <v>749733</v>
      </c>
      <c r="AG77">
        <v>740283</v>
      </c>
      <c r="AH77">
        <v>730831</v>
      </c>
      <c r="AI77">
        <v>721402</v>
      </c>
      <c r="AJ77">
        <v>712025</v>
      </c>
      <c r="AK77">
        <v>702725</v>
      </c>
      <c r="AL77">
        <v>693526</v>
      </c>
      <c r="AM77">
        <v>684452</v>
      </c>
      <c r="AN77">
        <v>675523</v>
      </c>
      <c r="AO77">
        <v>666760</v>
      </c>
      <c r="AP77">
        <v>658183</v>
      </c>
      <c r="AQ77">
        <v>649808</v>
      </c>
      <c r="AR77">
        <v>641652</v>
      </c>
      <c r="AS77">
        <v>633731</v>
      </c>
      <c r="AT77">
        <v>626057</v>
      </c>
      <c r="AU77">
        <v>618643</v>
      </c>
      <c r="AV77">
        <v>611501</v>
      </c>
    </row>
    <row r="78" spans="1:48" x14ac:dyDescent="0.15">
      <c r="A78" t="s">
        <v>104</v>
      </c>
      <c r="B78" t="s">
        <v>496</v>
      </c>
      <c r="C78" t="s">
        <v>427</v>
      </c>
      <c r="D78" s="5">
        <v>2658570.3589161201</v>
      </c>
      <c r="E78" s="5">
        <v>2672802.30230093</v>
      </c>
      <c r="F78" s="5">
        <v>2685602.9820063901</v>
      </c>
      <c r="G78" s="5">
        <v>2141233</v>
      </c>
      <c r="H78">
        <v>2156394</v>
      </c>
      <c r="I78">
        <v>2168943</v>
      </c>
      <c r="J78">
        <v>2179023</v>
      </c>
      <c r="K78">
        <v>2186773</v>
      </c>
      <c r="L78">
        <v>2192328</v>
      </c>
      <c r="M78">
        <v>2195819</v>
      </c>
      <c r="N78">
        <v>2197374</v>
      </c>
      <c r="O78">
        <v>2197117</v>
      </c>
      <c r="P78">
        <v>2195165</v>
      </c>
      <c r="Q78">
        <v>2191635</v>
      </c>
      <c r="R78">
        <v>2186639</v>
      </c>
      <c r="S78">
        <v>2180284</v>
      </c>
      <c r="T78">
        <v>2172672</v>
      </c>
      <c r="U78">
        <v>2163905</v>
      </c>
      <c r="V78">
        <v>2154078</v>
      </c>
      <c r="W78">
        <v>2143282</v>
      </c>
      <c r="X78">
        <v>2131606</v>
      </c>
      <c r="Y78">
        <v>2119133</v>
      </c>
      <c r="Z78">
        <v>2105942</v>
      </c>
      <c r="AA78">
        <v>2092111</v>
      </c>
      <c r="AB78">
        <v>2077711</v>
      </c>
      <c r="AC78">
        <v>2062809</v>
      </c>
      <c r="AD78">
        <v>2047471</v>
      </c>
      <c r="AE78">
        <v>2031756</v>
      </c>
      <c r="AF78">
        <v>2015720</v>
      </c>
      <c r="AG78">
        <v>1999417</v>
      </c>
      <c r="AH78">
        <v>1982893</v>
      </c>
      <c r="AI78">
        <v>1966193</v>
      </c>
      <c r="AJ78">
        <v>1949359</v>
      </c>
      <c r="AK78">
        <v>1932425</v>
      </c>
      <c r="AL78">
        <v>1915426</v>
      </c>
      <c r="AM78">
        <v>1898388</v>
      </c>
      <c r="AN78">
        <v>1881338</v>
      </c>
      <c r="AO78">
        <v>1864295</v>
      </c>
      <c r="AP78">
        <v>1847276</v>
      </c>
      <c r="AQ78">
        <v>1830295</v>
      </c>
      <c r="AR78">
        <v>1813359</v>
      </c>
      <c r="AS78">
        <v>1796474</v>
      </c>
      <c r="AT78">
        <v>1779641</v>
      </c>
      <c r="AU78">
        <v>1762856</v>
      </c>
      <c r="AV78">
        <v>1746113</v>
      </c>
    </row>
    <row r="79" spans="1:48" x14ac:dyDescent="0.15">
      <c r="A79" t="s">
        <v>105</v>
      </c>
      <c r="B79" t="s">
        <v>497</v>
      </c>
      <c r="C79" t="s">
        <v>427</v>
      </c>
      <c r="D79" s="5">
        <v>961285.75459949998</v>
      </c>
      <c r="E79" s="5">
        <v>966596.45735894796</v>
      </c>
      <c r="F79" s="5">
        <v>971379.26081691205</v>
      </c>
      <c r="G79" s="5">
        <v>684795</v>
      </c>
      <c r="H79">
        <v>689574</v>
      </c>
      <c r="I79">
        <v>693621</v>
      </c>
      <c r="J79">
        <v>696968</v>
      </c>
      <c r="K79">
        <v>699651</v>
      </c>
      <c r="L79">
        <v>701701</v>
      </c>
      <c r="M79">
        <v>703150</v>
      </c>
      <c r="N79">
        <v>704030</v>
      </c>
      <c r="O79">
        <v>704371</v>
      </c>
      <c r="P79">
        <v>704203</v>
      </c>
      <c r="Q79">
        <v>703553</v>
      </c>
      <c r="R79">
        <v>702451</v>
      </c>
      <c r="S79">
        <v>700924</v>
      </c>
      <c r="T79">
        <v>698998</v>
      </c>
      <c r="U79">
        <v>696699</v>
      </c>
      <c r="V79">
        <v>694053</v>
      </c>
      <c r="W79">
        <v>691082</v>
      </c>
      <c r="X79">
        <v>687811</v>
      </c>
      <c r="Y79">
        <v>684262</v>
      </c>
      <c r="Z79">
        <v>680458</v>
      </c>
      <c r="AA79">
        <v>676419</v>
      </c>
      <c r="AB79">
        <v>672166</v>
      </c>
      <c r="AC79">
        <v>667719</v>
      </c>
      <c r="AD79">
        <v>663096</v>
      </c>
      <c r="AE79">
        <v>658315</v>
      </c>
      <c r="AF79">
        <v>653394</v>
      </c>
      <c r="AG79">
        <v>648350</v>
      </c>
      <c r="AH79">
        <v>643198</v>
      </c>
      <c r="AI79">
        <v>637953</v>
      </c>
      <c r="AJ79">
        <v>632629</v>
      </c>
      <c r="AK79">
        <v>627240</v>
      </c>
      <c r="AL79">
        <v>621799</v>
      </c>
      <c r="AM79">
        <v>616317</v>
      </c>
      <c r="AN79">
        <v>610807</v>
      </c>
      <c r="AO79">
        <v>605277</v>
      </c>
      <c r="AP79">
        <v>599739</v>
      </c>
      <c r="AQ79">
        <v>594200</v>
      </c>
      <c r="AR79">
        <v>588669</v>
      </c>
      <c r="AS79">
        <v>583153</v>
      </c>
      <c r="AT79">
        <v>577659</v>
      </c>
      <c r="AU79">
        <v>572192</v>
      </c>
      <c r="AV79">
        <v>566759</v>
      </c>
    </row>
    <row r="80" spans="1:48" x14ac:dyDescent="0.15">
      <c r="A80" t="s">
        <v>106</v>
      </c>
      <c r="B80" t="s">
        <v>498</v>
      </c>
      <c r="C80" t="s">
        <v>427</v>
      </c>
      <c r="D80" s="5">
        <v>2902920.9126026202</v>
      </c>
      <c r="E80" s="5">
        <v>2915532.2306915801</v>
      </c>
      <c r="F80" s="5">
        <v>2926419.85464792</v>
      </c>
      <c r="G80" s="5">
        <v>2276881</v>
      </c>
      <c r="H80">
        <v>2290039</v>
      </c>
      <c r="I80">
        <v>2300308</v>
      </c>
      <c r="J80">
        <v>2307871</v>
      </c>
      <c r="K80">
        <v>2312906</v>
      </c>
      <c r="L80">
        <v>2315584</v>
      </c>
      <c r="M80">
        <v>2316070</v>
      </c>
      <c r="N80">
        <v>2314523</v>
      </c>
      <c r="O80">
        <v>2311096</v>
      </c>
      <c r="P80">
        <v>2305937</v>
      </c>
      <c r="Q80">
        <v>2299187</v>
      </c>
      <c r="R80">
        <v>2290981</v>
      </c>
      <c r="S80">
        <v>2281449</v>
      </c>
      <c r="T80">
        <v>2270713</v>
      </c>
      <c r="U80">
        <v>2258892</v>
      </c>
      <c r="V80">
        <v>2246096</v>
      </c>
      <c r="W80">
        <v>2232431</v>
      </c>
      <c r="X80">
        <v>2217998</v>
      </c>
      <c r="Y80">
        <v>2202888</v>
      </c>
      <c r="Z80">
        <v>2187190</v>
      </c>
      <c r="AA80">
        <v>2170985</v>
      </c>
      <c r="AB80">
        <v>2154349</v>
      </c>
      <c r="AC80">
        <v>2137351</v>
      </c>
      <c r="AD80">
        <v>2120056</v>
      </c>
      <c r="AE80">
        <v>2102520</v>
      </c>
      <c r="AF80">
        <v>2084796</v>
      </c>
      <c r="AG80">
        <v>2066929</v>
      </c>
      <c r="AH80">
        <v>2048959</v>
      </c>
      <c r="AI80">
        <v>2030920</v>
      </c>
      <c r="AJ80">
        <v>2012840</v>
      </c>
      <c r="AK80">
        <v>1994740</v>
      </c>
      <c r="AL80">
        <v>1976636</v>
      </c>
      <c r="AM80">
        <v>1958539</v>
      </c>
      <c r="AN80">
        <v>1940452</v>
      </c>
      <c r="AO80">
        <v>1922373</v>
      </c>
      <c r="AP80">
        <v>1904295</v>
      </c>
      <c r="AQ80">
        <v>1886203</v>
      </c>
      <c r="AR80">
        <v>1868077</v>
      </c>
      <c r="AS80">
        <v>1849892</v>
      </c>
      <c r="AT80">
        <v>1831615</v>
      </c>
      <c r="AU80">
        <v>1813209</v>
      </c>
      <c r="AV80">
        <v>1794630</v>
      </c>
    </row>
    <row r="81" spans="1:48" x14ac:dyDescent="0.15">
      <c r="A81" t="s">
        <v>107</v>
      </c>
      <c r="B81" t="s">
        <v>499</v>
      </c>
      <c r="C81" t="s">
        <v>427</v>
      </c>
      <c r="D81" s="5">
        <v>1735909.4192729399</v>
      </c>
      <c r="E81" s="5">
        <v>1743742.5950996899</v>
      </c>
      <c r="F81" s="5">
        <v>1750670.7974989901</v>
      </c>
      <c r="G81" s="5">
        <v>1279072</v>
      </c>
      <c r="H81">
        <v>1286328</v>
      </c>
      <c r="I81">
        <v>1292319</v>
      </c>
      <c r="J81">
        <v>1297101</v>
      </c>
      <c r="K81">
        <v>1300723</v>
      </c>
      <c r="L81">
        <v>1303238</v>
      </c>
      <c r="M81">
        <v>1304695</v>
      </c>
      <c r="N81">
        <v>1305145</v>
      </c>
      <c r="O81">
        <v>1304635</v>
      </c>
      <c r="P81">
        <v>1303215</v>
      </c>
      <c r="Q81">
        <v>1300931</v>
      </c>
      <c r="R81">
        <v>1297830</v>
      </c>
      <c r="S81">
        <v>1293958</v>
      </c>
      <c r="T81">
        <v>1289359</v>
      </c>
      <c r="U81">
        <v>1284079</v>
      </c>
      <c r="V81">
        <v>1278159</v>
      </c>
      <c r="W81">
        <v>1271644</v>
      </c>
      <c r="X81">
        <v>1264574</v>
      </c>
      <c r="Y81">
        <v>1256992</v>
      </c>
      <c r="Z81">
        <v>1248937</v>
      </c>
      <c r="AA81">
        <v>1240449</v>
      </c>
      <c r="AB81">
        <v>1231567</v>
      </c>
      <c r="AC81">
        <v>1222330</v>
      </c>
      <c r="AD81">
        <v>1212773</v>
      </c>
      <c r="AE81">
        <v>1202935</v>
      </c>
      <c r="AF81">
        <v>1192850</v>
      </c>
      <c r="AG81">
        <v>1182554</v>
      </c>
      <c r="AH81">
        <v>1172081</v>
      </c>
      <c r="AI81">
        <v>1161464</v>
      </c>
      <c r="AJ81">
        <v>1150737</v>
      </c>
      <c r="AK81">
        <v>1139931</v>
      </c>
      <c r="AL81">
        <v>1129077</v>
      </c>
      <c r="AM81">
        <v>1118206</v>
      </c>
      <c r="AN81">
        <v>1107348</v>
      </c>
      <c r="AO81">
        <v>1096531</v>
      </c>
      <c r="AP81">
        <v>1085784</v>
      </c>
      <c r="AQ81">
        <v>1075133</v>
      </c>
      <c r="AR81">
        <v>1064606</v>
      </c>
      <c r="AS81">
        <v>1054229</v>
      </c>
      <c r="AT81">
        <v>1044025</v>
      </c>
      <c r="AU81">
        <v>1034021</v>
      </c>
      <c r="AV81">
        <v>1024239</v>
      </c>
    </row>
    <row r="82" spans="1:48" x14ac:dyDescent="0.15">
      <c r="A82" t="s">
        <v>108</v>
      </c>
      <c r="B82" t="s">
        <v>500</v>
      </c>
      <c r="C82" t="s">
        <v>427</v>
      </c>
      <c r="D82" s="5">
        <v>5655756.7114322903</v>
      </c>
      <c r="E82" s="5">
        <v>5689029.4678594302</v>
      </c>
      <c r="F82" s="5">
        <v>5719457.1115235901</v>
      </c>
      <c r="G82" s="5">
        <v>3726207</v>
      </c>
      <c r="H82">
        <v>3755996</v>
      </c>
      <c r="I82">
        <v>3781222</v>
      </c>
      <c r="J82">
        <v>3802133</v>
      </c>
      <c r="K82">
        <v>3818970</v>
      </c>
      <c r="L82">
        <v>3831969</v>
      </c>
      <c r="M82">
        <v>3841358</v>
      </c>
      <c r="N82">
        <v>3847359</v>
      </c>
      <c r="O82">
        <v>3850186</v>
      </c>
      <c r="P82">
        <v>3850047</v>
      </c>
      <c r="Q82">
        <v>3847142</v>
      </c>
      <c r="R82">
        <v>3841667</v>
      </c>
      <c r="S82">
        <v>3833809</v>
      </c>
      <c r="T82">
        <v>3823747</v>
      </c>
      <c r="U82">
        <v>3811655</v>
      </c>
      <c r="V82">
        <v>3797701</v>
      </c>
      <c r="W82">
        <v>3782044</v>
      </c>
      <c r="X82">
        <v>3764837</v>
      </c>
      <c r="Y82">
        <v>3746227</v>
      </c>
      <c r="Z82">
        <v>3726353</v>
      </c>
      <c r="AA82">
        <v>3705347</v>
      </c>
      <c r="AB82">
        <v>3683336</v>
      </c>
      <c r="AC82">
        <v>3660438</v>
      </c>
      <c r="AD82">
        <v>3636766</v>
      </c>
      <c r="AE82">
        <v>3612424</v>
      </c>
      <c r="AF82">
        <v>3587512</v>
      </c>
      <c r="AG82">
        <v>3562120</v>
      </c>
      <c r="AH82">
        <v>3536333</v>
      </c>
      <c r="AI82">
        <v>3510231</v>
      </c>
      <c r="AJ82">
        <v>3483882</v>
      </c>
      <c r="AK82">
        <v>3457352</v>
      </c>
      <c r="AL82">
        <v>3430699</v>
      </c>
      <c r="AM82">
        <v>3403972</v>
      </c>
      <c r="AN82">
        <v>3377216</v>
      </c>
      <c r="AO82">
        <v>3350468</v>
      </c>
      <c r="AP82">
        <v>3323756</v>
      </c>
      <c r="AQ82">
        <v>3297106</v>
      </c>
      <c r="AR82">
        <v>3270533</v>
      </c>
      <c r="AS82">
        <v>3244047</v>
      </c>
      <c r="AT82">
        <v>3217650</v>
      </c>
      <c r="AU82">
        <v>3191338</v>
      </c>
      <c r="AV82">
        <v>3165101</v>
      </c>
    </row>
    <row r="83" spans="1:48" x14ac:dyDescent="0.15">
      <c r="A83" t="s">
        <v>109</v>
      </c>
      <c r="B83" t="s">
        <v>501</v>
      </c>
      <c r="C83" t="s">
        <v>427</v>
      </c>
      <c r="D83" s="5">
        <v>526704.46109357604</v>
      </c>
      <c r="E83" s="5">
        <v>528922.04668536503</v>
      </c>
      <c r="F83" s="5">
        <v>530903.44346406299</v>
      </c>
      <c r="G83" s="5">
        <v>329064</v>
      </c>
      <c r="H83">
        <v>331258</v>
      </c>
      <c r="I83">
        <v>332975</v>
      </c>
      <c r="J83">
        <v>334245</v>
      </c>
      <c r="K83">
        <v>335094</v>
      </c>
      <c r="L83">
        <v>335548</v>
      </c>
      <c r="M83">
        <v>335632</v>
      </c>
      <c r="N83">
        <v>335371</v>
      </c>
      <c r="O83">
        <v>334789</v>
      </c>
      <c r="P83">
        <v>333909</v>
      </c>
      <c r="Q83">
        <v>332753</v>
      </c>
      <c r="R83">
        <v>331343</v>
      </c>
      <c r="S83">
        <v>329698</v>
      </c>
      <c r="T83">
        <v>327841</v>
      </c>
      <c r="U83">
        <v>325788</v>
      </c>
      <c r="V83">
        <v>323560</v>
      </c>
      <c r="W83">
        <v>321173</v>
      </c>
      <c r="X83">
        <v>318644</v>
      </c>
      <c r="Y83">
        <v>315990</v>
      </c>
      <c r="Z83">
        <v>313226</v>
      </c>
      <c r="AA83">
        <v>310367</v>
      </c>
      <c r="AB83">
        <v>307426</v>
      </c>
      <c r="AC83">
        <v>304416</v>
      </c>
      <c r="AD83">
        <v>301350</v>
      </c>
      <c r="AE83">
        <v>298239</v>
      </c>
      <c r="AF83">
        <v>295094</v>
      </c>
      <c r="AG83">
        <v>291926</v>
      </c>
      <c r="AH83">
        <v>288742</v>
      </c>
      <c r="AI83">
        <v>285552</v>
      </c>
      <c r="AJ83">
        <v>282364</v>
      </c>
      <c r="AK83">
        <v>279183</v>
      </c>
      <c r="AL83">
        <v>276017</v>
      </c>
      <c r="AM83">
        <v>272871</v>
      </c>
      <c r="AN83">
        <v>269750</v>
      </c>
      <c r="AO83">
        <v>266656</v>
      </c>
      <c r="AP83">
        <v>263594</v>
      </c>
      <c r="AQ83">
        <v>260566</v>
      </c>
      <c r="AR83">
        <v>257573</v>
      </c>
      <c r="AS83">
        <v>254616</v>
      </c>
      <c r="AT83">
        <v>251695</v>
      </c>
      <c r="AU83">
        <v>248809</v>
      </c>
      <c r="AV83">
        <v>245956</v>
      </c>
    </row>
    <row r="84" spans="1:48" x14ac:dyDescent="0.15">
      <c r="A84" t="s">
        <v>110</v>
      </c>
      <c r="B84" t="s">
        <v>502</v>
      </c>
      <c r="C84" t="s">
        <v>428</v>
      </c>
      <c r="D84" s="5">
        <v>24176507.441344801</v>
      </c>
      <c r="E84" s="5">
        <v>24319761.273071501</v>
      </c>
      <c r="F84" s="5">
        <v>24444335.584909301</v>
      </c>
      <c r="G84" s="5">
        <v>24665393</v>
      </c>
      <c r="H84">
        <v>24866932</v>
      </c>
      <c r="I84">
        <v>25020844</v>
      </c>
      <c r="J84">
        <v>25131396</v>
      </c>
      <c r="K84">
        <v>25202668</v>
      </c>
      <c r="L84">
        <v>25238549</v>
      </c>
      <c r="M84">
        <v>25242740</v>
      </c>
      <c r="N84">
        <v>25218753</v>
      </c>
      <c r="O84">
        <v>25169909</v>
      </c>
      <c r="P84">
        <v>25099342</v>
      </c>
      <c r="Q84">
        <v>25009995</v>
      </c>
      <c r="R84">
        <v>24904622</v>
      </c>
      <c r="S84">
        <v>24785789</v>
      </c>
      <c r="T84">
        <v>24655873</v>
      </c>
      <c r="U84">
        <v>24517059</v>
      </c>
      <c r="V84">
        <v>24371345</v>
      </c>
      <c r="W84">
        <v>24220540</v>
      </c>
      <c r="X84">
        <v>24066263</v>
      </c>
      <c r="Y84">
        <v>23909945</v>
      </c>
      <c r="Z84">
        <v>23752824</v>
      </c>
      <c r="AA84">
        <v>23595954</v>
      </c>
      <c r="AB84">
        <v>23440196</v>
      </c>
      <c r="AC84">
        <v>23286223</v>
      </c>
      <c r="AD84">
        <v>23134520</v>
      </c>
      <c r="AE84">
        <v>22985381</v>
      </c>
      <c r="AF84">
        <v>22838910</v>
      </c>
      <c r="AG84">
        <v>22695025</v>
      </c>
      <c r="AH84">
        <v>22553453</v>
      </c>
      <c r="AI84">
        <v>22413731</v>
      </c>
      <c r="AJ84">
        <v>22275207</v>
      </c>
      <c r="AK84">
        <v>22137041</v>
      </c>
      <c r="AL84">
        <v>21998203</v>
      </c>
      <c r="AM84">
        <v>21857473</v>
      </c>
      <c r="AN84">
        <v>21713444</v>
      </c>
      <c r="AO84">
        <v>21564518</v>
      </c>
      <c r="AP84">
        <v>21408908</v>
      </c>
      <c r="AQ84">
        <v>21244638</v>
      </c>
      <c r="AR84">
        <v>21069542</v>
      </c>
      <c r="AS84">
        <v>20881266</v>
      </c>
      <c r="AT84">
        <v>20677267</v>
      </c>
      <c r="AU84">
        <v>20454811</v>
      </c>
      <c r="AV84">
        <v>20210977</v>
      </c>
    </row>
    <row r="85" spans="1:48" x14ac:dyDescent="0.15">
      <c r="A85" t="s">
        <v>112</v>
      </c>
      <c r="B85" t="s">
        <v>503</v>
      </c>
      <c r="C85" t="s">
        <v>428</v>
      </c>
      <c r="D85" s="5">
        <v>8460194.4326576199</v>
      </c>
      <c r="E85" s="5">
        <v>8525581.6679772902</v>
      </c>
      <c r="F85" s="5">
        <v>8585370.1145717409</v>
      </c>
      <c r="G85" s="5">
        <v>9201164</v>
      </c>
      <c r="H85">
        <v>9313670</v>
      </c>
      <c r="I85">
        <v>9406605</v>
      </c>
      <c r="J85">
        <v>9481607</v>
      </c>
      <c r="K85">
        <v>9540246</v>
      </c>
      <c r="L85">
        <v>9584023</v>
      </c>
      <c r="M85">
        <v>9614369</v>
      </c>
      <c r="N85">
        <v>9632646</v>
      </c>
      <c r="O85">
        <v>9640148</v>
      </c>
      <c r="P85">
        <v>9638100</v>
      </c>
      <c r="Q85">
        <v>9627655</v>
      </c>
      <c r="R85">
        <v>9609902</v>
      </c>
      <c r="S85">
        <v>9585855</v>
      </c>
      <c r="T85">
        <v>9556465</v>
      </c>
      <c r="U85">
        <v>9522609</v>
      </c>
      <c r="V85">
        <v>9485098</v>
      </c>
      <c r="W85">
        <v>9444671</v>
      </c>
      <c r="X85">
        <v>9402002</v>
      </c>
      <c r="Y85">
        <v>9357692</v>
      </c>
      <c r="Z85">
        <v>9312275</v>
      </c>
      <c r="AA85">
        <v>9266216</v>
      </c>
      <c r="AB85">
        <v>9219910</v>
      </c>
      <c r="AC85">
        <v>9173684</v>
      </c>
      <c r="AD85">
        <v>9127794</v>
      </c>
      <c r="AE85">
        <v>9082429</v>
      </c>
      <c r="AF85">
        <v>9037709</v>
      </c>
      <c r="AG85">
        <v>8993683</v>
      </c>
      <c r="AH85">
        <v>8950331</v>
      </c>
      <c r="AI85">
        <v>8907567</v>
      </c>
      <c r="AJ85">
        <v>8865234</v>
      </c>
      <c r="AK85">
        <v>8823103</v>
      </c>
      <c r="AL85">
        <v>8780882</v>
      </c>
      <c r="AM85">
        <v>8738205</v>
      </c>
      <c r="AN85">
        <v>8694638</v>
      </c>
      <c r="AO85">
        <v>8649680</v>
      </c>
      <c r="AP85">
        <v>8602759</v>
      </c>
      <c r="AQ85">
        <v>8553233</v>
      </c>
      <c r="AR85">
        <v>8500394</v>
      </c>
      <c r="AS85">
        <v>8443463</v>
      </c>
      <c r="AT85">
        <v>8381592</v>
      </c>
      <c r="AU85">
        <v>8313863</v>
      </c>
      <c r="AV85">
        <v>8239292</v>
      </c>
    </row>
    <row r="86" spans="1:48" x14ac:dyDescent="0.15">
      <c r="A86" t="s">
        <v>113</v>
      </c>
      <c r="B86" t="s">
        <v>504</v>
      </c>
      <c r="C86" t="s">
        <v>428</v>
      </c>
      <c r="D86" s="5">
        <v>6673521.97006437</v>
      </c>
      <c r="E86" s="5">
        <v>6714246.9571630498</v>
      </c>
      <c r="F86" s="5">
        <v>6750787.4061454497</v>
      </c>
      <c r="G86" s="5">
        <v>7392350</v>
      </c>
      <c r="H86">
        <v>7461190</v>
      </c>
      <c r="I86">
        <v>7517286</v>
      </c>
      <c r="J86">
        <v>7561616</v>
      </c>
      <c r="K86">
        <v>7595114</v>
      </c>
      <c r="L86">
        <v>7618680</v>
      </c>
      <c r="M86">
        <v>7633173</v>
      </c>
      <c r="N86">
        <v>7639413</v>
      </c>
      <c r="O86">
        <v>7638182</v>
      </c>
      <c r="P86">
        <v>7630225</v>
      </c>
      <c r="Q86">
        <v>7616247</v>
      </c>
      <c r="R86">
        <v>7596913</v>
      </c>
      <c r="S86">
        <v>7572853</v>
      </c>
      <c r="T86">
        <v>7544655</v>
      </c>
      <c r="U86">
        <v>7512869</v>
      </c>
      <c r="V86">
        <v>7478009</v>
      </c>
      <c r="W86">
        <v>7440547</v>
      </c>
      <c r="X86">
        <v>7400919</v>
      </c>
      <c r="Y86">
        <v>7359520</v>
      </c>
      <c r="Z86">
        <v>7316710</v>
      </c>
      <c r="AA86">
        <v>7272806</v>
      </c>
      <c r="AB86">
        <v>7228089</v>
      </c>
      <c r="AC86">
        <v>7182802</v>
      </c>
      <c r="AD86">
        <v>7137148</v>
      </c>
      <c r="AE86">
        <v>7091292</v>
      </c>
      <c r="AF86">
        <v>7045359</v>
      </c>
      <c r="AG86">
        <v>6999438</v>
      </c>
      <c r="AH86">
        <v>6953578</v>
      </c>
      <c r="AI86">
        <v>6907788</v>
      </c>
      <c r="AJ86">
        <v>6862042</v>
      </c>
      <c r="AK86">
        <v>6816271</v>
      </c>
      <c r="AL86">
        <v>6770372</v>
      </c>
      <c r="AM86">
        <v>6724199</v>
      </c>
      <c r="AN86">
        <v>6677571</v>
      </c>
      <c r="AO86">
        <v>6630267</v>
      </c>
      <c r="AP86">
        <v>6582026</v>
      </c>
      <c r="AQ86">
        <v>6532550</v>
      </c>
      <c r="AR86">
        <v>6481504</v>
      </c>
      <c r="AS86">
        <v>6428510</v>
      </c>
      <c r="AT86">
        <v>6373155</v>
      </c>
      <c r="AU86">
        <v>6314988</v>
      </c>
      <c r="AV86">
        <v>6253515</v>
      </c>
    </row>
    <row r="87" spans="1:48" x14ac:dyDescent="0.15">
      <c r="A87" t="s">
        <v>114</v>
      </c>
      <c r="B87" t="s">
        <v>505</v>
      </c>
      <c r="C87" t="s">
        <v>428</v>
      </c>
      <c r="D87" s="5">
        <v>8885714.3384228498</v>
      </c>
      <c r="E87" s="5">
        <v>8920371.2879773602</v>
      </c>
      <c r="F87" s="5">
        <v>8951104.3891273607</v>
      </c>
      <c r="G87" s="5">
        <v>9046781</v>
      </c>
      <c r="H87">
        <v>9082593</v>
      </c>
      <c r="I87">
        <v>9118643</v>
      </c>
      <c r="J87">
        <v>9154403</v>
      </c>
      <c r="K87">
        <v>9189381</v>
      </c>
      <c r="L87">
        <v>9223118</v>
      </c>
      <c r="M87">
        <v>9255191</v>
      </c>
      <c r="N87">
        <v>9285212</v>
      </c>
      <c r="O87">
        <v>9312826</v>
      </c>
      <c r="P87">
        <v>9337715</v>
      </c>
      <c r="Q87">
        <v>9359596</v>
      </c>
      <c r="R87">
        <v>9378220</v>
      </c>
      <c r="S87">
        <v>9393371</v>
      </c>
      <c r="T87">
        <v>9404871</v>
      </c>
      <c r="U87">
        <v>9412576</v>
      </c>
      <c r="V87">
        <v>9416376</v>
      </c>
      <c r="W87">
        <v>9416196</v>
      </c>
      <c r="X87">
        <v>9411997</v>
      </c>
      <c r="Y87">
        <v>9403774</v>
      </c>
      <c r="Z87">
        <v>9391555</v>
      </c>
      <c r="AA87">
        <v>9375408</v>
      </c>
      <c r="AB87">
        <v>9355430</v>
      </c>
      <c r="AC87">
        <v>9331756</v>
      </c>
      <c r="AD87">
        <v>9304557</v>
      </c>
      <c r="AE87">
        <v>9274035</v>
      </c>
      <c r="AF87">
        <v>9240430</v>
      </c>
      <c r="AG87">
        <v>9204017</v>
      </c>
      <c r="AH87">
        <v>9165104</v>
      </c>
      <c r="AI87">
        <v>9124034</v>
      </c>
      <c r="AJ87">
        <v>9081186</v>
      </c>
      <c r="AK87">
        <v>9036974</v>
      </c>
      <c r="AL87">
        <v>8991845</v>
      </c>
      <c r="AM87">
        <v>8946284</v>
      </c>
      <c r="AN87">
        <v>8900807</v>
      </c>
      <c r="AO87">
        <v>8855968</v>
      </c>
      <c r="AP87">
        <v>8812355</v>
      </c>
      <c r="AQ87">
        <v>8770590</v>
      </c>
      <c r="AR87">
        <v>8731331</v>
      </c>
      <c r="AS87">
        <v>8695269</v>
      </c>
      <c r="AT87">
        <v>8663133</v>
      </c>
      <c r="AU87">
        <v>8635683</v>
      </c>
      <c r="AV87">
        <v>8613718</v>
      </c>
    </row>
    <row r="88" spans="1:48" x14ac:dyDescent="0.15">
      <c r="A88" t="s">
        <v>115</v>
      </c>
      <c r="B88" t="s">
        <v>506</v>
      </c>
      <c r="C88" t="s">
        <v>428</v>
      </c>
      <c r="D88" s="5">
        <v>4778390.9560818803</v>
      </c>
      <c r="E88" s="5">
        <v>4803645.93663288</v>
      </c>
      <c r="F88" s="5">
        <v>4826286.5283603203</v>
      </c>
      <c r="G88" s="5">
        <v>5235407</v>
      </c>
      <c r="H88">
        <v>5277425</v>
      </c>
      <c r="I88">
        <v>5312118</v>
      </c>
      <c r="J88">
        <v>5339970</v>
      </c>
      <c r="K88">
        <v>5361450</v>
      </c>
      <c r="L88">
        <v>5377008</v>
      </c>
      <c r="M88">
        <v>5387080</v>
      </c>
      <c r="N88">
        <v>5392084</v>
      </c>
      <c r="O88">
        <v>5392419</v>
      </c>
      <c r="P88">
        <v>5388472</v>
      </c>
      <c r="Q88">
        <v>5380609</v>
      </c>
      <c r="R88">
        <v>5369182</v>
      </c>
      <c r="S88">
        <v>5354525</v>
      </c>
      <c r="T88">
        <v>5336955</v>
      </c>
      <c r="U88">
        <v>5316774</v>
      </c>
      <c r="V88">
        <v>5294265</v>
      </c>
      <c r="W88">
        <v>5269697</v>
      </c>
      <c r="X88">
        <v>5243320</v>
      </c>
      <c r="Y88">
        <v>5215368</v>
      </c>
      <c r="Z88">
        <v>5186058</v>
      </c>
      <c r="AA88">
        <v>5155591</v>
      </c>
      <c r="AB88">
        <v>5124151</v>
      </c>
      <c r="AC88">
        <v>5091906</v>
      </c>
      <c r="AD88">
        <v>5059005</v>
      </c>
      <c r="AE88">
        <v>5025583</v>
      </c>
      <c r="AF88">
        <v>4991756</v>
      </c>
      <c r="AG88">
        <v>4957626</v>
      </c>
      <c r="AH88">
        <v>4923275</v>
      </c>
      <c r="AI88">
        <v>4888771</v>
      </c>
      <c r="AJ88">
        <v>4854164</v>
      </c>
      <c r="AK88">
        <v>4819488</v>
      </c>
      <c r="AL88">
        <v>4784759</v>
      </c>
      <c r="AM88">
        <v>4749977</v>
      </c>
      <c r="AN88">
        <v>4715127</v>
      </c>
      <c r="AO88">
        <v>4680174</v>
      </c>
      <c r="AP88">
        <v>4645069</v>
      </c>
      <c r="AQ88">
        <v>4609745</v>
      </c>
      <c r="AR88">
        <v>4574118</v>
      </c>
      <c r="AS88">
        <v>4538089</v>
      </c>
      <c r="AT88">
        <v>4501541</v>
      </c>
      <c r="AU88">
        <v>4464339</v>
      </c>
      <c r="AV88">
        <v>4426335</v>
      </c>
    </row>
    <row r="89" spans="1:48" x14ac:dyDescent="0.15">
      <c r="A89" t="s">
        <v>116</v>
      </c>
      <c r="B89" t="s">
        <v>507</v>
      </c>
      <c r="C89" t="s">
        <v>428</v>
      </c>
      <c r="D89" s="5">
        <v>11146741.907923801</v>
      </c>
      <c r="E89" s="5">
        <v>11247330.804095499</v>
      </c>
      <c r="F89" s="5">
        <v>11340202.195374999</v>
      </c>
      <c r="G89" s="5">
        <v>12569180</v>
      </c>
      <c r="H89">
        <v>12746872</v>
      </c>
      <c r="I89">
        <v>12895384</v>
      </c>
      <c r="J89">
        <v>13017255</v>
      </c>
      <c r="K89">
        <v>13114916</v>
      </c>
      <c r="L89">
        <v>13190684</v>
      </c>
      <c r="M89">
        <v>13246766</v>
      </c>
      <c r="N89">
        <v>13285257</v>
      </c>
      <c r="O89">
        <v>13308140</v>
      </c>
      <c r="P89">
        <v>13317288</v>
      </c>
      <c r="Q89">
        <v>13314460</v>
      </c>
      <c r="R89">
        <v>13301307</v>
      </c>
      <c r="S89">
        <v>13279365</v>
      </c>
      <c r="T89">
        <v>13250062</v>
      </c>
      <c r="U89">
        <v>13214711</v>
      </c>
      <c r="V89">
        <v>13174516</v>
      </c>
      <c r="W89">
        <v>13130570</v>
      </c>
      <c r="X89">
        <v>13083851</v>
      </c>
      <c r="Y89">
        <v>13035229</v>
      </c>
      <c r="Z89">
        <v>12985462</v>
      </c>
      <c r="AA89">
        <v>12935195</v>
      </c>
      <c r="AB89">
        <v>12884963</v>
      </c>
      <c r="AC89">
        <v>12835189</v>
      </c>
      <c r="AD89">
        <v>12786184</v>
      </c>
      <c r="AE89">
        <v>12738148</v>
      </c>
      <c r="AF89">
        <v>12691170</v>
      </c>
      <c r="AG89">
        <v>12645228</v>
      </c>
      <c r="AH89">
        <v>12600186</v>
      </c>
      <c r="AI89">
        <v>12555799</v>
      </c>
      <c r="AJ89">
        <v>12511710</v>
      </c>
      <c r="AK89">
        <v>12467449</v>
      </c>
      <c r="AL89">
        <v>12422438</v>
      </c>
      <c r="AM89">
        <v>12375983</v>
      </c>
      <c r="AN89">
        <v>12327282</v>
      </c>
      <c r="AO89">
        <v>12275421</v>
      </c>
      <c r="AP89">
        <v>12219372</v>
      </c>
      <c r="AQ89">
        <v>12158000</v>
      </c>
      <c r="AR89">
        <v>12090053</v>
      </c>
      <c r="AS89">
        <v>12014173</v>
      </c>
      <c r="AT89">
        <v>11928887</v>
      </c>
      <c r="AU89">
        <v>11832612</v>
      </c>
      <c r="AV89">
        <v>11723652</v>
      </c>
    </row>
    <row r="90" spans="1:48" x14ac:dyDescent="0.15">
      <c r="A90" t="s">
        <v>117</v>
      </c>
      <c r="B90" t="s">
        <v>508</v>
      </c>
      <c r="C90" t="s">
        <v>428</v>
      </c>
      <c r="D90" s="5">
        <v>7301391.7109892797</v>
      </c>
      <c r="E90" s="5">
        <v>7297018.8766101599</v>
      </c>
      <c r="F90" s="5">
        <v>7289495.99503233</v>
      </c>
      <c r="G90" s="5">
        <v>7722742</v>
      </c>
      <c r="H90">
        <v>7724740</v>
      </c>
      <c r="I90">
        <v>7719534</v>
      </c>
      <c r="J90">
        <v>7707514</v>
      </c>
      <c r="K90">
        <v>7689063</v>
      </c>
      <c r="L90">
        <v>7664557</v>
      </c>
      <c r="M90">
        <v>7634369</v>
      </c>
      <c r="N90">
        <v>7598862</v>
      </c>
      <c r="O90">
        <v>7558398</v>
      </c>
      <c r="P90">
        <v>7513328</v>
      </c>
      <c r="Q90">
        <v>7464002</v>
      </c>
      <c r="R90">
        <v>7410760</v>
      </c>
      <c r="S90">
        <v>7353939</v>
      </c>
      <c r="T90">
        <v>7293870</v>
      </c>
      <c r="U90">
        <v>7230875</v>
      </c>
      <c r="V90">
        <v>7165275</v>
      </c>
      <c r="W90">
        <v>7097381</v>
      </c>
      <c r="X90">
        <v>7027500</v>
      </c>
      <c r="Y90">
        <v>6955933</v>
      </c>
      <c r="Z90">
        <v>6882975</v>
      </c>
      <c r="AA90">
        <v>6808914</v>
      </c>
      <c r="AB90">
        <v>6734036</v>
      </c>
      <c r="AC90">
        <v>6658616</v>
      </c>
      <c r="AD90">
        <v>6582926</v>
      </c>
      <c r="AE90">
        <v>6507233</v>
      </c>
      <c r="AF90">
        <v>6431795</v>
      </c>
      <c r="AG90">
        <v>6356867</v>
      </c>
      <c r="AH90">
        <v>6282697</v>
      </c>
      <c r="AI90">
        <v>6209528</v>
      </c>
      <c r="AJ90">
        <v>6137595</v>
      </c>
      <c r="AK90">
        <v>6067129</v>
      </c>
      <c r="AL90">
        <v>5998355</v>
      </c>
      <c r="AM90">
        <v>5931491</v>
      </c>
      <c r="AN90">
        <v>5866752</v>
      </c>
      <c r="AO90">
        <v>5804342</v>
      </c>
      <c r="AP90">
        <v>5744465</v>
      </c>
      <c r="AQ90">
        <v>5687315</v>
      </c>
      <c r="AR90">
        <v>5633082</v>
      </c>
      <c r="AS90">
        <v>5581950</v>
      </c>
      <c r="AT90">
        <v>5534096</v>
      </c>
      <c r="AU90">
        <v>5489692</v>
      </c>
      <c r="AV90">
        <v>5448904</v>
      </c>
    </row>
    <row r="91" spans="1:48" x14ac:dyDescent="0.15">
      <c r="A91" t="s">
        <v>118</v>
      </c>
      <c r="B91" t="s">
        <v>509</v>
      </c>
      <c r="C91" t="s">
        <v>428</v>
      </c>
      <c r="D91" s="5">
        <v>4550247.7935707001</v>
      </c>
      <c r="E91" s="5">
        <v>4571113.9480656702</v>
      </c>
      <c r="F91" s="5">
        <v>4590567.0531709697</v>
      </c>
      <c r="G91" s="5">
        <v>4573982</v>
      </c>
      <c r="H91">
        <v>4598847</v>
      </c>
      <c r="I91">
        <v>4623910</v>
      </c>
      <c r="J91">
        <v>4648848</v>
      </c>
      <c r="K91">
        <v>4673355</v>
      </c>
      <c r="L91">
        <v>4697149</v>
      </c>
      <c r="M91">
        <v>4719970</v>
      </c>
      <c r="N91">
        <v>4741581</v>
      </c>
      <c r="O91">
        <v>4761765</v>
      </c>
      <c r="P91">
        <v>4780329</v>
      </c>
      <c r="Q91">
        <v>4797101</v>
      </c>
      <c r="R91">
        <v>4811932</v>
      </c>
      <c r="S91">
        <v>4824693</v>
      </c>
      <c r="T91">
        <v>4835280</v>
      </c>
      <c r="U91">
        <v>4843608</v>
      </c>
      <c r="V91">
        <v>4849617</v>
      </c>
      <c r="W91">
        <v>4853267</v>
      </c>
      <c r="X91">
        <v>4854542</v>
      </c>
      <c r="Y91">
        <v>4853445</v>
      </c>
      <c r="Z91">
        <v>4850005</v>
      </c>
      <c r="AA91">
        <v>4844269</v>
      </c>
      <c r="AB91">
        <v>4836310</v>
      </c>
      <c r="AC91">
        <v>4826220</v>
      </c>
      <c r="AD91">
        <v>4814114</v>
      </c>
      <c r="AE91">
        <v>4800131</v>
      </c>
      <c r="AF91">
        <v>4784428</v>
      </c>
      <c r="AG91">
        <v>4767189</v>
      </c>
      <c r="AH91">
        <v>4748616</v>
      </c>
      <c r="AI91">
        <v>4728935</v>
      </c>
      <c r="AJ91">
        <v>4708393</v>
      </c>
      <c r="AK91">
        <v>4687262</v>
      </c>
      <c r="AL91">
        <v>4665831</v>
      </c>
      <c r="AM91">
        <v>4644416</v>
      </c>
      <c r="AN91">
        <v>4623352</v>
      </c>
      <c r="AO91">
        <v>4602998</v>
      </c>
      <c r="AP91">
        <v>4583733</v>
      </c>
      <c r="AQ91">
        <v>4565960</v>
      </c>
      <c r="AR91">
        <v>4550103</v>
      </c>
      <c r="AS91">
        <v>4536608</v>
      </c>
      <c r="AT91">
        <v>4525945</v>
      </c>
      <c r="AU91">
        <v>4518603</v>
      </c>
      <c r="AV91">
        <v>4515095</v>
      </c>
    </row>
    <row r="92" spans="1:48" x14ac:dyDescent="0.15">
      <c r="A92" t="s">
        <v>119</v>
      </c>
      <c r="B92" t="s">
        <v>510</v>
      </c>
      <c r="C92" t="s">
        <v>428</v>
      </c>
      <c r="D92" s="5">
        <v>4934945.7077003801</v>
      </c>
      <c r="E92" s="5">
        <v>4952357.14632075</v>
      </c>
      <c r="F92" s="5">
        <v>4968199.7916917196</v>
      </c>
      <c r="G92" s="5">
        <v>4534779</v>
      </c>
      <c r="H92">
        <v>4555718</v>
      </c>
      <c r="I92">
        <v>4575690</v>
      </c>
      <c r="J92">
        <v>4594483</v>
      </c>
      <c r="K92">
        <v>4611906</v>
      </c>
      <c r="L92">
        <v>4627781</v>
      </c>
      <c r="M92">
        <v>4641950</v>
      </c>
      <c r="N92">
        <v>4654271</v>
      </c>
      <c r="O92">
        <v>4664622</v>
      </c>
      <c r="P92">
        <v>4672896</v>
      </c>
      <c r="Q92">
        <v>4679003</v>
      </c>
      <c r="R92">
        <v>4682873</v>
      </c>
      <c r="S92">
        <v>4684452</v>
      </c>
      <c r="T92">
        <v>4683704</v>
      </c>
      <c r="U92">
        <v>4680608</v>
      </c>
      <c r="V92">
        <v>4675164</v>
      </c>
      <c r="W92">
        <v>4667388</v>
      </c>
      <c r="X92">
        <v>4657312</v>
      </c>
      <c r="Y92">
        <v>4644988</v>
      </c>
      <c r="Z92">
        <v>4630483</v>
      </c>
      <c r="AA92">
        <v>4613884</v>
      </c>
      <c r="AB92">
        <v>4595293</v>
      </c>
      <c r="AC92">
        <v>4574831</v>
      </c>
      <c r="AD92">
        <v>4552636</v>
      </c>
      <c r="AE92">
        <v>4528863</v>
      </c>
      <c r="AF92">
        <v>4503685</v>
      </c>
      <c r="AG92">
        <v>4477292</v>
      </c>
      <c r="AH92">
        <v>4449892</v>
      </c>
      <c r="AI92">
        <v>4421711</v>
      </c>
      <c r="AJ92">
        <v>4392990</v>
      </c>
      <c r="AK92">
        <v>4363990</v>
      </c>
      <c r="AL92">
        <v>4334988</v>
      </c>
      <c r="AM92">
        <v>4306280</v>
      </c>
      <c r="AN92">
        <v>4278177</v>
      </c>
      <c r="AO92">
        <v>4251010</v>
      </c>
      <c r="AP92">
        <v>4225125</v>
      </c>
      <c r="AQ92">
        <v>4200888</v>
      </c>
      <c r="AR92">
        <v>4178680</v>
      </c>
      <c r="AS92">
        <v>4158902</v>
      </c>
      <c r="AT92">
        <v>4141969</v>
      </c>
      <c r="AU92">
        <v>4128318</v>
      </c>
      <c r="AV92">
        <v>4118399</v>
      </c>
    </row>
    <row r="93" spans="1:48" x14ac:dyDescent="0.15">
      <c r="A93" t="s">
        <v>120</v>
      </c>
      <c r="B93" t="s">
        <v>511</v>
      </c>
      <c r="C93" t="s">
        <v>428</v>
      </c>
      <c r="D93" s="5">
        <v>7439716.6699006399</v>
      </c>
      <c r="E93" s="5">
        <v>7453540.8580618296</v>
      </c>
      <c r="F93" s="5">
        <v>7463235.31922861</v>
      </c>
      <c r="G93" s="5">
        <v>6699417</v>
      </c>
      <c r="H93">
        <v>6708761</v>
      </c>
      <c r="I93">
        <v>6715325</v>
      </c>
      <c r="J93">
        <v>6719041</v>
      </c>
      <c r="K93">
        <v>6719854</v>
      </c>
      <c r="L93">
        <v>6717721</v>
      </c>
      <c r="M93">
        <v>6712611</v>
      </c>
      <c r="N93">
        <v>6704505</v>
      </c>
      <c r="O93">
        <v>6693398</v>
      </c>
      <c r="P93">
        <v>6679297</v>
      </c>
      <c r="Q93">
        <v>6662219</v>
      </c>
      <c r="R93">
        <v>6642197</v>
      </c>
      <c r="S93">
        <v>6619272</v>
      </c>
      <c r="T93">
        <v>6593503</v>
      </c>
      <c r="U93">
        <v>6564955</v>
      </c>
      <c r="V93">
        <v>6533711</v>
      </c>
      <c r="W93">
        <v>6499862</v>
      </c>
      <c r="X93">
        <v>6463515</v>
      </c>
      <c r="Y93">
        <v>6424787</v>
      </c>
      <c r="Z93">
        <v>6383807</v>
      </c>
      <c r="AA93">
        <v>6340719</v>
      </c>
      <c r="AB93">
        <v>6295676</v>
      </c>
      <c r="AC93">
        <v>6248846</v>
      </c>
      <c r="AD93">
        <v>6200408</v>
      </c>
      <c r="AE93">
        <v>6150554</v>
      </c>
      <c r="AF93">
        <v>6099488</v>
      </c>
      <c r="AG93">
        <v>6047427</v>
      </c>
      <c r="AH93">
        <v>5994600</v>
      </c>
      <c r="AI93">
        <v>5941247</v>
      </c>
      <c r="AJ93">
        <v>5887622</v>
      </c>
      <c r="AK93">
        <v>5833991</v>
      </c>
      <c r="AL93">
        <v>5780632</v>
      </c>
      <c r="AM93">
        <v>5727837</v>
      </c>
      <c r="AN93">
        <v>5675907</v>
      </c>
      <c r="AO93">
        <v>5625158</v>
      </c>
      <c r="AP93">
        <v>5575919</v>
      </c>
      <c r="AQ93">
        <v>5528528</v>
      </c>
      <c r="AR93">
        <v>5483339</v>
      </c>
      <c r="AS93">
        <v>5440716</v>
      </c>
      <c r="AT93">
        <v>5401037</v>
      </c>
      <c r="AU93">
        <v>5364690</v>
      </c>
      <c r="AV93">
        <v>5332078</v>
      </c>
    </row>
    <row r="94" spans="1:48" x14ac:dyDescent="0.15">
      <c r="A94" t="s">
        <v>121</v>
      </c>
      <c r="B94" t="s">
        <v>512</v>
      </c>
      <c r="C94" t="s">
        <v>428</v>
      </c>
      <c r="D94" s="5">
        <v>4547874.9969105097</v>
      </c>
      <c r="E94" s="5">
        <v>4558100.94808493</v>
      </c>
      <c r="F94" s="5">
        <v>4566268.4200057602</v>
      </c>
      <c r="G94" s="5">
        <v>4541825</v>
      </c>
      <c r="H94">
        <v>4559153</v>
      </c>
      <c r="I94">
        <v>4571867</v>
      </c>
      <c r="J94">
        <v>4580186</v>
      </c>
      <c r="K94">
        <v>4584331</v>
      </c>
      <c r="L94">
        <v>4584516</v>
      </c>
      <c r="M94">
        <v>4580954</v>
      </c>
      <c r="N94">
        <v>4573854</v>
      </c>
      <c r="O94">
        <v>4563422</v>
      </c>
      <c r="P94">
        <v>4549860</v>
      </c>
      <c r="Q94">
        <v>4533368</v>
      </c>
      <c r="R94">
        <v>4514141</v>
      </c>
      <c r="S94">
        <v>4492373</v>
      </c>
      <c r="T94">
        <v>4468254</v>
      </c>
      <c r="U94">
        <v>4441969</v>
      </c>
      <c r="V94">
        <v>4413702</v>
      </c>
      <c r="W94">
        <v>4383634</v>
      </c>
      <c r="X94">
        <v>4351940</v>
      </c>
      <c r="Y94">
        <v>4318795</v>
      </c>
      <c r="Z94">
        <v>4284368</v>
      </c>
      <c r="AA94">
        <v>4248827</v>
      </c>
      <c r="AB94">
        <v>4212335</v>
      </c>
      <c r="AC94">
        <v>4175054</v>
      </c>
      <c r="AD94">
        <v>4137141</v>
      </c>
      <c r="AE94">
        <v>4098749</v>
      </c>
      <c r="AF94">
        <v>4060030</v>
      </c>
      <c r="AG94">
        <v>4021132</v>
      </c>
      <c r="AH94">
        <v>3982198</v>
      </c>
      <c r="AI94">
        <v>3943371</v>
      </c>
      <c r="AJ94">
        <v>3904789</v>
      </c>
      <c r="AK94">
        <v>3866585</v>
      </c>
      <c r="AL94">
        <v>3828893</v>
      </c>
      <c r="AM94">
        <v>3791839</v>
      </c>
      <c r="AN94">
        <v>3755550</v>
      </c>
      <c r="AO94">
        <v>3720147</v>
      </c>
      <c r="AP94">
        <v>3685749</v>
      </c>
      <c r="AQ94">
        <v>3652471</v>
      </c>
      <c r="AR94">
        <v>3620425</v>
      </c>
      <c r="AS94">
        <v>3589722</v>
      </c>
      <c r="AT94">
        <v>3560465</v>
      </c>
      <c r="AU94">
        <v>3532759</v>
      </c>
      <c r="AV94">
        <v>3506702</v>
      </c>
    </row>
    <row r="95" spans="1:48" x14ac:dyDescent="0.15">
      <c r="A95" t="s">
        <v>122</v>
      </c>
      <c r="B95" t="s">
        <v>513</v>
      </c>
      <c r="C95" t="s">
        <v>428</v>
      </c>
      <c r="D95" s="5">
        <v>3214947.1574449898</v>
      </c>
      <c r="E95" s="5">
        <v>3228637.5033753398</v>
      </c>
      <c r="F95" s="5">
        <v>3240668.9584512501</v>
      </c>
      <c r="G95" s="5">
        <v>3187683</v>
      </c>
      <c r="H95">
        <v>3209998</v>
      </c>
      <c r="I95">
        <v>3227599</v>
      </c>
      <c r="J95">
        <v>3240794</v>
      </c>
      <c r="K95">
        <v>3249881</v>
      </c>
      <c r="L95">
        <v>3255148</v>
      </c>
      <c r="M95">
        <v>3256873</v>
      </c>
      <c r="N95">
        <v>3255326</v>
      </c>
      <c r="O95">
        <v>3250765</v>
      </c>
      <c r="P95">
        <v>3243439</v>
      </c>
      <c r="Q95">
        <v>3233587</v>
      </c>
      <c r="R95">
        <v>3221439</v>
      </c>
      <c r="S95">
        <v>3207215</v>
      </c>
      <c r="T95">
        <v>3191124</v>
      </c>
      <c r="U95">
        <v>3173366</v>
      </c>
      <c r="V95">
        <v>3154132</v>
      </c>
      <c r="W95">
        <v>3133602</v>
      </c>
      <c r="X95">
        <v>3111948</v>
      </c>
      <c r="Y95">
        <v>3089329</v>
      </c>
      <c r="Z95">
        <v>3065897</v>
      </c>
      <c r="AA95">
        <v>3041793</v>
      </c>
      <c r="AB95">
        <v>3017149</v>
      </c>
      <c r="AC95">
        <v>2992087</v>
      </c>
      <c r="AD95">
        <v>2966718</v>
      </c>
      <c r="AE95">
        <v>2941145</v>
      </c>
      <c r="AF95">
        <v>2915460</v>
      </c>
      <c r="AG95">
        <v>2889746</v>
      </c>
      <c r="AH95">
        <v>2864075</v>
      </c>
      <c r="AI95">
        <v>2838510</v>
      </c>
      <c r="AJ95">
        <v>2813105</v>
      </c>
      <c r="AK95">
        <v>2787903</v>
      </c>
      <c r="AL95">
        <v>2762937</v>
      </c>
      <c r="AM95">
        <v>2738232</v>
      </c>
      <c r="AN95">
        <v>2713801</v>
      </c>
      <c r="AO95">
        <v>2689649</v>
      </c>
      <c r="AP95">
        <v>2665770</v>
      </c>
      <c r="AQ95">
        <v>2642149</v>
      </c>
      <c r="AR95">
        <v>2618760</v>
      </c>
      <c r="AS95">
        <v>2595569</v>
      </c>
      <c r="AT95">
        <v>2572531</v>
      </c>
      <c r="AU95">
        <v>2549591</v>
      </c>
      <c r="AV95">
        <v>2526685</v>
      </c>
    </row>
    <row r="96" spans="1:48" x14ac:dyDescent="0.15">
      <c r="A96" t="s">
        <v>123</v>
      </c>
      <c r="B96" t="s">
        <v>514</v>
      </c>
      <c r="C96" t="s">
        <v>428</v>
      </c>
      <c r="D96" s="5">
        <v>4673561.2817016896</v>
      </c>
      <c r="E96" s="5">
        <v>4676629.4945435803</v>
      </c>
      <c r="F96" s="5">
        <v>4677550.2490407703</v>
      </c>
      <c r="G96" s="5">
        <v>4506995</v>
      </c>
      <c r="H96">
        <v>4511936</v>
      </c>
      <c r="I96">
        <v>4513695</v>
      </c>
      <c r="J96">
        <v>4512369</v>
      </c>
      <c r="K96">
        <v>4508055</v>
      </c>
      <c r="L96">
        <v>4500853</v>
      </c>
      <c r="M96">
        <v>4490868</v>
      </c>
      <c r="N96">
        <v>4478205</v>
      </c>
      <c r="O96">
        <v>4462970</v>
      </c>
      <c r="P96">
        <v>4445274</v>
      </c>
      <c r="Q96">
        <v>4425229</v>
      </c>
      <c r="R96">
        <v>4402949</v>
      </c>
      <c r="S96">
        <v>4378552</v>
      </c>
      <c r="T96">
        <v>4352157</v>
      </c>
      <c r="U96">
        <v>4323885</v>
      </c>
      <c r="V96">
        <v>4293859</v>
      </c>
      <c r="W96">
        <v>4262207</v>
      </c>
      <c r="X96">
        <v>4229056</v>
      </c>
      <c r="Y96">
        <v>4194538</v>
      </c>
      <c r="Z96">
        <v>4158785</v>
      </c>
      <c r="AA96">
        <v>4121932</v>
      </c>
      <c r="AB96">
        <v>4084118</v>
      </c>
      <c r="AC96">
        <v>4045483</v>
      </c>
      <c r="AD96">
        <v>4006168</v>
      </c>
      <c r="AE96">
        <v>3966319</v>
      </c>
      <c r="AF96">
        <v>3926083</v>
      </c>
      <c r="AG96">
        <v>3885608</v>
      </c>
      <c r="AH96">
        <v>3845047</v>
      </c>
      <c r="AI96">
        <v>3804553</v>
      </c>
      <c r="AJ96">
        <v>3764283</v>
      </c>
      <c r="AK96">
        <v>3724394</v>
      </c>
      <c r="AL96">
        <v>3685049</v>
      </c>
      <c r="AM96">
        <v>3646410</v>
      </c>
      <c r="AN96">
        <v>3608643</v>
      </c>
      <c r="AO96">
        <v>3571916</v>
      </c>
      <c r="AP96">
        <v>3536399</v>
      </c>
      <c r="AQ96">
        <v>3502263</v>
      </c>
      <c r="AR96">
        <v>3469685</v>
      </c>
      <c r="AS96">
        <v>3438841</v>
      </c>
      <c r="AT96">
        <v>3409911</v>
      </c>
      <c r="AU96">
        <v>3383075</v>
      </c>
      <c r="AV96">
        <v>3358520</v>
      </c>
    </row>
    <row r="97" spans="1:48" x14ac:dyDescent="0.15">
      <c r="A97" t="s">
        <v>124</v>
      </c>
      <c r="B97" t="s">
        <v>515</v>
      </c>
      <c r="C97" t="s">
        <v>428</v>
      </c>
      <c r="D97" s="5">
        <v>4871612.4331064001</v>
      </c>
      <c r="E97" s="5">
        <v>4892733.8833618602</v>
      </c>
      <c r="F97" s="5">
        <v>4912586.4042924</v>
      </c>
      <c r="G97" s="5">
        <v>4957674</v>
      </c>
      <c r="H97">
        <v>4985596</v>
      </c>
      <c r="I97">
        <v>5013669</v>
      </c>
      <c r="J97">
        <v>5041538</v>
      </c>
      <c r="K97">
        <v>5068870</v>
      </c>
      <c r="L97">
        <v>5095360</v>
      </c>
      <c r="M97">
        <v>5120725</v>
      </c>
      <c r="N97">
        <v>5144705</v>
      </c>
      <c r="O97">
        <v>5167068</v>
      </c>
      <c r="P97">
        <v>5187601</v>
      </c>
      <c r="Q97">
        <v>5206119</v>
      </c>
      <c r="R97">
        <v>5222459</v>
      </c>
      <c r="S97">
        <v>5236484</v>
      </c>
      <c r="T97">
        <v>5248080</v>
      </c>
      <c r="U97">
        <v>5257156</v>
      </c>
      <c r="V97">
        <v>5263646</v>
      </c>
      <c r="W97">
        <v>5267510</v>
      </c>
      <c r="X97">
        <v>5268729</v>
      </c>
      <c r="Y97">
        <v>5267311</v>
      </c>
      <c r="Z97">
        <v>5263285</v>
      </c>
      <c r="AA97">
        <v>5256706</v>
      </c>
      <c r="AB97">
        <v>5247654</v>
      </c>
      <c r="AC97">
        <v>5236230</v>
      </c>
      <c r="AD97">
        <v>5222563</v>
      </c>
      <c r="AE97">
        <v>5206804</v>
      </c>
      <c r="AF97">
        <v>5189127</v>
      </c>
      <c r="AG97">
        <v>5169733</v>
      </c>
      <c r="AH97">
        <v>5148844</v>
      </c>
      <c r="AI97">
        <v>5126708</v>
      </c>
      <c r="AJ97">
        <v>5103597</v>
      </c>
      <c r="AK97">
        <v>5079807</v>
      </c>
      <c r="AL97">
        <v>5055658</v>
      </c>
      <c r="AM97">
        <v>5031493</v>
      </c>
      <c r="AN97">
        <v>5007681</v>
      </c>
      <c r="AO97">
        <v>4984614</v>
      </c>
      <c r="AP97">
        <v>4962709</v>
      </c>
      <c r="AQ97">
        <v>4942405</v>
      </c>
      <c r="AR97">
        <v>4924168</v>
      </c>
      <c r="AS97">
        <v>4908485</v>
      </c>
      <c r="AT97">
        <v>4895871</v>
      </c>
      <c r="AU97">
        <v>4886862</v>
      </c>
      <c r="AV97">
        <v>4882018</v>
      </c>
    </row>
    <row r="98" spans="1:48" x14ac:dyDescent="0.15">
      <c r="A98" t="s">
        <v>126</v>
      </c>
      <c r="B98" t="s">
        <v>516</v>
      </c>
      <c r="C98" t="s">
        <v>428</v>
      </c>
      <c r="D98" s="5">
        <v>9124989.2443767693</v>
      </c>
      <c r="E98" s="5">
        <v>9182197.8712432496</v>
      </c>
      <c r="F98" s="5">
        <v>9233911.3154064901</v>
      </c>
      <c r="G98" s="5">
        <v>11825607</v>
      </c>
      <c r="H98">
        <v>11934679</v>
      </c>
      <c r="I98">
        <v>12025292</v>
      </c>
      <c r="J98">
        <v>12098835</v>
      </c>
      <c r="K98">
        <v>12156643</v>
      </c>
      <c r="L98">
        <v>12199996</v>
      </c>
      <c r="M98">
        <v>12230117</v>
      </c>
      <c r="N98">
        <v>12248173</v>
      </c>
      <c r="O98">
        <v>12255277</v>
      </c>
      <c r="P98">
        <v>12252485</v>
      </c>
      <c r="Q98">
        <v>12240799</v>
      </c>
      <c r="R98">
        <v>12221164</v>
      </c>
      <c r="S98">
        <v>12194470</v>
      </c>
      <c r="T98">
        <v>12161550</v>
      </c>
      <c r="U98">
        <v>12123184</v>
      </c>
      <c r="V98">
        <v>12080095</v>
      </c>
      <c r="W98">
        <v>12032949</v>
      </c>
      <c r="X98">
        <v>11982360</v>
      </c>
      <c r="Y98">
        <v>11928882</v>
      </c>
      <c r="Z98">
        <v>11873017</v>
      </c>
      <c r="AA98">
        <v>11815210</v>
      </c>
      <c r="AB98">
        <v>11755850</v>
      </c>
      <c r="AC98">
        <v>11695271</v>
      </c>
      <c r="AD98">
        <v>11633751</v>
      </c>
      <c r="AE98">
        <v>11571512</v>
      </c>
      <c r="AF98">
        <v>11508723</v>
      </c>
      <c r="AG98">
        <v>11445493</v>
      </c>
      <c r="AH98">
        <v>11381880</v>
      </c>
      <c r="AI98">
        <v>11317882</v>
      </c>
      <c r="AJ98">
        <v>11253446</v>
      </c>
      <c r="AK98">
        <v>11188459</v>
      </c>
      <c r="AL98">
        <v>11122756</v>
      </c>
      <c r="AM98">
        <v>11056113</v>
      </c>
      <c r="AN98">
        <v>10988254</v>
      </c>
      <c r="AO98">
        <v>10918844</v>
      </c>
      <c r="AP98">
        <v>10847495</v>
      </c>
      <c r="AQ98">
        <v>10773763</v>
      </c>
      <c r="AR98">
        <v>10697147</v>
      </c>
      <c r="AS98">
        <v>10617090</v>
      </c>
      <c r="AT98">
        <v>10532983</v>
      </c>
      <c r="AU98">
        <v>10444157</v>
      </c>
      <c r="AV98">
        <v>10349891</v>
      </c>
    </row>
    <row r="99" spans="1:48" x14ac:dyDescent="0.15">
      <c r="A99" t="s">
        <v>127</v>
      </c>
      <c r="B99" t="s">
        <v>517</v>
      </c>
      <c r="C99" t="s">
        <v>428</v>
      </c>
      <c r="D99" s="5">
        <v>7950751.8920876402</v>
      </c>
      <c r="E99" s="5">
        <v>7995908.6942383498</v>
      </c>
      <c r="F99" s="5">
        <v>8036363.6796994098</v>
      </c>
      <c r="G99" s="5">
        <v>9328517</v>
      </c>
      <c r="H99">
        <v>9403258</v>
      </c>
      <c r="I99">
        <v>9465130</v>
      </c>
      <c r="J99">
        <v>9515010</v>
      </c>
      <c r="K99">
        <v>9553746</v>
      </c>
      <c r="L99">
        <v>9582149</v>
      </c>
      <c r="M99">
        <v>9601001</v>
      </c>
      <c r="N99">
        <v>9611048</v>
      </c>
      <c r="O99">
        <v>9613007</v>
      </c>
      <c r="P99">
        <v>9607559</v>
      </c>
      <c r="Q99">
        <v>9595355</v>
      </c>
      <c r="R99">
        <v>9577011</v>
      </c>
      <c r="S99">
        <v>9553114</v>
      </c>
      <c r="T99">
        <v>9524215</v>
      </c>
      <c r="U99">
        <v>9490833</v>
      </c>
      <c r="V99">
        <v>9453456</v>
      </c>
      <c r="W99">
        <v>9412538</v>
      </c>
      <c r="X99">
        <v>9368501</v>
      </c>
      <c r="Y99">
        <v>9321733</v>
      </c>
      <c r="Z99">
        <v>9272592</v>
      </c>
      <c r="AA99">
        <v>9221400</v>
      </c>
      <c r="AB99">
        <v>9168451</v>
      </c>
      <c r="AC99">
        <v>9114002</v>
      </c>
      <c r="AD99">
        <v>9058279</v>
      </c>
      <c r="AE99">
        <v>9001476</v>
      </c>
      <c r="AF99">
        <v>8943754</v>
      </c>
      <c r="AG99">
        <v>8885242</v>
      </c>
      <c r="AH99">
        <v>8826034</v>
      </c>
      <c r="AI99">
        <v>8766194</v>
      </c>
      <c r="AJ99">
        <v>8705752</v>
      </c>
      <c r="AK99">
        <v>8644707</v>
      </c>
      <c r="AL99">
        <v>8583024</v>
      </c>
      <c r="AM99">
        <v>8520635</v>
      </c>
      <c r="AN99">
        <v>8457440</v>
      </c>
      <c r="AO99">
        <v>8393307</v>
      </c>
      <c r="AP99">
        <v>8328071</v>
      </c>
      <c r="AQ99">
        <v>8261534</v>
      </c>
      <c r="AR99">
        <v>8193466</v>
      </c>
      <c r="AS99">
        <v>8123603</v>
      </c>
      <c r="AT99">
        <v>8051650</v>
      </c>
      <c r="AU99">
        <v>7977279</v>
      </c>
      <c r="AV99">
        <v>7900129</v>
      </c>
    </row>
    <row r="100" spans="1:48" x14ac:dyDescent="0.15">
      <c r="A100" t="s">
        <v>128</v>
      </c>
      <c r="B100" t="s">
        <v>518</v>
      </c>
      <c r="C100" t="s">
        <v>428</v>
      </c>
      <c r="D100" s="5">
        <v>9619619.5560419802</v>
      </c>
      <c r="E100" s="5">
        <v>9687480.7114659194</v>
      </c>
      <c r="F100" s="5">
        <v>9750259.1848017797</v>
      </c>
      <c r="G100" s="5">
        <v>9483536</v>
      </c>
      <c r="H100">
        <v>9571975</v>
      </c>
      <c r="I100">
        <v>9651426</v>
      </c>
      <c r="J100">
        <v>9722351</v>
      </c>
      <c r="K100">
        <v>9785201</v>
      </c>
      <c r="L100">
        <v>9840407</v>
      </c>
      <c r="M100">
        <v>9888386</v>
      </c>
      <c r="N100">
        <v>9929540</v>
      </c>
      <c r="O100">
        <v>9964254</v>
      </c>
      <c r="P100">
        <v>9992897</v>
      </c>
      <c r="Q100">
        <v>10015825</v>
      </c>
      <c r="R100">
        <v>10033375</v>
      </c>
      <c r="S100">
        <v>10045869</v>
      </c>
      <c r="T100">
        <v>10053615</v>
      </c>
      <c r="U100">
        <v>10056904</v>
      </c>
      <c r="V100">
        <v>10056011</v>
      </c>
      <c r="W100">
        <v>10051195</v>
      </c>
      <c r="X100">
        <v>10042700</v>
      </c>
      <c r="Y100">
        <v>10030756</v>
      </c>
      <c r="Z100">
        <v>10015573</v>
      </c>
      <c r="AA100">
        <v>9997349</v>
      </c>
      <c r="AB100">
        <v>9976264</v>
      </c>
      <c r="AC100">
        <v>9952485</v>
      </c>
      <c r="AD100">
        <v>9926160</v>
      </c>
      <c r="AE100">
        <v>9897423</v>
      </c>
      <c r="AF100">
        <v>9866392</v>
      </c>
      <c r="AG100">
        <v>9833169</v>
      </c>
      <c r="AH100">
        <v>9797842</v>
      </c>
      <c r="AI100">
        <v>9760480</v>
      </c>
      <c r="AJ100">
        <v>9721139</v>
      </c>
      <c r="AK100">
        <v>9679859</v>
      </c>
      <c r="AL100">
        <v>9636662</v>
      </c>
      <c r="AM100">
        <v>9591557</v>
      </c>
      <c r="AN100">
        <v>9544536</v>
      </c>
      <c r="AO100">
        <v>9495575</v>
      </c>
      <c r="AP100">
        <v>9444635</v>
      </c>
      <c r="AQ100">
        <v>9391661</v>
      </c>
      <c r="AR100">
        <v>9336582</v>
      </c>
      <c r="AS100">
        <v>9279312</v>
      </c>
      <c r="AT100">
        <v>9219748</v>
      </c>
      <c r="AU100">
        <v>9157773</v>
      </c>
      <c r="AV100">
        <v>9093252</v>
      </c>
    </row>
    <row r="101" spans="1:48" x14ac:dyDescent="0.15">
      <c r="A101" t="s">
        <v>129</v>
      </c>
      <c r="B101" t="s">
        <v>519</v>
      </c>
      <c r="C101" t="s">
        <v>428</v>
      </c>
      <c r="D101" s="5">
        <v>4661224.1425734004</v>
      </c>
      <c r="E101" s="5">
        <v>4683817.1149586197</v>
      </c>
      <c r="F101" s="5">
        <v>4704273.59328424</v>
      </c>
      <c r="G101" s="5">
        <v>5359073</v>
      </c>
      <c r="H101">
        <v>5400227</v>
      </c>
      <c r="I101">
        <v>5434255</v>
      </c>
      <c r="J101">
        <v>5461602</v>
      </c>
      <c r="K101">
        <v>5482703</v>
      </c>
      <c r="L101">
        <v>5497977</v>
      </c>
      <c r="M101">
        <v>5507827</v>
      </c>
      <c r="N101">
        <v>5512644</v>
      </c>
      <c r="O101">
        <v>5512803</v>
      </c>
      <c r="P101">
        <v>5508666</v>
      </c>
      <c r="Q101">
        <v>5500580</v>
      </c>
      <c r="R101">
        <v>5488878</v>
      </c>
      <c r="S101">
        <v>5473879</v>
      </c>
      <c r="T101">
        <v>5455886</v>
      </c>
      <c r="U101">
        <v>5435189</v>
      </c>
      <c r="V101">
        <v>5412064</v>
      </c>
      <c r="W101">
        <v>5386773</v>
      </c>
      <c r="X101">
        <v>5359562</v>
      </c>
      <c r="Y101">
        <v>5330663</v>
      </c>
      <c r="Z101">
        <v>5300296</v>
      </c>
      <c r="AA101">
        <v>5268664</v>
      </c>
      <c r="AB101">
        <v>5235956</v>
      </c>
      <c r="AC101">
        <v>5202349</v>
      </c>
      <c r="AD101">
        <v>5168003</v>
      </c>
      <c r="AE101">
        <v>5133065</v>
      </c>
      <c r="AF101">
        <v>5097667</v>
      </c>
      <c r="AG101">
        <v>5061928</v>
      </c>
      <c r="AH101">
        <v>5025950</v>
      </c>
      <c r="AI101">
        <v>4989825</v>
      </c>
      <c r="AJ101">
        <v>4953627</v>
      </c>
      <c r="AK101">
        <v>4917416</v>
      </c>
      <c r="AL101">
        <v>4881240</v>
      </c>
      <c r="AM101">
        <v>4845131</v>
      </c>
      <c r="AN101">
        <v>4809105</v>
      </c>
      <c r="AO101">
        <v>4773168</v>
      </c>
      <c r="AP101">
        <v>4737309</v>
      </c>
      <c r="AQ101">
        <v>4701502</v>
      </c>
      <c r="AR101">
        <v>4665707</v>
      </c>
      <c r="AS101">
        <v>4629872</v>
      </c>
      <c r="AT101">
        <v>4593929</v>
      </c>
      <c r="AU101">
        <v>4557795</v>
      </c>
      <c r="AV101">
        <v>4521373</v>
      </c>
    </row>
    <row r="102" spans="1:48" x14ac:dyDescent="0.15">
      <c r="A102" t="s">
        <v>130</v>
      </c>
      <c r="B102" t="s">
        <v>520</v>
      </c>
      <c r="C102" t="s">
        <v>428</v>
      </c>
      <c r="D102" s="5">
        <v>2973378.39537171</v>
      </c>
      <c r="E102" s="5">
        <v>2983908.8540916601</v>
      </c>
      <c r="F102" s="5">
        <v>2993118.3388721501</v>
      </c>
      <c r="G102" s="5">
        <v>3347680</v>
      </c>
      <c r="H102">
        <v>3367126</v>
      </c>
      <c r="I102">
        <v>3382623</v>
      </c>
      <c r="J102">
        <v>3394394</v>
      </c>
      <c r="K102">
        <v>3402656</v>
      </c>
      <c r="L102">
        <v>3407621</v>
      </c>
      <c r="M102">
        <v>3409495</v>
      </c>
      <c r="N102">
        <v>3408478</v>
      </c>
      <c r="O102">
        <v>3404763</v>
      </c>
      <c r="P102">
        <v>3398540</v>
      </c>
      <c r="Q102">
        <v>3389991</v>
      </c>
      <c r="R102">
        <v>3379291</v>
      </c>
      <c r="S102">
        <v>3366611</v>
      </c>
      <c r="T102">
        <v>3352116</v>
      </c>
      <c r="U102">
        <v>3335965</v>
      </c>
      <c r="V102">
        <v>3318309</v>
      </c>
      <c r="W102">
        <v>3299297</v>
      </c>
      <c r="X102">
        <v>3279069</v>
      </c>
      <c r="Y102">
        <v>3257760</v>
      </c>
      <c r="Z102">
        <v>3235500</v>
      </c>
      <c r="AA102">
        <v>3212411</v>
      </c>
      <c r="AB102">
        <v>3188611</v>
      </c>
      <c r="AC102">
        <v>3164212</v>
      </c>
      <c r="AD102">
        <v>3139320</v>
      </c>
      <c r="AE102">
        <v>3114033</v>
      </c>
      <c r="AF102">
        <v>3088446</v>
      </c>
      <c r="AG102">
        <v>3062647</v>
      </c>
      <c r="AH102">
        <v>3036718</v>
      </c>
      <c r="AI102">
        <v>3010735</v>
      </c>
      <c r="AJ102">
        <v>2984768</v>
      </c>
      <c r="AK102">
        <v>2958881</v>
      </c>
      <c r="AL102">
        <v>2933134</v>
      </c>
      <c r="AM102">
        <v>2907578</v>
      </c>
      <c r="AN102">
        <v>2882261</v>
      </c>
      <c r="AO102">
        <v>2857223</v>
      </c>
      <c r="AP102">
        <v>2832498</v>
      </c>
      <c r="AQ102">
        <v>2808117</v>
      </c>
      <c r="AR102">
        <v>2784101</v>
      </c>
      <c r="AS102">
        <v>2760469</v>
      </c>
      <c r="AT102">
        <v>2737232</v>
      </c>
      <c r="AU102">
        <v>2714394</v>
      </c>
      <c r="AV102">
        <v>2691956</v>
      </c>
    </row>
    <row r="103" spans="1:48" x14ac:dyDescent="0.15">
      <c r="A103" t="s">
        <v>131</v>
      </c>
      <c r="B103" t="s">
        <v>521</v>
      </c>
      <c r="C103" t="s">
        <v>428</v>
      </c>
      <c r="D103" s="5">
        <v>5046980.5130442102</v>
      </c>
      <c r="E103" s="5">
        <v>5066133.3785317596</v>
      </c>
      <c r="F103" s="5">
        <v>5083396.6784123098</v>
      </c>
      <c r="G103" s="5">
        <v>5239214</v>
      </c>
      <c r="H103">
        <v>5270296</v>
      </c>
      <c r="I103">
        <v>5296216</v>
      </c>
      <c r="J103">
        <v>5317189</v>
      </c>
      <c r="K103">
        <v>5333427</v>
      </c>
      <c r="L103">
        <v>5345143</v>
      </c>
      <c r="M103">
        <v>5352545</v>
      </c>
      <c r="N103">
        <v>5355838</v>
      </c>
      <c r="O103">
        <v>5355228</v>
      </c>
      <c r="P103">
        <v>5350915</v>
      </c>
      <c r="Q103">
        <v>5343099</v>
      </c>
      <c r="R103">
        <v>5331975</v>
      </c>
      <c r="S103">
        <v>5317739</v>
      </c>
      <c r="T103">
        <v>5300582</v>
      </c>
      <c r="U103">
        <v>5280694</v>
      </c>
      <c r="V103">
        <v>5258262</v>
      </c>
      <c r="W103">
        <v>5233471</v>
      </c>
      <c r="X103">
        <v>5206502</v>
      </c>
      <c r="Y103">
        <v>5177536</v>
      </c>
      <c r="Z103">
        <v>5146751</v>
      </c>
      <c r="AA103">
        <v>5114321</v>
      </c>
      <c r="AB103">
        <v>5080419</v>
      </c>
      <c r="AC103">
        <v>5045215</v>
      </c>
      <c r="AD103">
        <v>5008879</v>
      </c>
      <c r="AE103">
        <v>4971574</v>
      </c>
      <c r="AF103">
        <v>4933465</v>
      </c>
      <c r="AG103">
        <v>4894711</v>
      </c>
      <c r="AH103">
        <v>4855472</v>
      </c>
      <c r="AI103">
        <v>4815904</v>
      </c>
      <c r="AJ103">
        <v>4776159</v>
      </c>
      <c r="AK103">
        <v>4736390</v>
      </c>
      <c r="AL103">
        <v>4696745</v>
      </c>
      <c r="AM103">
        <v>4657370</v>
      </c>
      <c r="AN103">
        <v>4618410</v>
      </c>
      <c r="AO103">
        <v>4580006</v>
      </c>
      <c r="AP103">
        <v>4542298</v>
      </c>
      <c r="AQ103">
        <v>4505422</v>
      </c>
      <c r="AR103">
        <v>4469512</v>
      </c>
      <c r="AS103">
        <v>4434701</v>
      </c>
      <c r="AT103">
        <v>4401119</v>
      </c>
      <c r="AU103">
        <v>4368893</v>
      </c>
      <c r="AV103">
        <v>4338147</v>
      </c>
    </row>
    <row r="104" spans="1:48" x14ac:dyDescent="0.15">
      <c r="A104" t="s">
        <v>132</v>
      </c>
      <c r="B104" t="s">
        <v>522</v>
      </c>
      <c r="C104" t="s">
        <v>428</v>
      </c>
      <c r="D104" s="5">
        <v>5583190.2926724004</v>
      </c>
      <c r="E104" s="5">
        <v>5611723.6714513199</v>
      </c>
      <c r="F104" s="5">
        <v>5637489.0411296599</v>
      </c>
      <c r="G104" s="5">
        <v>7002840</v>
      </c>
      <c r="H104">
        <v>7049902</v>
      </c>
      <c r="I104">
        <v>7091311</v>
      </c>
      <c r="J104">
        <v>7127290</v>
      </c>
      <c r="K104">
        <v>7158059</v>
      </c>
      <c r="L104">
        <v>7183834</v>
      </c>
      <c r="M104">
        <v>7204826</v>
      </c>
      <c r="N104">
        <v>7221243</v>
      </c>
      <c r="O104">
        <v>7233288</v>
      </c>
      <c r="P104">
        <v>7241160</v>
      </c>
      <c r="Q104">
        <v>7245054</v>
      </c>
      <c r="R104">
        <v>7245162</v>
      </c>
      <c r="S104">
        <v>7241669</v>
      </c>
      <c r="T104">
        <v>7234760</v>
      </c>
      <c r="U104">
        <v>7224611</v>
      </c>
      <c r="V104">
        <v>7211398</v>
      </c>
      <c r="W104">
        <v>7195290</v>
      </c>
      <c r="X104">
        <v>7176455</v>
      </c>
      <c r="Y104">
        <v>7155053</v>
      </c>
      <c r="Z104">
        <v>7131243</v>
      </c>
      <c r="AA104">
        <v>7105179</v>
      </c>
      <c r="AB104">
        <v>7077010</v>
      </c>
      <c r="AC104">
        <v>7046882</v>
      </c>
      <c r="AD104">
        <v>7014936</v>
      </c>
      <c r="AE104">
        <v>6981309</v>
      </c>
      <c r="AF104">
        <v>6946134</v>
      </c>
      <c r="AG104">
        <v>6909541</v>
      </c>
      <c r="AH104">
        <v>6871654</v>
      </c>
      <c r="AI104">
        <v>6832595</v>
      </c>
      <c r="AJ104">
        <v>6792478</v>
      </c>
      <c r="AK104">
        <v>6751418</v>
      </c>
      <c r="AL104">
        <v>6709522</v>
      </c>
      <c r="AM104">
        <v>6666895</v>
      </c>
      <c r="AN104">
        <v>6623637</v>
      </c>
      <c r="AO104">
        <v>6579843</v>
      </c>
      <c r="AP104">
        <v>6535605</v>
      </c>
      <c r="AQ104">
        <v>6491012</v>
      </c>
      <c r="AR104">
        <v>6446147</v>
      </c>
      <c r="AS104">
        <v>6401089</v>
      </c>
      <c r="AT104">
        <v>6355913</v>
      </c>
      <c r="AU104">
        <v>6310691</v>
      </c>
      <c r="AV104">
        <v>6265489</v>
      </c>
    </row>
    <row r="105" spans="1:48" x14ac:dyDescent="0.15">
      <c r="A105" t="s">
        <v>133</v>
      </c>
      <c r="B105" t="s">
        <v>523</v>
      </c>
      <c r="C105" t="s">
        <v>428</v>
      </c>
      <c r="D105" s="5">
        <v>2146255.9415322701</v>
      </c>
      <c r="E105" s="5">
        <v>2146518.0671038101</v>
      </c>
      <c r="F105" s="5">
        <v>2145949.6206429498</v>
      </c>
      <c r="G105" s="5">
        <v>2278969</v>
      </c>
      <c r="H105">
        <v>2275824</v>
      </c>
      <c r="I105">
        <v>2273049</v>
      </c>
      <c r="J105">
        <v>2270469</v>
      </c>
      <c r="K105">
        <v>2267923</v>
      </c>
      <c r="L105">
        <v>2265260</v>
      </c>
      <c r="M105">
        <v>2262340</v>
      </c>
      <c r="N105">
        <v>2259036</v>
      </c>
      <c r="O105">
        <v>2255233</v>
      </c>
      <c r="P105">
        <v>2250827</v>
      </c>
      <c r="Q105">
        <v>2245723</v>
      </c>
      <c r="R105">
        <v>2239842</v>
      </c>
      <c r="S105">
        <v>2233115</v>
      </c>
      <c r="T105">
        <v>2225482</v>
      </c>
      <c r="U105">
        <v>2216899</v>
      </c>
      <c r="V105">
        <v>2207330</v>
      </c>
      <c r="W105">
        <v>2196753</v>
      </c>
      <c r="X105">
        <v>2185155</v>
      </c>
      <c r="Y105">
        <v>2172539</v>
      </c>
      <c r="Z105">
        <v>2158914</v>
      </c>
      <c r="AA105">
        <v>2144306</v>
      </c>
      <c r="AB105">
        <v>2128748</v>
      </c>
      <c r="AC105">
        <v>2112287</v>
      </c>
      <c r="AD105">
        <v>2094983</v>
      </c>
      <c r="AE105">
        <v>2076904</v>
      </c>
      <c r="AF105">
        <v>2058133</v>
      </c>
      <c r="AG105">
        <v>2038762</v>
      </c>
      <c r="AH105">
        <v>2018895</v>
      </c>
      <c r="AI105">
        <v>1998651</v>
      </c>
      <c r="AJ105">
        <v>1978156</v>
      </c>
      <c r="AK105">
        <v>1957550</v>
      </c>
      <c r="AL105">
        <v>1936984</v>
      </c>
      <c r="AM105">
        <v>1916621</v>
      </c>
      <c r="AN105">
        <v>1896635</v>
      </c>
      <c r="AO105">
        <v>1877213</v>
      </c>
      <c r="AP105">
        <v>1858551</v>
      </c>
      <c r="AQ105">
        <v>1840860</v>
      </c>
      <c r="AR105">
        <v>1824360</v>
      </c>
      <c r="AS105">
        <v>1809284</v>
      </c>
      <c r="AT105">
        <v>1795875</v>
      </c>
      <c r="AU105">
        <v>1784390</v>
      </c>
      <c r="AV105">
        <v>1775095</v>
      </c>
    </row>
    <row r="106" spans="1:48" x14ac:dyDescent="0.15">
      <c r="A106" t="s">
        <v>134</v>
      </c>
      <c r="B106" t="s">
        <v>524</v>
      </c>
      <c r="C106" t="s">
        <v>428</v>
      </c>
      <c r="D106" s="5">
        <v>1157291.4511984801</v>
      </c>
      <c r="E106" s="5">
        <v>1160989.9950594399</v>
      </c>
      <c r="F106" s="5">
        <v>1163937.9340793299</v>
      </c>
      <c r="G106" s="5">
        <v>1152761</v>
      </c>
      <c r="H106">
        <v>1157664</v>
      </c>
      <c r="I106">
        <v>1161088</v>
      </c>
      <c r="J106">
        <v>1163132</v>
      </c>
      <c r="K106">
        <v>1163891</v>
      </c>
      <c r="L106">
        <v>1163456</v>
      </c>
      <c r="M106">
        <v>1161916</v>
      </c>
      <c r="N106">
        <v>1159354</v>
      </c>
      <c r="O106">
        <v>1155854</v>
      </c>
      <c r="P106">
        <v>1151492</v>
      </c>
      <c r="Q106">
        <v>1146345</v>
      </c>
      <c r="R106">
        <v>1140483</v>
      </c>
      <c r="S106">
        <v>1133975</v>
      </c>
      <c r="T106">
        <v>1126887</v>
      </c>
      <c r="U106">
        <v>1119279</v>
      </c>
      <c r="V106">
        <v>1111210</v>
      </c>
      <c r="W106">
        <v>1102736</v>
      </c>
      <c r="X106">
        <v>1093908</v>
      </c>
      <c r="Y106">
        <v>1084775</v>
      </c>
      <c r="Z106">
        <v>1075382</v>
      </c>
      <c r="AA106">
        <v>1065770</v>
      </c>
      <c r="AB106">
        <v>1055979</v>
      </c>
      <c r="AC106">
        <v>1046044</v>
      </c>
      <c r="AD106">
        <v>1035997</v>
      </c>
      <c r="AE106">
        <v>1025867</v>
      </c>
      <c r="AF106">
        <v>1015678</v>
      </c>
      <c r="AG106">
        <v>1005453</v>
      </c>
      <c r="AH106">
        <v>995211</v>
      </c>
      <c r="AI106">
        <v>984968</v>
      </c>
      <c r="AJ106">
        <v>974735</v>
      </c>
      <c r="AK106">
        <v>964521</v>
      </c>
      <c r="AL106">
        <v>954332</v>
      </c>
      <c r="AM106">
        <v>944171</v>
      </c>
      <c r="AN106">
        <v>934035</v>
      </c>
      <c r="AO106">
        <v>923922</v>
      </c>
      <c r="AP106">
        <v>913822</v>
      </c>
      <c r="AQ106">
        <v>903726</v>
      </c>
      <c r="AR106">
        <v>893619</v>
      </c>
      <c r="AS106">
        <v>883483</v>
      </c>
      <c r="AT106">
        <v>873298</v>
      </c>
      <c r="AU106">
        <v>863039</v>
      </c>
      <c r="AV106">
        <v>852679</v>
      </c>
    </row>
    <row r="107" spans="1:48" x14ac:dyDescent="0.15">
      <c r="A107" t="s">
        <v>135</v>
      </c>
      <c r="B107" t="s">
        <v>525</v>
      </c>
      <c r="C107" t="s">
        <v>428</v>
      </c>
      <c r="D107" s="5">
        <v>6195562.4155380204</v>
      </c>
      <c r="E107" s="5">
        <v>6219593.5142758396</v>
      </c>
      <c r="F107" s="5">
        <v>6240161.1631399002</v>
      </c>
      <c r="G107" s="5">
        <v>6596023</v>
      </c>
      <c r="H107">
        <v>6622096</v>
      </c>
      <c r="I107">
        <v>6645461</v>
      </c>
      <c r="J107">
        <v>6666078</v>
      </c>
      <c r="K107">
        <v>6683916</v>
      </c>
      <c r="L107">
        <v>6698947</v>
      </c>
      <c r="M107">
        <v>6711155</v>
      </c>
      <c r="N107">
        <v>6720528</v>
      </c>
      <c r="O107">
        <v>6727061</v>
      </c>
      <c r="P107">
        <v>6730759</v>
      </c>
      <c r="Q107">
        <v>6731631</v>
      </c>
      <c r="R107">
        <v>6729695</v>
      </c>
      <c r="S107">
        <v>6724975</v>
      </c>
      <c r="T107">
        <v>6717504</v>
      </c>
      <c r="U107">
        <v>6707319</v>
      </c>
      <c r="V107">
        <v>6694468</v>
      </c>
      <c r="W107">
        <v>6679003</v>
      </c>
      <c r="X107">
        <v>6660985</v>
      </c>
      <c r="Y107">
        <v>6640481</v>
      </c>
      <c r="Z107">
        <v>6617566</v>
      </c>
      <c r="AA107">
        <v>6592322</v>
      </c>
      <c r="AB107">
        <v>6564837</v>
      </c>
      <c r="AC107">
        <v>6535208</v>
      </c>
      <c r="AD107">
        <v>6503537</v>
      </c>
      <c r="AE107">
        <v>6469936</v>
      </c>
      <c r="AF107">
        <v>6434522</v>
      </c>
      <c r="AG107">
        <v>6397419</v>
      </c>
      <c r="AH107">
        <v>6358760</v>
      </c>
      <c r="AI107">
        <v>6318683</v>
      </c>
      <c r="AJ107">
        <v>6277335</v>
      </c>
      <c r="AK107">
        <v>6234868</v>
      </c>
      <c r="AL107">
        <v>6191443</v>
      </c>
      <c r="AM107">
        <v>6147229</v>
      </c>
      <c r="AN107">
        <v>6102398</v>
      </c>
      <c r="AO107">
        <v>6057134</v>
      </c>
      <c r="AP107">
        <v>6011626</v>
      </c>
      <c r="AQ107">
        <v>5966069</v>
      </c>
      <c r="AR107">
        <v>5920666</v>
      </c>
      <c r="AS107">
        <v>5875630</v>
      </c>
      <c r="AT107">
        <v>5831176</v>
      </c>
      <c r="AU107">
        <v>5787530</v>
      </c>
      <c r="AV107">
        <v>5744923</v>
      </c>
    </row>
    <row r="108" spans="1:48" x14ac:dyDescent="0.15">
      <c r="A108" t="s">
        <v>136</v>
      </c>
      <c r="B108" t="s">
        <v>526</v>
      </c>
      <c r="C108" t="s">
        <v>428</v>
      </c>
      <c r="D108" s="5">
        <v>2158988.8556955098</v>
      </c>
      <c r="E108" s="5">
        <v>2161584.9593680901</v>
      </c>
      <c r="F108" s="5">
        <v>2163246.4148532501</v>
      </c>
      <c r="G108" s="5">
        <v>2507198</v>
      </c>
      <c r="H108">
        <v>2507008</v>
      </c>
      <c r="I108">
        <v>2507313</v>
      </c>
      <c r="J108">
        <v>2507928</v>
      </c>
      <c r="K108">
        <v>2508675</v>
      </c>
      <c r="L108">
        <v>2509390</v>
      </c>
      <c r="M108">
        <v>2509922</v>
      </c>
      <c r="N108">
        <v>2510129</v>
      </c>
      <c r="O108">
        <v>2509881</v>
      </c>
      <c r="P108">
        <v>2509062</v>
      </c>
      <c r="Q108">
        <v>2507565</v>
      </c>
      <c r="R108">
        <v>2505297</v>
      </c>
      <c r="S108">
        <v>2502175</v>
      </c>
      <c r="T108">
        <v>2498128</v>
      </c>
      <c r="U108">
        <v>2493097</v>
      </c>
      <c r="V108">
        <v>2487034</v>
      </c>
      <c r="W108">
        <v>2479905</v>
      </c>
      <c r="X108">
        <v>2471684</v>
      </c>
      <c r="Y108">
        <v>2462360</v>
      </c>
      <c r="Z108">
        <v>2451931</v>
      </c>
      <c r="AA108">
        <v>2440409</v>
      </c>
      <c r="AB108">
        <v>2427817</v>
      </c>
      <c r="AC108">
        <v>2414188</v>
      </c>
      <c r="AD108">
        <v>2399570</v>
      </c>
      <c r="AE108">
        <v>2384018</v>
      </c>
      <c r="AF108">
        <v>2367604</v>
      </c>
      <c r="AG108">
        <v>2350407</v>
      </c>
      <c r="AH108">
        <v>2332522</v>
      </c>
      <c r="AI108">
        <v>2314051</v>
      </c>
      <c r="AJ108">
        <v>2295112</v>
      </c>
      <c r="AK108">
        <v>2275832</v>
      </c>
      <c r="AL108">
        <v>2256350</v>
      </c>
      <c r="AM108">
        <v>2236818</v>
      </c>
      <c r="AN108">
        <v>2217399</v>
      </c>
      <c r="AO108">
        <v>2198267</v>
      </c>
      <c r="AP108">
        <v>2179608</v>
      </c>
      <c r="AQ108">
        <v>2161621</v>
      </c>
      <c r="AR108">
        <v>2144514</v>
      </c>
      <c r="AS108">
        <v>2128509</v>
      </c>
      <c r="AT108">
        <v>2113839</v>
      </c>
      <c r="AU108">
        <v>2100749</v>
      </c>
      <c r="AV108">
        <v>2089495</v>
      </c>
    </row>
    <row r="109" spans="1:48" x14ac:dyDescent="0.15">
      <c r="A109" t="s">
        <v>138</v>
      </c>
      <c r="B109" t="s">
        <v>527</v>
      </c>
      <c r="C109" t="s">
        <v>428</v>
      </c>
      <c r="D109" s="5">
        <v>7816911.6443461096</v>
      </c>
      <c r="E109" s="5">
        <v>7870990.7588823503</v>
      </c>
      <c r="F109" s="5">
        <v>7921542.4484112803</v>
      </c>
      <c r="G109" s="5">
        <v>9271653</v>
      </c>
      <c r="H109">
        <v>9368926</v>
      </c>
      <c r="I109">
        <v>9455032</v>
      </c>
      <c r="J109">
        <v>9530578</v>
      </c>
      <c r="K109">
        <v>9596154</v>
      </c>
      <c r="L109">
        <v>9652335</v>
      </c>
      <c r="M109">
        <v>9699677</v>
      </c>
      <c r="N109">
        <v>9738719</v>
      </c>
      <c r="O109">
        <v>9769983</v>
      </c>
      <c r="P109">
        <v>9793975</v>
      </c>
      <c r="Q109">
        <v>9811183</v>
      </c>
      <c r="R109">
        <v>9822076</v>
      </c>
      <c r="S109">
        <v>9827110</v>
      </c>
      <c r="T109">
        <v>9826720</v>
      </c>
      <c r="U109">
        <v>9821327</v>
      </c>
      <c r="V109">
        <v>9811331</v>
      </c>
      <c r="W109">
        <v>9797119</v>
      </c>
      <c r="X109">
        <v>9779059</v>
      </c>
      <c r="Y109">
        <v>9757501</v>
      </c>
      <c r="Z109">
        <v>9732780</v>
      </c>
      <c r="AA109">
        <v>9705211</v>
      </c>
      <c r="AB109">
        <v>9675095</v>
      </c>
      <c r="AC109">
        <v>9642714</v>
      </c>
      <c r="AD109">
        <v>9608333</v>
      </c>
      <c r="AE109">
        <v>9572201</v>
      </c>
      <c r="AF109">
        <v>9534547</v>
      </c>
      <c r="AG109">
        <v>9495587</v>
      </c>
      <c r="AH109">
        <v>9455517</v>
      </c>
      <c r="AI109">
        <v>9414517</v>
      </c>
      <c r="AJ109">
        <v>9372749</v>
      </c>
      <c r="AK109">
        <v>9330358</v>
      </c>
      <c r="AL109">
        <v>9287473</v>
      </c>
      <c r="AM109">
        <v>9244205</v>
      </c>
      <c r="AN109">
        <v>9200648</v>
      </c>
      <c r="AO109">
        <v>9156878</v>
      </c>
      <c r="AP109">
        <v>9112956</v>
      </c>
      <c r="AQ109">
        <v>9068924</v>
      </c>
      <c r="AR109">
        <v>9024808</v>
      </c>
      <c r="AS109">
        <v>8980615</v>
      </c>
      <c r="AT109">
        <v>8936338</v>
      </c>
      <c r="AU109">
        <v>8891950</v>
      </c>
      <c r="AV109">
        <v>8847408</v>
      </c>
    </row>
    <row r="110" spans="1:48" x14ac:dyDescent="0.15">
      <c r="A110" t="s">
        <v>139</v>
      </c>
      <c r="B110" t="s">
        <v>528</v>
      </c>
      <c r="C110" t="s">
        <v>428</v>
      </c>
      <c r="D110" s="5">
        <v>3553810.7812521998</v>
      </c>
      <c r="E110" s="5">
        <v>3569697.06047263</v>
      </c>
      <c r="F110" s="5">
        <v>3584130.49392772</v>
      </c>
      <c r="G110" s="5">
        <v>3618272</v>
      </c>
      <c r="H110">
        <v>3644010</v>
      </c>
      <c r="I110">
        <v>3666232</v>
      </c>
      <c r="J110">
        <v>3685073</v>
      </c>
      <c r="K110">
        <v>3700668</v>
      </c>
      <c r="L110">
        <v>3713150</v>
      </c>
      <c r="M110">
        <v>3722653</v>
      </c>
      <c r="N110">
        <v>3729310</v>
      </c>
      <c r="O110">
        <v>3733250</v>
      </c>
      <c r="P110">
        <v>3734606</v>
      </c>
      <c r="Q110">
        <v>3733506</v>
      </c>
      <c r="R110">
        <v>3730081</v>
      </c>
      <c r="S110">
        <v>3724458</v>
      </c>
      <c r="T110">
        <v>3716765</v>
      </c>
      <c r="U110">
        <v>3707128</v>
      </c>
      <c r="V110">
        <v>3695674</v>
      </c>
      <c r="W110">
        <v>3682528</v>
      </c>
      <c r="X110">
        <v>3667814</v>
      </c>
      <c r="Y110">
        <v>3651656</v>
      </c>
      <c r="Z110">
        <v>3634177</v>
      </c>
      <c r="AA110">
        <v>3615499</v>
      </c>
      <c r="AB110">
        <v>3595743</v>
      </c>
      <c r="AC110">
        <v>3575029</v>
      </c>
      <c r="AD110">
        <v>3553478</v>
      </c>
      <c r="AE110">
        <v>3531208</v>
      </c>
      <c r="AF110">
        <v>3508337</v>
      </c>
      <c r="AG110">
        <v>3484984</v>
      </c>
      <c r="AH110">
        <v>3461263</v>
      </c>
      <c r="AI110">
        <v>3437292</v>
      </c>
      <c r="AJ110">
        <v>3413186</v>
      </c>
      <c r="AK110">
        <v>3389057</v>
      </c>
      <c r="AL110">
        <v>3365021</v>
      </c>
      <c r="AM110">
        <v>3341190</v>
      </c>
      <c r="AN110">
        <v>3317675</v>
      </c>
      <c r="AO110">
        <v>3294587</v>
      </c>
      <c r="AP110">
        <v>3272038</v>
      </c>
      <c r="AQ110">
        <v>3250137</v>
      </c>
      <c r="AR110">
        <v>3228992</v>
      </c>
      <c r="AS110">
        <v>3208711</v>
      </c>
      <c r="AT110">
        <v>3189402</v>
      </c>
      <c r="AU110">
        <v>3171171</v>
      </c>
      <c r="AV110">
        <v>3154123</v>
      </c>
    </row>
    <row r="111" spans="1:48" x14ac:dyDescent="0.15">
      <c r="A111" t="s">
        <v>140</v>
      </c>
      <c r="B111" t="s">
        <v>529</v>
      </c>
      <c r="C111" t="s">
        <v>428</v>
      </c>
      <c r="D111" s="5">
        <v>3270885.7296647402</v>
      </c>
      <c r="E111" s="5">
        <v>3285195.8906550701</v>
      </c>
      <c r="F111" s="5">
        <v>3298422.7752036299</v>
      </c>
      <c r="G111" s="5">
        <v>3277334</v>
      </c>
      <c r="H111">
        <v>3295954</v>
      </c>
      <c r="I111">
        <v>3314217</v>
      </c>
      <c r="J111">
        <v>3331947</v>
      </c>
      <c r="K111">
        <v>3348979</v>
      </c>
      <c r="L111">
        <v>3365162</v>
      </c>
      <c r="M111">
        <v>3380358</v>
      </c>
      <c r="N111">
        <v>3394441</v>
      </c>
      <c r="O111">
        <v>3407298</v>
      </c>
      <c r="P111">
        <v>3418830</v>
      </c>
      <c r="Q111">
        <v>3428950</v>
      </c>
      <c r="R111">
        <v>3437583</v>
      </c>
      <c r="S111">
        <v>3444667</v>
      </c>
      <c r="T111">
        <v>3450154</v>
      </c>
      <c r="U111">
        <v>3454009</v>
      </c>
      <c r="V111">
        <v>3456207</v>
      </c>
      <c r="W111">
        <v>3456739</v>
      </c>
      <c r="X111">
        <v>3455607</v>
      </c>
      <c r="Y111">
        <v>3452827</v>
      </c>
      <c r="Z111">
        <v>3448427</v>
      </c>
      <c r="AA111">
        <v>3442447</v>
      </c>
      <c r="AB111">
        <v>3434942</v>
      </c>
      <c r="AC111">
        <v>3425978</v>
      </c>
      <c r="AD111">
        <v>3415635</v>
      </c>
      <c r="AE111">
        <v>3404004</v>
      </c>
      <c r="AF111">
        <v>3391192</v>
      </c>
      <c r="AG111">
        <v>3377314</v>
      </c>
      <c r="AH111">
        <v>3362503</v>
      </c>
      <c r="AI111">
        <v>3346902</v>
      </c>
      <c r="AJ111">
        <v>3330666</v>
      </c>
      <c r="AK111">
        <v>3313966</v>
      </c>
      <c r="AL111">
        <v>3296983</v>
      </c>
      <c r="AM111">
        <v>3279911</v>
      </c>
      <c r="AN111">
        <v>3262958</v>
      </c>
      <c r="AO111">
        <v>3246344</v>
      </c>
      <c r="AP111">
        <v>3230303</v>
      </c>
      <c r="AQ111">
        <v>3215081</v>
      </c>
      <c r="AR111">
        <v>3200936</v>
      </c>
      <c r="AS111">
        <v>3188139</v>
      </c>
      <c r="AT111">
        <v>3176976</v>
      </c>
      <c r="AU111">
        <v>3167742</v>
      </c>
      <c r="AV111">
        <v>3160749</v>
      </c>
    </row>
    <row r="112" spans="1:48" x14ac:dyDescent="0.15">
      <c r="A112" t="s">
        <v>141</v>
      </c>
      <c r="B112" t="s">
        <v>530</v>
      </c>
      <c r="C112" t="s">
        <v>428</v>
      </c>
      <c r="D112" s="5">
        <v>2428399.83987989</v>
      </c>
      <c r="E112" s="5">
        <v>2441171.0284938598</v>
      </c>
      <c r="F112" s="5">
        <v>2452856.1063178298</v>
      </c>
      <c r="G112" s="5">
        <v>3018480</v>
      </c>
      <c r="H112">
        <v>3033293</v>
      </c>
      <c r="I112">
        <v>3046858</v>
      </c>
      <c r="J112">
        <v>3059116</v>
      </c>
      <c r="K112">
        <v>3070017</v>
      </c>
      <c r="L112">
        <v>3079518</v>
      </c>
      <c r="M112">
        <v>3087581</v>
      </c>
      <c r="N112">
        <v>3094177</v>
      </c>
      <c r="O112">
        <v>3099282</v>
      </c>
      <c r="P112">
        <v>3102878</v>
      </c>
      <c r="Q112">
        <v>3104955</v>
      </c>
      <c r="R112">
        <v>3105510</v>
      </c>
      <c r="S112">
        <v>3104546</v>
      </c>
      <c r="T112">
        <v>3102073</v>
      </c>
      <c r="U112">
        <v>3098106</v>
      </c>
      <c r="V112">
        <v>3092670</v>
      </c>
      <c r="W112">
        <v>3085794</v>
      </c>
      <c r="X112">
        <v>3077514</v>
      </c>
      <c r="Y112">
        <v>3067875</v>
      </c>
      <c r="Z112">
        <v>3056925</v>
      </c>
      <c r="AA112">
        <v>3044721</v>
      </c>
      <c r="AB112">
        <v>3031327</v>
      </c>
      <c r="AC112">
        <v>3016813</v>
      </c>
      <c r="AD112">
        <v>3001254</v>
      </c>
      <c r="AE112">
        <v>2984736</v>
      </c>
      <c r="AF112">
        <v>2967346</v>
      </c>
      <c r="AG112">
        <v>2949183</v>
      </c>
      <c r="AH112">
        <v>2930350</v>
      </c>
      <c r="AI112">
        <v>2910956</v>
      </c>
      <c r="AJ112">
        <v>2891119</v>
      </c>
      <c r="AK112">
        <v>2870962</v>
      </c>
      <c r="AL112">
        <v>2850614</v>
      </c>
      <c r="AM112">
        <v>2830214</v>
      </c>
      <c r="AN112">
        <v>2809904</v>
      </c>
      <c r="AO112">
        <v>2789835</v>
      </c>
      <c r="AP112">
        <v>2770163</v>
      </c>
      <c r="AQ112">
        <v>2751052</v>
      </c>
      <c r="AR112">
        <v>2732673</v>
      </c>
      <c r="AS112">
        <v>2715202</v>
      </c>
      <c r="AT112">
        <v>2698823</v>
      </c>
      <c r="AU112">
        <v>2683726</v>
      </c>
      <c r="AV112">
        <v>2670108</v>
      </c>
    </row>
    <row r="113" spans="1:48" x14ac:dyDescent="0.15">
      <c r="A113" t="s">
        <v>142</v>
      </c>
      <c r="B113" t="s">
        <v>531</v>
      </c>
      <c r="C113" t="s">
        <v>428</v>
      </c>
      <c r="D113" s="5">
        <v>2366897.86210276</v>
      </c>
      <c r="E113" s="5">
        <v>2375807.97610369</v>
      </c>
      <c r="F113" s="5">
        <v>2383857.0717546898</v>
      </c>
      <c r="G113" s="5">
        <v>2146333</v>
      </c>
      <c r="H113">
        <v>2159664</v>
      </c>
      <c r="I113">
        <v>2171235</v>
      </c>
      <c r="J113">
        <v>2181086</v>
      </c>
      <c r="K113">
        <v>2189257</v>
      </c>
      <c r="L113">
        <v>2195792</v>
      </c>
      <c r="M113">
        <v>2200736</v>
      </c>
      <c r="N113">
        <v>2204134</v>
      </c>
      <c r="O113">
        <v>2206034</v>
      </c>
      <c r="P113">
        <v>2206487</v>
      </c>
      <c r="Q113">
        <v>2205543</v>
      </c>
      <c r="R113">
        <v>2203255</v>
      </c>
      <c r="S113">
        <v>2199679</v>
      </c>
      <c r="T113">
        <v>2194870</v>
      </c>
      <c r="U113">
        <v>2188887</v>
      </c>
      <c r="V113">
        <v>2181789</v>
      </c>
      <c r="W113">
        <v>2173637</v>
      </c>
      <c r="X113">
        <v>2164495</v>
      </c>
      <c r="Y113">
        <v>2154428</v>
      </c>
      <c r="Z113">
        <v>2143501</v>
      </c>
      <c r="AA113">
        <v>2131783</v>
      </c>
      <c r="AB113">
        <v>2119343</v>
      </c>
      <c r="AC113">
        <v>2106254</v>
      </c>
      <c r="AD113">
        <v>2092587</v>
      </c>
      <c r="AE113">
        <v>2078419</v>
      </c>
      <c r="AF113">
        <v>2063824</v>
      </c>
      <c r="AG113">
        <v>2048882</v>
      </c>
      <c r="AH113">
        <v>2033673</v>
      </c>
      <c r="AI113">
        <v>2018277</v>
      </c>
      <c r="AJ113">
        <v>2002778</v>
      </c>
      <c r="AK113">
        <v>1987261</v>
      </c>
      <c r="AL113">
        <v>1971813</v>
      </c>
      <c r="AM113">
        <v>1956520</v>
      </c>
      <c r="AN113">
        <v>1941475</v>
      </c>
      <c r="AO113">
        <v>1926767</v>
      </c>
      <c r="AP113">
        <v>1912490</v>
      </c>
      <c r="AQ113">
        <v>1898739</v>
      </c>
      <c r="AR113">
        <v>1885611</v>
      </c>
      <c r="AS113">
        <v>1873204</v>
      </c>
      <c r="AT113">
        <v>1861617</v>
      </c>
      <c r="AU113">
        <v>1850953</v>
      </c>
      <c r="AV113">
        <v>1841315</v>
      </c>
    </row>
    <row r="114" spans="1:48" x14ac:dyDescent="0.15">
      <c r="A114" t="s">
        <v>143</v>
      </c>
      <c r="B114" t="s">
        <v>532</v>
      </c>
      <c r="C114" t="s">
        <v>428</v>
      </c>
      <c r="D114" s="5">
        <v>2198997.0168444701</v>
      </c>
      <c r="E114" s="5">
        <v>2212422.7616254101</v>
      </c>
      <c r="F114" s="5">
        <v>2225223.3262461498</v>
      </c>
      <c r="G114" s="5">
        <v>1951655</v>
      </c>
      <c r="H114">
        <v>1970033</v>
      </c>
      <c r="I114">
        <v>1987148</v>
      </c>
      <c r="J114">
        <v>2002990</v>
      </c>
      <c r="K114">
        <v>2017557</v>
      </c>
      <c r="L114">
        <v>2030848</v>
      </c>
      <c r="M114">
        <v>2042864</v>
      </c>
      <c r="N114">
        <v>2053611</v>
      </c>
      <c r="O114">
        <v>2063097</v>
      </c>
      <c r="P114">
        <v>2071335</v>
      </c>
      <c r="Q114">
        <v>2078339</v>
      </c>
      <c r="R114">
        <v>2084128</v>
      </c>
      <c r="S114">
        <v>2088722</v>
      </c>
      <c r="T114">
        <v>2092146</v>
      </c>
      <c r="U114">
        <v>2094429</v>
      </c>
      <c r="V114">
        <v>2095599</v>
      </c>
      <c r="W114">
        <v>2095692</v>
      </c>
      <c r="X114">
        <v>2094745</v>
      </c>
      <c r="Y114">
        <v>2092798</v>
      </c>
      <c r="Z114">
        <v>2089894</v>
      </c>
      <c r="AA114">
        <v>2086080</v>
      </c>
      <c r="AB114">
        <v>2081406</v>
      </c>
      <c r="AC114">
        <v>2075925</v>
      </c>
      <c r="AD114">
        <v>2069694</v>
      </c>
      <c r="AE114">
        <v>2062771</v>
      </c>
      <c r="AF114">
        <v>2055219</v>
      </c>
      <c r="AG114">
        <v>2047103</v>
      </c>
      <c r="AH114">
        <v>2038494</v>
      </c>
      <c r="AI114">
        <v>2029462</v>
      </c>
      <c r="AJ114">
        <v>2020083</v>
      </c>
      <c r="AK114">
        <v>2010435</v>
      </c>
      <c r="AL114">
        <v>2000600</v>
      </c>
      <c r="AM114">
        <v>1990663</v>
      </c>
      <c r="AN114">
        <v>1980712</v>
      </c>
      <c r="AO114">
        <v>1970837</v>
      </c>
      <c r="AP114">
        <v>1961133</v>
      </c>
      <c r="AQ114">
        <v>1951698</v>
      </c>
      <c r="AR114">
        <v>1942632</v>
      </c>
      <c r="AS114">
        <v>1934038</v>
      </c>
      <c r="AT114">
        <v>1926025</v>
      </c>
      <c r="AU114">
        <v>1918701</v>
      </c>
      <c r="AV114">
        <v>1912181</v>
      </c>
    </row>
    <row r="115" spans="1:48" x14ac:dyDescent="0.15">
      <c r="A115" t="s">
        <v>144</v>
      </c>
      <c r="B115" t="s">
        <v>533</v>
      </c>
      <c r="C115" t="s">
        <v>428</v>
      </c>
      <c r="D115" s="5">
        <v>746100.97612800205</v>
      </c>
      <c r="E115" s="5">
        <v>748860.15323634504</v>
      </c>
      <c r="F115" s="5">
        <v>751270.79085853102</v>
      </c>
      <c r="G115" s="5">
        <v>1303825</v>
      </c>
      <c r="H115">
        <v>1311669</v>
      </c>
      <c r="I115">
        <v>1318830</v>
      </c>
      <c r="J115">
        <v>1325286</v>
      </c>
      <c r="K115">
        <v>1331016</v>
      </c>
      <c r="L115">
        <v>1336002</v>
      </c>
      <c r="M115">
        <v>1340232</v>
      </c>
      <c r="N115">
        <v>1343694</v>
      </c>
      <c r="O115">
        <v>1346382</v>
      </c>
      <c r="P115">
        <v>1348291</v>
      </c>
      <c r="Q115">
        <v>1349420</v>
      </c>
      <c r="R115">
        <v>1349773</v>
      </c>
      <c r="S115">
        <v>1349355</v>
      </c>
      <c r="T115">
        <v>1348176</v>
      </c>
      <c r="U115">
        <v>1346247</v>
      </c>
      <c r="V115">
        <v>1343586</v>
      </c>
      <c r="W115">
        <v>1340209</v>
      </c>
      <c r="X115">
        <v>1336141</v>
      </c>
      <c r="Y115">
        <v>1331405</v>
      </c>
      <c r="Z115">
        <v>1326033</v>
      </c>
      <c r="AA115">
        <v>1320054</v>
      </c>
      <c r="AB115">
        <v>1313505</v>
      </c>
      <c r="AC115">
        <v>1306425</v>
      </c>
      <c r="AD115">
        <v>1298854</v>
      </c>
      <c r="AE115">
        <v>1290840</v>
      </c>
      <c r="AF115">
        <v>1282429</v>
      </c>
      <c r="AG115">
        <v>1273674</v>
      </c>
      <c r="AH115">
        <v>1264630</v>
      </c>
      <c r="AI115">
        <v>1255355</v>
      </c>
      <c r="AJ115">
        <v>1245911</v>
      </c>
      <c r="AK115">
        <v>1236363</v>
      </c>
      <c r="AL115">
        <v>1226778</v>
      </c>
      <c r="AM115">
        <v>1217229</v>
      </c>
      <c r="AN115">
        <v>1207790</v>
      </c>
      <c r="AO115">
        <v>1198538</v>
      </c>
      <c r="AP115">
        <v>1189556</v>
      </c>
      <c r="AQ115">
        <v>1180927</v>
      </c>
      <c r="AR115">
        <v>1172740</v>
      </c>
      <c r="AS115">
        <v>1165086</v>
      </c>
      <c r="AT115">
        <v>1158058</v>
      </c>
      <c r="AU115">
        <v>1151755</v>
      </c>
      <c r="AV115">
        <v>1146278</v>
      </c>
    </row>
    <row r="116" spans="1:48" x14ac:dyDescent="0.15">
      <c r="A116" t="s">
        <v>145</v>
      </c>
      <c r="B116" t="s">
        <v>534</v>
      </c>
      <c r="C116" t="s">
        <v>428</v>
      </c>
      <c r="D116" s="5">
        <v>5452400.8958553001</v>
      </c>
      <c r="E116" s="5">
        <v>5474495.67921142</v>
      </c>
      <c r="F116" s="5">
        <v>5495236.4784048004</v>
      </c>
      <c r="G116" s="5">
        <v>4138619</v>
      </c>
      <c r="H116">
        <v>4164770</v>
      </c>
      <c r="I116">
        <v>4189023</v>
      </c>
      <c r="J116">
        <v>4211261</v>
      </c>
      <c r="K116">
        <v>4231377</v>
      </c>
      <c r="L116">
        <v>4249279</v>
      </c>
      <c r="M116">
        <v>4264889</v>
      </c>
      <c r="N116">
        <v>4278142</v>
      </c>
      <c r="O116">
        <v>4288985</v>
      </c>
      <c r="P116">
        <v>4297380</v>
      </c>
      <c r="Q116">
        <v>4303301</v>
      </c>
      <c r="R116">
        <v>4306736</v>
      </c>
      <c r="S116">
        <v>4307686</v>
      </c>
      <c r="T116">
        <v>4306165</v>
      </c>
      <c r="U116">
        <v>4302201</v>
      </c>
      <c r="V116">
        <v>4295834</v>
      </c>
      <c r="W116">
        <v>4287120</v>
      </c>
      <c r="X116">
        <v>4276126</v>
      </c>
      <c r="Y116">
        <v>4262932</v>
      </c>
      <c r="Z116">
        <v>4247633</v>
      </c>
      <c r="AA116">
        <v>4230337</v>
      </c>
      <c r="AB116">
        <v>4211162</v>
      </c>
      <c r="AC116">
        <v>4190245</v>
      </c>
      <c r="AD116">
        <v>4167732</v>
      </c>
      <c r="AE116">
        <v>4143784</v>
      </c>
      <c r="AF116">
        <v>4118574</v>
      </c>
      <c r="AG116">
        <v>4092290</v>
      </c>
      <c r="AH116">
        <v>4065132</v>
      </c>
      <c r="AI116">
        <v>4037315</v>
      </c>
      <c r="AJ116">
        <v>4009064</v>
      </c>
      <c r="AK116">
        <v>3980621</v>
      </c>
      <c r="AL116">
        <v>3952239</v>
      </c>
      <c r="AM116">
        <v>3924186</v>
      </c>
      <c r="AN116">
        <v>3896740</v>
      </c>
      <c r="AO116">
        <v>3870197</v>
      </c>
      <c r="AP116">
        <v>3844862</v>
      </c>
      <c r="AQ116">
        <v>3821056</v>
      </c>
      <c r="AR116">
        <v>3799112</v>
      </c>
      <c r="AS116">
        <v>3779377</v>
      </c>
      <c r="AT116">
        <v>3762211</v>
      </c>
      <c r="AU116">
        <v>3747988</v>
      </c>
      <c r="AV116">
        <v>3737093</v>
      </c>
    </row>
    <row r="117" spans="1:48" x14ac:dyDescent="0.15">
      <c r="A117" t="s">
        <v>146</v>
      </c>
      <c r="B117" t="s">
        <v>535</v>
      </c>
      <c r="C117" t="s">
        <v>428</v>
      </c>
      <c r="D117" s="5">
        <v>1391548.8122833699</v>
      </c>
      <c r="E117" s="5">
        <v>1395270.80847175</v>
      </c>
      <c r="F117" s="5">
        <v>1398383.85974323</v>
      </c>
      <c r="G117" s="5">
        <v>1325198</v>
      </c>
      <c r="H117">
        <v>1330388</v>
      </c>
      <c r="I117">
        <v>1334701</v>
      </c>
      <c r="J117">
        <v>1338141</v>
      </c>
      <c r="K117">
        <v>1340713</v>
      </c>
      <c r="L117">
        <v>1342425</v>
      </c>
      <c r="M117">
        <v>1343287</v>
      </c>
      <c r="N117">
        <v>1343310</v>
      </c>
      <c r="O117">
        <v>1342509</v>
      </c>
      <c r="P117">
        <v>1340899</v>
      </c>
      <c r="Q117">
        <v>1338500</v>
      </c>
      <c r="R117">
        <v>1335330</v>
      </c>
      <c r="S117">
        <v>1331412</v>
      </c>
      <c r="T117">
        <v>1326770</v>
      </c>
      <c r="U117">
        <v>1321432</v>
      </c>
      <c r="V117">
        <v>1315425</v>
      </c>
      <c r="W117">
        <v>1308781</v>
      </c>
      <c r="X117">
        <v>1301531</v>
      </c>
      <c r="Y117">
        <v>1293712</v>
      </c>
      <c r="Z117">
        <v>1285359</v>
      </c>
      <c r="AA117">
        <v>1276512</v>
      </c>
      <c r="AB117">
        <v>1267212</v>
      </c>
      <c r="AC117">
        <v>1257501</v>
      </c>
      <c r="AD117">
        <v>1247427</v>
      </c>
      <c r="AE117">
        <v>1237035</v>
      </c>
      <c r="AF117">
        <v>1226375</v>
      </c>
      <c r="AG117">
        <v>1215499</v>
      </c>
      <c r="AH117">
        <v>1204460</v>
      </c>
      <c r="AI117">
        <v>1193315</v>
      </c>
      <c r="AJ117">
        <v>1182121</v>
      </c>
      <c r="AK117">
        <v>1170938</v>
      </c>
      <c r="AL117">
        <v>1159827</v>
      </c>
      <c r="AM117">
        <v>1148854</v>
      </c>
      <c r="AN117">
        <v>1138084</v>
      </c>
      <c r="AO117">
        <v>1127586</v>
      </c>
      <c r="AP117">
        <v>1117430</v>
      </c>
      <c r="AQ117">
        <v>1107688</v>
      </c>
      <c r="AR117">
        <v>1098435</v>
      </c>
      <c r="AS117">
        <v>1089748</v>
      </c>
      <c r="AT117">
        <v>1081705</v>
      </c>
      <c r="AU117">
        <v>1074388</v>
      </c>
      <c r="AV117">
        <v>1067878</v>
      </c>
    </row>
    <row r="118" spans="1:48" x14ac:dyDescent="0.15">
      <c r="A118" t="s">
        <v>147</v>
      </c>
      <c r="B118" t="s">
        <v>536</v>
      </c>
      <c r="C118" t="s">
        <v>428</v>
      </c>
      <c r="D118" s="5">
        <v>4030265.1521587302</v>
      </c>
      <c r="E118" s="5">
        <v>4044433.7104987302</v>
      </c>
      <c r="F118" s="5">
        <v>4057711.4720102702</v>
      </c>
      <c r="G118" s="5">
        <v>3964129</v>
      </c>
      <c r="H118">
        <v>3986497</v>
      </c>
      <c r="I118">
        <v>4007742</v>
      </c>
      <c r="J118">
        <v>4027674</v>
      </c>
      <c r="K118">
        <v>4046119</v>
      </c>
      <c r="L118">
        <v>4062920</v>
      </c>
      <c r="M118">
        <v>4077937</v>
      </c>
      <c r="N118">
        <v>4091044</v>
      </c>
      <c r="O118">
        <v>4102133</v>
      </c>
      <c r="P118">
        <v>4111112</v>
      </c>
      <c r="Q118">
        <v>4117905</v>
      </c>
      <c r="R118">
        <v>4122452</v>
      </c>
      <c r="S118">
        <v>4124710</v>
      </c>
      <c r="T118">
        <v>4124650</v>
      </c>
      <c r="U118">
        <v>4122263</v>
      </c>
      <c r="V118">
        <v>4117554</v>
      </c>
      <c r="W118">
        <v>4110543</v>
      </c>
      <c r="X118">
        <v>4101269</v>
      </c>
      <c r="Y118">
        <v>4089785</v>
      </c>
      <c r="Z118">
        <v>4076163</v>
      </c>
      <c r="AA118">
        <v>4060487</v>
      </c>
      <c r="AB118">
        <v>4042861</v>
      </c>
      <c r="AC118">
        <v>4023405</v>
      </c>
      <c r="AD118">
        <v>4002252</v>
      </c>
      <c r="AE118">
        <v>3979554</v>
      </c>
      <c r="AF118">
        <v>3955480</v>
      </c>
      <c r="AG118">
        <v>3930212</v>
      </c>
      <c r="AH118">
        <v>3903952</v>
      </c>
      <c r="AI118">
        <v>3876915</v>
      </c>
      <c r="AJ118">
        <v>3849334</v>
      </c>
      <c r="AK118">
        <v>3821459</v>
      </c>
      <c r="AL118">
        <v>3793553</v>
      </c>
      <c r="AM118">
        <v>3765899</v>
      </c>
      <c r="AN118">
        <v>3738795</v>
      </c>
      <c r="AO118">
        <v>3712553</v>
      </c>
      <c r="AP118">
        <v>3687504</v>
      </c>
      <c r="AQ118">
        <v>3663995</v>
      </c>
      <c r="AR118">
        <v>3642388</v>
      </c>
      <c r="AS118">
        <v>3623062</v>
      </c>
      <c r="AT118">
        <v>3606411</v>
      </c>
      <c r="AU118">
        <v>3592849</v>
      </c>
      <c r="AV118">
        <v>3582801</v>
      </c>
    </row>
    <row r="119" spans="1:48" x14ac:dyDescent="0.15">
      <c r="A119" t="s">
        <v>148</v>
      </c>
      <c r="B119" t="s">
        <v>537</v>
      </c>
      <c r="C119" t="s">
        <v>428</v>
      </c>
      <c r="D119" s="5">
        <v>7834326.6431055199</v>
      </c>
      <c r="E119" s="5">
        <v>7859466.5870511699</v>
      </c>
      <c r="F119" s="5">
        <v>7882100.4969200203</v>
      </c>
      <c r="G119" s="5">
        <v>8182583</v>
      </c>
      <c r="H119">
        <v>8199197</v>
      </c>
      <c r="I119">
        <v>8223024</v>
      </c>
      <c r="J119">
        <v>8252783</v>
      </c>
      <c r="K119">
        <v>8287260</v>
      </c>
      <c r="L119">
        <v>8325312</v>
      </c>
      <c r="M119">
        <v>8365867</v>
      </c>
      <c r="N119">
        <v>8407924</v>
      </c>
      <c r="O119">
        <v>8450550</v>
      </c>
      <c r="P119">
        <v>8492884</v>
      </c>
      <c r="Q119">
        <v>8534135</v>
      </c>
      <c r="R119">
        <v>8573582</v>
      </c>
      <c r="S119">
        <v>8610575</v>
      </c>
      <c r="T119">
        <v>8644532</v>
      </c>
      <c r="U119">
        <v>8674945</v>
      </c>
      <c r="V119">
        <v>8701374</v>
      </c>
      <c r="W119">
        <v>8723449</v>
      </c>
      <c r="X119">
        <v>8740870</v>
      </c>
      <c r="Y119">
        <v>8753411</v>
      </c>
      <c r="Z119">
        <v>8760911</v>
      </c>
      <c r="AA119">
        <v>8763282</v>
      </c>
      <c r="AB119">
        <v>8760507</v>
      </c>
      <c r="AC119">
        <v>8752639</v>
      </c>
      <c r="AD119">
        <v>8739799</v>
      </c>
      <c r="AE119">
        <v>8722180</v>
      </c>
      <c r="AF119">
        <v>8700047</v>
      </c>
      <c r="AG119">
        <v>8673732</v>
      </c>
      <c r="AH119">
        <v>8643639</v>
      </c>
      <c r="AI119">
        <v>8610243</v>
      </c>
      <c r="AJ119">
        <v>8574088</v>
      </c>
      <c r="AK119">
        <v>8535788</v>
      </c>
      <c r="AL119">
        <v>8496028</v>
      </c>
      <c r="AM119">
        <v>8455565</v>
      </c>
      <c r="AN119">
        <v>8415223</v>
      </c>
      <c r="AO119">
        <v>8375898</v>
      </c>
      <c r="AP119">
        <v>8338556</v>
      </c>
      <c r="AQ119">
        <v>8304235</v>
      </c>
      <c r="AR119">
        <v>8274040</v>
      </c>
      <c r="AS119">
        <v>8249149</v>
      </c>
      <c r="AT119">
        <v>8230809</v>
      </c>
      <c r="AU119">
        <v>8220338</v>
      </c>
      <c r="AV119">
        <v>8219123</v>
      </c>
    </row>
    <row r="120" spans="1:48" x14ac:dyDescent="0.15">
      <c r="A120" t="s">
        <v>149</v>
      </c>
      <c r="B120" t="s">
        <v>538</v>
      </c>
      <c r="C120" t="s">
        <v>428</v>
      </c>
      <c r="D120" s="5">
        <v>5510900.2576760501</v>
      </c>
      <c r="E120" s="5">
        <v>5534809.9789669299</v>
      </c>
      <c r="F120" s="5">
        <v>5557654.4821843999</v>
      </c>
      <c r="G120" s="5">
        <v>5291616</v>
      </c>
      <c r="H120">
        <v>5323684</v>
      </c>
      <c r="I120">
        <v>5356314</v>
      </c>
      <c r="J120">
        <v>5389072</v>
      </c>
      <c r="K120">
        <v>5421547</v>
      </c>
      <c r="L120">
        <v>5453362</v>
      </c>
      <c r="M120">
        <v>5484166</v>
      </c>
      <c r="N120">
        <v>5513636</v>
      </c>
      <c r="O120">
        <v>5541481</v>
      </c>
      <c r="P120">
        <v>5567435</v>
      </c>
      <c r="Q120">
        <v>5591262</v>
      </c>
      <c r="R120">
        <v>5612756</v>
      </c>
      <c r="S120">
        <v>5631738</v>
      </c>
      <c r="T120">
        <v>5648059</v>
      </c>
      <c r="U120">
        <v>5661596</v>
      </c>
      <c r="V120">
        <v>5672259</v>
      </c>
      <c r="W120">
        <v>5679983</v>
      </c>
      <c r="X120">
        <v>5684733</v>
      </c>
      <c r="Y120">
        <v>5686503</v>
      </c>
      <c r="Z120">
        <v>5685315</v>
      </c>
      <c r="AA120">
        <v>5681221</v>
      </c>
      <c r="AB120">
        <v>5674300</v>
      </c>
      <c r="AC120">
        <v>5664660</v>
      </c>
      <c r="AD120">
        <v>5652439</v>
      </c>
      <c r="AE120">
        <v>5637802</v>
      </c>
      <c r="AF120">
        <v>5620944</v>
      </c>
      <c r="AG120">
        <v>5602088</v>
      </c>
      <c r="AH120">
        <v>5581485</v>
      </c>
      <c r="AI120">
        <v>5559417</v>
      </c>
      <c r="AJ120">
        <v>5536192</v>
      </c>
      <c r="AK120">
        <v>5512149</v>
      </c>
      <c r="AL120">
        <v>5487653</v>
      </c>
      <c r="AM120">
        <v>5463101</v>
      </c>
      <c r="AN120">
        <v>5438915</v>
      </c>
      <c r="AO120">
        <v>5415549</v>
      </c>
      <c r="AP120">
        <v>5393483</v>
      </c>
      <c r="AQ120">
        <v>5373229</v>
      </c>
      <c r="AR120">
        <v>5355324</v>
      </c>
      <c r="AS120">
        <v>5340335</v>
      </c>
      <c r="AT120">
        <v>5328860</v>
      </c>
      <c r="AU120">
        <v>5321521</v>
      </c>
      <c r="AV120">
        <v>5318974</v>
      </c>
    </row>
    <row r="121" spans="1:48" x14ac:dyDescent="0.15">
      <c r="A121" t="s">
        <v>150</v>
      </c>
      <c r="B121" t="s">
        <v>539</v>
      </c>
      <c r="C121" t="s">
        <v>428</v>
      </c>
      <c r="D121" s="5">
        <v>5775351.3520463202</v>
      </c>
      <c r="E121" s="5">
        <v>5794840.2782278899</v>
      </c>
      <c r="F121" s="5">
        <v>5812062.9605801804</v>
      </c>
      <c r="G121" s="5">
        <v>4372321</v>
      </c>
      <c r="H121">
        <v>4393083</v>
      </c>
      <c r="I121">
        <v>4413087</v>
      </c>
      <c r="J121">
        <v>4432118</v>
      </c>
      <c r="K121">
        <v>4449977</v>
      </c>
      <c r="L121">
        <v>4466481</v>
      </c>
      <c r="M121">
        <v>4481464</v>
      </c>
      <c r="N121">
        <v>4494778</v>
      </c>
      <c r="O121">
        <v>4506290</v>
      </c>
      <c r="P121">
        <v>4515887</v>
      </c>
      <c r="Q121">
        <v>4523470</v>
      </c>
      <c r="R121">
        <v>4528957</v>
      </c>
      <c r="S121">
        <v>4532286</v>
      </c>
      <c r="T121">
        <v>4533408</v>
      </c>
      <c r="U121">
        <v>4532294</v>
      </c>
      <c r="V121">
        <v>4528930</v>
      </c>
      <c r="W121">
        <v>4523319</v>
      </c>
      <c r="X121">
        <v>4515482</v>
      </c>
      <c r="Y121">
        <v>4505455</v>
      </c>
      <c r="Z121">
        <v>4493295</v>
      </c>
      <c r="AA121">
        <v>4479070</v>
      </c>
      <c r="AB121">
        <v>4462870</v>
      </c>
      <c r="AC121">
        <v>4444799</v>
      </c>
      <c r="AD121">
        <v>4424980</v>
      </c>
      <c r="AE121">
        <v>4403550</v>
      </c>
      <c r="AF121">
        <v>4380666</v>
      </c>
      <c r="AG121">
        <v>4356500</v>
      </c>
      <c r="AH121">
        <v>4331242</v>
      </c>
      <c r="AI121">
        <v>4305097</v>
      </c>
      <c r="AJ121">
        <v>4278290</v>
      </c>
      <c r="AK121">
        <v>4251060</v>
      </c>
      <c r="AL121">
        <v>4223664</v>
      </c>
      <c r="AM121">
        <v>4196377</v>
      </c>
      <c r="AN121">
        <v>4169489</v>
      </c>
      <c r="AO121">
        <v>4143309</v>
      </c>
      <c r="AP121">
        <v>4118160</v>
      </c>
      <c r="AQ121">
        <v>4094384</v>
      </c>
      <c r="AR121">
        <v>4072341</v>
      </c>
      <c r="AS121">
        <v>4052405</v>
      </c>
      <c r="AT121">
        <v>4034969</v>
      </c>
      <c r="AU121">
        <v>4020441</v>
      </c>
      <c r="AV121">
        <v>4009249</v>
      </c>
    </row>
    <row r="122" spans="1:48" x14ac:dyDescent="0.15">
      <c r="A122" t="s">
        <v>151</v>
      </c>
      <c r="B122" t="s">
        <v>540</v>
      </c>
      <c r="C122" t="s">
        <v>428</v>
      </c>
      <c r="D122" s="5">
        <v>5035926.23236968</v>
      </c>
      <c r="E122" s="5">
        <v>5056315.8506400501</v>
      </c>
      <c r="F122" s="5">
        <v>5074828.1164479898</v>
      </c>
      <c r="G122" s="5">
        <v>4981946</v>
      </c>
      <c r="H122">
        <v>4996204</v>
      </c>
      <c r="I122">
        <v>5014820</v>
      </c>
      <c r="J122">
        <v>5037041</v>
      </c>
      <c r="K122">
        <v>5062154</v>
      </c>
      <c r="L122">
        <v>5089486</v>
      </c>
      <c r="M122">
        <v>5118403</v>
      </c>
      <c r="N122">
        <v>5148315</v>
      </c>
      <c r="O122">
        <v>5178668</v>
      </c>
      <c r="P122">
        <v>5208951</v>
      </c>
      <c r="Q122">
        <v>5238692</v>
      </c>
      <c r="R122">
        <v>5267460</v>
      </c>
      <c r="S122">
        <v>5294862</v>
      </c>
      <c r="T122">
        <v>5320549</v>
      </c>
      <c r="U122">
        <v>5344209</v>
      </c>
      <c r="V122">
        <v>5365572</v>
      </c>
      <c r="W122">
        <v>5384407</v>
      </c>
      <c r="X122">
        <v>5400524</v>
      </c>
      <c r="Y122">
        <v>5413774</v>
      </c>
      <c r="Z122">
        <v>5424047</v>
      </c>
      <c r="AA122">
        <v>5431273</v>
      </c>
      <c r="AB122">
        <v>5435423</v>
      </c>
      <c r="AC122">
        <v>5436509</v>
      </c>
      <c r="AD122">
        <v>5434581</v>
      </c>
      <c r="AE122">
        <v>5429731</v>
      </c>
      <c r="AF122">
        <v>5422091</v>
      </c>
      <c r="AG122">
        <v>5411833</v>
      </c>
      <c r="AH122">
        <v>5399168</v>
      </c>
      <c r="AI122">
        <v>5384350</v>
      </c>
      <c r="AJ122">
        <v>5367671</v>
      </c>
      <c r="AK122">
        <v>5349464</v>
      </c>
      <c r="AL122">
        <v>5330101</v>
      </c>
      <c r="AM122">
        <v>5309998</v>
      </c>
      <c r="AN122">
        <v>5289606</v>
      </c>
      <c r="AO122">
        <v>5269420</v>
      </c>
      <c r="AP122">
        <v>5249974</v>
      </c>
      <c r="AQ122">
        <v>5231841</v>
      </c>
      <c r="AR122">
        <v>5215638</v>
      </c>
      <c r="AS122">
        <v>5202018</v>
      </c>
      <c r="AT122">
        <v>5191676</v>
      </c>
      <c r="AU122">
        <v>5185348</v>
      </c>
      <c r="AV122">
        <v>5183809</v>
      </c>
    </row>
    <row r="123" spans="1:48" x14ac:dyDescent="0.15">
      <c r="A123" t="s">
        <v>152</v>
      </c>
      <c r="B123" t="s">
        <v>541</v>
      </c>
      <c r="C123" t="s">
        <v>428</v>
      </c>
      <c r="D123" s="5">
        <v>1442834.6262093899</v>
      </c>
      <c r="E123" s="5">
        <v>1448107.27843485</v>
      </c>
      <c r="F123" s="5">
        <v>1452854.75124947</v>
      </c>
      <c r="G123" s="5">
        <v>1336052</v>
      </c>
      <c r="H123">
        <v>1342618</v>
      </c>
      <c r="I123">
        <v>1348708</v>
      </c>
      <c r="J123">
        <v>1354278</v>
      </c>
      <c r="K123">
        <v>1359287</v>
      </c>
      <c r="L123">
        <v>1363698</v>
      </c>
      <c r="M123">
        <v>1367481</v>
      </c>
      <c r="N123">
        <v>1370606</v>
      </c>
      <c r="O123">
        <v>1373052</v>
      </c>
      <c r="P123">
        <v>1374798</v>
      </c>
      <c r="Q123">
        <v>1375830</v>
      </c>
      <c r="R123">
        <v>1376138</v>
      </c>
      <c r="S123">
        <v>1375715</v>
      </c>
      <c r="T123">
        <v>1374560</v>
      </c>
      <c r="U123">
        <v>1372676</v>
      </c>
      <c r="V123">
        <v>1370070</v>
      </c>
      <c r="W123">
        <v>1366752</v>
      </c>
      <c r="X123">
        <v>1362739</v>
      </c>
      <c r="Y123">
        <v>1358050</v>
      </c>
      <c r="Z123">
        <v>1352709</v>
      </c>
      <c r="AA123">
        <v>1346746</v>
      </c>
      <c r="AB123">
        <v>1340193</v>
      </c>
      <c r="AC123">
        <v>1333087</v>
      </c>
      <c r="AD123">
        <v>1325470</v>
      </c>
      <c r="AE123">
        <v>1317387</v>
      </c>
      <c r="AF123">
        <v>1308890</v>
      </c>
      <c r="AG123">
        <v>1300032</v>
      </c>
      <c r="AH123">
        <v>1290873</v>
      </c>
      <c r="AI123">
        <v>1281474</v>
      </c>
      <c r="AJ123">
        <v>1271905</v>
      </c>
      <c r="AK123">
        <v>1262237</v>
      </c>
      <c r="AL123">
        <v>1252546</v>
      </c>
      <c r="AM123">
        <v>1242913</v>
      </c>
      <c r="AN123">
        <v>1233422</v>
      </c>
      <c r="AO123">
        <v>1224162</v>
      </c>
      <c r="AP123">
        <v>1215228</v>
      </c>
      <c r="AQ123">
        <v>1206716</v>
      </c>
      <c r="AR123">
        <v>1198729</v>
      </c>
      <c r="AS123">
        <v>1191374</v>
      </c>
      <c r="AT123">
        <v>1184761</v>
      </c>
      <c r="AU123">
        <v>1179005</v>
      </c>
      <c r="AV123">
        <v>1174225</v>
      </c>
    </row>
    <row r="124" spans="1:48" x14ac:dyDescent="0.15">
      <c r="A124" t="s">
        <v>153</v>
      </c>
      <c r="B124" t="s">
        <v>542</v>
      </c>
      <c r="C124" t="s">
        <v>428</v>
      </c>
      <c r="D124" s="5">
        <v>2593456.1929388898</v>
      </c>
      <c r="E124" s="5">
        <v>2600098.9144584602</v>
      </c>
      <c r="F124" s="5">
        <v>2605584.2117251698</v>
      </c>
      <c r="G124" s="5">
        <v>2491131</v>
      </c>
      <c r="H124">
        <v>2499744</v>
      </c>
      <c r="I124">
        <v>2507039</v>
      </c>
      <c r="J124">
        <v>2512994</v>
      </c>
      <c r="K124">
        <v>2517593</v>
      </c>
      <c r="L124">
        <v>2520822</v>
      </c>
      <c r="M124">
        <v>2522675</v>
      </c>
      <c r="N124">
        <v>2523150</v>
      </c>
      <c r="O124">
        <v>2522250</v>
      </c>
      <c r="P124">
        <v>2519982</v>
      </c>
      <c r="Q124">
        <v>2516358</v>
      </c>
      <c r="R124">
        <v>2511396</v>
      </c>
      <c r="S124">
        <v>2505117</v>
      </c>
      <c r="T124">
        <v>2497549</v>
      </c>
      <c r="U124">
        <v>2488723</v>
      </c>
      <c r="V124">
        <v>2478677</v>
      </c>
      <c r="W124">
        <v>2467451</v>
      </c>
      <c r="X124">
        <v>2455092</v>
      </c>
      <c r="Y124">
        <v>2441651</v>
      </c>
      <c r="Z124">
        <v>2427185</v>
      </c>
      <c r="AA124">
        <v>2411754</v>
      </c>
      <c r="AB124">
        <v>2395424</v>
      </c>
      <c r="AC124">
        <v>2378267</v>
      </c>
      <c r="AD124">
        <v>2360356</v>
      </c>
      <c r="AE124">
        <v>2341773</v>
      </c>
      <c r="AF124">
        <v>2322604</v>
      </c>
      <c r="AG124">
        <v>2302937</v>
      </c>
      <c r="AH124">
        <v>2282869</v>
      </c>
      <c r="AI124">
        <v>2262499</v>
      </c>
      <c r="AJ124">
        <v>2241932</v>
      </c>
      <c r="AK124">
        <v>2221277</v>
      </c>
      <c r="AL124">
        <v>2200649</v>
      </c>
      <c r="AM124">
        <v>2180167</v>
      </c>
      <c r="AN124">
        <v>2159956</v>
      </c>
      <c r="AO124">
        <v>2140143</v>
      </c>
      <c r="AP124">
        <v>2120864</v>
      </c>
      <c r="AQ124">
        <v>2102257</v>
      </c>
      <c r="AR124">
        <v>2084466</v>
      </c>
      <c r="AS124">
        <v>2067638</v>
      </c>
      <c r="AT124">
        <v>2051928</v>
      </c>
      <c r="AU124">
        <v>2037493</v>
      </c>
      <c r="AV124">
        <v>2024497</v>
      </c>
    </row>
    <row r="125" spans="1:48" x14ac:dyDescent="0.15">
      <c r="A125" t="s">
        <v>155</v>
      </c>
      <c r="B125" t="s">
        <v>543</v>
      </c>
      <c r="C125" t="s">
        <v>428</v>
      </c>
      <c r="D125" s="5">
        <v>7496004.6388847101</v>
      </c>
      <c r="E125" s="5">
        <v>7548921.2527841199</v>
      </c>
      <c r="F125" s="5">
        <v>7597788.5794338901</v>
      </c>
      <c r="G125" s="5">
        <v>8210632</v>
      </c>
      <c r="H125">
        <v>8290312</v>
      </c>
      <c r="I125">
        <v>8360713</v>
      </c>
      <c r="J125">
        <v>8422387</v>
      </c>
      <c r="K125">
        <v>8475867</v>
      </c>
      <c r="L125">
        <v>8521666</v>
      </c>
      <c r="M125">
        <v>8560278</v>
      </c>
      <c r="N125">
        <v>8592180</v>
      </c>
      <c r="O125">
        <v>8617827</v>
      </c>
      <c r="P125">
        <v>8637657</v>
      </c>
      <c r="Q125">
        <v>8652091</v>
      </c>
      <c r="R125">
        <v>8661527</v>
      </c>
      <c r="S125">
        <v>8666346</v>
      </c>
      <c r="T125">
        <v>8666911</v>
      </c>
      <c r="U125">
        <v>8663565</v>
      </c>
      <c r="V125">
        <v>8656633</v>
      </c>
      <c r="W125">
        <v>8646419</v>
      </c>
      <c r="X125">
        <v>8633211</v>
      </c>
      <c r="Y125">
        <v>8617276</v>
      </c>
      <c r="Z125">
        <v>8598862</v>
      </c>
      <c r="AA125">
        <v>8578200</v>
      </c>
      <c r="AB125">
        <v>8555500</v>
      </c>
      <c r="AC125">
        <v>8530955</v>
      </c>
      <c r="AD125">
        <v>8504737</v>
      </c>
      <c r="AE125">
        <v>8477000</v>
      </c>
      <c r="AF125">
        <v>8447880</v>
      </c>
      <c r="AG125">
        <v>8417493</v>
      </c>
      <c r="AH125">
        <v>8385937</v>
      </c>
      <c r="AI125">
        <v>8353290</v>
      </c>
      <c r="AJ125">
        <v>8319612</v>
      </c>
      <c r="AK125">
        <v>8284942</v>
      </c>
      <c r="AL125">
        <v>8249304</v>
      </c>
      <c r="AM125">
        <v>8212700</v>
      </c>
      <c r="AN125">
        <v>8175114</v>
      </c>
      <c r="AO125">
        <v>8136511</v>
      </c>
      <c r="AP125">
        <v>8096836</v>
      </c>
      <c r="AQ125">
        <v>8056018</v>
      </c>
      <c r="AR125">
        <v>8013965</v>
      </c>
      <c r="AS125">
        <v>7970566</v>
      </c>
      <c r="AT125">
        <v>7925691</v>
      </c>
      <c r="AU125">
        <v>7879193</v>
      </c>
      <c r="AV125">
        <v>7830903</v>
      </c>
    </row>
    <row r="126" spans="1:48" x14ac:dyDescent="0.15">
      <c r="A126" t="s">
        <v>156</v>
      </c>
      <c r="B126" t="s">
        <v>544</v>
      </c>
      <c r="C126" t="s">
        <v>428</v>
      </c>
      <c r="D126" s="5">
        <v>3856858.2010324998</v>
      </c>
      <c r="E126" s="5">
        <v>3903052.57688356</v>
      </c>
      <c r="F126" s="5">
        <v>3946172.2965772399</v>
      </c>
      <c r="G126" s="5">
        <v>5080899</v>
      </c>
      <c r="H126">
        <v>5163708</v>
      </c>
      <c r="I126">
        <v>5236450</v>
      </c>
      <c r="J126">
        <v>5299988</v>
      </c>
      <c r="K126">
        <v>5355140</v>
      </c>
      <c r="L126">
        <v>5402689</v>
      </c>
      <c r="M126">
        <v>5443373</v>
      </c>
      <c r="N126">
        <v>5477892</v>
      </c>
      <c r="O126">
        <v>5506905</v>
      </c>
      <c r="P126">
        <v>5531033</v>
      </c>
      <c r="Q126">
        <v>5550854</v>
      </c>
      <c r="R126">
        <v>5566906</v>
      </c>
      <c r="S126">
        <v>5579689</v>
      </c>
      <c r="T126">
        <v>5589660</v>
      </c>
      <c r="U126">
        <v>5597238</v>
      </c>
      <c r="V126">
        <v>5602800</v>
      </c>
      <c r="W126">
        <v>5606685</v>
      </c>
      <c r="X126">
        <v>5609188</v>
      </c>
      <c r="Y126">
        <v>5610568</v>
      </c>
      <c r="Z126">
        <v>5611041</v>
      </c>
      <c r="AA126">
        <v>5610784</v>
      </c>
      <c r="AB126">
        <v>5609933</v>
      </c>
      <c r="AC126">
        <v>5608585</v>
      </c>
      <c r="AD126">
        <v>5606794</v>
      </c>
      <c r="AE126">
        <v>5604578</v>
      </c>
      <c r="AF126">
        <v>5601910</v>
      </c>
      <c r="AG126">
        <v>5598727</v>
      </c>
      <c r="AH126">
        <v>5594924</v>
      </c>
      <c r="AI126">
        <v>5590354</v>
      </c>
      <c r="AJ126">
        <v>5584832</v>
      </c>
      <c r="AK126">
        <v>5578133</v>
      </c>
      <c r="AL126">
        <v>5569990</v>
      </c>
      <c r="AM126">
        <v>5560098</v>
      </c>
      <c r="AN126">
        <v>5548109</v>
      </c>
      <c r="AO126">
        <v>5533637</v>
      </c>
      <c r="AP126">
        <v>5516255</v>
      </c>
      <c r="AQ126">
        <v>5495496</v>
      </c>
      <c r="AR126">
        <v>5470851</v>
      </c>
      <c r="AS126">
        <v>5441774</v>
      </c>
      <c r="AT126">
        <v>5407677</v>
      </c>
      <c r="AU126">
        <v>5367930</v>
      </c>
      <c r="AV126">
        <v>5321866</v>
      </c>
    </row>
    <row r="127" spans="1:48" x14ac:dyDescent="0.15">
      <c r="A127" t="s">
        <v>157</v>
      </c>
      <c r="B127" t="s">
        <v>545</v>
      </c>
      <c r="C127" t="s">
        <v>428</v>
      </c>
      <c r="D127" s="5">
        <v>2885778.2293807501</v>
      </c>
      <c r="E127" s="5">
        <v>2901735.12715967</v>
      </c>
      <c r="F127" s="5">
        <v>2916843.16325534</v>
      </c>
      <c r="G127" s="5">
        <v>3186190</v>
      </c>
      <c r="H127">
        <v>3210316</v>
      </c>
      <c r="I127">
        <v>3233201</v>
      </c>
      <c r="J127">
        <v>3254766</v>
      </c>
      <c r="K127">
        <v>3274938</v>
      </c>
      <c r="L127">
        <v>3293651</v>
      </c>
      <c r="M127">
        <v>3310849</v>
      </c>
      <c r="N127">
        <v>3326485</v>
      </c>
      <c r="O127">
        <v>3340518</v>
      </c>
      <c r="P127">
        <v>3352916</v>
      </c>
      <c r="Q127">
        <v>3363657</v>
      </c>
      <c r="R127">
        <v>3372725</v>
      </c>
      <c r="S127">
        <v>3380114</v>
      </c>
      <c r="T127">
        <v>3385824</v>
      </c>
      <c r="U127">
        <v>3389866</v>
      </c>
      <c r="V127">
        <v>3392257</v>
      </c>
      <c r="W127">
        <v>3393025</v>
      </c>
      <c r="X127">
        <v>3392203</v>
      </c>
      <c r="Y127">
        <v>3389834</v>
      </c>
      <c r="Z127">
        <v>3385969</v>
      </c>
      <c r="AA127">
        <v>3380668</v>
      </c>
      <c r="AB127">
        <v>3373997</v>
      </c>
      <c r="AC127">
        <v>3366034</v>
      </c>
      <c r="AD127">
        <v>3356862</v>
      </c>
      <c r="AE127">
        <v>3346573</v>
      </c>
      <c r="AF127">
        <v>3335269</v>
      </c>
      <c r="AG127">
        <v>3323057</v>
      </c>
      <c r="AH127">
        <v>3310056</v>
      </c>
      <c r="AI127">
        <v>3296390</v>
      </c>
      <c r="AJ127">
        <v>3282194</v>
      </c>
      <c r="AK127">
        <v>3267609</v>
      </c>
      <c r="AL127">
        <v>3252786</v>
      </c>
      <c r="AM127">
        <v>3237883</v>
      </c>
      <c r="AN127">
        <v>3223066</v>
      </c>
      <c r="AO127">
        <v>3208512</v>
      </c>
      <c r="AP127">
        <v>3194402</v>
      </c>
      <c r="AQ127">
        <v>3180930</v>
      </c>
      <c r="AR127">
        <v>3168294</v>
      </c>
      <c r="AS127">
        <v>3156703</v>
      </c>
      <c r="AT127">
        <v>3146374</v>
      </c>
      <c r="AU127">
        <v>3137529</v>
      </c>
      <c r="AV127">
        <v>3130404</v>
      </c>
    </row>
    <row r="128" spans="1:48" x14ac:dyDescent="0.15">
      <c r="A128" t="s">
        <v>158</v>
      </c>
      <c r="B128" t="s">
        <v>546</v>
      </c>
      <c r="C128" t="s">
        <v>428</v>
      </c>
      <c r="D128" s="5">
        <v>2594947.0632507899</v>
      </c>
      <c r="E128" s="5">
        <v>2605227.8547960701</v>
      </c>
      <c r="F128" s="5">
        <v>2614228.02956384</v>
      </c>
      <c r="G128" s="5">
        <v>2475368</v>
      </c>
      <c r="H128">
        <v>2486182</v>
      </c>
      <c r="I128">
        <v>2496289</v>
      </c>
      <c r="J128">
        <v>2505615</v>
      </c>
      <c r="K128">
        <v>2514092</v>
      </c>
      <c r="L128">
        <v>2521659</v>
      </c>
      <c r="M128">
        <v>2528260</v>
      </c>
      <c r="N128">
        <v>2533847</v>
      </c>
      <c r="O128">
        <v>2538377</v>
      </c>
      <c r="P128">
        <v>2541814</v>
      </c>
      <c r="Q128">
        <v>2544126</v>
      </c>
      <c r="R128">
        <v>2545292</v>
      </c>
      <c r="S128">
        <v>2545292</v>
      </c>
      <c r="T128">
        <v>2544115</v>
      </c>
      <c r="U128">
        <v>2541758</v>
      </c>
      <c r="V128">
        <v>2538220</v>
      </c>
      <c r="W128">
        <v>2533509</v>
      </c>
      <c r="X128">
        <v>2527639</v>
      </c>
      <c r="Y128">
        <v>2520630</v>
      </c>
      <c r="Z128">
        <v>2512508</v>
      </c>
      <c r="AA128">
        <v>2503306</v>
      </c>
      <c r="AB128">
        <v>2493063</v>
      </c>
      <c r="AC128">
        <v>2481823</v>
      </c>
      <c r="AD128">
        <v>2469638</v>
      </c>
      <c r="AE128">
        <v>2456567</v>
      </c>
      <c r="AF128">
        <v>2442671</v>
      </c>
      <c r="AG128">
        <v>2428023</v>
      </c>
      <c r="AH128">
        <v>2412698</v>
      </c>
      <c r="AI128">
        <v>2396778</v>
      </c>
      <c r="AJ128">
        <v>2380354</v>
      </c>
      <c r="AK128">
        <v>2363519</v>
      </c>
      <c r="AL128">
        <v>2346377</v>
      </c>
      <c r="AM128">
        <v>2329034</v>
      </c>
      <c r="AN128">
        <v>2311604</v>
      </c>
      <c r="AO128">
        <v>2294208</v>
      </c>
      <c r="AP128">
        <v>2276972</v>
      </c>
      <c r="AQ128">
        <v>2260030</v>
      </c>
      <c r="AR128">
        <v>2243520</v>
      </c>
      <c r="AS128">
        <v>2227588</v>
      </c>
      <c r="AT128">
        <v>2212386</v>
      </c>
      <c r="AU128">
        <v>2198070</v>
      </c>
      <c r="AV128">
        <v>2184807</v>
      </c>
    </row>
    <row r="129" spans="1:48" x14ac:dyDescent="0.15">
      <c r="A129" t="s">
        <v>159</v>
      </c>
      <c r="B129" t="s">
        <v>547</v>
      </c>
      <c r="C129" t="s">
        <v>428</v>
      </c>
      <c r="D129" s="5">
        <v>8662491.2252312694</v>
      </c>
      <c r="E129" s="5">
        <v>8740091.0044915304</v>
      </c>
      <c r="F129" s="5">
        <v>8813143.0011833701</v>
      </c>
      <c r="G129" s="5">
        <v>8674444</v>
      </c>
      <c r="H129">
        <v>8781622</v>
      </c>
      <c r="I129">
        <v>8878754</v>
      </c>
      <c r="J129">
        <v>8966399</v>
      </c>
      <c r="K129">
        <v>9045093</v>
      </c>
      <c r="L129">
        <v>9115355</v>
      </c>
      <c r="M129">
        <v>9177684</v>
      </c>
      <c r="N129">
        <v>9232557</v>
      </c>
      <c r="O129">
        <v>9280435</v>
      </c>
      <c r="P129">
        <v>9321756</v>
      </c>
      <c r="Q129">
        <v>9356941</v>
      </c>
      <c r="R129">
        <v>9386391</v>
      </c>
      <c r="S129">
        <v>9410487</v>
      </c>
      <c r="T129">
        <v>9429590</v>
      </c>
      <c r="U129">
        <v>9444042</v>
      </c>
      <c r="V129">
        <v>9454165</v>
      </c>
      <c r="W129">
        <v>9460262</v>
      </c>
      <c r="X129">
        <v>9462616</v>
      </c>
      <c r="Y129">
        <v>9461491</v>
      </c>
      <c r="Z129">
        <v>9457132</v>
      </c>
      <c r="AA129">
        <v>9449762</v>
      </c>
      <c r="AB129">
        <v>9439586</v>
      </c>
      <c r="AC129">
        <v>9426791</v>
      </c>
      <c r="AD129">
        <v>9411541</v>
      </c>
      <c r="AE129">
        <v>9393983</v>
      </c>
      <c r="AF129">
        <v>9374244</v>
      </c>
      <c r="AG129">
        <v>9352432</v>
      </c>
      <c r="AH129">
        <v>9328632</v>
      </c>
      <c r="AI129">
        <v>9302915</v>
      </c>
      <c r="AJ129">
        <v>9275328</v>
      </c>
      <c r="AK129">
        <v>9245899</v>
      </c>
      <c r="AL129">
        <v>9214640</v>
      </c>
      <c r="AM129">
        <v>9181538</v>
      </c>
      <c r="AN129">
        <v>9146565</v>
      </c>
      <c r="AO129">
        <v>9109672</v>
      </c>
      <c r="AP129">
        <v>9070788</v>
      </c>
      <c r="AQ129">
        <v>9029827</v>
      </c>
      <c r="AR129">
        <v>8986680</v>
      </c>
      <c r="AS129">
        <v>8941219</v>
      </c>
      <c r="AT129">
        <v>8893297</v>
      </c>
      <c r="AU129">
        <v>8842748</v>
      </c>
      <c r="AV129">
        <v>8789385</v>
      </c>
    </row>
    <row r="130" spans="1:48" x14ac:dyDescent="0.15">
      <c r="A130" t="s">
        <v>160</v>
      </c>
      <c r="B130" t="s">
        <v>548</v>
      </c>
      <c r="C130" t="s">
        <v>428</v>
      </c>
      <c r="D130" s="5">
        <v>5023460.7657081699</v>
      </c>
      <c r="E130" s="5">
        <v>5051675.7834746595</v>
      </c>
      <c r="F130" s="5">
        <v>5077619.3542049499</v>
      </c>
      <c r="G130" s="5">
        <v>5017973</v>
      </c>
      <c r="H130">
        <v>5053796</v>
      </c>
      <c r="I130">
        <v>5086994</v>
      </c>
      <c r="J130">
        <v>5117536</v>
      </c>
      <c r="K130">
        <v>5145402</v>
      </c>
      <c r="L130">
        <v>5170576</v>
      </c>
      <c r="M130">
        <v>5193050</v>
      </c>
      <c r="N130">
        <v>5212823</v>
      </c>
      <c r="O130">
        <v>5229902</v>
      </c>
      <c r="P130">
        <v>5244299</v>
      </c>
      <c r="Q130">
        <v>5256035</v>
      </c>
      <c r="R130">
        <v>5265136</v>
      </c>
      <c r="S130">
        <v>5271636</v>
      </c>
      <c r="T130">
        <v>5275576</v>
      </c>
      <c r="U130">
        <v>5277005</v>
      </c>
      <c r="V130">
        <v>5275976</v>
      </c>
      <c r="W130">
        <v>5272553</v>
      </c>
      <c r="X130">
        <v>5266803</v>
      </c>
      <c r="Y130">
        <v>5258802</v>
      </c>
      <c r="Z130">
        <v>5248633</v>
      </c>
      <c r="AA130">
        <v>5236387</v>
      </c>
      <c r="AB130">
        <v>5222159</v>
      </c>
      <c r="AC130">
        <v>5206053</v>
      </c>
      <c r="AD130">
        <v>5188180</v>
      </c>
      <c r="AE130">
        <v>5168658</v>
      </c>
      <c r="AF130">
        <v>5147611</v>
      </c>
      <c r="AG130">
        <v>5125171</v>
      </c>
      <c r="AH130">
        <v>5101477</v>
      </c>
      <c r="AI130">
        <v>5076673</v>
      </c>
      <c r="AJ130">
        <v>5050913</v>
      </c>
      <c r="AK130">
        <v>5024355</v>
      </c>
      <c r="AL130">
        <v>4997167</v>
      </c>
      <c r="AM130">
        <v>4969522</v>
      </c>
      <c r="AN130">
        <v>4941600</v>
      </c>
      <c r="AO130">
        <v>4913589</v>
      </c>
      <c r="AP130">
        <v>4885683</v>
      </c>
      <c r="AQ130">
        <v>4858084</v>
      </c>
      <c r="AR130">
        <v>4830999</v>
      </c>
      <c r="AS130">
        <v>4804644</v>
      </c>
      <c r="AT130">
        <v>4779241</v>
      </c>
      <c r="AU130">
        <v>4755020</v>
      </c>
      <c r="AV130">
        <v>4732217</v>
      </c>
    </row>
    <row r="131" spans="1:48" x14ac:dyDescent="0.15">
      <c r="A131" t="s">
        <v>161</v>
      </c>
      <c r="B131" t="s">
        <v>549</v>
      </c>
      <c r="C131" t="s">
        <v>428</v>
      </c>
      <c r="D131" s="5">
        <v>2715843.3738259398</v>
      </c>
      <c r="E131" s="5">
        <v>2720860.17314367</v>
      </c>
      <c r="F131" s="5">
        <v>2724511.8026490598</v>
      </c>
      <c r="G131" s="5">
        <v>2679773</v>
      </c>
      <c r="H131">
        <v>2680320</v>
      </c>
      <c r="I131">
        <v>2681662</v>
      </c>
      <c r="J131">
        <v>2683552</v>
      </c>
      <c r="K131">
        <v>2685756</v>
      </c>
      <c r="L131">
        <v>2688055</v>
      </c>
      <c r="M131">
        <v>2690245</v>
      </c>
      <c r="N131">
        <v>2692140</v>
      </c>
      <c r="O131">
        <v>2693564</v>
      </c>
      <c r="P131">
        <v>2694361</v>
      </c>
      <c r="Q131">
        <v>2694385</v>
      </c>
      <c r="R131">
        <v>2693510</v>
      </c>
      <c r="S131">
        <v>2691621</v>
      </c>
      <c r="T131">
        <v>2688621</v>
      </c>
      <c r="U131">
        <v>2684426</v>
      </c>
      <c r="V131">
        <v>2678968</v>
      </c>
      <c r="W131">
        <v>2672193</v>
      </c>
      <c r="X131">
        <v>2664063</v>
      </c>
      <c r="Y131">
        <v>2654556</v>
      </c>
      <c r="Z131">
        <v>2643662</v>
      </c>
      <c r="AA131">
        <v>2631389</v>
      </c>
      <c r="AB131">
        <v>2617758</v>
      </c>
      <c r="AC131">
        <v>2602806</v>
      </c>
      <c r="AD131">
        <v>2586586</v>
      </c>
      <c r="AE131">
        <v>2569163</v>
      </c>
      <c r="AF131">
        <v>2550620</v>
      </c>
      <c r="AG131">
        <v>2531054</v>
      </c>
      <c r="AH131">
        <v>2510577</v>
      </c>
      <c r="AI131">
        <v>2489314</v>
      </c>
      <c r="AJ131">
        <v>2467409</v>
      </c>
      <c r="AK131">
        <v>2445019</v>
      </c>
      <c r="AL131">
        <v>2422314</v>
      </c>
      <c r="AM131">
        <v>2399483</v>
      </c>
      <c r="AN131">
        <v>2376727</v>
      </c>
      <c r="AO131">
        <v>2354263</v>
      </c>
      <c r="AP131">
        <v>2332324</v>
      </c>
      <c r="AQ131">
        <v>2311156</v>
      </c>
      <c r="AR131">
        <v>2291021</v>
      </c>
      <c r="AS131">
        <v>2272196</v>
      </c>
      <c r="AT131">
        <v>2254974</v>
      </c>
      <c r="AU131">
        <v>2239661</v>
      </c>
      <c r="AV131">
        <v>2226580</v>
      </c>
    </row>
    <row r="132" spans="1:48" x14ac:dyDescent="0.15">
      <c r="A132" t="s">
        <v>162</v>
      </c>
      <c r="B132" t="s">
        <v>550</v>
      </c>
      <c r="C132" t="s">
        <v>428</v>
      </c>
      <c r="D132" s="5">
        <v>2649844.4496005001</v>
      </c>
      <c r="E132" s="5">
        <v>2659213.09555742</v>
      </c>
      <c r="F132" s="5">
        <v>2667224.4451484699</v>
      </c>
      <c r="G132" s="5">
        <v>2714006</v>
      </c>
      <c r="H132">
        <v>2723286</v>
      </c>
      <c r="I132">
        <v>2732179</v>
      </c>
      <c r="J132">
        <v>2740574</v>
      </c>
      <c r="K132">
        <v>2748368</v>
      </c>
      <c r="L132">
        <v>2755468</v>
      </c>
      <c r="M132">
        <v>2761787</v>
      </c>
      <c r="N132">
        <v>2767246</v>
      </c>
      <c r="O132">
        <v>2771773</v>
      </c>
      <c r="P132">
        <v>2775307</v>
      </c>
      <c r="Q132">
        <v>2777791</v>
      </c>
      <c r="R132">
        <v>2779179</v>
      </c>
      <c r="S132">
        <v>2779431</v>
      </c>
      <c r="T132">
        <v>2778516</v>
      </c>
      <c r="U132">
        <v>2776410</v>
      </c>
      <c r="V132">
        <v>2773098</v>
      </c>
      <c r="W132">
        <v>2768571</v>
      </c>
      <c r="X132">
        <v>2762830</v>
      </c>
      <c r="Y132">
        <v>2755882</v>
      </c>
      <c r="Z132">
        <v>2747744</v>
      </c>
      <c r="AA132">
        <v>2738439</v>
      </c>
      <c r="AB132">
        <v>2727998</v>
      </c>
      <c r="AC132">
        <v>2716462</v>
      </c>
      <c r="AD132">
        <v>2703877</v>
      </c>
      <c r="AE132">
        <v>2690298</v>
      </c>
      <c r="AF132">
        <v>2675790</v>
      </c>
      <c r="AG132">
        <v>2660422</v>
      </c>
      <c r="AH132">
        <v>2644274</v>
      </c>
      <c r="AI132">
        <v>2627433</v>
      </c>
      <c r="AJ132">
        <v>2609992</v>
      </c>
      <c r="AK132">
        <v>2592055</v>
      </c>
      <c r="AL132">
        <v>2573732</v>
      </c>
      <c r="AM132">
        <v>2555142</v>
      </c>
      <c r="AN132">
        <v>2536410</v>
      </c>
      <c r="AO132">
        <v>2517670</v>
      </c>
      <c r="AP132">
        <v>2499065</v>
      </c>
      <c r="AQ132">
        <v>2480744</v>
      </c>
      <c r="AR132">
        <v>2462866</v>
      </c>
      <c r="AS132">
        <v>2445594</v>
      </c>
      <c r="AT132">
        <v>2429104</v>
      </c>
      <c r="AU132">
        <v>2413577</v>
      </c>
      <c r="AV132">
        <v>2399201</v>
      </c>
    </row>
    <row r="133" spans="1:48" x14ac:dyDescent="0.15">
      <c r="A133" t="s">
        <v>163</v>
      </c>
      <c r="B133" t="s">
        <v>551</v>
      </c>
      <c r="C133" t="s">
        <v>428</v>
      </c>
      <c r="D133" s="5">
        <v>2922906.6681388901</v>
      </c>
      <c r="E133" s="5">
        <v>2936002.3199673402</v>
      </c>
      <c r="F133" s="5">
        <v>2947940.1822807598</v>
      </c>
      <c r="G133" s="5">
        <v>3128796</v>
      </c>
      <c r="H133">
        <v>3146348</v>
      </c>
      <c r="I133">
        <v>3162739</v>
      </c>
      <c r="J133">
        <v>3177897</v>
      </c>
      <c r="K133">
        <v>3191756</v>
      </c>
      <c r="L133">
        <v>3204260</v>
      </c>
      <c r="M133">
        <v>3215357</v>
      </c>
      <c r="N133">
        <v>3225005</v>
      </c>
      <c r="O133">
        <v>3233168</v>
      </c>
      <c r="P133">
        <v>3239817</v>
      </c>
      <c r="Q133">
        <v>3244933</v>
      </c>
      <c r="R133">
        <v>3248500</v>
      </c>
      <c r="S133">
        <v>3250514</v>
      </c>
      <c r="T133">
        <v>3250975</v>
      </c>
      <c r="U133">
        <v>3249891</v>
      </c>
      <c r="V133">
        <v>3247279</v>
      </c>
      <c r="W133">
        <v>3243162</v>
      </c>
      <c r="X133">
        <v>3237570</v>
      </c>
      <c r="Y133">
        <v>3230541</v>
      </c>
      <c r="Z133">
        <v>3222121</v>
      </c>
      <c r="AA133">
        <v>3212362</v>
      </c>
      <c r="AB133">
        <v>3201325</v>
      </c>
      <c r="AC133">
        <v>3189076</v>
      </c>
      <c r="AD133">
        <v>3175690</v>
      </c>
      <c r="AE133">
        <v>3161249</v>
      </c>
      <c r="AF133">
        <v>3145844</v>
      </c>
      <c r="AG133">
        <v>3129570</v>
      </c>
      <c r="AH133">
        <v>3112532</v>
      </c>
      <c r="AI133">
        <v>3094841</v>
      </c>
      <c r="AJ133">
        <v>3076616</v>
      </c>
      <c r="AK133">
        <v>3057984</v>
      </c>
      <c r="AL133">
        <v>3039078</v>
      </c>
      <c r="AM133">
        <v>3020038</v>
      </c>
      <c r="AN133">
        <v>3001014</v>
      </c>
      <c r="AO133">
        <v>2982161</v>
      </c>
      <c r="AP133">
        <v>2963641</v>
      </c>
      <c r="AQ133">
        <v>2945626</v>
      </c>
      <c r="AR133">
        <v>2928293</v>
      </c>
      <c r="AS133">
        <v>2911827</v>
      </c>
      <c r="AT133">
        <v>2896420</v>
      </c>
      <c r="AU133">
        <v>2882273</v>
      </c>
      <c r="AV133">
        <v>2869592</v>
      </c>
    </row>
    <row r="134" spans="1:48" x14ac:dyDescent="0.15">
      <c r="A134" t="s">
        <v>165</v>
      </c>
      <c r="B134" t="s">
        <v>552</v>
      </c>
      <c r="C134" t="s">
        <v>428</v>
      </c>
      <c r="D134" s="5">
        <v>5289173.4846480498</v>
      </c>
      <c r="E134" s="5">
        <v>5328431.0254601603</v>
      </c>
      <c r="F134" s="5">
        <v>5366064.5098181497</v>
      </c>
      <c r="G134" s="5">
        <v>6186020</v>
      </c>
      <c r="H134">
        <v>6254505</v>
      </c>
      <c r="I134">
        <v>6318497</v>
      </c>
      <c r="J134">
        <v>6378027</v>
      </c>
      <c r="K134">
        <v>6433132</v>
      </c>
      <c r="L134">
        <v>6483858</v>
      </c>
      <c r="M134">
        <v>6530259</v>
      </c>
      <c r="N134">
        <v>6572395</v>
      </c>
      <c r="O134">
        <v>6610336</v>
      </c>
      <c r="P134">
        <v>6644160</v>
      </c>
      <c r="Q134">
        <v>6673950</v>
      </c>
      <c r="R134">
        <v>6699801</v>
      </c>
      <c r="S134">
        <v>6721811</v>
      </c>
      <c r="T134">
        <v>6740092</v>
      </c>
      <c r="U134">
        <v>6754757</v>
      </c>
      <c r="V134">
        <v>6765933</v>
      </c>
      <c r="W134">
        <v>6773751</v>
      </c>
      <c r="X134">
        <v>6778351</v>
      </c>
      <c r="Y134">
        <v>6779882</v>
      </c>
      <c r="Z134">
        <v>6778499</v>
      </c>
      <c r="AA134">
        <v>6774365</v>
      </c>
      <c r="AB134">
        <v>6767653</v>
      </c>
      <c r="AC134">
        <v>6758543</v>
      </c>
      <c r="AD134">
        <v>6747220</v>
      </c>
      <c r="AE134">
        <v>6733881</v>
      </c>
      <c r="AF134">
        <v>6718729</v>
      </c>
      <c r="AG134">
        <v>6701974</v>
      </c>
      <c r="AH134">
        <v>6683835</v>
      </c>
      <c r="AI134">
        <v>6664540</v>
      </c>
      <c r="AJ134">
        <v>6644323</v>
      </c>
      <c r="AK134">
        <v>6623426</v>
      </c>
      <c r="AL134">
        <v>6602100</v>
      </c>
      <c r="AM134">
        <v>6580603</v>
      </c>
      <c r="AN134">
        <v>6559200</v>
      </c>
      <c r="AO134">
        <v>6538167</v>
      </c>
      <c r="AP134">
        <v>6517785</v>
      </c>
      <c r="AQ134">
        <v>6498343</v>
      </c>
      <c r="AR134">
        <v>6480140</v>
      </c>
      <c r="AS134">
        <v>6463480</v>
      </c>
      <c r="AT134">
        <v>6448677</v>
      </c>
      <c r="AU134">
        <v>6436053</v>
      </c>
      <c r="AV134">
        <v>6425936</v>
      </c>
    </row>
    <row r="135" spans="1:48" x14ac:dyDescent="0.15">
      <c r="A135" t="s">
        <v>166</v>
      </c>
      <c r="B135" t="s">
        <v>553</v>
      </c>
      <c r="C135" t="s">
        <v>428</v>
      </c>
      <c r="D135" s="5">
        <v>1664861.2731965899</v>
      </c>
      <c r="E135" s="5">
        <v>1674772.6245360801</v>
      </c>
      <c r="F135" s="5">
        <v>1683920.10957187</v>
      </c>
      <c r="G135" s="5">
        <v>1608271</v>
      </c>
      <c r="H135">
        <v>1618889</v>
      </c>
      <c r="I135">
        <v>1629463</v>
      </c>
      <c r="J135">
        <v>1639888</v>
      </c>
      <c r="K135">
        <v>1650064</v>
      </c>
      <c r="L135">
        <v>1659901</v>
      </c>
      <c r="M135">
        <v>1669313</v>
      </c>
      <c r="N135">
        <v>1678222</v>
      </c>
      <c r="O135">
        <v>1686559</v>
      </c>
      <c r="P135">
        <v>1694258</v>
      </c>
      <c r="Q135">
        <v>1701264</v>
      </c>
      <c r="R135">
        <v>1707526</v>
      </c>
      <c r="S135">
        <v>1713001</v>
      </c>
      <c r="T135">
        <v>1717655</v>
      </c>
      <c r="U135">
        <v>1721457</v>
      </c>
      <c r="V135">
        <v>1724387</v>
      </c>
      <c r="W135">
        <v>1726428</v>
      </c>
      <c r="X135">
        <v>1727575</v>
      </c>
      <c r="Y135">
        <v>1727825</v>
      </c>
      <c r="Z135">
        <v>1727184</v>
      </c>
      <c r="AA135">
        <v>1725667</v>
      </c>
      <c r="AB135">
        <v>1723292</v>
      </c>
      <c r="AC135">
        <v>1720088</v>
      </c>
      <c r="AD135">
        <v>1716087</v>
      </c>
      <c r="AE135">
        <v>1711332</v>
      </c>
      <c r="AF135">
        <v>1705870</v>
      </c>
      <c r="AG135">
        <v>1699757</v>
      </c>
      <c r="AH135">
        <v>1693054</v>
      </c>
      <c r="AI135">
        <v>1685830</v>
      </c>
      <c r="AJ135">
        <v>1678162</v>
      </c>
      <c r="AK135">
        <v>1670133</v>
      </c>
      <c r="AL135">
        <v>1661832</v>
      </c>
      <c r="AM135">
        <v>1653356</v>
      </c>
      <c r="AN135">
        <v>1644810</v>
      </c>
      <c r="AO135">
        <v>1636305</v>
      </c>
      <c r="AP135">
        <v>1627958</v>
      </c>
      <c r="AQ135">
        <v>1619894</v>
      </c>
      <c r="AR135">
        <v>1612246</v>
      </c>
      <c r="AS135">
        <v>1605153</v>
      </c>
      <c r="AT135">
        <v>1598759</v>
      </c>
      <c r="AU135">
        <v>1593219</v>
      </c>
      <c r="AV135">
        <v>1588693</v>
      </c>
    </row>
    <row r="136" spans="1:48" x14ac:dyDescent="0.15">
      <c r="A136" t="s">
        <v>167</v>
      </c>
      <c r="B136" t="s">
        <v>554</v>
      </c>
      <c r="C136" t="s">
        <v>428</v>
      </c>
      <c r="D136" s="5">
        <v>1927615.11976681</v>
      </c>
      <c r="E136" s="5">
        <v>1935840.4537341299</v>
      </c>
      <c r="F136" s="5">
        <v>1943160.7328113001</v>
      </c>
      <c r="G136" s="5">
        <v>1797889</v>
      </c>
      <c r="H136">
        <v>1804643</v>
      </c>
      <c r="I136">
        <v>1811786</v>
      </c>
      <c r="J136">
        <v>1819160</v>
      </c>
      <c r="K136">
        <v>1826616</v>
      </c>
      <c r="L136">
        <v>1834015</v>
      </c>
      <c r="M136">
        <v>1841229</v>
      </c>
      <c r="N136">
        <v>1848139</v>
      </c>
      <c r="O136">
        <v>1854635</v>
      </c>
      <c r="P136">
        <v>1860618</v>
      </c>
      <c r="Q136">
        <v>1865996</v>
      </c>
      <c r="R136">
        <v>1870691</v>
      </c>
      <c r="S136">
        <v>1874630</v>
      </c>
      <c r="T136">
        <v>1877753</v>
      </c>
      <c r="U136">
        <v>1880009</v>
      </c>
      <c r="V136">
        <v>1881356</v>
      </c>
      <c r="W136">
        <v>1881762</v>
      </c>
      <c r="X136">
        <v>1881205</v>
      </c>
      <c r="Y136">
        <v>1879671</v>
      </c>
      <c r="Z136">
        <v>1877159</v>
      </c>
      <c r="AA136">
        <v>1873674</v>
      </c>
      <c r="AB136">
        <v>1869234</v>
      </c>
      <c r="AC136">
        <v>1863864</v>
      </c>
      <c r="AD136">
        <v>1857600</v>
      </c>
      <c r="AE136">
        <v>1850488</v>
      </c>
      <c r="AF136">
        <v>1842583</v>
      </c>
      <c r="AG136">
        <v>1833950</v>
      </c>
      <c r="AH136">
        <v>1824663</v>
      </c>
      <c r="AI136">
        <v>1814807</v>
      </c>
      <c r="AJ136">
        <v>1804475</v>
      </c>
      <c r="AK136">
        <v>1793772</v>
      </c>
      <c r="AL136">
        <v>1782809</v>
      </c>
      <c r="AM136">
        <v>1771712</v>
      </c>
      <c r="AN136">
        <v>1760611</v>
      </c>
      <c r="AO136">
        <v>1749651</v>
      </c>
      <c r="AP136">
        <v>1738981</v>
      </c>
      <c r="AQ136">
        <v>1728765</v>
      </c>
      <c r="AR136">
        <v>1719174</v>
      </c>
      <c r="AS136">
        <v>1710389</v>
      </c>
      <c r="AT136">
        <v>1702600</v>
      </c>
      <c r="AU136">
        <v>1696009</v>
      </c>
      <c r="AV136">
        <v>1690825</v>
      </c>
    </row>
    <row r="137" spans="1:48" x14ac:dyDescent="0.15">
      <c r="A137" t="s">
        <v>168</v>
      </c>
      <c r="B137" t="s">
        <v>555</v>
      </c>
      <c r="C137" t="s">
        <v>428</v>
      </c>
      <c r="D137" s="5">
        <v>4950703.8137591397</v>
      </c>
      <c r="E137" s="5">
        <v>4979400.8696295302</v>
      </c>
      <c r="F137" s="5">
        <v>5006004.8228915399</v>
      </c>
      <c r="G137" s="5">
        <v>4571029</v>
      </c>
      <c r="H137">
        <v>4599925</v>
      </c>
      <c r="I137">
        <v>4629272</v>
      </c>
      <c r="J137">
        <v>4658718</v>
      </c>
      <c r="K137">
        <v>4687933</v>
      </c>
      <c r="L137">
        <v>4716612</v>
      </c>
      <c r="M137">
        <v>4744467</v>
      </c>
      <c r="N137">
        <v>4771237</v>
      </c>
      <c r="O137">
        <v>4796681</v>
      </c>
      <c r="P137">
        <v>4820579</v>
      </c>
      <c r="Q137">
        <v>4842735</v>
      </c>
      <c r="R137">
        <v>4862973</v>
      </c>
      <c r="S137">
        <v>4881142</v>
      </c>
      <c r="T137">
        <v>4897109</v>
      </c>
      <c r="U137">
        <v>4910767</v>
      </c>
      <c r="V137">
        <v>4922028</v>
      </c>
      <c r="W137">
        <v>4930829</v>
      </c>
      <c r="X137">
        <v>4937126</v>
      </c>
      <c r="Y137">
        <v>4940900</v>
      </c>
      <c r="Z137">
        <v>4942150</v>
      </c>
      <c r="AA137">
        <v>4940902</v>
      </c>
      <c r="AB137">
        <v>4937201</v>
      </c>
      <c r="AC137">
        <v>4931114</v>
      </c>
      <c r="AD137">
        <v>4922731</v>
      </c>
      <c r="AE137">
        <v>4912164</v>
      </c>
      <c r="AF137">
        <v>4899547</v>
      </c>
      <c r="AG137">
        <v>4885036</v>
      </c>
      <c r="AH137">
        <v>4868808</v>
      </c>
      <c r="AI137">
        <v>4851063</v>
      </c>
      <c r="AJ137">
        <v>4832024</v>
      </c>
      <c r="AK137">
        <v>4811934</v>
      </c>
      <c r="AL137">
        <v>4791060</v>
      </c>
      <c r="AM137">
        <v>4769690</v>
      </c>
      <c r="AN137">
        <v>4748134</v>
      </c>
      <c r="AO137">
        <v>4726724</v>
      </c>
      <c r="AP137">
        <v>4705814</v>
      </c>
      <c r="AQ137">
        <v>4685782</v>
      </c>
      <c r="AR137">
        <v>4667025</v>
      </c>
      <c r="AS137">
        <v>4649963</v>
      </c>
      <c r="AT137">
        <v>4635040</v>
      </c>
      <c r="AU137">
        <v>4622720</v>
      </c>
      <c r="AV137">
        <v>4613489</v>
      </c>
    </row>
    <row r="138" spans="1:48" x14ac:dyDescent="0.15">
      <c r="A138" t="s">
        <v>169</v>
      </c>
      <c r="B138" t="s">
        <v>556</v>
      </c>
      <c r="C138" t="s">
        <v>428</v>
      </c>
      <c r="D138" s="5">
        <v>1187713.7343115599</v>
      </c>
      <c r="E138" s="5">
        <v>1193303.1365414499</v>
      </c>
      <c r="F138" s="5">
        <v>1198290.00398849</v>
      </c>
      <c r="G138" s="5">
        <v>1196995</v>
      </c>
      <c r="H138">
        <v>1202401</v>
      </c>
      <c r="I138">
        <v>1207875</v>
      </c>
      <c r="J138">
        <v>1213331</v>
      </c>
      <c r="K138">
        <v>1218692</v>
      </c>
      <c r="L138">
        <v>1223882</v>
      </c>
      <c r="M138">
        <v>1228834</v>
      </c>
      <c r="N138">
        <v>1233485</v>
      </c>
      <c r="O138">
        <v>1237777</v>
      </c>
      <c r="P138">
        <v>1241658</v>
      </c>
      <c r="Q138">
        <v>1245082</v>
      </c>
      <c r="R138">
        <v>1248006</v>
      </c>
      <c r="S138">
        <v>1250395</v>
      </c>
      <c r="T138">
        <v>1252218</v>
      </c>
      <c r="U138">
        <v>1253450</v>
      </c>
      <c r="V138">
        <v>1254071</v>
      </c>
      <c r="W138">
        <v>1254066</v>
      </c>
      <c r="X138">
        <v>1253427</v>
      </c>
      <c r="Y138">
        <v>1252149</v>
      </c>
      <c r="Z138">
        <v>1250234</v>
      </c>
      <c r="AA138">
        <v>1247689</v>
      </c>
      <c r="AB138">
        <v>1244526</v>
      </c>
      <c r="AC138">
        <v>1240764</v>
      </c>
      <c r="AD138">
        <v>1236425</v>
      </c>
      <c r="AE138">
        <v>1231537</v>
      </c>
      <c r="AF138">
        <v>1226136</v>
      </c>
      <c r="AG138">
        <v>1220259</v>
      </c>
      <c r="AH138">
        <v>1213952</v>
      </c>
      <c r="AI138">
        <v>1207264</v>
      </c>
      <c r="AJ138">
        <v>1200252</v>
      </c>
      <c r="AK138">
        <v>1192975</v>
      </c>
      <c r="AL138">
        <v>1185501</v>
      </c>
      <c r="AM138">
        <v>1177900</v>
      </c>
      <c r="AN138">
        <v>1170249</v>
      </c>
      <c r="AO138">
        <v>1162632</v>
      </c>
      <c r="AP138">
        <v>1155134</v>
      </c>
      <c r="AQ138">
        <v>1147851</v>
      </c>
      <c r="AR138">
        <v>1140879</v>
      </c>
      <c r="AS138">
        <v>1134323</v>
      </c>
      <c r="AT138">
        <v>1128292</v>
      </c>
      <c r="AU138">
        <v>1122901</v>
      </c>
      <c r="AV138">
        <v>1118269</v>
      </c>
    </row>
    <row r="139" spans="1:48" x14ac:dyDescent="0.15">
      <c r="A139" t="s">
        <v>170</v>
      </c>
      <c r="B139" t="s">
        <v>557</v>
      </c>
      <c r="C139" t="s">
        <v>428</v>
      </c>
      <c r="D139" s="5">
        <v>1176001.4121758901</v>
      </c>
      <c r="E139" s="5">
        <v>1181474.0607304601</v>
      </c>
      <c r="F139" s="5">
        <v>1186344.2422247899</v>
      </c>
      <c r="G139" s="5">
        <v>1150219</v>
      </c>
      <c r="H139">
        <v>1154140</v>
      </c>
      <c r="I139">
        <v>1158646</v>
      </c>
      <c r="J139">
        <v>1163601</v>
      </c>
      <c r="K139">
        <v>1168880</v>
      </c>
      <c r="L139">
        <v>1174364</v>
      </c>
      <c r="M139">
        <v>1179941</v>
      </c>
      <c r="N139">
        <v>1185506</v>
      </c>
      <c r="O139">
        <v>1190964</v>
      </c>
      <c r="P139">
        <v>1196225</v>
      </c>
      <c r="Q139">
        <v>1201209</v>
      </c>
      <c r="R139">
        <v>1205840</v>
      </c>
      <c r="S139">
        <v>1210054</v>
      </c>
      <c r="T139">
        <v>1213790</v>
      </c>
      <c r="U139">
        <v>1216998</v>
      </c>
      <c r="V139">
        <v>1219634</v>
      </c>
      <c r="W139">
        <v>1221661</v>
      </c>
      <c r="X139">
        <v>1223052</v>
      </c>
      <c r="Y139">
        <v>1223784</v>
      </c>
      <c r="Z139">
        <v>1223845</v>
      </c>
      <c r="AA139">
        <v>1223228</v>
      </c>
      <c r="AB139">
        <v>1221934</v>
      </c>
      <c r="AC139">
        <v>1219973</v>
      </c>
      <c r="AD139">
        <v>1217362</v>
      </c>
      <c r="AE139">
        <v>1214123</v>
      </c>
      <c r="AF139">
        <v>1210289</v>
      </c>
      <c r="AG139">
        <v>1205899</v>
      </c>
      <c r="AH139">
        <v>1200999</v>
      </c>
      <c r="AI139">
        <v>1195644</v>
      </c>
      <c r="AJ139">
        <v>1189896</v>
      </c>
      <c r="AK139">
        <v>1183823</v>
      </c>
      <c r="AL139">
        <v>1177502</v>
      </c>
      <c r="AM139">
        <v>1171019</v>
      </c>
      <c r="AN139">
        <v>1164464</v>
      </c>
      <c r="AO139">
        <v>1157937</v>
      </c>
      <c r="AP139">
        <v>1151545</v>
      </c>
      <c r="AQ139">
        <v>1145402</v>
      </c>
      <c r="AR139">
        <v>1139631</v>
      </c>
      <c r="AS139">
        <v>1134360</v>
      </c>
      <c r="AT139">
        <v>1129728</v>
      </c>
      <c r="AU139">
        <v>1125878</v>
      </c>
      <c r="AV139">
        <v>1122963</v>
      </c>
    </row>
    <row r="140" spans="1:48" x14ac:dyDescent="0.15">
      <c r="A140" t="s">
        <v>171</v>
      </c>
      <c r="B140" t="s">
        <v>558</v>
      </c>
      <c r="C140" t="s">
        <v>428</v>
      </c>
      <c r="D140" s="5">
        <v>8696195.4663633108</v>
      </c>
      <c r="E140" s="5">
        <v>8736800.7063498106</v>
      </c>
      <c r="F140" s="5">
        <v>8774778.3494878598</v>
      </c>
      <c r="G140" s="5">
        <v>8931722</v>
      </c>
      <c r="H140">
        <v>8969301</v>
      </c>
      <c r="I140">
        <v>9014058</v>
      </c>
      <c r="J140">
        <v>9064591</v>
      </c>
      <c r="K140">
        <v>9119580</v>
      </c>
      <c r="L140">
        <v>9177778</v>
      </c>
      <c r="M140">
        <v>9238021</v>
      </c>
      <c r="N140">
        <v>9299218</v>
      </c>
      <c r="O140">
        <v>9360360</v>
      </c>
      <c r="P140">
        <v>9420513</v>
      </c>
      <c r="Q140">
        <v>9478823</v>
      </c>
      <c r="R140">
        <v>9534511</v>
      </c>
      <c r="S140">
        <v>9586880</v>
      </c>
      <c r="T140">
        <v>9635308</v>
      </c>
      <c r="U140">
        <v>9679252</v>
      </c>
      <c r="V140">
        <v>9718245</v>
      </c>
      <c r="W140">
        <v>9751900</v>
      </c>
      <c r="X140">
        <v>9779908</v>
      </c>
      <c r="Y140">
        <v>9802037</v>
      </c>
      <c r="Z140">
        <v>9818132</v>
      </c>
      <c r="AA140">
        <v>9828118</v>
      </c>
      <c r="AB140">
        <v>9831997</v>
      </c>
      <c r="AC140">
        <v>9829847</v>
      </c>
      <c r="AD140">
        <v>9821828</v>
      </c>
      <c r="AE140">
        <v>9808174</v>
      </c>
      <c r="AF140">
        <v>9789199</v>
      </c>
      <c r="AG140">
        <v>9765294</v>
      </c>
      <c r="AH140">
        <v>9736928</v>
      </c>
      <c r="AI140">
        <v>9704649</v>
      </c>
      <c r="AJ140">
        <v>9669081</v>
      </c>
      <c r="AK140">
        <v>9630928</v>
      </c>
      <c r="AL140">
        <v>9590969</v>
      </c>
      <c r="AM140">
        <v>9550064</v>
      </c>
      <c r="AN140">
        <v>9509150</v>
      </c>
      <c r="AO140">
        <v>9469240</v>
      </c>
      <c r="AP140">
        <v>9431427</v>
      </c>
      <c r="AQ140">
        <v>9396881</v>
      </c>
      <c r="AR140">
        <v>9366851</v>
      </c>
      <c r="AS140">
        <v>9342663</v>
      </c>
      <c r="AT140">
        <v>9325719</v>
      </c>
      <c r="AU140">
        <v>9317503</v>
      </c>
      <c r="AV140">
        <v>9319574</v>
      </c>
    </row>
    <row r="141" spans="1:48" x14ac:dyDescent="0.15">
      <c r="A141" t="s">
        <v>172</v>
      </c>
      <c r="B141" t="s">
        <v>559</v>
      </c>
      <c r="C141" t="s">
        <v>428</v>
      </c>
      <c r="D141" s="5">
        <v>5034764.8207833003</v>
      </c>
      <c r="E141" s="5">
        <v>5060446.1555001698</v>
      </c>
      <c r="F141" s="5">
        <v>5083650.8261135099</v>
      </c>
      <c r="G141" s="5">
        <v>4449391</v>
      </c>
      <c r="H141">
        <v>4468837</v>
      </c>
      <c r="I141">
        <v>4490083</v>
      </c>
      <c r="J141">
        <v>4512661</v>
      </c>
      <c r="K141">
        <v>4536129</v>
      </c>
      <c r="L141">
        <v>4560072</v>
      </c>
      <c r="M141">
        <v>4584102</v>
      </c>
      <c r="N141">
        <v>4607856</v>
      </c>
      <c r="O141">
        <v>4631000</v>
      </c>
      <c r="P141">
        <v>4653224</v>
      </c>
      <c r="Q141">
        <v>4674246</v>
      </c>
      <c r="R141">
        <v>4693810</v>
      </c>
      <c r="S141">
        <v>4711685</v>
      </c>
      <c r="T141">
        <v>4727670</v>
      </c>
      <c r="U141">
        <v>4741588</v>
      </c>
      <c r="V141">
        <v>4753288</v>
      </c>
      <c r="W141">
        <v>4762648</v>
      </c>
      <c r="X141">
        <v>4769570</v>
      </c>
      <c r="Y141">
        <v>4773984</v>
      </c>
      <c r="Z141">
        <v>4775845</v>
      </c>
      <c r="AA141">
        <v>4775137</v>
      </c>
      <c r="AB141">
        <v>4771869</v>
      </c>
      <c r="AC141">
        <v>4766075</v>
      </c>
      <c r="AD141">
        <v>4757819</v>
      </c>
      <c r="AE141">
        <v>4747188</v>
      </c>
      <c r="AF141">
        <v>4734298</v>
      </c>
      <c r="AG141">
        <v>4719290</v>
      </c>
      <c r="AH141">
        <v>4702333</v>
      </c>
      <c r="AI141">
        <v>4683620</v>
      </c>
      <c r="AJ141">
        <v>4663373</v>
      </c>
      <c r="AK141">
        <v>4641841</v>
      </c>
      <c r="AL141">
        <v>4619295</v>
      </c>
      <c r="AM141">
        <v>4596038</v>
      </c>
      <c r="AN141">
        <v>4572397</v>
      </c>
      <c r="AO141">
        <v>4548724</v>
      </c>
      <c r="AP141">
        <v>4525401</v>
      </c>
      <c r="AQ141">
        <v>4502833</v>
      </c>
      <c r="AR141">
        <v>4481454</v>
      </c>
      <c r="AS141">
        <v>4461724</v>
      </c>
      <c r="AT141">
        <v>4444128</v>
      </c>
      <c r="AU141">
        <v>4429180</v>
      </c>
      <c r="AV141">
        <v>4417418</v>
      </c>
    </row>
    <row r="142" spans="1:48" x14ac:dyDescent="0.15">
      <c r="A142" t="s">
        <v>173</v>
      </c>
      <c r="B142" t="s">
        <v>560</v>
      </c>
      <c r="C142" t="s">
        <v>428</v>
      </c>
      <c r="D142" s="5">
        <v>5643430.7809937997</v>
      </c>
      <c r="E142" s="5">
        <v>5670682.1450680103</v>
      </c>
      <c r="F142" s="5">
        <v>5695786.4649593299</v>
      </c>
      <c r="G142" s="5">
        <v>4984179</v>
      </c>
      <c r="H142">
        <v>5007290</v>
      </c>
      <c r="I142">
        <v>5032674</v>
      </c>
      <c r="J142">
        <v>5059738</v>
      </c>
      <c r="K142">
        <v>5087926</v>
      </c>
      <c r="L142">
        <v>5116717</v>
      </c>
      <c r="M142">
        <v>5145621</v>
      </c>
      <c r="N142">
        <v>5174186</v>
      </c>
      <c r="O142">
        <v>5201993</v>
      </c>
      <c r="P142">
        <v>5228656</v>
      </c>
      <c r="Q142">
        <v>5253826</v>
      </c>
      <c r="R142">
        <v>5277186</v>
      </c>
      <c r="S142">
        <v>5298454</v>
      </c>
      <c r="T142">
        <v>5317383</v>
      </c>
      <c r="U142">
        <v>5333761</v>
      </c>
      <c r="V142">
        <v>5347408</v>
      </c>
      <c r="W142">
        <v>5358181</v>
      </c>
      <c r="X142">
        <v>5365968</v>
      </c>
      <c r="Y142">
        <v>5370695</v>
      </c>
      <c r="Z142">
        <v>5372321</v>
      </c>
      <c r="AA142">
        <v>5370838</v>
      </c>
      <c r="AB142">
        <v>5366275</v>
      </c>
      <c r="AC142">
        <v>5358692</v>
      </c>
      <c r="AD142">
        <v>5348186</v>
      </c>
      <c r="AE142">
        <v>5334888</v>
      </c>
      <c r="AF142">
        <v>5318962</v>
      </c>
      <c r="AG142">
        <v>5300609</v>
      </c>
      <c r="AH142">
        <v>5280060</v>
      </c>
      <c r="AI142">
        <v>5257585</v>
      </c>
      <c r="AJ142">
        <v>5233486</v>
      </c>
      <c r="AK142">
        <v>5208099</v>
      </c>
      <c r="AL142">
        <v>5181795</v>
      </c>
      <c r="AM142">
        <v>5154981</v>
      </c>
      <c r="AN142">
        <v>5128094</v>
      </c>
      <c r="AO142">
        <v>5101611</v>
      </c>
      <c r="AP142">
        <v>5076039</v>
      </c>
      <c r="AQ142">
        <v>5051920</v>
      </c>
      <c r="AR142">
        <v>5029833</v>
      </c>
      <c r="AS142">
        <v>5010388</v>
      </c>
      <c r="AT142">
        <v>4994232</v>
      </c>
      <c r="AU142">
        <v>4982044</v>
      </c>
      <c r="AV142">
        <v>4974540</v>
      </c>
    </row>
    <row r="143" spans="1:48" x14ac:dyDescent="0.15">
      <c r="A143" t="s">
        <v>174</v>
      </c>
      <c r="B143" t="s">
        <v>561</v>
      </c>
      <c r="C143" t="s">
        <v>428</v>
      </c>
      <c r="D143" s="5">
        <v>4101189.6369302198</v>
      </c>
      <c r="E143" s="5">
        <v>4124992.6054398599</v>
      </c>
      <c r="F143" s="5">
        <v>4147048.5786889</v>
      </c>
      <c r="G143" s="5">
        <v>3593080</v>
      </c>
      <c r="H143">
        <v>3614645</v>
      </c>
      <c r="I143">
        <v>3637242</v>
      </c>
      <c r="J143">
        <v>3660518</v>
      </c>
      <c r="K143">
        <v>3684139</v>
      </c>
      <c r="L143">
        <v>3707793</v>
      </c>
      <c r="M143">
        <v>3731187</v>
      </c>
      <c r="N143">
        <v>3754050</v>
      </c>
      <c r="O143">
        <v>3776133</v>
      </c>
      <c r="P143">
        <v>3797205</v>
      </c>
      <c r="Q143">
        <v>3817059</v>
      </c>
      <c r="R143">
        <v>3835508</v>
      </c>
      <c r="S143">
        <v>3852383</v>
      </c>
      <c r="T143">
        <v>3867540</v>
      </c>
      <c r="U143">
        <v>3880854</v>
      </c>
      <c r="V143">
        <v>3892220</v>
      </c>
      <c r="W143">
        <v>3901555</v>
      </c>
      <c r="X143">
        <v>3908796</v>
      </c>
      <c r="Y143">
        <v>3913903</v>
      </c>
      <c r="Z143">
        <v>3916855</v>
      </c>
      <c r="AA143">
        <v>3917651</v>
      </c>
      <c r="AB143">
        <v>3916313</v>
      </c>
      <c r="AC143">
        <v>3912882</v>
      </c>
      <c r="AD143">
        <v>3907422</v>
      </c>
      <c r="AE143">
        <v>3900016</v>
      </c>
      <c r="AF143">
        <v>3890768</v>
      </c>
      <c r="AG143">
        <v>3879804</v>
      </c>
      <c r="AH143">
        <v>3867271</v>
      </c>
      <c r="AI143">
        <v>3853334</v>
      </c>
      <c r="AJ143">
        <v>3838182</v>
      </c>
      <c r="AK143">
        <v>3822024</v>
      </c>
      <c r="AL143">
        <v>3805089</v>
      </c>
      <c r="AM143">
        <v>3787628</v>
      </c>
      <c r="AN143">
        <v>3769912</v>
      </c>
      <c r="AO143">
        <v>3752234</v>
      </c>
      <c r="AP143">
        <v>3734906</v>
      </c>
      <c r="AQ143">
        <v>3718262</v>
      </c>
      <c r="AR143">
        <v>3702658</v>
      </c>
      <c r="AS143">
        <v>3688469</v>
      </c>
      <c r="AT143">
        <v>3676091</v>
      </c>
      <c r="AU143">
        <v>3665942</v>
      </c>
      <c r="AV143">
        <v>3658459</v>
      </c>
    </row>
    <row r="144" spans="1:48" x14ac:dyDescent="0.15">
      <c r="A144" t="s">
        <v>175</v>
      </c>
      <c r="B144" t="s">
        <v>562</v>
      </c>
      <c r="C144" t="s">
        <v>428</v>
      </c>
      <c r="D144" s="5">
        <v>6867889.5676097497</v>
      </c>
      <c r="E144" s="5">
        <v>6902206.1369518498</v>
      </c>
      <c r="F144" s="5">
        <v>6933800.1324344398</v>
      </c>
      <c r="G144" s="5">
        <v>6463028</v>
      </c>
      <c r="H144">
        <v>6490614</v>
      </c>
      <c r="I144">
        <v>6522389</v>
      </c>
      <c r="J144">
        <v>6557475</v>
      </c>
      <c r="K144">
        <v>6595045</v>
      </c>
      <c r="L144">
        <v>6634322</v>
      </c>
      <c r="M144">
        <v>6674574</v>
      </c>
      <c r="N144">
        <v>6715124</v>
      </c>
      <c r="O144">
        <v>6755337</v>
      </c>
      <c r="P144">
        <v>6794633</v>
      </c>
      <c r="Q144">
        <v>6832478</v>
      </c>
      <c r="R144">
        <v>6868388</v>
      </c>
      <c r="S144">
        <v>6901927</v>
      </c>
      <c r="T144">
        <v>6932708</v>
      </c>
      <c r="U144">
        <v>6960395</v>
      </c>
      <c r="V144">
        <v>6984699</v>
      </c>
      <c r="W144">
        <v>7005380</v>
      </c>
      <c r="X144">
        <v>7022248</v>
      </c>
      <c r="Y144">
        <v>7035163</v>
      </c>
      <c r="Z144">
        <v>7044030</v>
      </c>
      <c r="AA144">
        <v>7048808</v>
      </c>
      <c r="AB144">
        <v>7049502</v>
      </c>
      <c r="AC144">
        <v>7046165</v>
      </c>
      <c r="AD144">
        <v>7038903</v>
      </c>
      <c r="AE144">
        <v>7027867</v>
      </c>
      <c r="AF144">
        <v>7013259</v>
      </c>
      <c r="AG144">
        <v>6995330</v>
      </c>
      <c r="AH144">
        <v>6974380</v>
      </c>
      <c r="AI144">
        <v>6950756</v>
      </c>
      <c r="AJ144">
        <v>6924857</v>
      </c>
      <c r="AK144">
        <v>6897129</v>
      </c>
      <c r="AL144">
        <v>6868068</v>
      </c>
      <c r="AM144">
        <v>6838219</v>
      </c>
      <c r="AN144">
        <v>6808175</v>
      </c>
      <c r="AO144">
        <v>6778578</v>
      </c>
      <c r="AP144">
        <v>6750121</v>
      </c>
      <c r="AQ144">
        <v>6723544</v>
      </c>
      <c r="AR144">
        <v>6699637</v>
      </c>
      <c r="AS144">
        <v>6679238</v>
      </c>
      <c r="AT144">
        <v>6663235</v>
      </c>
      <c r="AU144">
        <v>6652565</v>
      </c>
      <c r="AV144">
        <v>6648212</v>
      </c>
    </row>
    <row r="145" spans="1:48" x14ac:dyDescent="0.15">
      <c r="A145" t="s">
        <v>177</v>
      </c>
      <c r="B145" t="s">
        <v>563</v>
      </c>
      <c r="C145" t="s">
        <v>427</v>
      </c>
      <c r="D145" s="5">
        <v>7153248.2007163996</v>
      </c>
      <c r="E145" s="5">
        <v>7197585.9132746104</v>
      </c>
      <c r="F145" s="5">
        <v>7237508.1668370096</v>
      </c>
      <c r="G145" s="5">
        <v>9124789</v>
      </c>
      <c r="H145">
        <v>9201490</v>
      </c>
      <c r="I145">
        <v>9266483</v>
      </c>
      <c r="J145">
        <v>9320566</v>
      </c>
      <c r="K145">
        <v>9364509</v>
      </c>
      <c r="L145">
        <v>9399053</v>
      </c>
      <c r="M145">
        <v>9424908</v>
      </c>
      <c r="N145">
        <v>9442756</v>
      </c>
      <c r="O145">
        <v>9453249</v>
      </c>
      <c r="P145">
        <v>9457010</v>
      </c>
      <c r="Q145">
        <v>9454632</v>
      </c>
      <c r="R145">
        <v>9446679</v>
      </c>
      <c r="S145">
        <v>9433686</v>
      </c>
      <c r="T145">
        <v>9416158</v>
      </c>
      <c r="U145">
        <v>9394571</v>
      </c>
      <c r="V145">
        <v>9369372</v>
      </c>
      <c r="W145">
        <v>9340977</v>
      </c>
      <c r="X145">
        <v>9309775</v>
      </c>
      <c r="Y145">
        <v>9276123</v>
      </c>
      <c r="Z145">
        <v>9240351</v>
      </c>
      <c r="AA145">
        <v>9202758</v>
      </c>
      <c r="AB145">
        <v>9163614</v>
      </c>
      <c r="AC145">
        <v>9123161</v>
      </c>
      <c r="AD145">
        <v>9081609</v>
      </c>
      <c r="AE145">
        <v>9039142</v>
      </c>
      <c r="AF145">
        <v>8995911</v>
      </c>
      <c r="AG145">
        <v>8952040</v>
      </c>
      <c r="AH145">
        <v>8907623</v>
      </c>
      <c r="AI145">
        <v>8862724</v>
      </c>
      <c r="AJ145">
        <v>8817379</v>
      </c>
      <c r="AK145">
        <v>8771593</v>
      </c>
      <c r="AL145">
        <v>8725344</v>
      </c>
      <c r="AM145">
        <v>8678577</v>
      </c>
      <c r="AN145">
        <v>8631211</v>
      </c>
      <c r="AO145">
        <v>8583134</v>
      </c>
      <c r="AP145">
        <v>8534204</v>
      </c>
      <c r="AQ145">
        <v>8484252</v>
      </c>
      <c r="AR145">
        <v>8433078</v>
      </c>
      <c r="AS145">
        <v>8380452</v>
      </c>
      <c r="AT145">
        <v>8326116</v>
      </c>
      <c r="AU145">
        <v>8269781</v>
      </c>
      <c r="AV145">
        <v>8211131</v>
      </c>
    </row>
    <row r="146" spans="1:48" x14ac:dyDescent="0.15">
      <c r="A146" t="s">
        <v>178</v>
      </c>
      <c r="B146" t="s">
        <v>564</v>
      </c>
      <c r="C146" t="s">
        <v>427</v>
      </c>
      <c r="D146" s="5">
        <v>9076176.8298011906</v>
      </c>
      <c r="E146" s="5">
        <v>9120417.7974925991</v>
      </c>
      <c r="F146" s="5">
        <v>9159350.6758135296</v>
      </c>
      <c r="G146" s="5">
        <v>10004648</v>
      </c>
      <c r="H146">
        <v>10070342</v>
      </c>
      <c r="I146">
        <v>10125262</v>
      </c>
      <c r="J146">
        <v>10170056</v>
      </c>
      <c r="K146">
        <v>10205351</v>
      </c>
      <c r="L146">
        <v>10231753</v>
      </c>
      <c r="M146">
        <v>10249849</v>
      </c>
      <c r="N146">
        <v>10260204</v>
      </c>
      <c r="O146">
        <v>10263363</v>
      </c>
      <c r="P146">
        <v>10259848</v>
      </c>
      <c r="Q146">
        <v>10250163</v>
      </c>
      <c r="R146">
        <v>10234790</v>
      </c>
      <c r="S146">
        <v>10214192</v>
      </c>
      <c r="T146">
        <v>10188808</v>
      </c>
      <c r="U146">
        <v>10159060</v>
      </c>
      <c r="V146">
        <v>10125346</v>
      </c>
      <c r="W146">
        <v>10088046</v>
      </c>
      <c r="X146">
        <v>10047517</v>
      </c>
      <c r="Y146">
        <v>10004098</v>
      </c>
      <c r="Z146">
        <v>9958105</v>
      </c>
      <c r="AA146">
        <v>9909833</v>
      </c>
      <c r="AB146">
        <v>9859559</v>
      </c>
      <c r="AC146">
        <v>9807537</v>
      </c>
      <c r="AD146">
        <v>9754000</v>
      </c>
      <c r="AE146">
        <v>9699163</v>
      </c>
      <c r="AF146">
        <v>9643217</v>
      </c>
      <c r="AG146">
        <v>9586335</v>
      </c>
      <c r="AH146">
        <v>9528667</v>
      </c>
      <c r="AI146">
        <v>9470344</v>
      </c>
      <c r="AJ146">
        <v>9411477</v>
      </c>
      <c r="AK146">
        <v>9352153</v>
      </c>
      <c r="AL146">
        <v>9292441</v>
      </c>
      <c r="AM146">
        <v>9232388</v>
      </c>
      <c r="AN146">
        <v>9172023</v>
      </c>
      <c r="AO146">
        <v>9111351</v>
      </c>
      <c r="AP146">
        <v>9050357</v>
      </c>
      <c r="AQ146">
        <v>8989006</v>
      </c>
      <c r="AR146">
        <v>8927242</v>
      </c>
      <c r="AS146">
        <v>8864990</v>
      </c>
      <c r="AT146">
        <v>8802151</v>
      </c>
      <c r="AU146">
        <v>8738608</v>
      </c>
      <c r="AV146">
        <v>8674222</v>
      </c>
    </row>
    <row r="147" spans="1:48" x14ac:dyDescent="0.15">
      <c r="A147" t="s">
        <v>179</v>
      </c>
      <c r="B147" t="s">
        <v>565</v>
      </c>
      <c r="C147" t="s">
        <v>427</v>
      </c>
      <c r="D147" s="5">
        <v>4672924.2410387201</v>
      </c>
      <c r="E147" s="5">
        <v>4690194.1956025204</v>
      </c>
      <c r="F147" s="5">
        <v>4705252.0862190202</v>
      </c>
      <c r="G147" s="5">
        <v>4681060</v>
      </c>
      <c r="H147">
        <v>4703603</v>
      </c>
      <c r="I147">
        <v>4722676</v>
      </c>
      <c r="J147">
        <v>4738360</v>
      </c>
      <c r="K147">
        <v>4750739</v>
      </c>
      <c r="L147">
        <v>4759897</v>
      </c>
      <c r="M147">
        <v>4765924</v>
      </c>
      <c r="N147">
        <v>4768912</v>
      </c>
      <c r="O147">
        <v>4768955</v>
      </c>
      <c r="P147">
        <v>4766151</v>
      </c>
      <c r="Q147">
        <v>4760600</v>
      </c>
      <c r="R147">
        <v>4752406</v>
      </c>
      <c r="S147">
        <v>4741674</v>
      </c>
      <c r="T147">
        <v>4728514</v>
      </c>
      <c r="U147">
        <v>4713037</v>
      </c>
      <c r="V147">
        <v>4695359</v>
      </c>
      <c r="W147">
        <v>4675596</v>
      </c>
      <c r="X147">
        <v>4653869</v>
      </c>
      <c r="Y147">
        <v>4630301</v>
      </c>
      <c r="Z147">
        <v>4605020</v>
      </c>
      <c r="AA147">
        <v>4578153</v>
      </c>
      <c r="AB147">
        <v>4549833</v>
      </c>
      <c r="AC147">
        <v>4520194</v>
      </c>
      <c r="AD147">
        <v>4489375</v>
      </c>
      <c r="AE147">
        <v>4457515</v>
      </c>
      <c r="AF147">
        <v>4424759</v>
      </c>
      <c r="AG147">
        <v>4391252</v>
      </c>
      <c r="AH147">
        <v>4357143</v>
      </c>
      <c r="AI147">
        <v>4322585</v>
      </c>
      <c r="AJ147">
        <v>4287733</v>
      </c>
      <c r="AK147">
        <v>4252744</v>
      </c>
      <c r="AL147">
        <v>4217779</v>
      </c>
      <c r="AM147">
        <v>4183001</v>
      </c>
      <c r="AN147">
        <v>4148578</v>
      </c>
      <c r="AO147">
        <v>4114677</v>
      </c>
      <c r="AP147">
        <v>4081471</v>
      </c>
      <c r="AQ147">
        <v>4049136</v>
      </c>
      <c r="AR147">
        <v>4017848</v>
      </c>
      <c r="AS147">
        <v>3987790</v>
      </c>
      <c r="AT147">
        <v>3959143</v>
      </c>
      <c r="AU147">
        <v>3932096</v>
      </c>
      <c r="AV147">
        <v>3906836</v>
      </c>
    </row>
    <row r="148" spans="1:48" x14ac:dyDescent="0.15">
      <c r="A148" t="s">
        <v>180</v>
      </c>
      <c r="B148" t="s">
        <v>566</v>
      </c>
      <c r="C148" t="s">
        <v>427</v>
      </c>
      <c r="D148" s="5">
        <v>3887695.98302266</v>
      </c>
      <c r="E148" s="5">
        <v>3908490.7784454799</v>
      </c>
      <c r="F148" s="5">
        <v>3927510.21989077</v>
      </c>
      <c r="G148" s="5">
        <v>3828414</v>
      </c>
      <c r="H148">
        <v>3855201</v>
      </c>
      <c r="I148">
        <v>3879651</v>
      </c>
      <c r="J148">
        <v>3901786</v>
      </c>
      <c r="K148">
        <v>3921634</v>
      </c>
      <c r="L148">
        <v>3939224</v>
      </c>
      <c r="M148">
        <v>3954589</v>
      </c>
      <c r="N148">
        <v>3967767</v>
      </c>
      <c r="O148">
        <v>3978797</v>
      </c>
      <c r="P148">
        <v>3987722</v>
      </c>
      <c r="Q148">
        <v>3994588</v>
      </c>
      <c r="R148">
        <v>3999445</v>
      </c>
      <c r="S148">
        <v>4002346</v>
      </c>
      <c r="T148">
        <v>4003348</v>
      </c>
      <c r="U148">
        <v>4002509</v>
      </c>
      <c r="V148">
        <v>3999893</v>
      </c>
      <c r="W148">
        <v>3995565</v>
      </c>
      <c r="X148">
        <v>3989596</v>
      </c>
      <c r="Y148">
        <v>3982057</v>
      </c>
      <c r="Z148">
        <v>3973024</v>
      </c>
      <c r="AA148">
        <v>3962578</v>
      </c>
      <c r="AB148">
        <v>3950800</v>
      </c>
      <c r="AC148">
        <v>3937776</v>
      </c>
      <c r="AD148">
        <v>3923595</v>
      </c>
      <c r="AE148">
        <v>3908350</v>
      </c>
      <c r="AF148">
        <v>3892136</v>
      </c>
      <c r="AG148">
        <v>3875053</v>
      </c>
      <c r="AH148">
        <v>3857202</v>
      </c>
      <c r="AI148">
        <v>3838689</v>
      </c>
      <c r="AJ148">
        <v>3819623</v>
      </c>
      <c r="AK148">
        <v>3800116</v>
      </c>
      <c r="AL148">
        <v>3780283</v>
      </c>
      <c r="AM148">
        <v>3760243</v>
      </c>
      <c r="AN148">
        <v>3740118</v>
      </c>
      <c r="AO148">
        <v>3720033</v>
      </c>
      <c r="AP148">
        <v>3700117</v>
      </c>
      <c r="AQ148">
        <v>3680501</v>
      </c>
      <c r="AR148">
        <v>3661320</v>
      </c>
      <c r="AS148">
        <v>3642714</v>
      </c>
      <c r="AT148">
        <v>3624823</v>
      </c>
      <c r="AU148">
        <v>3607793</v>
      </c>
      <c r="AV148">
        <v>3591771</v>
      </c>
    </row>
    <row r="149" spans="1:48" x14ac:dyDescent="0.15">
      <c r="A149" t="s">
        <v>181</v>
      </c>
      <c r="B149" t="s">
        <v>567</v>
      </c>
      <c r="C149" t="s">
        <v>427</v>
      </c>
      <c r="D149" s="5">
        <v>2122104.1417969898</v>
      </c>
      <c r="E149" s="5">
        <v>2132592.9678929201</v>
      </c>
      <c r="F149" s="5">
        <v>2141833.5940283402</v>
      </c>
      <c r="G149" s="5">
        <v>2181073</v>
      </c>
      <c r="H149">
        <v>2193342</v>
      </c>
      <c r="I149">
        <v>2203929</v>
      </c>
      <c r="J149">
        <v>2212897</v>
      </c>
      <c r="K149">
        <v>2220309</v>
      </c>
      <c r="L149">
        <v>2226225</v>
      </c>
      <c r="M149">
        <v>2230707</v>
      </c>
      <c r="N149">
        <v>2233814</v>
      </c>
      <c r="O149">
        <v>2235605</v>
      </c>
      <c r="P149">
        <v>2236138</v>
      </c>
      <c r="Q149">
        <v>2235472</v>
      </c>
      <c r="R149">
        <v>2233662</v>
      </c>
      <c r="S149">
        <v>2230764</v>
      </c>
      <c r="T149">
        <v>2226835</v>
      </c>
      <c r="U149">
        <v>2221927</v>
      </c>
      <c r="V149">
        <v>2216095</v>
      </c>
      <c r="W149">
        <v>2209392</v>
      </c>
      <c r="X149">
        <v>2201870</v>
      </c>
      <c r="Y149">
        <v>2193579</v>
      </c>
      <c r="Z149">
        <v>2184571</v>
      </c>
      <c r="AA149">
        <v>2174895</v>
      </c>
      <c r="AB149">
        <v>2164600</v>
      </c>
      <c r="AC149">
        <v>2153734</v>
      </c>
      <c r="AD149">
        <v>2142346</v>
      </c>
      <c r="AE149">
        <v>2130480</v>
      </c>
      <c r="AF149">
        <v>2118184</v>
      </c>
      <c r="AG149">
        <v>2105503</v>
      </c>
      <c r="AH149">
        <v>2092480</v>
      </c>
      <c r="AI149">
        <v>2079160</v>
      </c>
      <c r="AJ149">
        <v>2065584</v>
      </c>
      <c r="AK149">
        <v>2051796</v>
      </c>
      <c r="AL149">
        <v>2037836</v>
      </c>
      <c r="AM149">
        <v>2023745</v>
      </c>
      <c r="AN149">
        <v>2009563</v>
      </c>
      <c r="AO149">
        <v>1995328</v>
      </c>
      <c r="AP149">
        <v>1981078</v>
      </c>
      <c r="AQ149">
        <v>1966852</v>
      </c>
      <c r="AR149">
        <v>1952685</v>
      </c>
      <c r="AS149">
        <v>1938613</v>
      </c>
      <c r="AT149">
        <v>1924672</v>
      </c>
      <c r="AU149">
        <v>1910895</v>
      </c>
      <c r="AV149">
        <v>1897317</v>
      </c>
    </row>
    <row r="150" spans="1:48" x14ac:dyDescent="0.15">
      <c r="A150" t="s">
        <v>182</v>
      </c>
      <c r="B150" t="s">
        <v>568</v>
      </c>
      <c r="C150" t="s">
        <v>427</v>
      </c>
      <c r="D150" s="5">
        <v>7165620.5942308204</v>
      </c>
      <c r="E150" s="5">
        <v>7190724.7190858703</v>
      </c>
      <c r="F150" s="5">
        <v>7212152.6918334505</v>
      </c>
      <c r="G150" s="5">
        <v>7061298</v>
      </c>
      <c r="H150">
        <v>7101116</v>
      </c>
      <c r="I150">
        <v>7131386</v>
      </c>
      <c r="J150">
        <v>7152720</v>
      </c>
      <c r="K150">
        <v>7165713</v>
      </c>
      <c r="L150">
        <v>7170939</v>
      </c>
      <c r="M150">
        <v>7168958</v>
      </c>
      <c r="N150">
        <v>7160307</v>
      </c>
      <c r="O150">
        <v>7145508</v>
      </c>
      <c r="P150">
        <v>7125064</v>
      </c>
      <c r="Q150">
        <v>7099459</v>
      </c>
      <c r="R150">
        <v>7069158</v>
      </c>
      <c r="S150">
        <v>7034610</v>
      </c>
      <c r="T150">
        <v>6996243</v>
      </c>
      <c r="U150">
        <v>6954468</v>
      </c>
      <c r="V150">
        <v>6909677</v>
      </c>
      <c r="W150">
        <v>6862246</v>
      </c>
      <c r="X150">
        <v>6812529</v>
      </c>
      <c r="Y150">
        <v>6760864</v>
      </c>
      <c r="Z150">
        <v>6707570</v>
      </c>
      <c r="AA150">
        <v>6652948</v>
      </c>
      <c r="AB150">
        <v>6597281</v>
      </c>
      <c r="AC150">
        <v>6540832</v>
      </c>
      <c r="AD150">
        <v>6483847</v>
      </c>
      <c r="AE150">
        <v>6426553</v>
      </c>
      <c r="AF150">
        <v>6369161</v>
      </c>
      <c r="AG150">
        <v>6311859</v>
      </c>
      <c r="AH150">
        <v>6254821</v>
      </c>
      <c r="AI150">
        <v>6198200</v>
      </c>
      <c r="AJ150">
        <v>6142133</v>
      </c>
      <c r="AK150">
        <v>6086736</v>
      </c>
      <c r="AL150">
        <v>6032108</v>
      </c>
      <c r="AM150">
        <v>5978331</v>
      </c>
      <c r="AN150">
        <v>5925466</v>
      </c>
      <c r="AO150">
        <v>5873557</v>
      </c>
      <c r="AP150">
        <v>5822630</v>
      </c>
      <c r="AQ150">
        <v>5772692</v>
      </c>
      <c r="AR150">
        <v>5723732</v>
      </c>
      <c r="AS150">
        <v>5675720</v>
      </c>
      <c r="AT150">
        <v>5628609</v>
      </c>
      <c r="AU150">
        <v>5582333</v>
      </c>
      <c r="AV150">
        <v>5536807</v>
      </c>
    </row>
    <row r="151" spans="1:48" x14ac:dyDescent="0.15">
      <c r="A151" t="s">
        <v>183</v>
      </c>
      <c r="B151" t="s">
        <v>569</v>
      </c>
      <c r="C151" t="s">
        <v>427</v>
      </c>
      <c r="D151" s="5">
        <v>9392237.1989144105</v>
      </c>
      <c r="E151" s="5">
        <v>9429194.16048689</v>
      </c>
      <c r="F151" s="5">
        <v>9461592.2137169093</v>
      </c>
      <c r="G151" s="5">
        <v>9338971</v>
      </c>
      <c r="H151">
        <v>9385514</v>
      </c>
      <c r="I151">
        <v>9425574</v>
      </c>
      <c r="J151">
        <v>9459303</v>
      </c>
      <c r="K151">
        <v>9486859</v>
      </c>
      <c r="L151">
        <v>9508405</v>
      </c>
      <c r="M151">
        <v>9524107</v>
      </c>
      <c r="N151">
        <v>9534139</v>
      </c>
      <c r="O151">
        <v>9538675</v>
      </c>
      <c r="P151">
        <v>9537899</v>
      </c>
      <c r="Q151">
        <v>9531996</v>
      </c>
      <c r="R151">
        <v>9521158</v>
      </c>
      <c r="S151">
        <v>9505580</v>
      </c>
      <c r="T151">
        <v>9485464</v>
      </c>
      <c r="U151">
        <v>9461014</v>
      </c>
      <c r="V151">
        <v>9432441</v>
      </c>
      <c r="W151">
        <v>9399961</v>
      </c>
      <c r="X151">
        <v>9363792</v>
      </c>
      <c r="Y151">
        <v>9324161</v>
      </c>
      <c r="Z151">
        <v>9281295</v>
      </c>
      <c r="AA151">
        <v>9235430</v>
      </c>
      <c r="AB151">
        <v>9186805</v>
      </c>
      <c r="AC151">
        <v>9135663</v>
      </c>
      <c r="AD151">
        <v>9082252</v>
      </c>
      <c r="AE151">
        <v>9026828</v>
      </c>
      <c r="AF151">
        <v>8969646</v>
      </c>
      <c r="AG151">
        <v>8910972</v>
      </c>
      <c r="AH151">
        <v>8851072</v>
      </c>
      <c r="AI151">
        <v>8790219</v>
      </c>
      <c r="AJ151">
        <v>8728690</v>
      </c>
      <c r="AK151">
        <v>8666767</v>
      </c>
      <c r="AL151">
        <v>8604738</v>
      </c>
      <c r="AM151">
        <v>8542894</v>
      </c>
      <c r="AN151">
        <v>8481532</v>
      </c>
      <c r="AO151">
        <v>8420953</v>
      </c>
      <c r="AP151">
        <v>8361463</v>
      </c>
      <c r="AQ151">
        <v>8303373</v>
      </c>
      <c r="AR151">
        <v>8246999</v>
      </c>
      <c r="AS151">
        <v>8192661</v>
      </c>
      <c r="AT151">
        <v>8140684</v>
      </c>
      <c r="AU151">
        <v>8091399</v>
      </c>
      <c r="AV151">
        <v>8045140</v>
      </c>
    </row>
    <row r="152" spans="1:48" x14ac:dyDescent="0.15">
      <c r="A152" t="s">
        <v>184</v>
      </c>
      <c r="B152" t="s">
        <v>570</v>
      </c>
      <c r="C152" t="s">
        <v>427</v>
      </c>
      <c r="D152" s="5">
        <v>8443720.4326959103</v>
      </c>
      <c r="E152" s="5">
        <v>8482607.0765136201</v>
      </c>
      <c r="F152" s="5">
        <v>8516310.6746231299</v>
      </c>
      <c r="G152" s="5">
        <v>8319940</v>
      </c>
      <c r="H152">
        <v>8356958</v>
      </c>
      <c r="I152">
        <v>8391066</v>
      </c>
      <c r="J152">
        <v>8422171</v>
      </c>
      <c r="K152">
        <v>8450190</v>
      </c>
      <c r="L152">
        <v>8475052</v>
      </c>
      <c r="M152">
        <v>8496696</v>
      </c>
      <c r="N152">
        <v>8515074</v>
      </c>
      <c r="O152">
        <v>8530148</v>
      </c>
      <c r="P152">
        <v>8541892</v>
      </c>
      <c r="Q152">
        <v>8550288</v>
      </c>
      <c r="R152">
        <v>8555335</v>
      </c>
      <c r="S152">
        <v>8557037</v>
      </c>
      <c r="T152">
        <v>8555413</v>
      </c>
      <c r="U152">
        <v>8550493</v>
      </c>
      <c r="V152">
        <v>8542315</v>
      </c>
      <c r="W152">
        <v>8530932</v>
      </c>
      <c r="X152">
        <v>8516406</v>
      </c>
      <c r="Y152">
        <v>8498811</v>
      </c>
      <c r="Z152">
        <v>8478231</v>
      </c>
      <c r="AA152">
        <v>8454762</v>
      </c>
      <c r="AB152">
        <v>8428512</v>
      </c>
      <c r="AC152">
        <v>8399598</v>
      </c>
      <c r="AD152">
        <v>8368150</v>
      </c>
      <c r="AE152">
        <v>8334309</v>
      </c>
      <c r="AF152">
        <v>8298226</v>
      </c>
      <c r="AG152">
        <v>8260064</v>
      </c>
      <c r="AH152">
        <v>8219996</v>
      </c>
      <c r="AI152">
        <v>8178209</v>
      </c>
      <c r="AJ152">
        <v>8134897</v>
      </c>
      <c r="AK152">
        <v>8090269</v>
      </c>
      <c r="AL152">
        <v>8044543</v>
      </c>
      <c r="AM152">
        <v>7997949</v>
      </c>
      <c r="AN152">
        <v>7950727</v>
      </c>
      <c r="AO152">
        <v>7903130</v>
      </c>
      <c r="AP152">
        <v>7855420</v>
      </c>
      <c r="AQ152">
        <v>7807872</v>
      </c>
      <c r="AR152">
        <v>7760772</v>
      </c>
      <c r="AS152">
        <v>7714415</v>
      </c>
      <c r="AT152">
        <v>7669109</v>
      </c>
      <c r="AU152">
        <v>7625174</v>
      </c>
      <c r="AV152">
        <v>7582939</v>
      </c>
    </row>
    <row r="153" spans="1:48" x14ac:dyDescent="0.15">
      <c r="A153" t="s">
        <v>185</v>
      </c>
      <c r="B153" t="s">
        <v>571</v>
      </c>
      <c r="C153" t="s">
        <v>427</v>
      </c>
      <c r="D153" s="5">
        <v>5726357.4597800002</v>
      </c>
      <c r="E153" s="5">
        <v>5749849.7715559201</v>
      </c>
      <c r="F153" s="5">
        <v>5769404.7822046904</v>
      </c>
      <c r="G153" s="5">
        <v>5450865</v>
      </c>
      <c r="H153">
        <v>5471633</v>
      </c>
      <c r="I153">
        <v>5488885</v>
      </c>
      <c r="J153">
        <v>5502735</v>
      </c>
      <c r="K153">
        <v>5513301</v>
      </c>
      <c r="L153">
        <v>5520697</v>
      </c>
      <c r="M153">
        <v>5525037</v>
      </c>
      <c r="N153">
        <v>5526435</v>
      </c>
      <c r="O153">
        <v>5525005</v>
      </c>
      <c r="P153">
        <v>5520859</v>
      </c>
      <c r="Q153">
        <v>5514108</v>
      </c>
      <c r="R153">
        <v>5504865</v>
      </c>
      <c r="S153">
        <v>5493240</v>
      </c>
      <c r="T153">
        <v>5479343</v>
      </c>
      <c r="U153">
        <v>5463284</v>
      </c>
      <c r="V153">
        <v>5445172</v>
      </c>
      <c r="W153">
        <v>5425115</v>
      </c>
      <c r="X153">
        <v>5403221</v>
      </c>
      <c r="Y153">
        <v>5379598</v>
      </c>
      <c r="Z153">
        <v>5354351</v>
      </c>
      <c r="AA153">
        <v>5327587</v>
      </c>
      <c r="AB153">
        <v>5299412</v>
      </c>
      <c r="AC153">
        <v>5269929</v>
      </c>
      <c r="AD153">
        <v>5239244</v>
      </c>
      <c r="AE153">
        <v>5207459</v>
      </c>
      <c r="AF153">
        <v>5174678</v>
      </c>
      <c r="AG153">
        <v>5141003</v>
      </c>
      <c r="AH153">
        <v>5106537</v>
      </c>
      <c r="AI153">
        <v>5071379</v>
      </c>
      <c r="AJ153">
        <v>5035631</v>
      </c>
      <c r="AK153">
        <v>4999393</v>
      </c>
      <c r="AL153">
        <v>4962765</v>
      </c>
      <c r="AM153">
        <v>4925844</v>
      </c>
      <c r="AN153">
        <v>4888729</v>
      </c>
      <c r="AO153">
        <v>4851518</v>
      </c>
      <c r="AP153">
        <v>4814308</v>
      </c>
      <c r="AQ153">
        <v>4777195</v>
      </c>
      <c r="AR153">
        <v>4740275</v>
      </c>
      <c r="AS153">
        <v>4703643</v>
      </c>
      <c r="AT153">
        <v>4667394</v>
      </c>
      <c r="AU153">
        <v>4631621</v>
      </c>
      <c r="AV153">
        <v>4596419</v>
      </c>
    </row>
    <row r="154" spans="1:48" x14ac:dyDescent="0.15">
      <c r="A154" t="s">
        <v>186</v>
      </c>
      <c r="B154" t="s">
        <v>572</v>
      </c>
      <c r="C154" t="s">
        <v>427</v>
      </c>
      <c r="D154" s="5">
        <v>2876434.7419035998</v>
      </c>
      <c r="E154" s="5">
        <v>2886186.9244663501</v>
      </c>
      <c r="F154" s="5">
        <v>2894544.9059271901</v>
      </c>
      <c r="G154" s="5">
        <v>2888794</v>
      </c>
      <c r="H154">
        <v>2906105</v>
      </c>
      <c r="I154">
        <v>2919006</v>
      </c>
      <c r="J154">
        <v>2927801</v>
      </c>
      <c r="K154">
        <v>2932786</v>
      </c>
      <c r="L154">
        <v>2934246</v>
      </c>
      <c r="M154">
        <v>2932455</v>
      </c>
      <c r="N154">
        <v>2927679</v>
      </c>
      <c r="O154">
        <v>2920174</v>
      </c>
      <c r="P154">
        <v>2910185</v>
      </c>
      <c r="Q154">
        <v>2897948</v>
      </c>
      <c r="R154">
        <v>2883691</v>
      </c>
      <c r="S154">
        <v>2867628</v>
      </c>
      <c r="T154">
        <v>2849966</v>
      </c>
      <c r="U154">
        <v>2830904</v>
      </c>
      <c r="V154">
        <v>2810626</v>
      </c>
      <c r="W154">
        <v>2789311</v>
      </c>
      <c r="X154">
        <v>2767127</v>
      </c>
      <c r="Y154">
        <v>2744230</v>
      </c>
      <c r="Z154">
        <v>2720768</v>
      </c>
      <c r="AA154">
        <v>2696880</v>
      </c>
      <c r="AB154">
        <v>2672694</v>
      </c>
      <c r="AC154">
        <v>2648328</v>
      </c>
      <c r="AD154">
        <v>2623891</v>
      </c>
      <c r="AE154">
        <v>2599481</v>
      </c>
      <c r="AF154">
        <v>2575189</v>
      </c>
      <c r="AG154">
        <v>2551092</v>
      </c>
      <c r="AH154">
        <v>2527260</v>
      </c>
      <c r="AI154">
        <v>2503754</v>
      </c>
      <c r="AJ154">
        <v>2480622</v>
      </c>
      <c r="AK154">
        <v>2457905</v>
      </c>
      <c r="AL154">
        <v>2435634</v>
      </c>
      <c r="AM154">
        <v>2413828</v>
      </c>
      <c r="AN154">
        <v>2392498</v>
      </c>
      <c r="AO154">
        <v>2371646</v>
      </c>
      <c r="AP154">
        <v>2351262</v>
      </c>
      <c r="AQ154">
        <v>2331327</v>
      </c>
      <c r="AR154">
        <v>2311814</v>
      </c>
      <c r="AS154">
        <v>2292683</v>
      </c>
      <c r="AT154">
        <v>2273886</v>
      </c>
      <c r="AU154">
        <v>2255366</v>
      </c>
      <c r="AV154">
        <v>2237055</v>
      </c>
    </row>
    <row r="155" spans="1:48" x14ac:dyDescent="0.15">
      <c r="A155" t="s">
        <v>187</v>
      </c>
      <c r="B155" t="s">
        <v>573</v>
      </c>
      <c r="C155" t="s">
        <v>427</v>
      </c>
      <c r="D155" s="5">
        <v>2886114.0690466398</v>
      </c>
      <c r="E155" s="5">
        <v>2895561.68170057</v>
      </c>
      <c r="F155" s="5">
        <v>2903659.3357607801</v>
      </c>
      <c r="G155" s="5">
        <v>2957601</v>
      </c>
      <c r="H155">
        <v>2967964</v>
      </c>
      <c r="I155">
        <v>2977190</v>
      </c>
      <c r="J155">
        <v>2985231</v>
      </c>
      <c r="K155">
        <v>2992046</v>
      </c>
      <c r="L155">
        <v>2997598</v>
      </c>
      <c r="M155">
        <v>3001857</v>
      </c>
      <c r="N155">
        <v>3004801</v>
      </c>
      <c r="O155">
        <v>3006410</v>
      </c>
      <c r="P155">
        <v>3006673</v>
      </c>
      <c r="Q155">
        <v>3005585</v>
      </c>
      <c r="R155">
        <v>3003146</v>
      </c>
      <c r="S155">
        <v>2999363</v>
      </c>
      <c r="T155">
        <v>2994247</v>
      </c>
      <c r="U155">
        <v>2987818</v>
      </c>
      <c r="V155">
        <v>2980100</v>
      </c>
      <c r="W155">
        <v>2971123</v>
      </c>
      <c r="X155">
        <v>2960925</v>
      </c>
      <c r="Y155">
        <v>2949547</v>
      </c>
      <c r="Z155">
        <v>2937040</v>
      </c>
      <c r="AA155">
        <v>2923457</v>
      </c>
      <c r="AB155">
        <v>2908859</v>
      </c>
      <c r="AC155">
        <v>2893314</v>
      </c>
      <c r="AD155">
        <v>2876893</v>
      </c>
      <c r="AE155">
        <v>2859677</v>
      </c>
      <c r="AF155">
        <v>2841750</v>
      </c>
      <c r="AG155">
        <v>2823203</v>
      </c>
      <c r="AH155">
        <v>2804133</v>
      </c>
      <c r="AI155">
        <v>2784644</v>
      </c>
      <c r="AJ155">
        <v>2764844</v>
      </c>
      <c r="AK155">
        <v>2744849</v>
      </c>
      <c r="AL155">
        <v>2724780</v>
      </c>
      <c r="AM155">
        <v>2704765</v>
      </c>
      <c r="AN155">
        <v>2684937</v>
      </c>
      <c r="AO155">
        <v>2665434</v>
      </c>
      <c r="AP155">
        <v>2646403</v>
      </c>
      <c r="AQ155">
        <v>2627996</v>
      </c>
      <c r="AR155">
        <v>2610369</v>
      </c>
      <c r="AS155">
        <v>2593686</v>
      </c>
      <c r="AT155">
        <v>2578118</v>
      </c>
      <c r="AU155">
        <v>2563839</v>
      </c>
      <c r="AV155">
        <v>2551031</v>
      </c>
    </row>
    <row r="156" spans="1:48" x14ac:dyDescent="0.15">
      <c r="A156" t="s">
        <v>188</v>
      </c>
      <c r="B156" t="s">
        <v>574</v>
      </c>
      <c r="C156" t="s">
        <v>427</v>
      </c>
      <c r="D156" s="5">
        <v>10443637.360043099</v>
      </c>
      <c r="E156" s="5">
        <v>10484426.1345511</v>
      </c>
      <c r="F156" s="5">
        <v>10519189.746764399</v>
      </c>
      <c r="G156" s="5">
        <v>10982491</v>
      </c>
      <c r="H156">
        <v>11017081</v>
      </c>
      <c r="I156">
        <v>11050803</v>
      </c>
      <c r="J156">
        <v>11083213</v>
      </c>
      <c r="K156">
        <v>11113899</v>
      </c>
      <c r="L156">
        <v>11142479</v>
      </c>
      <c r="M156">
        <v>11168600</v>
      </c>
      <c r="N156">
        <v>11191943</v>
      </c>
      <c r="O156">
        <v>11212215</v>
      </c>
      <c r="P156">
        <v>11229157</v>
      </c>
      <c r="Q156">
        <v>11242538</v>
      </c>
      <c r="R156">
        <v>11252160</v>
      </c>
      <c r="S156">
        <v>11257852</v>
      </c>
      <c r="T156">
        <v>11259476</v>
      </c>
      <c r="U156">
        <v>11256924</v>
      </c>
      <c r="V156">
        <v>11250118</v>
      </c>
      <c r="W156">
        <v>11239010</v>
      </c>
      <c r="X156">
        <v>11223583</v>
      </c>
      <c r="Y156">
        <v>11203851</v>
      </c>
      <c r="Z156">
        <v>11179857</v>
      </c>
      <c r="AA156">
        <v>11151675</v>
      </c>
      <c r="AB156">
        <v>11119411</v>
      </c>
      <c r="AC156">
        <v>11083198</v>
      </c>
      <c r="AD156">
        <v>11043203</v>
      </c>
      <c r="AE156">
        <v>10999621</v>
      </c>
      <c r="AF156">
        <v>10952678</v>
      </c>
      <c r="AG156">
        <v>10902632</v>
      </c>
      <c r="AH156">
        <v>10849768</v>
      </c>
      <c r="AI156">
        <v>10794406</v>
      </c>
      <c r="AJ156">
        <v>10736892</v>
      </c>
      <c r="AK156">
        <v>10677605</v>
      </c>
      <c r="AL156">
        <v>10616953</v>
      </c>
      <c r="AM156">
        <v>10555376</v>
      </c>
      <c r="AN156">
        <v>10493344</v>
      </c>
      <c r="AO156">
        <v>10431356</v>
      </c>
      <c r="AP156">
        <v>10369943</v>
      </c>
      <c r="AQ156">
        <v>10309665</v>
      </c>
      <c r="AR156">
        <v>10251114</v>
      </c>
      <c r="AS156">
        <v>10194912</v>
      </c>
      <c r="AT156">
        <v>10141710</v>
      </c>
      <c r="AU156">
        <v>10092191</v>
      </c>
      <c r="AV156">
        <v>10047068</v>
      </c>
    </row>
    <row r="157" spans="1:48" x14ac:dyDescent="0.15">
      <c r="A157" t="s">
        <v>189</v>
      </c>
      <c r="B157" t="s">
        <v>575</v>
      </c>
      <c r="C157" t="s">
        <v>427</v>
      </c>
      <c r="D157" s="5">
        <v>5815395.4883765904</v>
      </c>
      <c r="E157" s="5">
        <v>5841039.1740132803</v>
      </c>
      <c r="F157" s="5">
        <v>5862841.6159373503</v>
      </c>
      <c r="G157" s="5">
        <v>5589820</v>
      </c>
      <c r="H157">
        <v>5610690</v>
      </c>
      <c r="I157">
        <v>5629458</v>
      </c>
      <c r="J157">
        <v>5646084</v>
      </c>
      <c r="K157">
        <v>5660533</v>
      </c>
      <c r="L157">
        <v>5672777</v>
      </c>
      <c r="M157">
        <v>5682794</v>
      </c>
      <c r="N157">
        <v>5690569</v>
      </c>
      <c r="O157">
        <v>5696092</v>
      </c>
      <c r="P157">
        <v>5699361</v>
      </c>
      <c r="Q157">
        <v>5700379</v>
      </c>
      <c r="R157">
        <v>5699158</v>
      </c>
      <c r="S157">
        <v>5695714</v>
      </c>
      <c r="T157">
        <v>5690070</v>
      </c>
      <c r="U157">
        <v>5682254</v>
      </c>
      <c r="V157">
        <v>5672304</v>
      </c>
      <c r="W157">
        <v>5660261</v>
      </c>
      <c r="X157">
        <v>5646174</v>
      </c>
      <c r="Y157">
        <v>5630098</v>
      </c>
      <c r="Z157">
        <v>5612094</v>
      </c>
      <c r="AA157">
        <v>5592231</v>
      </c>
      <c r="AB157">
        <v>5570582</v>
      </c>
      <c r="AC157">
        <v>5547229</v>
      </c>
      <c r="AD157">
        <v>5522258</v>
      </c>
      <c r="AE157">
        <v>5495764</v>
      </c>
      <c r="AF157">
        <v>5467845</v>
      </c>
      <c r="AG157">
        <v>5438608</v>
      </c>
      <c r="AH157">
        <v>5408166</v>
      </c>
      <c r="AI157">
        <v>5376638</v>
      </c>
      <c r="AJ157">
        <v>5344150</v>
      </c>
      <c r="AK157">
        <v>5310833</v>
      </c>
      <c r="AL157">
        <v>5276826</v>
      </c>
      <c r="AM157">
        <v>5242273</v>
      </c>
      <c r="AN157">
        <v>5207327</v>
      </c>
      <c r="AO157">
        <v>5172143</v>
      </c>
      <c r="AP157">
        <v>5136887</v>
      </c>
      <c r="AQ157">
        <v>5101728</v>
      </c>
      <c r="AR157">
        <v>5066844</v>
      </c>
      <c r="AS157">
        <v>5032418</v>
      </c>
      <c r="AT157">
        <v>4998638</v>
      </c>
      <c r="AU157">
        <v>4965702</v>
      </c>
      <c r="AV157">
        <v>4933811</v>
      </c>
    </row>
    <row r="158" spans="1:48" x14ac:dyDescent="0.15">
      <c r="A158" t="s">
        <v>190</v>
      </c>
      <c r="B158" t="s">
        <v>576</v>
      </c>
      <c r="C158" t="s">
        <v>427</v>
      </c>
      <c r="D158" s="5">
        <v>6074342.2728431504</v>
      </c>
      <c r="E158" s="5">
        <v>6104618.5076427003</v>
      </c>
      <c r="F158" s="5">
        <v>6130781.2540149596</v>
      </c>
      <c r="G158" s="5">
        <v>5924990</v>
      </c>
      <c r="H158">
        <v>5951569</v>
      </c>
      <c r="I158">
        <v>5975991</v>
      </c>
      <c r="J158">
        <v>5998226</v>
      </c>
      <c r="K158">
        <v>6018247</v>
      </c>
      <c r="L158">
        <v>6036033</v>
      </c>
      <c r="M158">
        <v>6051569</v>
      </c>
      <c r="N158">
        <v>6064845</v>
      </c>
      <c r="O158">
        <v>6075856</v>
      </c>
      <c r="P158">
        <v>6084601</v>
      </c>
      <c r="Q158">
        <v>6091088</v>
      </c>
      <c r="R158">
        <v>6095327</v>
      </c>
      <c r="S158">
        <v>6097335</v>
      </c>
      <c r="T158">
        <v>6097133</v>
      </c>
      <c r="U158">
        <v>6094748</v>
      </c>
      <c r="V158">
        <v>6090213</v>
      </c>
      <c r="W158">
        <v>6083566</v>
      </c>
      <c r="X158">
        <v>6074849</v>
      </c>
      <c r="Y158">
        <v>6064112</v>
      </c>
      <c r="Z158">
        <v>6051407</v>
      </c>
      <c r="AA158">
        <v>6036795</v>
      </c>
      <c r="AB158">
        <v>6020338</v>
      </c>
      <c r="AC158">
        <v>6002108</v>
      </c>
      <c r="AD158">
        <v>5982178</v>
      </c>
      <c r="AE158">
        <v>5960630</v>
      </c>
      <c r="AF158">
        <v>5937549</v>
      </c>
      <c r="AG158">
        <v>5913026</v>
      </c>
      <c r="AH158">
        <v>5887157</v>
      </c>
      <c r="AI158">
        <v>5860045</v>
      </c>
      <c r="AJ158">
        <v>5831795</v>
      </c>
      <c r="AK158">
        <v>5802521</v>
      </c>
      <c r="AL158">
        <v>5772340</v>
      </c>
      <c r="AM158">
        <v>5741374</v>
      </c>
      <c r="AN158">
        <v>5709753</v>
      </c>
      <c r="AO158">
        <v>5677611</v>
      </c>
      <c r="AP158">
        <v>5645084</v>
      </c>
      <c r="AQ158">
        <v>5612319</v>
      </c>
      <c r="AR158">
        <v>5579465</v>
      </c>
      <c r="AS158">
        <v>5546677</v>
      </c>
      <c r="AT158">
        <v>5514114</v>
      </c>
      <c r="AU158">
        <v>5481943</v>
      </c>
      <c r="AV158">
        <v>5450335</v>
      </c>
    </row>
    <row r="159" spans="1:48" x14ac:dyDescent="0.15">
      <c r="A159" t="s">
        <v>191</v>
      </c>
      <c r="B159" t="s">
        <v>577</v>
      </c>
      <c r="C159" t="s">
        <v>427</v>
      </c>
      <c r="D159" s="5">
        <v>3886050.2213227702</v>
      </c>
      <c r="E159" s="5">
        <v>3900951.5550917699</v>
      </c>
      <c r="F159" s="5">
        <v>3913636.7467409498</v>
      </c>
      <c r="G159" s="5">
        <v>3913234</v>
      </c>
      <c r="H159">
        <v>3928160</v>
      </c>
      <c r="I159">
        <v>3941117</v>
      </c>
      <c r="J159">
        <v>3952112</v>
      </c>
      <c r="K159">
        <v>3961153</v>
      </c>
      <c r="L159">
        <v>3968253</v>
      </c>
      <c r="M159">
        <v>3973430</v>
      </c>
      <c r="N159">
        <v>3976705</v>
      </c>
      <c r="O159">
        <v>3978102</v>
      </c>
      <c r="P159">
        <v>3977650</v>
      </c>
      <c r="Q159">
        <v>3975383</v>
      </c>
      <c r="R159">
        <v>3971338</v>
      </c>
      <c r="S159">
        <v>3965555</v>
      </c>
      <c r="T159">
        <v>3958079</v>
      </c>
      <c r="U159">
        <v>3948960</v>
      </c>
      <c r="V159">
        <v>3938251</v>
      </c>
      <c r="W159">
        <v>3926007</v>
      </c>
      <c r="X159">
        <v>3912290</v>
      </c>
      <c r="Y159">
        <v>3897165</v>
      </c>
      <c r="Z159">
        <v>3880700</v>
      </c>
      <c r="AA159">
        <v>3862969</v>
      </c>
      <c r="AB159">
        <v>3844048</v>
      </c>
      <c r="AC159">
        <v>3824018</v>
      </c>
      <c r="AD159">
        <v>3802963</v>
      </c>
      <c r="AE159">
        <v>3780973</v>
      </c>
      <c r="AF159">
        <v>3758139</v>
      </c>
      <c r="AG159">
        <v>3734560</v>
      </c>
      <c r="AH159">
        <v>3710334</v>
      </c>
      <c r="AI159">
        <v>3685567</v>
      </c>
      <c r="AJ159">
        <v>3660367</v>
      </c>
      <c r="AK159">
        <v>3634847</v>
      </c>
      <c r="AL159">
        <v>3609124</v>
      </c>
      <c r="AM159">
        <v>3583318</v>
      </c>
      <c r="AN159">
        <v>3557553</v>
      </c>
      <c r="AO159">
        <v>3531958</v>
      </c>
      <c r="AP159">
        <v>3506666</v>
      </c>
      <c r="AQ159">
        <v>3481812</v>
      </c>
      <c r="AR159">
        <v>3457538</v>
      </c>
      <c r="AS159">
        <v>3433987</v>
      </c>
      <c r="AT159">
        <v>3411308</v>
      </c>
      <c r="AU159">
        <v>3389653</v>
      </c>
      <c r="AV159">
        <v>3369180</v>
      </c>
    </row>
    <row r="160" spans="1:48" x14ac:dyDescent="0.15">
      <c r="A160" t="s">
        <v>192</v>
      </c>
      <c r="B160" t="s">
        <v>578</v>
      </c>
      <c r="C160" t="s">
        <v>427</v>
      </c>
      <c r="D160" s="5">
        <v>8595732.2865279894</v>
      </c>
      <c r="E160" s="5">
        <v>8624741.7317274697</v>
      </c>
      <c r="F160" s="5">
        <v>8649429.2510792799</v>
      </c>
      <c r="G160" s="5">
        <v>8780329</v>
      </c>
      <c r="H160">
        <v>8794781</v>
      </c>
      <c r="I160">
        <v>8813631</v>
      </c>
      <c r="J160">
        <v>8835977</v>
      </c>
      <c r="K160">
        <v>8860965</v>
      </c>
      <c r="L160">
        <v>8887791</v>
      </c>
      <c r="M160">
        <v>8915703</v>
      </c>
      <c r="N160">
        <v>8943995</v>
      </c>
      <c r="O160">
        <v>8972013</v>
      </c>
      <c r="P160">
        <v>8999151</v>
      </c>
      <c r="Q160">
        <v>9024854</v>
      </c>
      <c r="R160">
        <v>9048616</v>
      </c>
      <c r="S160">
        <v>9069980</v>
      </c>
      <c r="T160">
        <v>9088538</v>
      </c>
      <c r="U160">
        <v>9103935</v>
      </c>
      <c r="V160">
        <v>9115861</v>
      </c>
      <c r="W160">
        <v>9124059</v>
      </c>
      <c r="X160">
        <v>9128320</v>
      </c>
      <c r="Y160">
        <v>9128484</v>
      </c>
      <c r="Z160">
        <v>9124443</v>
      </c>
      <c r="AA160">
        <v>9116135</v>
      </c>
      <c r="AB160">
        <v>9103551</v>
      </c>
      <c r="AC160">
        <v>9086729</v>
      </c>
      <c r="AD160">
        <v>9065759</v>
      </c>
      <c r="AE160">
        <v>9040778</v>
      </c>
      <c r="AF160">
        <v>9011975</v>
      </c>
      <c r="AG160">
        <v>8979586</v>
      </c>
      <c r="AH160">
        <v>8943899</v>
      </c>
      <c r="AI160">
        <v>8905249</v>
      </c>
      <c r="AJ160">
        <v>8864024</v>
      </c>
      <c r="AK160">
        <v>8820659</v>
      </c>
      <c r="AL160">
        <v>8775638</v>
      </c>
      <c r="AM160">
        <v>8729497</v>
      </c>
      <c r="AN160">
        <v>8682820</v>
      </c>
      <c r="AO160">
        <v>8636241</v>
      </c>
      <c r="AP160">
        <v>8590443</v>
      </c>
      <c r="AQ160">
        <v>8546160</v>
      </c>
      <c r="AR160">
        <v>8504173</v>
      </c>
      <c r="AS160">
        <v>8465315</v>
      </c>
      <c r="AT160">
        <v>8430468</v>
      </c>
      <c r="AU160">
        <v>8400563</v>
      </c>
      <c r="AV160">
        <v>8376580</v>
      </c>
    </row>
    <row r="161" spans="1:48" x14ac:dyDescent="0.15">
      <c r="A161" t="s">
        <v>194</v>
      </c>
      <c r="B161" t="s">
        <v>579</v>
      </c>
      <c r="C161" t="s">
        <v>427</v>
      </c>
      <c r="D161" s="5">
        <v>9197088.6575132497</v>
      </c>
      <c r="E161" s="5">
        <v>9277148.3259894308</v>
      </c>
      <c r="F161" s="5">
        <v>9351792.2318070699</v>
      </c>
      <c r="G161" s="5">
        <v>12452701</v>
      </c>
      <c r="H161">
        <v>12599581</v>
      </c>
      <c r="I161">
        <v>12732437</v>
      </c>
      <c r="J161">
        <v>12852072</v>
      </c>
      <c r="K161">
        <v>12959261</v>
      </c>
      <c r="L161">
        <v>13054751</v>
      </c>
      <c r="M161">
        <v>13139262</v>
      </c>
      <c r="N161">
        <v>13213489</v>
      </c>
      <c r="O161">
        <v>13278096</v>
      </c>
      <c r="P161">
        <v>13333722</v>
      </c>
      <c r="Q161">
        <v>13380978</v>
      </c>
      <c r="R161">
        <v>13420447</v>
      </c>
      <c r="S161">
        <v>13452686</v>
      </c>
      <c r="T161">
        <v>13478223</v>
      </c>
      <c r="U161">
        <v>13497561</v>
      </c>
      <c r="V161">
        <v>13511173</v>
      </c>
      <c r="W161">
        <v>13519506</v>
      </c>
      <c r="X161">
        <v>13522980</v>
      </c>
      <c r="Y161">
        <v>13521987</v>
      </c>
      <c r="Z161">
        <v>13516892</v>
      </c>
      <c r="AA161">
        <v>13508032</v>
      </c>
      <c r="AB161">
        <v>13495717</v>
      </c>
      <c r="AC161">
        <v>13480230</v>
      </c>
      <c r="AD161">
        <v>13461826</v>
      </c>
      <c r="AE161">
        <v>13440734</v>
      </c>
      <c r="AF161">
        <v>13417154</v>
      </c>
      <c r="AG161">
        <v>13391259</v>
      </c>
      <c r="AH161">
        <v>13363196</v>
      </c>
      <c r="AI161">
        <v>13333083</v>
      </c>
      <c r="AJ161">
        <v>13301011</v>
      </c>
      <c r="AK161">
        <v>13267044</v>
      </c>
      <c r="AL161">
        <v>13231220</v>
      </c>
      <c r="AM161">
        <v>13193546</v>
      </c>
      <c r="AN161">
        <v>13154005</v>
      </c>
      <c r="AO161">
        <v>13112551</v>
      </c>
      <c r="AP161">
        <v>13069112</v>
      </c>
      <c r="AQ161">
        <v>13023587</v>
      </c>
      <c r="AR161">
        <v>12975849</v>
      </c>
      <c r="AS161">
        <v>12925743</v>
      </c>
      <c r="AT161">
        <v>12873086</v>
      </c>
      <c r="AU161">
        <v>12817669</v>
      </c>
      <c r="AV161">
        <v>12759256</v>
      </c>
    </row>
    <row r="162" spans="1:48" x14ac:dyDescent="0.15">
      <c r="A162" t="s">
        <v>195</v>
      </c>
      <c r="B162" t="s">
        <v>580</v>
      </c>
      <c r="C162" t="s">
        <v>427</v>
      </c>
      <c r="D162" s="5">
        <v>4885770.8492215797</v>
      </c>
      <c r="E162" s="5">
        <v>4912157.9744140496</v>
      </c>
      <c r="F162" s="5">
        <v>4936523.2325642304</v>
      </c>
      <c r="G162" s="5">
        <v>4796683</v>
      </c>
      <c r="H162">
        <v>4823497</v>
      </c>
      <c r="I162">
        <v>4851218</v>
      </c>
      <c r="J162">
        <v>4879454</v>
      </c>
      <c r="K162">
        <v>4907836</v>
      </c>
      <c r="L162">
        <v>4936021</v>
      </c>
      <c r="M162">
        <v>4963690</v>
      </c>
      <c r="N162">
        <v>4990547</v>
      </c>
      <c r="O162">
        <v>5016322</v>
      </c>
      <c r="P162">
        <v>5040768</v>
      </c>
      <c r="Q162">
        <v>5063664</v>
      </c>
      <c r="R162">
        <v>5084810</v>
      </c>
      <c r="S162">
        <v>5104035</v>
      </c>
      <c r="T162">
        <v>5121188</v>
      </c>
      <c r="U162">
        <v>5136144</v>
      </c>
      <c r="V162">
        <v>5148803</v>
      </c>
      <c r="W162">
        <v>5159089</v>
      </c>
      <c r="X162">
        <v>5166949</v>
      </c>
      <c r="Y162">
        <v>5172356</v>
      </c>
      <c r="Z162">
        <v>5175306</v>
      </c>
      <c r="AA162">
        <v>5175819</v>
      </c>
      <c r="AB162">
        <v>5173942</v>
      </c>
      <c r="AC162">
        <v>5169743</v>
      </c>
      <c r="AD162">
        <v>5163317</v>
      </c>
      <c r="AE162">
        <v>5154780</v>
      </c>
      <c r="AF162">
        <v>5144277</v>
      </c>
      <c r="AG162">
        <v>5131972</v>
      </c>
      <c r="AH162">
        <v>5118057</v>
      </c>
      <c r="AI162">
        <v>5102748</v>
      </c>
      <c r="AJ162">
        <v>5086283</v>
      </c>
      <c r="AK162">
        <v>5068926</v>
      </c>
      <c r="AL162">
        <v>5050967</v>
      </c>
      <c r="AM162">
        <v>5032716</v>
      </c>
      <c r="AN162">
        <v>5014511</v>
      </c>
      <c r="AO162">
        <v>4996712</v>
      </c>
      <c r="AP162">
        <v>4979706</v>
      </c>
      <c r="AQ162">
        <v>4963901</v>
      </c>
      <c r="AR162">
        <v>4949731</v>
      </c>
      <c r="AS162">
        <v>4937655</v>
      </c>
      <c r="AT162">
        <v>4928155</v>
      </c>
      <c r="AU162">
        <v>4921738</v>
      </c>
      <c r="AV162">
        <v>4918934</v>
      </c>
    </row>
    <row r="163" spans="1:48" x14ac:dyDescent="0.15">
      <c r="A163" t="s">
        <v>196</v>
      </c>
      <c r="B163" t="s">
        <v>581</v>
      </c>
      <c r="C163" t="s">
        <v>427</v>
      </c>
      <c r="D163" s="5">
        <v>6804756.74409818</v>
      </c>
      <c r="E163" s="5">
        <v>6842558.1939298697</v>
      </c>
      <c r="F163" s="5">
        <v>6878512.7543785498</v>
      </c>
      <c r="G163" s="5">
        <v>7003978</v>
      </c>
      <c r="H163">
        <v>7056103</v>
      </c>
      <c r="I163">
        <v>7107379</v>
      </c>
      <c r="J163">
        <v>7157361</v>
      </c>
      <c r="K163">
        <v>7205634</v>
      </c>
      <c r="L163">
        <v>7251816</v>
      </c>
      <c r="M163">
        <v>7295560</v>
      </c>
      <c r="N163">
        <v>7336550</v>
      </c>
      <c r="O163">
        <v>7374503</v>
      </c>
      <c r="P163">
        <v>7409169</v>
      </c>
      <c r="Q163">
        <v>7440333</v>
      </c>
      <c r="R163">
        <v>7467809</v>
      </c>
      <c r="S163">
        <v>7491448</v>
      </c>
      <c r="T163">
        <v>7511132</v>
      </c>
      <c r="U163">
        <v>7526774</v>
      </c>
      <c r="V163">
        <v>7538324</v>
      </c>
      <c r="W163">
        <v>7545762</v>
      </c>
      <c r="X163">
        <v>7549101</v>
      </c>
      <c r="Y163">
        <v>7548388</v>
      </c>
      <c r="Z163">
        <v>7543703</v>
      </c>
      <c r="AA163">
        <v>7535157</v>
      </c>
      <c r="AB163">
        <v>7522897</v>
      </c>
      <c r="AC163">
        <v>7507101</v>
      </c>
      <c r="AD163">
        <v>7487979</v>
      </c>
      <c r="AE163">
        <v>7465776</v>
      </c>
      <c r="AF163">
        <v>7440768</v>
      </c>
      <c r="AG163">
        <v>7413266</v>
      </c>
      <c r="AH163">
        <v>7383612</v>
      </c>
      <c r="AI163">
        <v>7352183</v>
      </c>
      <c r="AJ163">
        <v>7319385</v>
      </c>
      <c r="AK163">
        <v>7285662</v>
      </c>
      <c r="AL163">
        <v>7251488</v>
      </c>
      <c r="AM163">
        <v>7217369</v>
      </c>
      <c r="AN163">
        <v>7183846</v>
      </c>
      <c r="AO163">
        <v>7151492</v>
      </c>
      <c r="AP163">
        <v>7120914</v>
      </c>
      <c r="AQ163">
        <v>7092750</v>
      </c>
      <c r="AR163">
        <v>7067672</v>
      </c>
      <c r="AS163">
        <v>7046385</v>
      </c>
      <c r="AT163">
        <v>7029626</v>
      </c>
      <c r="AU163">
        <v>7018167</v>
      </c>
      <c r="AV163">
        <v>7012811</v>
      </c>
    </row>
    <row r="164" spans="1:48" x14ac:dyDescent="0.15">
      <c r="A164" t="s">
        <v>197</v>
      </c>
      <c r="B164" t="s">
        <v>582</v>
      </c>
      <c r="C164" t="s">
        <v>427</v>
      </c>
      <c r="D164" s="5">
        <v>5136714.0228754403</v>
      </c>
      <c r="E164" s="5">
        <v>5159671.00075706</v>
      </c>
      <c r="F164" s="5">
        <v>5179470.0356143303</v>
      </c>
      <c r="G164" s="5">
        <v>4972670</v>
      </c>
      <c r="H164">
        <v>4986670</v>
      </c>
      <c r="I164">
        <v>5002673</v>
      </c>
      <c r="J164">
        <v>5020211</v>
      </c>
      <c r="K164">
        <v>5038845</v>
      </c>
      <c r="L164">
        <v>5058158</v>
      </c>
      <c r="M164">
        <v>5077763</v>
      </c>
      <c r="N164">
        <v>5097295</v>
      </c>
      <c r="O164">
        <v>5116418</v>
      </c>
      <c r="P164">
        <v>5134818</v>
      </c>
      <c r="Q164">
        <v>5152212</v>
      </c>
      <c r="R164">
        <v>5168337</v>
      </c>
      <c r="S164">
        <v>5182960</v>
      </c>
      <c r="T164">
        <v>5195871</v>
      </c>
      <c r="U164">
        <v>5206888</v>
      </c>
      <c r="V164">
        <v>5215854</v>
      </c>
      <c r="W164">
        <v>5222637</v>
      </c>
      <c r="X164">
        <v>5227131</v>
      </c>
      <c r="Y164">
        <v>5229257</v>
      </c>
      <c r="Z164">
        <v>5228959</v>
      </c>
      <c r="AA164">
        <v>5226211</v>
      </c>
      <c r="AB164">
        <v>5221008</v>
      </c>
      <c r="AC164">
        <v>5213375</v>
      </c>
      <c r="AD164">
        <v>5203360</v>
      </c>
      <c r="AE164">
        <v>5191037</v>
      </c>
      <c r="AF164">
        <v>5176508</v>
      </c>
      <c r="AG164">
        <v>5159898</v>
      </c>
      <c r="AH164">
        <v>5141359</v>
      </c>
      <c r="AI164">
        <v>5121068</v>
      </c>
      <c r="AJ164">
        <v>5099230</v>
      </c>
      <c r="AK164">
        <v>5076074</v>
      </c>
      <c r="AL164">
        <v>5051854</v>
      </c>
      <c r="AM164">
        <v>5026851</v>
      </c>
      <c r="AN164">
        <v>5001372</v>
      </c>
      <c r="AO164">
        <v>4975748</v>
      </c>
      <c r="AP164">
        <v>4950339</v>
      </c>
      <c r="AQ164">
        <v>4925527</v>
      </c>
      <c r="AR164">
        <v>4901723</v>
      </c>
      <c r="AS164">
        <v>4879361</v>
      </c>
      <c r="AT164">
        <v>4858902</v>
      </c>
      <c r="AU164">
        <v>4840834</v>
      </c>
      <c r="AV164">
        <v>4825669</v>
      </c>
    </row>
    <row r="165" spans="1:48" x14ac:dyDescent="0.15">
      <c r="A165" t="s">
        <v>198</v>
      </c>
      <c r="B165" t="s">
        <v>583</v>
      </c>
      <c r="C165" t="s">
        <v>427</v>
      </c>
      <c r="D165" s="5">
        <v>5422871.9628966898</v>
      </c>
      <c r="E165" s="5">
        <v>5450964.3520905897</v>
      </c>
      <c r="F165" s="5">
        <v>5476220.8605808802</v>
      </c>
      <c r="G165" s="5">
        <v>5455314</v>
      </c>
      <c r="H165">
        <v>5477175</v>
      </c>
      <c r="I165">
        <v>5501344</v>
      </c>
      <c r="J165">
        <v>5527263</v>
      </c>
      <c r="K165">
        <v>5554407</v>
      </c>
      <c r="L165">
        <v>5582280</v>
      </c>
      <c r="M165">
        <v>5610420</v>
      </c>
      <c r="N165">
        <v>5638395</v>
      </c>
      <c r="O165">
        <v>5665805</v>
      </c>
      <c r="P165">
        <v>5692284</v>
      </c>
      <c r="Q165">
        <v>5717493</v>
      </c>
      <c r="R165">
        <v>5741129</v>
      </c>
      <c r="S165">
        <v>5762917</v>
      </c>
      <c r="T165">
        <v>5782617</v>
      </c>
      <c r="U165">
        <v>5800018</v>
      </c>
      <c r="V165">
        <v>5814942</v>
      </c>
      <c r="W165">
        <v>5827242</v>
      </c>
      <c r="X165">
        <v>5836803</v>
      </c>
      <c r="Y165">
        <v>5843541</v>
      </c>
      <c r="Z165">
        <v>5847405</v>
      </c>
      <c r="AA165">
        <v>5848373</v>
      </c>
      <c r="AB165">
        <v>5846457</v>
      </c>
      <c r="AC165">
        <v>5841700</v>
      </c>
      <c r="AD165">
        <v>5834176</v>
      </c>
      <c r="AE165">
        <v>5823992</v>
      </c>
      <c r="AF165">
        <v>5811284</v>
      </c>
      <c r="AG165">
        <v>5796223</v>
      </c>
      <c r="AH165">
        <v>5779010</v>
      </c>
      <c r="AI165">
        <v>5759875</v>
      </c>
      <c r="AJ165">
        <v>5739085</v>
      </c>
      <c r="AK165">
        <v>5716934</v>
      </c>
      <c r="AL165">
        <v>5693750</v>
      </c>
      <c r="AM165">
        <v>5669891</v>
      </c>
      <c r="AN165">
        <v>5645749</v>
      </c>
      <c r="AO165">
        <v>5621745</v>
      </c>
      <c r="AP165">
        <v>5598333</v>
      </c>
      <c r="AQ165">
        <v>5575999</v>
      </c>
      <c r="AR165">
        <v>5555259</v>
      </c>
      <c r="AS165">
        <v>5536662</v>
      </c>
      <c r="AT165">
        <v>5520788</v>
      </c>
      <c r="AU165">
        <v>5508249</v>
      </c>
      <c r="AV165">
        <v>5499689</v>
      </c>
    </row>
    <row r="166" spans="1:48" x14ac:dyDescent="0.15">
      <c r="A166" t="s">
        <v>199</v>
      </c>
      <c r="B166" t="s">
        <v>584</v>
      </c>
      <c r="C166" t="s">
        <v>427</v>
      </c>
      <c r="D166" s="5">
        <v>1643198.6711674</v>
      </c>
      <c r="E166" s="5">
        <v>1653014.8740763401</v>
      </c>
      <c r="F166" s="5">
        <v>1662230.6551296499</v>
      </c>
      <c r="G166" s="5">
        <v>1555806</v>
      </c>
      <c r="H166">
        <v>1565872</v>
      </c>
      <c r="I166">
        <v>1576371</v>
      </c>
      <c r="J166">
        <v>1587143</v>
      </c>
      <c r="K166">
        <v>1598041</v>
      </c>
      <c r="L166">
        <v>1608925</v>
      </c>
      <c r="M166">
        <v>1619665</v>
      </c>
      <c r="N166">
        <v>1630142</v>
      </c>
      <c r="O166">
        <v>1640245</v>
      </c>
      <c r="P166">
        <v>1649874</v>
      </c>
      <c r="Q166">
        <v>1658936</v>
      </c>
      <c r="R166">
        <v>1667351</v>
      </c>
      <c r="S166">
        <v>1675047</v>
      </c>
      <c r="T166">
        <v>1681959</v>
      </c>
      <c r="U166">
        <v>1688036</v>
      </c>
      <c r="V166">
        <v>1693233</v>
      </c>
      <c r="W166">
        <v>1697518</v>
      </c>
      <c r="X166">
        <v>1700864</v>
      </c>
      <c r="Y166">
        <v>1703258</v>
      </c>
      <c r="Z166">
        <v>1704693</v>
      </c>
      <c r="AA166">
        <v>1705175</v>
      </c>
      <c r="AB166">
        <v>1704716</v>
      </c>
      <c r="AC166">
        <v>1703340</v>
      </c>
      <c r="AD166">
        <v>1701081</v>
      </c>
      <c r="AE166">
        <v>1697979</v>
      </c>
      <c r="AF166">
        <v>1694087</v>
      </c>
      <c r="AG166">
        <v>1689467</v>
      </c>
      <c r="AH166">
        <v>1684189</v>
      </c>
      <c r="AI166">
        <v>1678335</v>
      </c>
      <c r="AJ166">
        <v>1671993</v>
      </c>
      <c r="AK166">
        <v>1665264</v>
      </c>
      <c r="AL166">
        <v>1658258</v>
      </c>
      <c r="AM166">
        <v>1651091</v>
      </c>
      <c r="AN166">
        <v>1643894</v>
      </c>
      <c r="AO166">
        <v>1636804</v>
      </c>
      <c r="AP166">
        <v>1629968</v>
      </c>
      <c r="AQ166">
        <v>1623543</v>
      </c>
      <c r="AR166">
        <v>1617695</v>
      </c>
      <c r="AS166">
        <v>1612601</v>
      </c>
      <c r="AT166">
        <v>1608446</v>
      </c>
      <c r="AU166">
        <v>1605425</v>
      </c>
      <c r="AV166">
        <v>1603744</v>
      </c>
    </row>
    <row r="167" spans="1:48" x14ac:dyDescent="0.15">
      <c r="A167" t="s">
        <v>200</v>
      </c>
      <c r="B167" t="s">
        <v>585</v>
      </c>
      <c r="C167" t="s">
        <v>427</v>
      </c>
      <c r="D167" s="5">
        <v>5986909.0012026802</v>
      </c>
      <c r="E167" s="5">
        <v>6020670.9078700002</v>
      </c>
      <c r="F167" s="5">
        <v>6051508.0695322696</v>
      </c>
      <c r="G167" s="5">
        <v>6217054</v>
      </c>
      <c r="H167">
        <v>6251368</v>
      </c>
      <c r="I167">
        <v>6286655</v>
      </c>
      <c r="J167">
        <v>6322440</v>
      </c>
      <c r="K167">
        <v>6358279</v>
      </c>
      <c r="L167">
        <v>6393754</v>
      </c>
      <c r="M167">
        <v>6428479</v>
      </c>
      <c r="N167">
        <v>6462094</v>
      </c>
      <c r="O167">
        <v>6494271</v>
      </c>
      <c r="P167">
        <v>6524708</v>
      </c>
      <c r="Q167">
        <v>6553134</v>
      </c>
      <c r="R167">
        <v>6579305</v>
      </c>
      <c r="S167">
        <v>6603007</v>
      </c>
      <c r="T167">
        <v>6624056</v>
      </c>
      <c r="U167">
        <v>6642295</v>
      </c>
      <c r="V167">
        <v>6657595</v>
      </c>
      <c r="W167">
        <v>6669860</v>
      </c>
      <c r="X167">
        <v>6679018</v>
      </c>
      <c r="Y167">
        <v>6685030</v>
      </c>
      <c r="Z167">
        <v>6687882</v>
      </c>
      <c r="AA167">
        <v>6687593</v>
      </c>
      <c r="AB167">
        <v>6684208</v>
      </c>
      <c r="AC167">
        <v>6677801</v>
      </c>
      <c r="AD167">
        <v>6668477</v>
      </c>
      <c r="AE167">
        <v>6656367</v>
      </c>
      <c r="AF167">
        <v>6641633</v>
      </c>
      <c r="AG167">
        <v>6624466</v>
      </c>
      <c r="AH167">
        <v>6605084</v>
      </c>
      <c r="AI167">
        <v>6583735</v>
      </c>
      <c r="AJ167">
        <v>6560697</v>
      </c>
      <c r="AK167">
        <v>6536275</v>
      </c>
      <c r="AL167">
        <v>6510803</v>
      </c>
      <c r="AM167">
        <v>6484645</v>
      </c>
      <c r="AN167">
        <v>6458194</v>
      </c>
      <c r="AO167">
        <v>6431871</v>
      </c>
      <c r="AP167">
        <v>6406127</v>
      </c>
      <c r="AQ167">
        <v>6381439</v>
      </c>
      <c r="AR167">
        <v>6358316</v>
      </c>
      <c r="AS167">
        <v>6337296</v>
      </c>
      <c r="AT167">
        <v>6318943</v>
      </c>
      <c r="AU167">
        <v>6303852</v>
      </c>
      <c r="AV167">
        <v>6292647</v>
      </c>
    </row>
    <row r="168" spans="1:48" x14ac:dyDescent="0.15">
      <c r="A168" t="s">
        <v>201</v>
      </c>
      <c r="B168" t="s">
        <v>586</v>
      </c>
      <c r="C168" t="s">
        <v>427</v>
      </c>
      <c r="D168" s="5">
        <v>3690369.5331901801</v>
      </c>
      <c r="E168" s="5">
        <v>3713957.2320912802</v>
      </c>
      <c r="F168" s="5">
        <v>3736555.32577813</v>
      </c>
      <c r="G168" s="5">
        <v>3488574</v>
      </c>
      <c r="H168">
        <v>3520778</v>
      </c>
      <c r="I168">
        <v>3551383</v>
      </c>
      <c r="J168">
        <v>3580284</v>
      </c>
      <c r="K168">
        <v>3607388</v>
      </c>
      <c r="L168">
        <v>3632610</v>
      </c>
      <c r="M168">
        <v>3655880</v>
      </c>
      <c r="N168">
        <v>3677137</v>
      </c>
      <c r="O168">
        <v>3696330</v>
      </c>
      <c r="P168">
        <v>3713421</v>
      </c>
      <c r="Q168">
        <v>3728383</v>
      </c>
      <c r="R168">
        <v>3741199</v>
      </c>
      <c r="S168">
        <v>3751862</v>
      </c>
      <c r="T168">
        <v>3760380</v>
      </c>
      <c r="U168">
        <v>3766768</v>
      </c>
      <c r="V168">
        <v>3771053</v>
      </c>
      <c r="W168">
        <v>3773276</v>
      </c>
      <c r="X168">
        <v>3773484</v>
      </c>
      <c r="Y168">
        <v>3771740</v>
      </c>
      <c r="Z168">
        <v>3768115</v>
      </c>
      <c r="AA168">
        <v>3762691</v>
      </c>
      <c r="AB168">
        <v>3755563</v>
      </c>
      <c r="AC168">
        <v>3746836</v>
      </c>
      <c r="AD168">
        <v>3736626</v>
      </c>
      <c r="AE168">
        <v>3725059</v>
      </c>
      <c r="AF168">
        <v>3712274</v>
      </c>
      <c r="AG168">
        <v>3698421</v>
      </c>
      <c r="AH168">
        <v>3683658</v>
      </c>
      <c r="AI168">
        <v>3668159</v>
      </c>
      <c r="AJ168">
        <v>3652105</v>
      </c>
      <c r="AK168">
        <v>3635689</v>
      </c>
      <c r="AL168">
        <v>3619116</v>
      </c>
      <c r="AM168">
        <v>3602601</v>
      </c>
      <c r="AN168">
        <v>3586372</v>
      </c>
      <c r="AO168">
        <v>3570665</v>
      </c>
      <c r="AP168">
        <v>3555729</v>
      </c>
      <c r="AQ168">
        <v>3541825</v>
      </c>
      <c r="AR168">
        <v>3529222</v>
      </c>
      <c r="AS168">
        <v>3518203</v>
      </c>
      <c r="AT168">
        <v>3509060</v>
      </c>
      <c r="AU168">
        <v>3502098</v>
      </c>
      <c r="AV168">
        <v>3497632</v>
      </c>
    </row>
    <row r="169" spans="1:48" x14ac:dyDescent="0.15">
      <c r="A169" t="s">
        <v>202</v>
      </c>
      <c r="B169" t="s">
        <v>587</v>
      </c>
      <c r="C169" t="s">
        <v>427</v>
      </c>
      <c r="D169" s="5">
        <v>3770462.50284814</v>
      </c>
      <c r="E169" s="5">
        <v>3791755.9989078902</v>
      </c>
      <c r="F169" s="5">
        <v>3811373.6844719402</v>
      </c>
      <c r="G169" s="5">
        <v>3751446</v>
      </c>
      <c r="H169">
        <v>3771781</v>
      </c>
      <c r="I169">
        <v>3793216</v>
      </c>
      <c r="J169">
        <v>3815403</v>
      </c>
      <c r="K169">
        <v>3838014</v>
      </c>
      <c r="L169">
        <v>3860744</v>
      </c>
      <c r="M169">
        <v>3883308</v>
      </c>
      <c r="N169">
        <v>3905439</v>
      </c>
      <c r="O169">
        <v>3926895</v>
      </c>
      <c r="P169">
        <v>3947451</v>
      </c>
      <c r="Q169">
        <v>3966903</v>
      </c>
      <c r="R169">
        <v>3985070</v>
      </c>
      <c r="S169">
        <v>4001788</v>
      </c>
      <c r="T169">
        <v>4016916</v>
      </c>
      <c r="U169">
        <v>4030333</v>
      </c>
      <c r="V169">
        <v>4041938</v>
      </c>
      <c r="W169">
        <v>4051653</v>
      </c>
      <c r="X169">
        <v>4059416</v>
      </c>
      <c r="Y169">
        <v>4065189</v>
      </c>
      <c r="Z169">
        <v>4068955</v>
      </c>
      <c r="AA169">
        <v>4070715</v>
      </c>
      <c r="AB169">
        <v>4070491</v>
      </c>
      <c r="AC169">
        <v>4068329</v>
      </c>
      <c r="AD169">
        <v>4064290</v>
      </c>
      <c r="AE169">
        <v>4058461</v>
      </c>
      <c r="AF169">
        <v>4050945</v>
      </c>
      <c r="AG169">
        <v>4041869</v>
      </c>
      <c r="AH169">
        <v>4031379</v>
      </c>
      <c r="AI169">
        <v>4019641</v>
      </c>
      <c r="AJ169">
        <v>4006843</v>
      </c>
      <c r="AK169">
        <v>3993193</v>
      </c>
      <c r="AL169">
        <v>3978919</v>
      </c>
      <c r="AM169">
        <v>3964270</v>
      </c>
      <c r="AN169">
        <v>3949515</v>
      </c>
      <c r="AO169">
        <v>3934945</v>
      </c>
      <c r="AP169">
        <v>3920870</v>
      </c>
      <c r="AQ169">
        <v>3907621</v>
      </c>
      <c r="AR169">
        <v>3895551</v>
      </c>
      <c r="AS169">
        <v>3885032</v>
      </c>
      <c r="AT169">
        <v>3876455</v>
      </c>
      <c r="AU169">
        <v>3870236</v>
      </c>
      <c r="AV169">
        <v>3866808</v>
      </c>
    </row>
    <row r="170" spans="1:48" x14ac:dyDescent="0.15">
      <c r="A170" t="s">
        <v>203</v>
      </c>
      <c r="B170" t="s">
        <v>588</v>
      </c>
      <c r="C170" t="s">
        <v>427</v>
      </c>
      <c r="D170" s="5">
        <v>4482321.3402368203</v>
      </c>
      <c r="E170" s="5">
        <v>4502395.0027318802</v>
      </c>
      <c r="F170" s="5">
        <v>4520387.5378640601</v>
      </c>
      <c r="G170" s="5">
        <v>4361110</v>
      </c>
      <c r="H170">
        <v>4379540</v>
      </c>
      <c r="I170">
        <v>4398737</v>
      </c>
      <c r="J170">
        <v>4418357</v>
      </c>
      <c r="K170">
        <v>4438076</v>
      </c>
      <c r="L170">
        <v>4457592</v>
      </c>
      <c r="M170">
        <v>4476625</v>
      </c>
      <c r="N170">
        <v>4494915</v>
      </c>
      <c r="O170">
        <v>4512225</v>
      </c>
      <c r="P170">
        <v>4528339</v>
      </c>
      <c r="Q170">
        <v>4543061</v>
      </c>
      <c r="R170">
        <v>4556218</v>
      </c>
      <c r="S170">
        <v>4567657</v>
      </c>
      <c r="T170">
        <v>4577248</v>
      </c>
      <c r="U170">
        <v>4584882</v>
      </c>
      <c r="V170">
        <v>4590469</v>
      </c>
      <c r="W170">
        <v>4593944</v>
      </c>
      <c r="X170">
        <v>4595262</v>
      </c>
      <c r="Y170">
        <v>4594398</v>
      </c>
      <c r="Z170">
        <v>4591350</v>
      </c>
      <c r="AA170">
        <v>4586136</v>
      </c>
      <c r="AB170">
        <v>4578798</v>
      </c>
      <c r="AC170">
        <v>4569396</v>
      </c>
      <c r="AD170">
        <v>4558014</v>
      </c>
      <c r="AE170">
        <v>4544756</v>
      </c>
      <c r="AF170">
        <v>4529748</v>
      </c>
      <c r="AG170">
        <v>4513137</v>
      </c>
      <c r="AH170">
        <v>4495092</v>
      </c>
      <c r="AI170">
        <v>4475802</v>
      </c>
      <c r="AJ170">
        <v>4455480</v>
      </c>
      <c r="AK170">
        <v>4434358</v>
      </c>
      <c r="AL170">
        <v>4412689</v>
      </c>
      <c r="AM170">
        <v>4390750</v>
      </c>
      <c r="AN170">
        <v>4368838</v>
      </c>
      <c r="AO170">
        <v>4347270</v>
      </c>
      <c r="AP170">
        <v>4326386</v>
      </c>
      <c r="AQ170">
        <v>4306548</v>
      </c>
      <c r="AR170">
        <v>4288138</v>
      </c>
      <c r="AS170">
        <v>4271559</v>
      </c>
      <c r="AT170">
        <v>4257238</v>
      </c>
      <c r="AU170">
        <v>4245620</v>
      </c>
      <c r="AV170">
        <v>4237174</v>
      </c>
    </row>
    <row r="171" spans="1:48" x14ac:dyDescent="0.15">
      <c r="A171" t="s">
        <v>204</v>
      </c>
      <c r="B171" t="s">
        <v>589</v>
      </c>
      <c r="C171" t="s">
        <v>427</v>
      </c>
      <c r="D171" s="5">
        <v>2642672.24596914</v>
      </c>
      <c r="E171" s="5">
        <v>2655317.8628727398</v>
      </c>
      <c r="F171" s="5">
        <v>2666855.8306761999</v>
      </c>
      <c r="G171" s="5">
        <v>2353506</v>
      </c>
      <c r="H171">
        <v>2367186</v>
      </c>
      <c r="I171">
        <v>2380292</v>
      </c>
      <c r="J171">
        <v>2392738</v>
      </c>
      <c r="K171">
        <v>2404446</v>
      </c>
      <c r="L171">
        <v>2415343</v>
      </c>
      <c r="M171">
        <v>2425365</v>
      </c>
      <c r="N171">
        <v>2434454</v>
      </c>
      <c r="O171">
        <v>2442561</v>
      </c>
      <c r="P171">
        <v>2449642</v>
      </c>
      <c r="Q171">
        <v>2455662</v>
      </c>
      <c r="R171">
        <v>2460590</v>
      </c>
      <c r="S171">
        <v>2464406</v>
      </c>
      <c r="T171">
        <v>2467096</v>
      </c>
      <c r="U171">
        <v>2468650</v>
      </c>
      <c r="V171">
        <v>2469070</v>
      </c>
      <c r="W171">
        <v>2468362</v>
      </c>
      <c r="X171">
        <v>2466541</v>
      </c>
      <c r="Y171">
        <v>2463626</v>
      </c>
      <c r="Z171">
        <v>2459647</v>
      </c>
      <c r="AA171">
        <v>2454639</v>
      </c>
      <c r="AB171">
        <v>2448644</v>
      </c>
      <c r="AC171">
        <v>2441712</v>
      </c>
      <c r="AD171">
        <v>2433901</v>
      </c>
      <c r="AE171">
        <v>2425273</v>
      </c>
      <c r="AF171">
        <v>2415900</v>
      </c>
      <c r="AG171">
        <v>2405861</v>
      </c>
      <c r="AH171">
        <v>2395240</v>
      </c>
      <c r="AI171">
        <v>2384130</v>
      </c>
      <c r="AJ171">
        <v>2372632</v>
      </c>
      <c r="AK171">
        <v>2360851</v>
      </c>
      <c r="AL171">
        <v>2348901</v>
      </c>
      <c r="AM171">
        <v>2336905</v>
      </c>
      <c r="AN171">
        <v>2324989</v>
      </c>
      <c r="AO171">
        <v>2313289</v>
      </c>
      <c r="AP171">
        <v>2301949</v>
      </c>
      <c r="AQ171">
        <v>2291117</v>
      </c>
      <c r="AR171">
        <v>2280950</v>
      </c>
      <c r="AS171">
        <v>2271612</v>
      </c>
      <c r="AT171">
        <v>2263275</v>
      </c>
      <c r="AU171">
        <v>2256116</v>
      </c>
      <c r="AV171">
        <v>2250321</v>
      </c>
    </row>
    <row r="172" spans="1:48" x14ac:dyDescent="0.15">
      <c r="A172" t="s">
        <v>205</v>
      </c>
      <c r="B172" t="s">
        <v>590</v>
      </c>
      <c r="C172" t="s">
        <v>427</v>
      </c>
      <c r="D172" s="5">
        <v>2331829.5631243498</v>
      </c>
      <c r="E172" s="5">
        <v>2345933.6098143002</v>
      </c>
      <c r="F172" s="5">
        <v>2359050.3032721202</v>
      </c>
      <c r="G172" s="5">
        <v>2017298</v>
      </c>
      <c r="H172">
        <v>2034724</v>
      </c>
      <c r="I172">
        <v>2050493</v>
      </c>
      <c r="J172">
        <v>2064638</v>
      </c>
      <c r="K172">
        <v>2077189</v>
      </c>
      <c r="L172">
        <v>2088182</v>
      </c>
      <c r="M172">
        <v>2097652</v>
      </c>
      <c r="N172">
        <v>2105637</v>
      </c>
      <c r="O172">
        <v>2112176</v>
      </c>
      <c r="P172">
        <v>2117311</v>
      </c>
      <c r="Q172">
        <v>2121084</v>
      </c>
      <c r="R172">
        <v>2123539</v>
      </c>
      <c r="S172">
        <v>2124722</v>
      </c>
      <c r="T172">
        <v>2124682</v>
      </c>
      <c r="U172">
        <v>2123466</v>
      </c>
      <c r="V172">
        <v>2121127</v>
      </c>
      <c r="W172">
        <v>2117717</v>
      </c>
      <c r="X172">
        <v>2113291</v>
      </c>
      <c r="Y172">
        <v>2107904</v>
      </c>
      <c r="Z172">
        <v>2101614</v>
      </c>
      <c r="AA172">
        <v>2094480</v>
      </c>
      <c r="AB172">
        <v>2086564</v>
      </c>
      <c r="AC172">
        <v>2077929</v>
      </c>
      <c r="AD172">
        <v>2068638</v>
      </c>
      <c r="AE172">
        <v>2058758</v>
      </c>
      <c r="AF172">
        <v>2048356</v>
      </c>
      <c r="AG172">
        <v>2037503</v>
      </c>
      <c r="AH172">
        <v>2026268</v>
      </c>
      <c r="AI172">
        <v>2014726</v>
      </c>
      <c r="AJ172">
        <v>2002949</v>
      </c>
      <c r="AK172">
        <v>1991015</v>
      </c>
      <c r="AL172">
        <v>1979002</v>
      </c>
      <c r="AM172">
        <v>1966988</v>
      </c>
      <c r="AN172">
        <v>1955054</v>
      </c>
      <c r="AO172">
        <v>1943285</v>
      </c>
      <c r="AP172">
        <v>1931763</v>
      </c>
      <c r="AQ172">
        <v>1920576</v>
      </c>
      <c r="AR172">
        <v>1909811</v>
      </c>
      <c r="AS172">
        <v>1899557</v>
      </c>
      <c r="AT172">
        <v>1889906</v>
      </c>
      <c r="AU172">
        <v>1880951</v>
      </c>
      <c r="AV172">
        <v>1872785</v>
      </c>
    </row>
    <row r="173" spans="1:48" x14ac:dyDescent="0.15">
      <c r="A173" t="s">
        <v>206</v>
      </c>
      <c r="B173" t="s">
        <v>591</v>
      </c>
      <c r="C173" t="s">
        <v>427</v>
      </c>
      <c r="D173" s="5">
        <v>10734430.4967943</v>
      </c>
      <c r="E173" s="5">
        <v>10777569.2763636</v>
      </c>
      <c r="F173" s="5">
        <v>10814241.3064742</v>
      </c>
      <c r="G173" s="5">
        <v>9700448</v>
      </c>
      <c r="H173">
        <v>9712360</v>
      </c>
      <c r="I173">
        <v>9732203</v>
      </c>
      <c r="J173">
        <v>9758625</v>
      </c>
      <c r="K173">
        <v>9790347</v>
      </c>
      <c r="L173">
        <v>9826160</v>
      </c>
      <c r="M173">
        <v>9864928</v>
      </c>
      <c r="N173">
        <v>9905585</v>
      </c>
      <c r="O173">
        <v>9947137</v>
      </c>
      <c r="P173">
        <v>9988661</v>
      </c>
      <c r="Q173">
        <v>10029307</v>
      </c>
      <c r="R173">
        <v>10068294</v>
      </c>
      <c r="S173">
        <v>10104914</v>
      </c>
      <c r="T173">
        <v>10138530</v>
      </c>
      <c r="U173">
        <v>10168577</v>
      </c>
      <c r="V173">
        <v>10194559</v>
      </c>
      <c r="W173">
        <v>10216055</v>
      </c>
      <c r="X173">
        <v>10232714</v>
      </c>
      <c r="Y173">
        <v>10244254</v>
      </c>
      <c r="Z173">
        <v>10250467</v>
      </c>
      <c r="AA173">
        <v>10251217</v>
      </c>
      <c r="AB173">
        <v>10246438</v>
      </c>
      <c r="AC173">
        <v>10236135</v>
      </c>
      <c r="AD173">
        <v>10220385</v>
      </c>
      <c r="AE173">
        <v>10199337</v>
      </c>
      <c r="AF173">
        <v>10173211</v>
      </c>
      <c r="AG173">
        <v>10142297</v>
      </c>
      <c r="AH173">
        <v>10106959</v>
      </c>
      <c r="AI173">
        <v>10067631</v>
      </c>
      <c r="AJ173">
        <v>10024818</v>
      </c>
      <c r="AK173">
        <v>9979097</v>
      </c>
      <c r="AL173">
        <v>9931117</v>
      </c>
      <c r="AM173">
        <v>9881596</v>
      </c>
      <c r="AN173">
        <v>9831327</v>
      </c>
      <c r="AO173">
        <v>9781172</v>
      </c>
      <c r="AP173">
        <v>9732065</v>
      </c>
      <c r="AQ173">
        <v>9685010</v>
      </c>
      <c r="AR173">
        <v>9641085</v>
      </c>
      <c r="AS173">
        <v>9601439</v>
      </c>
      <c r="AT173">
        <v>9567290</v>
      </c>
      <c r="AU173">
        <v>9539929</v>
      </c>
      <c r="AV173">
        <v>9520719</v>
      </c>
    </row>
    <row r="174" spans="1:48" x14ac:dyDescent="0.15">
      <c r="A174" t="s">
        <v>207</v>
      </c>
      <c r="B174" t="s">
        <v>592</v>
      </c>
      <c r="C174" t="s">
        <v>427</v>
      </c>
      <c r="D174" s="5">
        <v>7627542.4392344896</v>
      </c>
      <c r="E174" s="5">
        <v>7672919.5792315695</v>
      </c>
      <c r="F174" s="5">
        <v>7717335.5198902898</v>
      </c>
      <c r="G174" s="5">
        <v>7745083</v>
      </c>
      <c r="H174">
        <v>7815946</v>
      </c>
      <c r="I174">
        <v>7885364</v>
      </c>
      <c r="J174">
        <v>7952878</v>
      </c>
      <c r="K174">
        <v>8018062</v>
      </c>
      <c r="L174">
        <v>8080530</v>
      </c>
      <c r="M174">
        <v>8139929</v>
      </c>
      <c r="N174">
        <v>8195943</v>
      </c>
      <c r="O174">
        <v>8248290</v>
      </c>
      <c r="P174">
        <v>8296726</v>
      </c>
      <c r="Q174">
        <v>8341042</v>
      </c>
      <c r="R174">
        <v>8381066</v>
      </c>
      <c r="S174">
        <v>8416659</v>
      </c>
      <c r="T174">
        <v>8447720</v>
      </c>
      <c r="U174">
        <v>8474184</v>
      </c>
      <c r="V174">
        <v>8496021</v>
      </c>
      <c r="W174">
        <v>8513237</v>
      </c>
      <c r="X174">
        <v>8525874</v>
      </c>
      <c r="Y174">
        <v>8534010</v>
      </c>
      <c r="Z174">
        <v>8537759</v>
      </c>
      <c r="AA174">
        <v>8537269</v>
      </c>
      <c r="AB174">
        <v>8532727</v>
      </c>
      <c r="AC174">
        <v>8524353</v>
      </c>
      <c r="AD174">
        <v>8512404</v>
      </c>
      <c r="AE174">
        <v>8497174</v>
      </c>
      <c r="AF174">
        <v>8478991</v>
      </c>
      <c r="AG174">
        <v>8458219</v>
      </c>
      <c r="AH174">
        <v>8435259</v>
      </c>
      <c r="AI174">
        <v>8410546</v>
      </c>
      <c r="AJ174">
        <v>8384554</v>
      </c>
      <c r="AK174">
        <v>8357790</v>
      </c>
      <c r="AL174">
        <v>8330797</v>
      </c>
      <c r="AM174">
        <v>8304155</v>
      </c>
      <c r="AN174">
        <v>8278480</v>
      </c>
      <c r="AO174">
        <v>8254423</v>
      </c>
      <c r="AP174">
        <v>8232671</v>
      </c>
      <c r="AQ174">
        <v>8213947</v>
      </c>
      <c r="AR174">
        <v>8199009</v>
      </c>
      <c r="AS174">
        <v>8188652</v>
      </c>
      <c r="AT174">
        <v>8183707</v>
      </c>
      <c r="AU174">
        <v>8185040</v>
      </c>
      <c r="AV174">
        <v>8193553</v>
      </c>
    </row>
    <row r="175" spans="1:48" x14ac:dyDescent="0.15">
      <c r="A175" t="s">
        <v>208</v>
      </c>
      <c r="B175" t="s">
        <v>593</v>
      </c>
      <c r="C175" t="s">
        <v>427</v>
      </c>
      <c r="D175" s="5">
        <v>6270272.8748655096</v>
      </c>
      <c r="E175" s="5">
        <v>6290618.3573471801</v>
      </c>
      <c r="F175" s="5">
        <v>6309672.0608579796</v>
      </c>
      <c r="G175" s="5">
        <v>6215117</v>
      </c>
      <c r="H175">
        <v>6233908</v>
      </c>
      <c r="I175">
        <v>6257410</v>
      </c>
      <c r="J175">
        <v>6284641</v>
      </c>
      <c r="K175">
        <v>6314674</v>
      </c>
      <c r="L175">
        <v>6346641</v>
      </c>
      <c r="M175">
        <v>6379732</v>
      </c>
      <c r="N175">
        <v>6413194</v>
      </c>
      <c r="O175">
        <v>6446331</v>
      </c>
      <c r="P175">
        <v>6478506</v>
      </c>
      <c r="Q175">
        <v>6509136</v>
      </c>
      <c r="R175">
        <v>6537700</v>
      </c>
      <c r="S175">
        <v>6563731</v>
      </c>
      <c r="T175">
        <v>6586822</v>
      </c>
      <c r="U175">
        <v>6606621</v>
      </c>
      <c r="V175">
        <v>6622835</v>
      </c>
      <c r="W175">
        <v>6635229</v>
      </c>
      <c r="X175">
        <v>6643624</v>
      </c>
      <c r="Y175">
        <v>6647900</v>
      </c>
      <c r="Z175">
        <v>6647993</v>
      </c>
      <c r="AA175">
        <v>6643897</v>
      </c>
      <c r="AB175">
        <v>6635664</v>
      </c>
      <c r="AC175">
        <v>6623404</v>
      </c>
      <c r="AD175">
        <v>6607282</v>
      </c>
      <c r="AE175">
        <v>6587522</v>
      </c>
      <c r="AF175">
        <v>6564408</v>
      </c>
      <c r="AG175">
        <v>6538276</v>
      </c>
      <c r="AH175">
        <v>6509525</v>
      </c>
      <c r="AI175">
        <v>6478607</v>
      </c>
      <c r="AJ175">
        <v>6446035</v>
      </c>
      <c r="AK175">
        <v>6412377</v>
      </c>
      <c r="AL175">
        <v>6378260</v>
      </c>
      <c r="AM175">
        <v>6344368</v>
      </c>
      <c r="AN175">
        <v>6311442</v>
      </c>
      <c r="AO175">
        <v>6280282</v>
      </c>
      <c r="AP175">
        <v>6251742</v>
      </c>
      <c r="AQ175">
        <v>6226739</v>
      </c>
      <c r="AR175">
        <v>6206241</v>
      </c>
      <c r="AS175">
        <v>6191280</v>
      </c>
      <c r="AT175">
        <v>6182940</v>
      </c>
      <c r="AU175">
        <v>6182366</v>
      </c>
      <c r="AV175">
        <v>6190759</v>
      </c>
    </row>
    <row r="176" spans="1:48" x14ac:dyDescent="0.15">
      <c r="A176" t="s">
        <v>209</v>
      </c>
      <c r="B176" t="s">
        <v>594</v>
      </c>
      <c r="C176" t="s">
        <v>427</v>
      </c>
      <c r="D176" s="5">
        <v>9234596.4874806497</v>
      </c>
      <c r="E176" s="5">
        <v>9283409.9110670201</v>
      </c>
      <c r="F176" s="5">
        <v>9331727.92006162</v>
      </c>
      <c r="G176" s="5">
        <v>8957328</v>
      </c>
      <c r="H176">
        <v>9025102</v>
      </c>
      <c r="I176">
        <v>9095455</v>
      </c>
      <c r="J176">
        <v>9167366</v>
      </c>
      <c r="K176">
        <v>9239880</v>
      </c>
      <c r="L176">
        <v>9312110</v>
      </c>
      <c r="M176">
        <v>9383231</v>
      </c>
      <c r="N176">
        <v>9452488</v>
      </c>
      <c r="O176">
        <v>9519190</v>
      </c>
      <c r="P176">
        <v>9582712</v>
      </c>
      <c r="Q176">
        <v>9642493</v>
      </c>
      <c r="R176">
        <v>9698043</v>
      </c>
      <c r="S176">
        <v>9748932</v>
      </c>
      <c r="T176">
        <v>9794801</v>
      </c>
      <c r="U176">
        <v>9835353</v>
      </c>
      <c r="V176">
        <v>9870359</v>
      </c>
      <c r="W176">
        <v>9899656</v>
      </c>
      <c r="X176">
        <v>9923146</v>
      </c>
      <c r="Y176">
        <v>9940798</v>
      </c>
      <c r="Z176">
        <v>9952646</v>
      </c>
      <c r="AA176">
        <v>9958789</v>
      </c>
      <c r="AB176">
        <v>9959395</v>
      </c>
      <c r="AC176">
        <v>9954695</v>
      </c>
      <c r="AD176">
        <v>9944987</v>
      </c>
      <c r="AE176">
        <v>9930636</v>
      </c>
      <c r="AF176">
        <v>9912070</v>
      </c>
      <c r="AG176">
        <v>9889786</v>
      </c>
      <c r="AH176">
        <v>9864346</v>
      </c>
      <c r="AI176">
        <v>9836377</v>
      </c>
      <c r="AJ176">
        <v>9806572</v>
      </c>
      <c r="AK176">
        <v>9775692</v>
      </c>
      <c r="AL176">
        <v>9744561</v>
      </c>
      <c r="AM176">
        <v>9714071</v>
      </c>
      <c r="AN176">
        <v>9685178</v>
      </c>
      <c r="AO176">
        <v>9658908</v>
      </c>
      <c r="AP176">
        <v>9636347</v>
      </c>
      <c r="AQ176">
        <v>9618652</v>
      </c>
      <c r="AR176">
        <v>9607043</v>
      </c>
      <c r="AS176">
        <v>9602808</v>
      </c>
      <c r="AT176">
        <v>9607298</v>
      </c>
      <c r="AU176">
        <v>9621933</v>
      </c>
      <c r="AV176">
        <v>9648198</v>
      </c>
    </row>
    <row r="177" spans="1:48" x14ac:dyDescent="0.15">
      <c r="A177" t="s">
        <v>210</v>
      </c>
      <c r="B177" t="s">
        <v>595</v>
      </c>
      <c r="C177" t="s">
        <v>427</v>
      </c>
      <c r="D177" s="5">
        <v>7440758.0358009599</v>
      </c>
      <c r="E177" s="5">
        <v>7467900.5320021901</v>
      </c>
      <c r="F177" s="5">
        <v>7493347.4884193698</v>
      </c>
      <c r="G177" s="5">
        <v>6980998</v>
      </c>
      <c r="H177">
        <v>7007675</v>
      </c>
      <c r="I177">
        <v>7038492</v>
      </c>
      <c r="J177">
        <v>7072489</v>
      </c>
      <c r="K177">
        <v>7108762</v>
      </c>
      <c r="L177">
        <v>7146464</v>
      </c>
      <c r="M177">
        <v>7184807</v>
      </c>
      <c r="N177">
        <v>7223055</v>
      </c>
      <c r="O177">
        <v>7260534</v>
      </c>
      <c r="P177">
        <v>7296622</v>
      </c>
      <c r="Q177">
        <v>7330757</v>
      </c>
      <c r="R177">
        <v>7362431</v>
      </c>
      <c r="S177">
        <v>7391195</v>
      </c>
      <c r="T177">
        <v>7416656</v>
      </c>
      <c r="U177">
        <v>7438476</v>
      </c>
      <c r="V177">
        <v>7456375</v>
      </c>
      <c r="W177">
        <v>7470131</v>
      </c>
      <c r="X177">
        <v>7479576</v>
      </c>
      <c r="Y177">
        <v>7484601</v>
      </c>
      <c r="Z177">
        <v>7485152</v>
      </c>
      <c r="AA177">
        <v>7481233</v>
      </c>
      <c r="AB177">
        <v>7472902</v>
      </c>
      <c r="AC177">
        <v>7460278</v>
      </c>
      <c r="AD177">
        <v>7443533</v>
      </c>
      <c r="AE177">
        <v>7422898</v>
      </c>
      <c r="AF177">
        <v>7398658</v>
      </c>
      <c r="AG177">
        <v>7371157</v>
      </c>
      <c r="AH177">
        <v>7340795</v>
      </c>
      <c r="AI177">
        <v>7308029</v>
      </c>
      <c r="AJ177">
        <v>7273372</v>
      </c>
      <c r="AK177">
        <v>7237394</v>
      </c>
      <c r="AL177">
        <v>7200721</v>
      </c>
      <c r="AM177">
        <v>7164037</v>
      </c>
      <c r="AN177">
        <v>7128081</v>
      </c>
      <c r="AO177">
        <v>7093651</v>
      </c>
      <c r="AP177">
        <v>7061599</v>
      </c>
      <c r="AQ177">
        <v>7032835</v>
      </c>
      <c r="AR177">
        <v>7008326</v>
      </c>
      <c r="AS177">
        <v>6989095</v>
      </c>
      <c r="AT177">
        <v>6976223</v>
      </c>
      <c r="AU177">
        <v>6970845</v>
      </c>
      <c r="AV177">
        <v>6974155</v>
      </c>
    </row>
    <row r="178" spans="1:48" x14ac:dyDescent="0.15">
      <c r="A178" t="s">
        <v>211</v>
      </c>
      <c r="B178" t="s">
        <v>596</v>
      </c>
      <c r="C178" t="s">
        <v>427</v>
      </c>
      <c r="D178" s="5">
        <v>707632.91476392804</v>
      </c>
      <c r="E178" s="5">
        <v>712403.04579731298</v>
      </c>
      <c r="F178" s="5">
        <v>716910.57798751199</v>
      </c>
      <c r="G178" s="5">
        <v>720495</v>
      </c>
      <c r="H178">
        <v>727210</v>
      </c>
      <c r="I178">
        <v>733444</v>
      </c>
      <c r="J178">
        <v>739196</v>
      </c>
      <c r="K178">
        <v>744464</v>
      </c>
      <c r="L178">
        <v>749248</v>
      </c>
      <c r="M178">
        <v>753551</v>
      </c>
      <c r="N178">
        <v>757374</v>
      </c>
      <c r="O178">
        <v>760723</v>
      </c>
      <c r="P178">
        <v>763601</v>
      </c>
      <c r="Q178">
        <v>766017</v>
      </c>
      <c r="R178">
        <v>767978</v>
      </c>
      <c r="S178">
        <v>769492</v>
      </c>
      <c r="T178">
        <v>770572</v>
      </c>
      <c r="U178">
        <v>771228</v>
      </c>
      <c r="V178">
        <v>771474</v>
      </c>
      <c r="W178">
        <v>771323</v>
      </c>
      <c r="X178">
        <v>770792</v>
      </c>
      <c r="Y178">
        <v>769898</v>
      </c>
      <c r="Z178">
        <v>768658</v>
      </c>
      <c r="AA178">
        <v>767092</v>
      </c>
      <c r="AB178">
        <v>765221</v>
      </c>
      <c r="AC178">
        <v>763066</v>
      </c>
      <c r="AD178">
        <v>760652</v>
      </c>
      <c r="AE178">
        <v>758003</v>
      </c>
      <c r="AF178">
        <v>755143</v>
      </c>
      <c r="AG178">
        <v>752102</v>
      </c>
      <c r="AH178">
        <v>748906</v>
      </c>
      <c r="AI178">
        <v>745587</v>
      </c>
      <c r="AJ178">
        <v>742174</v>
      </c>
      <c r="AK178">
        <v>738699</v>
      </c>
      <c r="AL178">
        <v>735198</v>
      </c>
      <c r="AM178">
        <v>731703</v>
      </c>
      <c r="AN178">
        <v>728252</v>
      </c>
      <c r="AO178">
        <v>724882</v>
      </c>
      <c r="AP178">
        <v>721630</v>
      </c>
      <c r="AQ178">
        <v>718538</v>
      </c>
      <c r="AR178">
        <v>715647</v>
      </c>
      <c r="AS178">
        <v>712998</v>
      </c>
      <c r="AT178">
        <v>710636</v>
      </c>
      <c r="AU178">
        <v>708605</v>
      </c>
      <c r="AV178">
        <v>706953</v>
      </c>
    </row>
    <row r="179" spans="1:48" x14ac:dyDescent="0.15">
      <c r="A179" t="s">
        <v>213</v>
      </c>
      <c r="B179" t="s">
        <v>597</v>
      </c>
      <c r="C179" t="s">
        <v>428</v>
      </c>
      <c r="D179" s="5">
        <v>10336243.303530199</v>
      </c>
      <c r="E179" s="5">
        <v>10422785.4987581</v>
      </c>
      <c r="F179" s="5">
        <v>10503781.623002101</v>
      </c>
      <c r="G179" s="5">
        <v>12157596</v>
      </c>
      <c r="H179">
        <v>12325536</v>
      </c>
      <c r="I179">
        <v>12467232</v>
      </c>
      <c r="J179">
        <v>12584748</v>
      </c>
      <c r="K179">
        <v>12680067</v>
      </c>
      <c r="L179">
        <v>12755090</v>
      </c>
      <c r="M179">
        <v>12811638</v>
      </c>
      <c r="N179">
        <v>12851448</v>
      </c>
      <c r="O179">
        <v>12876177</v>
      </c>
      <c r="P179">
        <v>12887399</v>
      </c>
      <c r="Q179">
        <v>12886607</v>
      </c>
      <c r="R179">
        <v>12875213</v>
      </c>
      <c r="S179">
        <v>12854546</v>
      </c>
      <c r="T179">
        <v>12825854</v>
      </c>
      <c r="U179">
        <v>12790303</v>
      </c>
      <c r="V179">
        <v>12748978</v>
      </c>
      <c r="W179">
        <v>12702881</v>
      </c>
      <c r="X179">
        <v>12652934</v>
      </c>
      <c r="Y179">
        <v>12599976</v>
      </c>
      <c r="Z179">
        <v>12544765</v>
      </c>
      <c r="AA179">
        <v>12487976</v>
      </c>
      <c r="AB179">
        <v>12430205</v>
      </c>
      <c r="AC179">
        <v>12371964</v>
      </c>
      <c r="AD179">
        <v>12313684</v>
      </c>
      <c r="AE179">
        <v>12255714</v>
      </c>
      <c r="AF179">
        <v>12198322</v>
      </c>
      <c r="AG179">
        <v>12141693</v>
      </c>
      <c r="AH179">
        <v>12085932</v>
      </c>
      <c r="AI179">
        <v>12031062</v>
      </c>
      <c r="AJ179">
        <v>11977023</v>
      </c>
      <c r="AK179">
        <v>11923674</v>
      </c>
      <c r="AL179">
        <v>11870793</v>
      </c>
      <c r="AM179">
        <v>11818076</v>
      </c>
      <c r="AN179">
        <v>11765137</v>
      </c>
      <c r="AO179">
        <v>11711507</v>
      </c>
      <c r="AP179">
        <v>11656639</v>
      </c>
      <c r="AQ179">
        <v>11599900</v>
      </c>
      <c r="AR179">
        <v>11540578</v>
      </c>
      <c r="AS179">
        <v>11477879</v>
      </c>
      <c r="AT179">
        <v>11410927</v>
      </c>
      <c r="AU179">
        <v>11338763</v>
      </c>
      <c r="AV179">
        <v>11260349</v>
      </c>
    </row>
    <row r="180" spans="1:48" x14ac:dyDescent="0.15">
      <c r="A180" t="s">
        <v>214</v>
      </c>
      <c r="B180" t="s">
        <v>598</v>
      </c>
      <c r="C180" t="s">
        <v>428</v>
      </c>
      <c r="D180" s="5">
        <v>2537151.0112435701</v>
      </c>
      <c r="E180" s="5">
        <v>2552585.7544672298</v>
      </c>
      <c r="F180" s="5">
        <v>2567100.5333433198</v>
      </c>
      <c r="G180" s="5">
        <v>2448955</v>
      </c>
      <c r="H180">
        <v>2468906</v>
      </c>
      <c r="I180">
        <v>2487850</v>
      </c>
      <c r="J180">
        <v>2505725</v>
      </c>
      <c r="K180">
        <v>2522477</v>
      </c>
      <c r="L180">
        <v>2538058</v>
      </c>
      <c r="M180">
        <v>2552425</v>
      </c>
      <c r="N180">
        <v>2565543</v>
      </c>
      <c r="O180">
        <v>2577382</v>
      </c>
      <c r="P180">
        <v>2587919</v>
      </c>
      <c r="Q180">
        <v>2597136</v>
      </c>
      <c r="R180">
        <v>2605023</v>
      </c>
      <c r="S180">
        <v>2611575</v>
      </c>
      <c r="T180">
        <v>2616794</v>
      </c>
      <c r="U180">
        <v>2620687</v>
      </c>
      <c r="V180">
        <v>2623267</v>
      </c>
      <c r="W180">
        <v>2624556</v>
      </c>
      <c r="X180">
        <v>2624580</v>
      </c>
      <c r="Y180">
        <v>2623371</v>
      </c>
      <c r="Z180">
        <v>2620969</v>
      </c>
      <c r="AA180">
        <v>2617418</v>
      </c>
      <c r="AB180">
        <v>2612770</v>
      </c>
      <c r="AC180">
        <v>2607082</v>
      </c>
      <c r="AD180">
        <v>2600418</v>
      </c>
      <c r="AE180">
        <v>2592848</v>
      </c>
      <c r="AF180">
        <v>2584448</v>
      </c>
      <c r="AG180">
        <v>2575301</v>
      </c>
      <c r="AH180">
        <v>2565496</v>
      </c>
      <c r="AI180">
        <v>2555127</v>
      </c>
      <c r="AJ180">
        <v>2544295</v>
      </c>
      <c r="AK180">
        <v>2533108</v>
      </c>
      <c r="AL180">
        <v>2521680</v>
      </c>
      <c r="AM180">
        <v>2510130</v>
      </c>
      <c r="AN180">
        <v>2498584</v>
      </c>
      <c r="AO180">
        <v>2487175</v>
      </c>
      <c r="AP180">
        <v>2476042</v>
      </c>
      <c r="AQ180">
        <v>2465328</v>
      </c>
      <c r="AR180">
        <v>2455184</v>
      </c>
      <c r="AS180">
        <v>2445769</v>
      </c>
      <c r="AT180">
        <v>2437245</v>
      </c>
      <c r="AU180">
        <v>2429782</v>
      </c>
      <c r="AV180">
        <v>2423556</v>
      </c>
    </row>
    <row r="181" spans="1:48" x14ac:dyDescent="0.15">
      <c r="A181" t="s">
        <v>215</v>
      </c>
      <c r="B181" t="s">
        <v>599</v>
      </c>
      <c r="C181" t="s">
        <v>428</v>
      </c>
      <c r="D181" s="5">
        <v>3482133.0899974098</v>
      </c>
      <c r="E181" s="5">
        <v>3501077.4909806498</v>
      </c>
      <c r="F181" s="5">
        <v>3518387.8570080702</v>
      </c>
      <c r="G181" s="5">
        <v>3186003</v>
      </c>
      <c r="H181">
        <v>3208734</v>
      </c>
      <c r="I181">
        <v>3229260</v>
      </c>
      <c r="J181">
        <v>3247614</v>
      </c>
      <c r="K181">
        <v>3263829</v>
      </c>
      <c r="L181">
        <v>3277945</v>
      </c>
      <c r="M181">
        <v>3290000</v>
      </c>
      <c r="N181">
        <v>3300038</v>
      </c>
      <c r="O181">
        <v>3308104</v>
      </c>
      <c r="P181">
        <v>3314245</v>
      </c>
      <c r="Q181">
        <v>3318511</v>
      </c>
      <c r="R181">
        <v>3320955</v>
      </c>
      <c r="S181">
        <v>3321633</v>
      </c>
      <c r="T181">
        <v>3320603</v>
      </c>
      <c r="U181">
        <v>3317925</v>
      </c>
      <c r="V181">
        <v>3313662</v>
      </c>
      <c r="W181">
        <v>3307879</v>
      </c>
      <c r="X181">
        <v>3300645</v>
      </c>
      <c r="Y181">
        <v>3292031</v>
      </c>
      <c r="Z181">
        <v>3282110</v>
      </c>
      <c r="AA181">
        <v>3270957</v>
      </c>
      <c r="AB181">
        <v>3258652</v>
      </c>
      <c r="AC181">
        <v>3245274</v>
      </c>
      <c r="AD181">
        <v>3230908</v>
      </c>
      <c r="AE181">
        <v>3215639</v>
      </c>
      <c r="AF181">
        <v>3199556</v>
      </c>
      <c r="AG181">
        <v>3182751</v>
      </c>
      <c r="AH181">
        <v>3165317</v>
      </c>
      <c r="AI181">
        <v>3147350</v>
      </c>
      <c r="AJ181">
        <v>3128949</v>
      </c>
      <c r="AK181">
        <v>3110216</v>
      </c>
      <c r="AL181">
        <v>3091255</v>
      </c>
      <c r="AM181">
        <v>3072172</v>
      </c>
      <c r="AN181">
        <v>3053076</v>
      </c>
      <c r="AO181">
        <v>3034079</v>
      </c>
      <c r="AP181">
        <v>3015295</v>
      </c>
      <c r="AQ181">
        <v>2996840</v>
      </c>
      <c r="AR181">
        <v>2978835</v>
      </c>
      <c r="AS181">
        <v>2961401</v>
      </c>
      <c r="AT181">
        <v>2944663</v>
      </c>
      <c r="AU181">
        <v>2928746</v>
      </c>
      <c r="AV181">
        <v>2913782</v>
      </c>
    </row>
    <row r="182" spans="1:48" x14ac:dyDescent="0.15">
      <c r="A182" t="s">
        <v>216</v>
      </c>
      <c r="B182" t="s">
        <v>600</v>
      </c>
      <c r="C182" t="s">
        <v>428</v>
      </c>
      <c r="D182" s="5">
        <v>4182544.1508758301</v>
      </c>
      <c r="E182" s="5">
        <v>4197581.8619992398</v>
      </c>
      <c r="F182" s="5">
        <v>4210364.7601195797</v>
      </c>
      <c r="G182" s="5">
        <v>3994116</v>
      </c>
      <c r="H182">
        <v>4017126</v>
      </c>
      <c r="I182">
        <v>4034992</v>
      </c>
      <c r="J182">
        <v>4048013</v>
      </c>
      <c r="K182">
        <v>4056483</v>
      </c>
      <c r="L182">
        <v>4060685</v>
      </c>
      <c r="M182">
        <v>4060896</v>
      </c>
      <c r="N182">
        <v>4057384</v>
      </c>
      <c r="O182">
        <v>4050409</v>
      </c>
      <c r="P182">
        <v>4040222</v>
      </c>
      <c r="Q182">
        <v>4027069</v>
      </c>
      <c r="R182">
        <v>4011183</v>
      </c>
      <c r="S182">
        <v>3992793</v>
      </c>
      <c r="T182">
        <v>3972119</v>
      </c>
      <c r="U182">
        <v>3949370</v>
      </c>
      <c r="V182">
        <v>3924752</v>
      </c>
      <c r="W182">
        <v>3898458</v>
      </c>
      <c r="X182">
        <v>3870675</v>
      </c>
      <c r="Y182">
        <v>3841583</v>
      </c>
      <c r="Z182">
        <v>3811352</v>
      </c>
      <c r="AA182">
        <v>3780145</v>
      </c>
      <c r="AB182">
        <v>3748116</v>
      </c>
      <c r="AC182">
        <v>3715411</v>
      </c>
      <c r="AD182">
        <v>3682169</v>
      </c>
      <c r="AE182">
        <v>3648520</v>
      </c>
      <c r="AF182">
        <v>3614585</v>
      </c>
      <c r="AG182">
        <v>3580479</v>
      </c>
      <c r="AH182">
        <v>3546308</v>
      </c>
      <c r="AI182">
        <v>3512168</v>
      </c>
      <c r="AJ182">
        <v>3478150</v>
      </c>
      <c r="AK182">
        <v>3444334</v>
      </c>
      <c r="AL182">
        <v>3410795</v>
      </c>
      <c r="AM182">
        <v>3377597</v>
      </c>
      <c r="AN182">
        <v>3344797</v>
      </c>
      <c r="AO182">
        <v>3312444</v>
      </c>
      <c r="AP182">
        <v>3280579</v>
      </c>
      <c r="AQ182">
        <v>3249235</v>
      </c>
      <c r="AR182">
        <v>3218436</v>
      </c>
      <c r="AS182">
        <v>3188199</v>
      </c>
      <c r="AT182">
        <v>3158531</v>
      </c>
      <c r="AU182">
        <v>3129434</v>
      </c>
      <c r="AV182">
        <v>3100898</v>
      </c>
    </row>
    <row r="183" spans="1:48" x14ac:dyDescent="0.15">
      <c r="A183" t="s">
        <v>217</v>
      </c>
      <c r="B183" t="s">
        <v>601</v>
      </c>
      <c r="C183" t="s">
        <v>428</v>
      </c>
      <c r="D183" s="5">
        <v>5724586.7524093501</v>
      </c>
      <c r="E183" s="5">
        <v>5754004.4075248996</v>
      </c>
      <c r="F183" s="5">
        <v>5780690.6495781001</v>
      </c>
      <c r="G183" s="5">
        <v>5224700</v>
      </c>
      <c r="H183">
        <v>5260536</v>
      </c>
      <c r="I183">
        <v>5292517</v>
      </c>
      <c r="J183">
        <v>5320707</v>
      </c>
      <c r="K183">
        <v>5345175</v>
      </c>
      <c r="L183">
        <v>5365995</v>
      </c>
      <c r="M183">
        <v>5383244</v>
      </c>
      <c r="N183">
        <v>5397004</v>
      </c>
      <c r="O183">
        <v>5407362</v>
      </c>
      <c r="P183">
        <v>5414408</v>
      </c>
      <c r="Q183">
        <v>5418239</v>
      </c>
      <c r="R183">
        <v>5418953</v>
      </c>
      <c r="S183">
        <v>5416655</v>
      </c>
      <c r="T183">
        <v>5411453</v>
      </c>
      <c r="U183">
        <v>5403461</v>
      </c>
      <c r="V183">
        <v>5392795</v>
      </c>
      <c r="W183">
        <v>5379578</v>
      </c>
      <c r="X183">
        <v>5363935</v>
      </c>
      <c r="Y183">
        <v>5345998</v>
      </c>
      <c r="Z183">
        <v>5325900</v>
      </c>
      <c r="AA183">
        <v>5303781</v>
      </c>
      <c r="AB183">
        <v>5279786</v>
      </c>
      <c r="AC183">
        <v>5254062</v>
      </c>
      <c r="AD183">
        <v>5226762</v>
      </c>
      <c r="AE183">
        <v>5198042</v>
      </c>
      <c r="AF183">
        <v>5168065</v>
      </c>
      <c r="AG183">
        <v>5136996</v>
      </c>
      <c r="AH183">
        <v>5105004</v>
      </c>
      <c r="AI183">
        <v>5072265</v>
      </c>
      <c r="AJ183">
        <v>5038958</v>
      </c>
      <c r="AK183">
        <v>5005266</v>
      </c>
      <c r="AL183">
        <v>4971376</v>
      </c>
      <c r="AM183">
        <v>4937482</v>
      </c>
      <c r="AN183">
        <v>4903779</v>
      </c>
      <c r="AO183">
        <v>4870468</v>
      </c>
      <c r="AP183">
        <v>4837756</v>
      </c>
      <c r="AQ183">
        <v>4805850</v>
      </c>
      <c r="AR183">
        <v>4774967</v>
      </c>
      <c r="AS183">
        <v>4745325</v>
      </c>
      <c r="AT183">
        <v>4717145</v>
      </c>
      <c r="AU183">
        <v>4690657</v>
      </c>
      <c r="AV183">
        <v>4666091</v>
      </c>
    </row>
    <row r="184" spans="1:48" x14ac:dyDescent="0.15">
      <c r="A184" t="s">
        <v>218</v>
      </c>
      <c r="B184" t="s">
        <v>602</v>
      </c>
      <c r="C184" t="s">
        <v>428</v>
      </c>
      <c r="D184" s="5">
        <v>1091738.8431709299</v>
      </c>
      <c r="E184" s="5">
        <v>1098227.2683453299</v>
      </c>
      <c r="F184" s="5">
        <v>1104324.05610326</v>
      </c>
      <c r="G184" s="5">
        <v>1069831</v>
      </c>
      <c r="H184">
        <v>1079276</v>
      </c>
      <c r="I184">
        <v>1087840</v>
      </c>
      <c r="J184">
        <v>1095538</v>
      </c>
      <c r="K184">
        <v>1102386</v>
      </c>
      <c r="L184">
        <v>1108404</v>
      </c>
      <c r="M184">
        <v>1113610</v>
      </c>
      <c r="N184">
        <v>1118024</v>
      </c>
      <c r="O184">
        <v>1121666</v>
      </c>
      <c r="P184">
        <v>1124558</v>
      </c>
      <c r="Q184">
        <v>1126723</v>
      </c>
      <c r="R184">
        <v>1128186</v>
      </c>
      <c r="S184">
        <v>1128969</v>
      </c>
      <c r="T184">
        <v>1129099</v>
      </c>
      <c r="U184">
        <v>1128603</v>
      </c>
      <c r="V184">
        <v>1127508</v>
      </c>
      <c r="W184">
        <v>1125842</v>
      </c>
      <c r="X184">
        <v>1123635</v>
      </c>
      <c r="Y184">
        <v>1120917</v>
      </c>
      <c r="Z184">
        <v>1117719</v>
      </c>
      <c r="AA184">
        <v>1114075</v>
      </c>
      <c r="AB184">
        <v>1110016</v>
      </c>
      <c r="AC184">
        <v>1105577</v>
      </c>
      <c r="AD184">
        <v>1100793</v>
      </c>
      <c r="AE184">
        <v>1095701</v>
      </c>
      <c r="AF184">
        <v>1090338</v>
      </c>
      <c r="AG184">
        <v>1084740</v>
      </c>
      <c r="AH184">
        <v>1078948</v>
      </c>
      <c r="AI184">
        <v>1073001</v>
      </c>
      <c r="AJ184">
        <v>1066941</v>
      </c>
      <c r="AK184">
        <v>1060808</v>
      </c>
      <c r="AL184">
        <v>1054646</v>
      </c>
      <c r="AM184">
        <v>1048499</v>
      </c>
      <c r="AN184">
        <v>1042411</v>
      </c>
      <c r="AO184">
        <v>1036427</v>
      </c>
      <c r="AP184">
        <v>1030595</v>
      </c>
      <c r="AQ184">
        <v>1024962</v>
      </c>
      <c r="AR184">
        <v>1019577</v>
      </c>
      <c r="AS184">
        <v>1014488</v>
      </c>
      <c r="AT184">
        <v>1009747</v>
      </c>
      <c r="AU184">
        <v>1005404</v>
      </c>
      <c r="AV184">
        <v>1001513</v>
      </c>
    </row>
    <row r="185" spans="1:48" x14ac:dyDescent="0.15">
      <c r="A185" t="s">
        <v>219</v>
      </c>
      <c r="B185" t="s">
        <v>603</v>
      </c>
      <c r="C185" t="s">
        <v>428</v>
      </c>
      <c r="D185" s="5">
        <v>2981737.18422584</v>
      </c>
      <c r="E185" s="5">
        <v>2997170.9744914598</v>
      </c>
      <c r="F185" s="5">
        <v>3011234.65283912</v>
      </c>
      <c r="G185" s="5">
        <v>2575447</v>
      </c>
      <c r="H185">
        <v>2596700</v>
      </c>
      <c r="I185">
        <v>2614643</v>
      </c>
      <c r="J185">
        <v>2629443</v>
      </c>
      <c r="K185">
        <v>2641264</v>
      </c>
      <c r="L185">
        <v>2650265</v>
      </c>
      <c r="M185">
        <v>2656603</v>
      </c>
      <c r="N185">
        <v>2660429</v>
      </c>
      <c r="O185">
        <v>2661894</v>
      </c>
      <c r="P185">
        <v>2661142</v>
      </c>
      <c r="Q185">
        <v>2658315</v>
      </c>
      <c r="R185">
        <v>2653552</v>
      </c>
      <c r="S185">
        <v>2646987</v>
      </c>
      <c r="T185">
        <v>2638751</v>
      </c>
      <c r="U185">
        <v>2628972</v>
      </c>
      <c r="V185">
        <v>2617773</v>
      </c>
      <c r="W185">
        <v>2605274</v>
      </c>
      <c r="X185">
        <v>2591592</v>
      </c>
      <c r="Y185">
        <v>2576841</v>
      </c>
      <c r="Z185">
        <v>2561129</v>
      </c>
      <c r="AA185">
        <v>2544563</v>
      </c>
      <c r="AB185">
        <v>2527244</v>
      </c>
      <c r="AC185">
        <v>2509271</v>
      </c>
      <c r="AD185">
        <v>2490740</v>
      </c>
      <c r="AE185">
        <v>2471741</v>
      </c>
      <c r="AF185">
        <v>2452363</v>
      </c>
      <c r="AG185">
        <v>2432689</v>
      </c>
      <c r="AH185">
        <v>2412801</v>
      </c>
      <c r="AI185">
        <v>2392776</v>
      </c>
      <c r="AJ185">
        <v>2372686</v>
      </c>
      <c r="AK185">
        <v>2352602</v>
      </c>
      <c r="AL185">
        <v>2332590</v>
      </c>
      <c r="AM185">
        <v>2312713</v>
      </c>
      <c r="AN185">
        <v>2293029</v>
      </c>
      <c r="AO185">
        <v>2273595</v>
      </c>
      <c r="AP185">
        <v>2254462</v>
      </c>
      <c r="AQ185">
        <v>2235677</v>
      </c>
      <c r="AR185">
        <v>2217287</v>
      </c>
      <c r="AS185">
        <v>2199332</v>
      </c>
      <c r="AT185">
        <v>2181849</v>
      </c>
      <c r="AU185">
        <v>2164872</v>
      </c>
      <c r="AV185">
        <v>2148432</v>
      </c>
    </row>
    <row r="186" spans="1:48" x14ac:dyDescent="0.15">
      <c r="A186" t="s">
        <v>220</v>
      </c>
      <c r="B186" t="s">
        <v>604</v>
      </c>
      <c r="C186" t="s">
        <v>428</v>
      </c>
      <c r="D186" s="5">
        <v>4995929.53915386</v>
      </c>
      <c r="E186" s="5">
        <v>5023084.5332723698</v>
      </c>
      <c r="F186" s="5">
        <v>5048391.7222375199</v>
      </c>
      <c r="G186" s="5">
        <v>4234844</v>
      </c>
      <c r="H186">
        <v>4270040</v>
      </c>
      <c r="I186">
        <v>4301418</v>
      </c>
      <c r="J186">
        <v>4329088</v>
      </c>
      <c r="K186">
        <v>4353159</v>
      </c>
      <c r="L186">
        <v>4373746</v>
      </c>
      <c r="M186">
        <v>4390961</v>
      </c>
      <c r="N186">
        <v>4404919</v>
      </c>
      <c r="O186">
        <v>4415739</v>
      </c>
      <c r="P186">
        <v>4423539</v>
      </c>
      <c r="Q186">
        <v>4428440</v>
      </c>
      <c r="R186">
        <v>4430563</v>
      </c>
      <c r="S186">
        <v>4430032</v>
      </c>
      <c r="T186">
        <v>4426972</v>
      </c>
      <c r="U186">
        <v>4421511</v>
      </c>
      <c r="V186">
        <v>4413776</v>
      </c>
      <c r="W186">
        <v>4403899</v>
      </c>
      <c r="X186">
        <v>4392011</v>
      </c>
      <c r="Y186">
        <v>4378244</v>
      </c>
      <c r="Z186">
        <v>4362735</v>
      </c>
      <c r="AA186">
        <v>4345620</v>
      </c>
      <c r="AB186">
        <v>4327037</v>
      </c>
      <c r="AC186">
        <v>4307126</v>
      </c>
      <c r="AD186">
        <v>4286029</v>
      </c>
      <c r="AE186">
        <v>4263889</v>
      </c>
      <c r="AF186">
        <v>4240850</v>
      </c>
      <c r="AG186">
        <v>4217058</v>
      </c>
      <c r="AH186">
        <v>4192663</v>
      </c>
      <c r="AI186">
        <v>4167813</v>
      </c>
      <c r="AJ186">
        <v>4142660</v>
      </c>
      <c r="AK186">
        <v>4117357</v>
      </c>
      <c r="AL186">
        <v>4092057</v>
      </c>
      <c r="AM186">
        <v>4066918</v>
      </c>
      <c r="AN186">
        <v>4042097</v>
      </c>
      <c r="AO186">
        <v>4017753</v>
      </c>
      <c r="AP186">
        <v>3994048</v>
      </c>
      <c r="AQ186">
        <v>3971144</v>
      </c>
      <c r="AR186">
        <v>3949204</v>
      </c>
      <c r="AS186">
        <v>3928396</v>
      </c>
      <c r="AT186">
        <v>3908886</v>
      </c>
      <c r="AU186">
        <v>3890844</v>
      </c>
      <c r="AV186">
        <v>3874440</v>
      </c>
    </row>
    <row r="187" spans="1:48" x14ac:dyDescent="0.15">
      <c r="A187" t="s">
        <v>221</v>
      </c>
      <c r="B187" t="s">
        <v>605</v>
      </c>
      <c r="C187" t="s">
        <v>428</v>
      </c>
      <c r="D187" s="5">
        <v>5885063.13609525</v>
      </c>
      <c r="E187" s="5">
        <v>5910642.6012265701</v>
      </c>
      <c r="F187" s="5">
        <v>5933500.5772359101</v>
      </c>
      <c r="G187" s="5">
        <v>5196918</v>
      </c>
      <c r="H187">
        <v>5230702</v>
      </c>
      <c r="I187">
        <v>5259520</v>
      </c>
      <c r="J187">
        <v>5283562</v>
      </c>
      <c r="K187">
        <v>5303012</v>
      </c>
      <c r="L187">
        <v>5318058</v>
      </c>
      <c r="M187">
        <v>5328884</v>
      </c>
      <c r="N187">
        <v>5335675</v>
      </c>
      <c r="O187">
        <v>5338614</v>
      </c>
      <c r="P187">
        <v>5337883</v>
      </c>
      <c r="Q187">
        <v>5333664</v>
      </c>
      <c r="R187">
        <v>5326138</v>
      </c>
      <c r="S187">
        <v>5315484</v>
      </c>
      <c r="T187">
        <v>5301883</v>
      </c>
      <c r="U187">
        <v>5285512</v>
      </c>
      <c r="V187">
        <v>5266548</v>
      </c>
      <c r="W187">
        <v>5245168</v>
      </c>
      <c r="X187">
        <v>5221548</v>
      </c>
      <c r="Y187">
        <v>5195862</v>
      </c>
      <c r="Z187">
        <v>5168284</v>
      </c>
      <c r="AA187">
        <v>5138988</v>
      </c>
      <c r="AB187">
        <v>5108145</v>
      </c>
      <c r="AC187">
        <v>5075927</v>
      </c>
      <c r="AD187">
        <v>5042504</v>
      </c>
      <c r="AE187">
        <v>5008047</v>
      </c>
      <c r="AF187">
        <v>4972723</v>
      </c>
      <c r="AG187">
        <v>4936701</v>
      </c>
      <c r="AH187">
        <v>4900147</v>
      </c>
      <c r="AI187">
        <v>4863229</v>
      </c>
      <c r="AJ187">
        <v>4826111</v>
      </c>
      <c r="AK187">
        <v>4788958</v>
      </c>
      <c r="AL187">
        <v>4751933</v>
      </c>
      <c r="AM187">
        <v>4715199</v>
      </c>
      <c r="AN187">
        <v>4678918</v>
      </c>
      <c r="AO187">
        <v>4643251</v>
      </c>
      <c r="AP187">
        <v>4608359</v>
      </c>
      <c r="AQ187">
        <v>4574400</v>
      </c>
      <c r="AR187">
        <v>4541534</v>
      </c>
      <c r="AS187">
        <v>4509917</v>
      </c>
      <c r="AT187">
        <v>4479706</v>
      </c>
      <c r="AU187">
        <v>4451058</v>
      </c>
      <c r="AV187">
        <v>4424128</v>
      </c>
    </row>
    <row r="188" spans="1:48" x14ac:dyDescent="0.15">
      <c r="A188" t="s">
        <v>222</v>
      </c>
      <c r="B188" t="s">
        <v>606</v>
      </c>
      <c r="C188" t="s">
        <v>428</v>
      </c>
      <c r="D188" s="5">
        <v>6339610.4997289004</v>
      </c>
      <c r="E188" s="5">
        <v>6366161.7550325096</v>
      </c>
      <c r="F188" s="5">
        <v>6390939.7955834102</v>
      </c>
      <c r="G188" s="5">
        <v>5844910</v>
      </c>
      <c r="H188">
        <v>5882241</v>
      </c>
      <c r="I188">
        <v>5916680</v>
      </c>
      <c r="J188">
        <v>5948097</v>
      </c>
      <c r="K188">
        <v>5976377</v>
      </c>
      <c r="L188">
        <v>6001425</v>
      </c>
      <c r="M188">
        <v>6023160</v>
      </c>
      <c r="N188">
        <v>6041519</v>
      </c>
      <c r="O188">
        <v>6056459</v>
      </c>
      <c r="P188">
        <v>6067949</v>
      </c>
      <c r="Q188">
        <v>6075979</v>
      </c>
      <c r="R188">
        <v>6080555</v>
      </c>
      <c r="S188">
        <v>6081698</v>
      </c>
      <c r="T188">
        <v>6079450</v>
      </c>
      <c r="U188">
        <v>6073866</v>
      </c>
      <c r="V188">
        <v>6065021</v>
      </c>
      <c r="W188">
        <v>6053006</v>
      </c>
      <c r="X188">
        <v>6037928</v>
      </c>
      <c r="Y188">
        <v>6019913</v>
      </c>
      <c r="Z188">
        <v>5999103</v>
      </c>
      <c r="AA188">
        <v>5975657</v>
      </c>
      <c r="AB188">
        <v>5949751</v>
      </c>
      <c r="AC188">
        <v>5921579</v>
      </c>
      <c r="AD188">
        <v>5891350</v>
      </c>
      <c r="AE188">
        <v>5859293</v>
      </c>
      <c r="AF188">
        <v>5825652</v>
      </c>
      <c r="AG188">
        <v>5790687</v>
      </c>
      <c r="AH188">
        <v>5754678</v>
      </c>
      <c r="AI188">
        <v>5717921</v>
      </c>
      <c r="AJ188">
        <v>5680728</v>
      </c>
      <c r="AK188">
        <v>5643428</v>
      </c>
      <c r="AL188">
        <v>5606369</v>
      </c>
      <c r="AM188">
        <v>5569914</v>
      </c>
      <c r="AN188">
        <v>5534444</v>
      </c>
      <c r="AO188">
        <v>5500357</v>
      </c>
      <c r="AP188">
        <v>5468069</v>
      </c>
      <c r="AQ188">
        <v>5438010</v>
      </c>
      <c r="AR188">
        <v>5410630</v>
      </c>
      <c r="AS188">
        <v>5386396</v>
      </c>
      <c r="AT188">
        <v>5365790</v>
      </c>
      <c r="AU188">
        <v>5349313</v>
      </c>
      <c r="AV188">
        <v>5337482</v>
      </c>
    </row>
    <row r="189" spans="1:48" x14ac:dyDescent="0.15">
      <c r="A189" t="s">
        <v>223</v>
      </c>
      <c r="B189" t="s">
        <v>607</v>
      </c>
      <c r="C189" t="s">
        <v>428</v>
      </c>
      <c r="D189" s="5">
        <v>2560558.6067288602</v>
      </c>
      <c r="E189" s="5">
        <v>2573709.1820493801</v>
      </c>
      <c r="F189" s="5">
        <v>2585939.7454867298</v>
      </c>
      <c r="G189" s="5">
        <v>2641424</v>
      </c>
      <c r="H189">
        <v>2658105</v>
      </c>
      <c r="I189">
        <v>2674403</v>
      </c>
      <c r="J189">
        <v>2690171</v>
      </c>
      <c r="K189">
        <v>2705272</v>
      </c>
      <c r="L189">
        <v>2719579</v>
      </c>
      <c r="M189">
        <v>2732978</v>
      </c>
      <c r="N189">
        <v>2745364</v>
      </c>
      <c r="O189">
        <v>2756644</v>
      </c>
      <c r="P189">
        <v>2766736</v>
      </c>
      <c r="Q189">
        <v>2775567</v>
      </c>
      <c r="R189">
        <v>2783077</v>
      </c>
      <c r="S189">
        <v>2789217</v>
      </c>
      <c r="T189">
        <v>2793946</v>
      </c>
      <c r="U189">
        <v>2797238</v>
      </c>
      <c r="V189">
        <v>2799074</v>
      </c>
      <c r="W189">
        <v>2799448</v>
      </c>
      <c r="X189">
        <v>2798366</v>
      </c>
      <c r="Y189">
        <v>2795841</v>
      </c>
      <c r="Z189">
        <v>2791901</v>
      </c>
      <c r="AA189">
        <v>2786582</v>
      </c>
      <c r="AB189">
        <v>2779933</v>
      </c>
      <c r="AC189">
        <v>2772012</v>
      </c>
      <c r="AD189">
        <v>2762889</v>
      </c>
      <c r="AE189">
        <v>2752645</v>
      </c>
      <c r="AF189">
        <v>2741371</v>
      </c>
      <c r="AG189">
        <v>2729169</v>
      </c>
      <c r="AH189">
        <v>2716153</v>
      </c>
      <c r="AI189">
        <v>2702447</v>
      </c>
      <c r="AJ189">
        <v>2688185</v>
      </c>
      <c r="AK189">
        <v>2673514</v>
      </c>
      <c r="AL189">
        <v>2658590</v>
      </c>
      <c r="AM189">
        <v>2643581</v>
      </c>
      <c r="AN189">
        <v>2628666</v>
      </c>
      <c r="AO189">
        <v>2614033</v>
      </c>
      <c r="AP189">
        <v>2599883</v>
      </c>
      <c r="AQ189">
        <v>2586428</v>
      </c>
      <c r="AR189">
        <v>2573888</v>
      </c>
      <c r="AS189">
        <v>2562497</v>
      </c>
      <c r="AT189">
        <v>2552498</v>
      </c>
      <c r="AU189">
        <v>2544146</v>
      </c>
      <c r="AV189">
        <v>2537708</v>
      </c>
    </row>
    <row r="190" spans="1:48" x14ac:dyDescent="0.15">
      <c r="A190" t="s">
        <v>224</v>
      </c>
      <c r="B190" t="s">
        <v>608</v>
      </c>
      <c r="C190" t="s">
        <v>428</v>
      </c>
      <c r="D190" s="5">
        <v>2246239.8912340598</v>
      </c>
      <c r="E190" s="5">
        <v>2257356.2561298702</v>
      </c>
      <c r="F190" s="5">
        <v>2267407.1109481701</v>
      </c>
      <c r="G190" s="5">
        <v>2033353</v>
      </c>
      <c r="H190">
        <v>2047758</v>
      </c>
      <c r="I190">
        <v>2060356</v>
      </c>
      <c r="J190">
        <v>2071205</v>
      </c>
      <c r="K190">
        <v>2080362</v>
      </c>
      <c r="L190">
        <v>2087885</v>
      </c>
      <c r="M190">
        <v>2093831</v>
      </c>
      <c r="N190">
        <v>2098260</v>
      </c>
      <c r="O190">
        <v>2101231</v>
      </c>
      <c r="P190">
        <v>2102802</v>
      </c>
      <c r="Q190">
        <v>2103032</v>
      </c>
      <c r="R190">
        <v>2101983</v>
      </c>
      <c r="S190">
        <v>2099713</v>
      </c>
      <c r="T190">
        <v>2096284</v>
      </c>
      <c r="U190">
        <v>2091757</v>
      </c>
      <c r="V190">
        <v>2086192</v>
      </c>
      <c r="W190">
        <v>2079651</v>
      </c>
      <c r="X190">
        <v>2072196</v>
      </c>
      <c r="Y190">
        <v>2063890</v>
      </c>
      <c r="Z190">
        <v>2054795</v>
      </c>
      <c r="AA190">
        <v>2044973</v>
      </c>
      <c r="AB190">
        <v>2034488</v>
      </c>
      <c r="AC190">
        <v>2023405</v>
      </c>
      <c r="AD190">
        <v>2011786</v>
      </c>
      <c r="AE190">
        <v>1999696</v>
      </c>
      <c r="AF190">
        <v>1987199</v>
      </c>
      <c r="AG190">
        <v>1974362</v>
      </c>
      <c r="AH190">
        <v>1961248</v>
      </c>
      <c r="AI190">
        <v>1947924</v>
      </c>
      <c r="AJ190">
        <v>1934455</v>
      </c>
      <c r="AK190">
        <v>1920909</v>
      </c>
      <c r="AL190">
        <v>1907351</v>
      </c>
      <c r="AM190">
        <v>1893849</v>
      </c>
      <c r="AN190">
        <v>1880471</v>
      </c>
      <c r="AO190">
        <v>1867283</v>
      </c>
      <c r="AP190">
        <v>1854354</v>
      </c>
      <c r="AQ190">
        <v>1841753</v>
      </c>
      <c r="AR190">
        <v>1829548</v>
      </c>
      <c r="AS190">
        <v>1817808</v>
      </c>
      <c r="AT190">
        <v>1806603</v>
      </c>
      <c r="AU190">
        <v>1796002</v>
      </c>
      <c r="AV190">
        <v>1786076</v>
      </c>
    </row>
    <row r="191" spans="1:48" x14ac:dyDescent="0.15">
      <c r="A191" t="s">
        <v>225</v>
      </c>
      <c r="B191" t="s">
        <v>609</v>
      </c>
      <c r="C191" t="s">
        <v>428</v>
      </c>
      <c r="D191" s="5">
        <v>3369462.1091224402</v>
      </c>
      <c r="E191" s="5">
        <v>3378154.3775818902</v>
      </c>
      <c r="F191" s="5">
        <v>3385691.3465938899</v>
      </c>
      <c r="G191" s="5">
        <v>3446566</v>
      </c>
      <c r="H191">
        <v>3455765</v>
      </c>
      <c r="I191">
        <v>3465345</v>
      </c>
      <c r="J191">
        <v>3475037</v>
      </c>
      <c r="K191">
        <v>3484589</v>
      </c>
      <c r="L191">
        <v>3493768</v>
      </c>
      <c r="M191">
        <v>3502360</v>
      </c>
      <c r="N191">
        <v>3510166</v>
      </c>
      <c r="O191">
        <v>3517009</v>
      </c>
      <c r="P191">
        <v>3522726</v>
      </c>
      <c r="Q191">
        <v>3527176</v>
      </c>
      <c r="R191">
        <v>3530232</v>
      </c>
      <c r="S191">
        <v>3531789</v>
      </c>
      <c r="T191">
        <v>3531757</v>
      </c>
      <c r="U191">
        <v>3530065</v>
      </c>
      <c r="V191">
        <v>3526661</v>
      </c>
      <c r="W191">
        <v>3521510</v>
      </c>
      <c r="X191">
        <v>3514594</v>
      </c>
      <c r="Y191">
        <v>3505916</v>
      </c>
      <c r="Z191">
        <v>3495494</v>
      </c>
      <c r="AA191">
        <v>3483366</v>
      </c>
      <c r="AB191">
        <v>3469587</v>
      </c>
      <c r="AC191">
        <v>3454230</v>
      </c>
      <c r="AD191">
        <v>3437388</v>
      </c>
      <c r="AE191">
        <v>3419168</v>
      </c>
      <c r="AF191">
        <v>3399700</v>
      </c>
      <c r="AG191">
        <v>3379128</v>
      </c>
      <c r="AH191">
        <v>3357615</v>
      </c>
      <c r="AI191">
        <v>3335344</v>
      </c>
      <c r="AJ191">
        <v>3312514</v>
      </c>
      <c r="AK191">
        <v>3289342</v>
      </c>
      <c r="AL191">
        <v>3266065</v>
      </c>
      <c r="AM191">
        <v>3242935</v>
      </c>
      <c r="AN191">
        <v>3220225</v>
      </c>
      <c r="AO191">
        <v>3198224</v>
      </c>
      <c r="AP191">
        <v>3177241</v>
      </c>
      <c r="AQ191">
        <v>3157600</v>
      </c>
      <c r="AR191">
        <v>3139646</v>
      </c>
      <c r="AS191">
        <v>3123740</v>
      </c>
      <c r="AT191">
        <v>3110263</v>
      </c>
      <c r="AU191">
        <v>3099612</v>
      </c>
      <c r="AV191">
        <v>3092203</v>
      </c>
    </row>
    <row r="192" spans="1:48" x14ac:dyDescent="0.15">
      <c r="A192" t="s">
        <v>226</v>
      </c>
      <c r="B192" t="s">
        <v>610</v>
      </c>
      <c r="C192" t="s">
        <v>428</v>
      </c>
      <c r="D192" s="5">
        <v>1304558.5221589</v>
      </c>
      <c r="E192" s="5">
        <v>1310313.8707640299</v>
      </c>
      <c r="F192" s="5">
        <v>1315546.09247772</v>
      </c>
      <c r="G192" s="5">
        <v>1126911</v>
      </c>
      <c r="H192">
        <v>1134613</v>
      </c>
      <c r="I192">
        <v>1141247</v>
      </c>
      <c r="J192">
        <v>1146848</v>
      </c>
      <c r="K192">
        <v>1151452</v>
      </c>
      <c r="L192">
        <v>1155096</v>
      </c>
      <c r="M192">
        <v>1157814</v>
      </c>
      <c r="N192">
        <v>1159645</v>
      </c>
      <c r="O192">
        <v>1160625</v>
      </c>
      <c r="P192">
        <v>1160790</v>
      </c>
      <c r="Q192">
        <v>1160179</v>
      </c>
      <c r="R192">
        <v>1158829</v>
      </c>
      <c r="S192">
        <v>1156778</v>
      </c>
      <c r="T192">
        <v>1154064</v>
      </c>
      <c r="U192">
        <v>1150726</v>
      </c>
      <c r="V192">
        <v>1146801</v>
      </c>
      <c r="W192">
        <v>1142329</v>
      </c>
      <c r="X192">
        <v>1137349</v>
      </c>
      <c r="Y192">
        <v>1131900</v>
      </c>
      <c r="Z192">
        <v>1126023</v>
      </c>
      <c r="AA192">
        <v>1119756</v>
      </c>
      <c r="AB192">
        <v>1113140</v>
      </c>
      <c r="AC192">
        <v>1106216</v>
      </c>
      <c r="AD192">
        <v>1099023</v>
      </c>
      <c r="AE192">
        <v>1091603</v>
      </c>
      <c r="AF192">
        <v>1083998</v>
      </c>
      <c r="AG192">
        <v>1076248</v>
      </c>
      <c r="AH192">
        <v>1068394</v>
      </c>
      <c r="AI192">
        <v>1060480</v>
      </c>
      <c r="AJ192">
        <v>1052547</v>
      </c>
      <c r="AK192">
        <v>1044637</v>
      </c>
      <c r="AL192">
        <v>1036793</v>
      </c>
      <c r="AM192">
        <v>1029059</v>
      </c>
      <c r="AN192">
        <v>1021476</v>
      </c>
      <c r="AO192">
        <v>1014089</v>
      </c>
      <c r="AP192">
        <v>1006942</v>
      </c>
      <c r="AQ192">
        <v>1000077</v>
      </c>
      <c r="AR192">
        <v>993539</v>
      </c>
      <c r="AS192">
        <v>987374</v>
      </c>
      <c r="AT192">
        <v>981624</v>
      </c>
      <c r="AU192">
        <v>976336</v>
      </c>
      <c r="AV192">
        <v>971554</v>
      </c>
    </row>
    <row r="193" spans="1:48" x14ac:dyDescent="0.15">
      <c r="A193" t="s">
        <v>227</v>
      </c>
      <c r="B193" t="s">
        <v>611</v>
      </c>
      <c r="C193" t="s">
        <v>428</v>
      </c>
      <c r="D193" s="5">
        <v>1019244.87130637</v>
      </c>
      <c r="E193" s="5">
        <v>1023741.49560395</v>
      </c>
      <c r="F193" s="5">
        <v>1027829.40354877</v>
      </c>
      <c r="G193" s="5">
        <v>880450</v>
      </c>
      <c r="H193">
        <v>886468</v>
      </c>
      <c r="I193">
        <v>891651</v>
      </c>
      <c r="J193">
        <v>896027</v>
      </c>
      <c r="K193">
        <v>899624</v>
      </c>
      <c r="L193">
        <v>902470</v>
      </c>
      <c r="M193">
        <v>904594</v>
      </c>
      <c r="N193">
        <v>906025</v>
      </c>
      <c r="O193">
        <v>906790</v>
      </c>
      <c r="P193">
        <v>906920</v>
      </c>
      <c r="Q193">
        <v>906442</v>
      </c>
      <c r="R193">
        <v>905387</v>
      </c>
      <c r="S193">
        <v>903785</v>
      </c>
      <c r="T193">
        <v>901664</v>
      </c>
      <c r="U193">
        <v>899056</v>
      </c>
      <c r="V193">
        <v>895989</v>
      </c>
      <c r="W193">
        <v>892496</v>
      </c>
      <c r="X193">
        <v>888605</v>
      </c>
      <c r="Y193">
        <v>884348</v>
      </c>
      <c r="Z193">
        <v>879756</v>
      </c>
      <c r="AA193">
        <v>874859</v>
      </c>
      <c r="AB193">
        <v>869690</v>
      </c>
      <c r="AC193">
        <v>864280</v>
      </c>
      <c r="AD193">
        <v>858661</v>
      </c>
      <c r="AE193">
        <v>852864</v>
      </c>
      <c r="AF193">
        <v>846922</v>
      </c>
      <c r="AG193">
        <v>840866</v>
      </c>
      <c r="AH193">
        <v>834731</v>
      </c>
      <c r="AI193">
        <v>828547</v>
      </c>
      <c r="AJ193">
        <v>822349</v>
      </c>
      <c r="AK193">
        <v>816169</v>
      </c>
      <c r="AL193">
        <v>810041</v>
      </c>
      <c r="AM193">
        <v>803998</v>
      </c>
      <c r="AN193">
        <v>798074</v>
      </c>
      <c r="AO193">
        <v>792302</v>
      </c>
      <c r="AP193">
        <v>786718</v>
      </c>
      <c r="AQ193">
        <v>781354</v>
      </c>
      <c r="AR193">
        <v>776247</v>
      </c>
      <c r="AS193">
        <v>771429</v>
      </c>
      <c r="AT193">
        <v>766937</v>
      </c>
      <c r="AU193">
        <v>762806</v>
      </c>
      <c r="AV193">
        <v>759070</v>
      </c>
    </row>
    <row r="194" spans="1:48" x14ac:dyDescent="0.15">
      <c r="A194" t="s">
        <v>228</v>
      </c>
      <c r="B194" t="s">
        <v>612</v>
      </c>
      <c r="C194" t="s">
        <v>428</v>
      </c>
      <c r="D194" s="5">
        <v>1332064.6031066701</v>
      </c>
      <c r="E194" s="5">
        <v>1337941.3008747001</v>
      </c>
      <c r="F194" s="5">
        <v>1343283.84183552</v>
      </c>
      <c r="G194" s="5">
        <v>1150671</v>
      </c>
      <c r="H194">
        <v>1158536</v>
      </c>
      <c r="I194">
        <v>1165310</v>
      </c>
      <c r="J194">
        <v>1171029</v>
      </c>
      <c r="K194">
        <v>1175730</v>
      </c>
      <c r="L194">
        <v>1179450</v>
      </c>
      <c r="M194">
        <v>1182226</v>
      </c>
      <c r="N194">
        <v>1184096</v>
      </c>
      <c r="O194">
        <v>1185096</v>
      </c>
      <c r="P194">
        <v>1185265</v>
      </c>
      <c r="Q194">
        <v>1184641</v>
      </c>
      <c r="R194">
        <v>1183263</v>
      </c>
      <c r="S194">
        <v>1181168</v>
      </c>
      <c r="T194">
        <v>1178397</v>
      </c>
      <c r="U194">
        <v>1174988</v>
      </c>
      <c r="V194">
        <v>1170980</v>
      </c>
      <c r="W194">
        <v>1166414</v>
      </c>
      <c r="X194">
        <v>1161329</v>
      </c>
      <c r="Y194">
        <v>1155765</v>
      </c>
      <c r="Z194">
        <v>1149764</v>
      </c>
      <c r="AA194">
        <v>1143365</v>
      </c>
      <c r="AB194">
        <v>1136609</v>
      </c>
      <c r="AC194">
        <v>1129539</v>
      </c>
      <c r="AD194">
        <v>1122195</v>
      </c>
      <c r="AE194">
        <v>1114619</v>
      </c>
      <c r="AF194">
        <v>1106853</v>
      </c>
      <c r="AG194">
        <v>1098939</v>
      </c>
      <c r="AH194">
        <v>1090920</v>
      </c>
      <c r="AI194">
        <v>1082839</v>
      </c>
      <c r="AJ194">
        <v>1074738</v>
      </c>
      <c r="AK194">
        <v>1066662</v>
      </c>
      <c r="AL194">
        <v>1058653</v>
      </c>
      <c r="AM194">
        <v>1050755</v>
      </c>
      <c r="AN194">
        <v>1043013</v>
      </c>
      <c r="AO194">
        <v>1035470</v>
      </c>
      <c r="AP194">
        <v>1028172</v>
      </c>
      <c r="AQ194">
        <v>1021162</v>
      </c>
      <c r="AR194">
        <v>1014487</v>
      </c>
      <c r="AS194">
        <v>1008191</v>
      </c>
      <c r="AT194">
        <v>1002321</v>
      </c>
      <c r="AU194">
        <v>996921</v>
      </c>
      <c r="AV194">
        <v>992038</v>
      </c>
    </row>
    <row r="195" spans="1:48" x14ac:dyDescent="0.15">
      <c r="A195" t="s">
        <v>229</v>
      </c>
      <c r="B195" t="s">
        <v>613</v>
      </c>
      <c r="C195" t="s">
        <v>428</v>
      </c>
      <c r="D195" s="5">
        <v>76535.310962347197</v>
      </c>
      <c r="E195" s="5">
        <v>76872.963423090798</v>
      </c>
      <c r="F195" s="5">
        <v>77179.925287260994</v>
      </c>
      <c r="G195" s="5">
        <v>66113</v>
      </c>
      <c r="H195">
        <v>66565</v>
      </c>
      <c r="I195">
        <v>66954</v>
      </c>
      <c r="J195">
        <v>67283</v>
      </c>
      <c r="K195">
        <v>67553</v>
      </c>
      <c r="L195">
        <v>67767</v>
      </c>
      <c r="M195">
        <v>67926</v>
      </c>
      <c r="N195">
        <v>68034</v>
      </c>
      <c r="O195">
        <v>68091</v>
      </c>
      <c r="P195">
        <v>68101</v>
      </c>
      <c r="Q195">
        <v>68065</v>
      </c>
      <c r="R195">
        <v>67986</v>
      </c>
      <c r="S195">
        <v>67866</v>
      </c>
      <c r="T195">
        <v>67706</v>
      </c>
      <c r="U195">
        <v>67510</v>
      </c>
      <c r="V195">
        <v>67280</v>
      </c>
      <c r="W195">
        <v>67018</v>
      </c>
      <c r="X195">
        <v>66726</v>
      </c>
      <c r="Y195">
        <v>66406</v>
      </c>
      <c r="Z195">
        <v>66061</v>
      </c>
      <c r="AA195">
        <v>65694</v>
      </c>
      <c r="AB195">
        <v>65306</v>
      </c>
      <c r="AC195">
        <v>64899</v>
      </c>
      <c r="AD195">
        <v>64477</v>
      </c>
      <c r="AE195">
        <v>64042</v>
      </c>
      <c r="AF195">
        <v>63596</v>
      </c>
      <c r="AG195">
        <v>63141</v>
      </c>
      <c r="AH195">
        <v>62680</v>
      </c>
      <c r="AI195">
        <v>62216</v>
      </c>
      <c r="AJ195">
        <v>61751</v>
      </c>
      <c r="AK195">
        <v>61287</v>
      </c>
      <c r="AL195">
        <v>60827</v>
      </c>
      <c r="AM195">
        <v>60373</v>
      </c>
      <c r="AN195">
        <v>59928</v>
      </c>
      <c r="AO195">
        <v>59495</v>
      </c>
      <c r="AP195">
        <v>59075</v>
      </c>
      <c r="AQ195">
        <v>58672</v>
      </c>
      <c r="AR195">
        <v>58289</v>
      </c>
      <c r="AS195">
        <v>57927</v>
      </c>
      <c r="AT195">
        <v>57590</v>
      </c>
      <c r="AU195">
        <v>57280</v>
      </c>
      <c r="AV195">
        <v>56999</v>
      </c>
    </row>
    <row r="196" spans="1:48" x14ac:dyDescent="0.15">
      <c r="A196" t="s">
        <v>231</v>
      </c>
      <c r="B196" t="s">
        <v>614</v>
      </c>
      <c r="C196" t="s">
        <v>428</v>
      </c>
      <c r="D196" s="5">
        <v>7414590.9761208901</v>
      </c>
      <c r="E196" s="5">
        <v>7462703.9208639003</v>
      </c>
      <c r="F196" s="5">
        <v>7506002.3630290199</v>
      </c>
      <c r="G196" s="5">
        <v>9960891</v>
      </c>
      <c r="H196">
        <v>10046963</v>
      </c>
      <c r="I196">
        <v>10120601</v>
      </c>
      <c r="J196">
        <v>10182652</v>
      </c>
      <c r="K196">
        <v>10233932</v>
      </c>
      <c r="L196">
        <v>10275225</v>
      </c>
      <c r="M196">
        <v>10307281</v>
      </c>
      <c r="N196">
        <v>10330821</v>
      </c>
      <c r="O196">
        <v>10346530</v>
      </c>
      <c r="P196">
        <v>10355065</v>
      </c>
      <c r="Q196">
        <v>10357047</v>
      </c>
      <c r="R196">
        <v>10353067</v>
      </c>
      <c r="S196">
        <v>10343684</v>
      </c>
      <c r="T196">
        <v>10329424</v>
      </c>
      <c r="U196">
        <v>10310780</v>
      </c>
      <c r="V196">
        <v>10288215</v>
      </c>
      <c r="W196">
        <v>10262158</v>
      </c>
      <c r="X196">
        <v>10233007</v>
      </c>
      <c r="Y196">
        <v>10201128</v>
      </c>
      <c r="Z196">
        <v>10166853</v>
      </c>
      <c r="AA196">
        <v>10130484</v>
      </c>
      <c r="AB196">
        <v>10092290</v>
      </c>
      <c r="AC196">
        <v>10052507</v>
      </c>
      <c r="AD196">
        <v>10011340</v>
      </c>
      <c r="AE196">
        <v>9968962</v>
      </c>
      <c r="AF196">
        <v>9925512</v>
      </c>
      <c r="AG196">
        <v>9881099</v>
      </c>
      <c r="AH196">
        <v>9835799</v>
      </c>
      <c r="AI196">
        <v>9789656</v>
      </c>
      <c r="AJ196">
        <v>9742681</v>
      </c>
      <c r="AK196">
        <v>9694854</v>
      </c>
      <c r="AL196">
        <v>9646122</v>
      </c>
      <c r="AM196">
        <v>9596401</v>
      </c>
      <c r="AN196">
        <v>9545573</v>
      </c>
      <c r="AO196">
        <v>9493489</v>
      </c>
      <c r="AP196">
        <v>9439968</v>
      </c>
      <c r="AQ196">
        <v>9384796</v>
      </c>
      <c r="AR196">
        <v>9327728</v>
      </c>
      <c r="AS196">
        <v>9268487</v>
      </c>
      <c r="AT196">
        <v>9206761</v>
      </c>
      <c r="AU196">
        <v>9142209</v>
      </c>
      <c r="AV196">
        <v>9074457</v>
      </c>
    </row>
    <row r="197" spans="1:48" x14ac:dyDescent="0.15">
      <c r="A197" t="s">
        <v>232</v>
      </c>
      <c r="B197" t="s">
        <v>615</v>
      </c>
      <c r="C197" t="s">
        <v>428</v>
      </c>
      <c r="D197" s="5">
        <v>4026503.3714462002</v>
      </c>
      <c r="E197" s="5">
        <v>4044495.5755267199</v>
      </c>
      <c r="F197" s="5">
        <v>4059837.11103212</v>
      </c>
      <c r="G197" s="5">
        <v>3884715</v>
      </c>
      <c r="H197">
        <v>3902352</v>
      </c>
      <c r="I197">
        <v>3917712</v>
      </c>
      <c r="J197">
        <v>3930847</v>
      </c>
      <c r="K197">
        <v>3941809</v>
      </c>
      <c r="L197">
        <v>3950654</v>
      </c>
      <c r="M197">
        <v>3957434</v>
      </c>
      <c r="N197">
        <v>3962206</v>
      </c>
      <c r="O197">
        <v>3965025</v>
      </c>
      <c r="P197">
        <v>3965949</v>
      </c>
      <c r="Q197">
        <v>3965035</v>
      </c>
      <c r="R197">
        <v>3962342</v>
      </c>
      <c r="S197">
        <v>3957930</v>
      </c>
      <c r="T197">
        <v>3951859</v>
      </c>
      <c r="U197">
        <v>3944190</v>
      </c>
      <c r="V197">
        <v>3934986</v>
      </c>
      <c r="W197">
        <v>3924308</v>
      </c>
      <c r="X197">
        <v>3912222</v>
      </c>
      <c r="Y197">
        <v>3898791</v>
      </c>
      <c r="Z197">
        <v>3884081</v>
      </c>
      <c r="AA197">
        <v>3868158</v>
      </c>
      <c r="AB197">
        <v>3851089</v>
      </c>
      <c r="AC197">
        <v>3832943</v>
      </c>
      <c r="AD197">
        <v>3813788</v>
      </c>
      <c r="AE197">
        <v>3793693</v>
      </c>
      <c r="AF197">
        <v>3772730</v>
      </c>
      <c r="AG197">
        <v>3750969</v>
      </c>
      <c r="AH197">
        <v>3728482</v>
      </c>
      <c r="AI197">
        <v>3705344</v>
      </c>
      <c r="AJ197">
        <v>3681627</v>
      </c>
      <c r="AK197">
        <v>3657406</v>
      </c>
      <c r="AL197">
        <v>3632756</v>
      </c>
      <c r="AM197">
        <v>3607755</v>
      </c>
      <c r="AN197">
        <v>3582479</v>
      </c>
      <c r="AO197">
        <v>3557006</v>
      </c>
      <c r="AP197">
        <v>3531415</v>
      </c>
      <c r="AQ197">
        <v>3505787</v>
      </c>
      <c r="AR197">
        <v>3480200</v>
      </c>
      <c r="AS197">
        <v>3454738</v>
      </c>
      <c r="AT197">
        <v>3429482</v>
      </c>
      <c r="AU197">
        <v>3404515</v>
      </c>
      <c r="AV197">
        <v>3379921</v>
      </c>
    </row>
    <row r="198" spans="1:48" x14ac:dyDescent="0.15">
      <c r="A198" t="s">
        <v>233</v>
      </c>
      <c r="B198" t="s">
        <v>616</v>
      </c>
      <c r="C198" t="s">
        <v>428</v>
      </c>
      <c r="D198" s="5">
        <v>2846823.3327143299</v>
      </c>
      <c r="E198" s="5">
        <v>2858419.9537016298</v>
      </c>
      <c r="F198" s="5">
        <v>2868548.2653739699</v>
      </c>
      <c r="G198" s="5">
        <v>2710752</v>
      </c>
      <c r="H198">
        <v>2725862</v>
      </c>
      <c r="I198">
        <v>2738586</v>
      </c>
      <c r="J198">
        <v>2749036</v>
      </c>
      <c r="K198">
        <v>2757320</v>
      </c>
      <c r="L198">
        <v>2763547</v>
      </c>
      <c r="M198">
        <v>2767820</v>
      </c>
      <c r="N198">
        <v>2770243</v>
      </c>
      <c r="O198">
        <v>2770917</v>
      </c>
      <c r="P198">
        <v>2769941</v>
      </c>
      <c r="Q198">
        <v>2767412</v>
      </c>
      <c r="R198">
        <v>2763424</v>
      </c>
      <c r="S198">
        <v>2758072</v>
      </c>
      <c r="T198">
        <v>2751445</v>
      </c>
      <c r="U198">
        <v>2743633</v>
      </c>
      <c r="V198">
        <v>2734722</v>
      </c>
      <c r="W198">
        <v>2724798</v>
      </c>
      <c r="X198">
        <v>2713943</v>
      </c>
      <c r="Y198">
        <v>2702239</v>
      </c>
      <c r="Z198">
        <v>2689763</v>
      </c>
      <c r="AA198">
        <v>2676593</v>
      </c>
      <c r="AB198">
        <v>2662803</v>
      </c>
      <c r="AC198">
        <v>2648467</v>
      </c>
      <c r="AD198">
        <v>2633654</v>
      </c>
      <c r="AE198">
        <v>2618435</v>
      </c>
      <c r="AF198">
        <v>2602874</v>
      </c>
      <c r="AG198">
        <v>2587038</v>
      </c>
      <c r="AH198">
        <v>2570988</v>
      </c>
      <c r="AI198">
        <v>2554786</v>
      </c>
      <c r="AJ198">
        <v>2538490</v>
      </c>
      <c r="AK198">
        <v>2522156</v>
      </c>
      <c r="AL198">
        <v>2505840</v>
      </c>
      <c r="AM198">
        <v>2489593</v>
      </c>
      <c r="AN198">
        <v>2473466</v>
      </c>
      <c r="AO198">
        <v>2457508</v>
      </c>
      <c r="AP198">
        <v>2441765</v>
      </c>
      <c r="AQ198">
        <v>2426282</v>
      </c>
      <c r="AR198">
        <v>2411101</v>
      </c>
      <c r="AS198">
        <v>2396263</v>
      </c>
      <c r="AT198">
        <v>2381806</v>
      </c>
      <c r="AU198">
        <v>2367766</v>
      </c>
      <c r="AV198">
        <v>2354178</v>
      </c>
    </row>
    <row r="199" spans="1:48" x14ac:dyDescent="0.15">
      <c r="A199" t="s">
        <v>234</v>
      </c>
      <c r="B199" t="s">
        <v>617</v>
      </c>
      <c r="C199" t="s">
        <v>428</v>
      </c>
      <c r="D199" s="5">
        <v>7416091.9087097598</v>
      </c>
      <c r="E199" s="5">
        <v>7446553.2360382397</v>
      </c>
      <c r="F199" s="5">
        <v>7473913.9237465505</v>
      </c>
      <c r="G199" s="5">
        <v>6620593</v>
      </c>
      <c r="H199">
        <v>6644564</v>
      </c>
      <c r="I199">
        <v>6670330</v>
      </c>
      <c r="J199">
        <v>6697304</v>
      </c>
      <c r="K199">
        <v>6724939</v>
      </c>
      <c r="L199">
        <v>6752719</v>
      </c>
      <c r="M199">
        <v>6780165</v>
      </c>
      <c r="N199">
        <v>6806834</v>
      </c>
      <c r="O199">
        <v>6832317</v>
      </c>
      <c r="P199">
        <v>6856241</v>
      </c>
      <c r="Q199">
        <v>6878268</v>
      </c>
      <c r="R199">
        <v>6898095</v>
      </c>
      <c r="S199">
        <v>6915453</v>
      </c>
      <c r="T199">
        <v>6930112</v>
      </c>
      <c r="U199">
        <v>6941873</v>
      </c>
      <c r="V199">
        <v>6950574</v>
      </c>
      <c r="W199">
        <v>6956088</v>
      </c>
      <c r="X199">
        <v>6958325</v>
      </c>
      <c r="Y199">
        <v>6957227</v>
      </c>
      <c r="Z199">
        <v>6952774</v>
      </c>
      <c r="AA199">
        <v>6944979</v>
      </c>
      <c r="AB199">
        <v>6933892</v>
      </c>
      <c r="AC199">
        <v>6919597</v>
      </c>
      <c r="AD199">
        <v>6902214</v>
      </c>
      <c r="AE199">
        <v>6881898</v>
      </c>
      <c r="AF199">
        <v>6858839</v>
      </c>
      <c r="AG199">
        <v>6833263</v>
      </c>
      <c r="AH199">
        <v>6805429</v>
      </c>
      <c r="AI199">
        <v>6775635</v>
      </c>
      <c r="AJ199">
        <v>6744210</v>
      </c>
      <c r="AK199">
        <v>6711521</v>
      </c>
      <c r="AL199">
        <v>6677970</v>
      </c>
      <c r="AM199">
        <v>6643993</v>
      </c>
      <c r="AN199">
        <v>6610062</v>
      </c>
      <c r="AO199">
        <v>6576684</v>
      </c>
      <c r="AP199">
        <v>6544401</v>
      </c>
      <c r="AQ199">
        <v>6513792</v>
      </c>
      <c r="AR199">
        <v>6485469</v>
      </c>
      <c r="AS199">
        <v>6460079</v>
      </c>
      <c r="AT199">
        <v>6438306</v>
      </c>
      <c r="AU199">
        <v>6420869</v>
      </c>
      <c r="AV199">
        <v>6408521</v>
      </c>
    </row>
    <row r="200" spans="1:48" x14ac:dyDescent="0.15">
      <c r="A200" t="s">
        <v>235</v>
      </c>
      <c r="B200" t="s">
        <v>618</v>
      </c>
      <c r="C200" t="s">
        <v>428</v>
      </c>
      <c r="D200" s="5">
        <v>7352213.7240901804</v>
      </c>
      <c r="E200" s="5">
        <v>7378079.6652015699</v>
      </c>
      <c r="F200" s="5">
        <v>7399976.08349285</v>
      </c>
      <c r="G200" s="5">
        <v>6552936</v>
      </c>
      <c r="H200">
        <v>6562799</v>
      </c>
      <c r="I200">
        <v>6576485</v>
      </c>
      <c r="J200">
        <v>6593273</v>
      </c>
      <c r="K200">
        <v>6612485</v>
      </c>
      <c r="L200">
        <v>6633478</v>
      </c>
      <c r="M200">
        <v>6655649</v>
      </c>
      <c r="N200">
        <v>6678434</v>
      </c>
      <c r="O200">
        <v>6701307</v>
      </c>
      <c r="P200">
        <v>6723781</v>
      </c>
      <c r="Q200">
        <v>6745409</v>
      </c>
      <c r="R200">
        <v>6765781</v>
      </c>
      <c r="S200">
        <v>6784525</v>
      </c>
      <c r="T200">
        <v>6801311</v>
      </c>
      <c r="U200">
        <v>6815844</v>
      </c>
      <c r="V200">
        <v>6827870</v>
      </c>
      <c r="W200">
        <v>6837172</v>
      </c>
      <c r="X200">
        <v>6843575</v>
      </c>
      <c r="Y200">
        <v>6846938</v>
      </c>
      <c r="Z200">
        <v>6847163</v>
      </c>
      <c r="AA200">
        <v>6844188</v>
      </c>
      <c r="AB200">
        <v>6837990</v>
      </c>
      <c r="AC200">
        <v>6828585</v>
      </c>
      <c r="AD200">
        <v>6816030</v>
      </c>
      <c r="AE200">
        <v>6800417</v>
      </c>
      <c r="AF200">
        <v>6781878</v>
      </c>
      <c r="AG200">
        <v>6760585</v>
      </c>
      <c r="AH200">
        <v>6736747</v>
      </c>
      <c r="AI200">
        <v>6710613</v>
      </c>
      <c r="AJ200">
        <v>6682470</v>
      </c>
      <c r="AK200">
        <v>6652644</v>
      </c>
      <c r="AL200">
        <v>6621498</v>
      </c>
      <c r="AM200">
        <v>6589438</v>
      </c>
      <c r="AN200">
        <v>6556903</v>
      </c>
      <c r="AO200">
        <v>6524376</v>
      </c>
      <c r="AP200">
        <v>6492375</v>
      </c>
      <c r="AQ200">
        <v>6461458</v>
      </c>
      <c r="AR200">
        <v>6432222</v>
      </c>
      <c r="AS200">
        <v>6405303</v>
      </c>
      <c r="AT200">
        <v>6381374</v>
      </c>
      <c r="AU200">
        <v>6361149</v>
      </c>
      <c r="AV200">
        <v>6345379</v>
      </c>
    </row>
    <row r="201" spans="1:48" x14ac:dyDescent="0.15">
      <c r="A201" t="s">
        <v>236</v>
      </c>
      <c r="B201" t="s">
        <v>619</v>
      </c>
      <c r="C201" t="s">
        <v>428</v>
      </c>
      <c r="D201" s="5">
        <v>5694836.6305914996</v>
      </c>
      <c r="E201" s="5">
        <v>5721890.8769130101</v>
      </c>
      <c r="F201" s="5">
        <v>5746124.4419879196</v>
      </c>
      <c r="G201" s="5">
        <v>5022842</v>
      </c>
      <c r="H201">
        <v>5051459</v>
      </c>
      <c r="I201">
        <v>5077489</v>
      </c>
      <c r="J201">
        <v>5100907</v>
      </c>
      <c r="K201">
        <v>5121695</v>
      </c>
      <c r="L201">
        <v>5139842</v>
      </c>
      <c r="M201">
        <v>5155344</v>
      </c>
      <c r="N201">
        <v>5168204</v>
      </c>
      <c r="O201">
        <v>5178432</v>
      </c>
      <c r="P201">
        <v>5186045</v>
      </c>
      <c r="Q201">
        <v>5191066</v>
      </c>
      <c r="R201">
        <v>5193528</v>
      </c>
      <c r="S201">
        <v>5193467</v>
      </c>
      <c r="T201">
        <v>5190928</v>
      </c>
      <c r="U201">
        <v>5185964</v>
      </c>
      <c r="V201">
        <v>5178633</v>
      </c>
      <c r="W201">
        <v>5169001</v>
      </c>
      <c r="X201">
        <v>5157140</v>
      </c>
      <c r="Y201">
        <v>5143131</v>
      </c>
      <c r="Z201">
        <v>5127059</v>
      </c>
      <c r="AA201">
        <v>5109020</v>
      </c>
      <c r="AB201">
        <v>5089113</v>
      </c>
      <c r="AC201">
        <v>5067446</v>
      </c>
      <c r="AD201">
        <v>5044133</v>
      </c>
      <c r="AE201">
        <v>5019297</v>
      </c>
      <c r="AF201">
        <v>4993066</v>
      </c>
      <c r="AG201">
        <v>4965575</v>
      </c>
      <c r="AH201">
        <v>4936967</v>
      </c>
      <c r="AI201">
        <v>4907392</v>
      </c>
      <c r="AJ201">
        <v>4877005</v>
      </c>
      <c r="AK201">
        <v>4845971</v>
      </c>
      <c r="AL201">
        <v>4814459</v>
      </c>
      <c r="AM201">
        <v>4782648</v>
      </c>
      <c r="AN201">
        <v>4750721</v>
      </c>
      <c r="AO201">
        <v>4718870</v>
      </c>
      <c r="AP201">
        <v>4687294</v>
      </c>
      <c r="AQ201">
        <v>4656196</v>
      </c>
      <c r="AR201">
        <v>4625791</v>
      </c>
      <c r="AS201">
        <v>4596297</v>
      </c>
      <c r="AT201">
        <v>4567940</v>
      </c>
      <c r="AU201">
        <v>4540954</v>
      </c>
      <c r="AV201">
        <v>4515579</v>
      </c>
    </row>
    <row r="202" spans="1:48" x14ac:dyDescent="0.15">
      <c r="A202" t="s">
        <v>237</v>
      </c>
      <c r="B202" t="s">
        <v>620</v>
      </c>
      <c r="C202" t="s">
        <v>428</v>
      </c>
      <c r="D202" s="5">
        <v>5862854.6033145599</v>
      </c>
      <c r="E202" s="5">
        <v>5878988.7304464597</v>
      </c>
      <c r="F202" s="5">
        <v>5892191.1729116496</v>
      </c>
      <c r="G202" s="5">
        <v>5259812</v>
      </c>
      <c r="H202">
        <v>5278493</v>
      </c>
      <c r="I202">
        <v>5293283</v>
      </c>
      <c r="J202">
        <v>5304290</v>
      </c>
      <c r="K202">
        <v>5311627</v>
      </c>
      <c r="L202">
        <v>5315408</v>
      </c>
      <c r="M202">
        <v>5315748</v>
      </c>
      <c r="N202">
        <v>5312765</v>
      </c>
      <c r="O202">
        <v>5306580</v>
      </c>
      <c r="P202">
        <v>5297313</v>
      </c>
      <c r="Q202">
        <v>5285090</v>
      </c>
      <c r="R202">
        <v>5270037</v>
      </c>
      <c r="S202">
        <v>5252281</v>
      </c>
      <c r="T202">
        <v>5231953</v>
      </c>
      <c r="U202">
        <v>5209186</v>
      </c>
      <c r="V202">
        <v>5184114</v>
      </c>
      <c r="W202">
        <v>5156873</v>
      </c>
      <c r="X202">
        <v>5127603</v>
      </c>
      <c r="Y202">
        <v>5096444</v>
      </c>
      <c r="Z202">
        <v>5063538</v>
      </c>
      <c r="AA202">
        <v>5029031</v>
      </c>
      <c r="AB202">
        <v>4993070</v>
      </c>
      <c r="AC202">
        <v>4955803</v>
      </c>
      <c r="AD202">
        <v>4917381</v>
      </c>
      <c r="AE202">
        <v>4877959</v>
      </c>
      <c r="AF202">
        <v>4837690</v>
      </c>
      <c r="AG202">
        <v>4796733</v>
      </c>
      <c r="AH202">
        <v>4755246</v>
      </c>
      <c r="AI202">
        <v>4713392</v>
      </c>
      <c r="AJ202">
        <v>4671333</v>
      </c>
      <c r="AK202">
        <v>4629236</v>
      </c>
      <c r="AL202">
        <v>4587267</v>
      </c>
      <c r="AM202">
        <v>4545597</v>
      </c>
      <c r="AN202">
        <v>4504398</v>
      </c>
      <c r="AO202">
        <v>4463843</v>
      </c>
      <c r="AP202">
        <v>4424109</v>
      </c>
      <c r="AQ202">
        <v>4385373</v>
      </c>
      <c r="AR202">
        <v>4347816</v>
      </c>
      <c r="AS202">
        <v>4311619</v>
      </c>
      <c r="AT202">
        <v>4276968</v>
      </c>
      <c r="AU202">
        <v>4244048</v>
      </c>
      <c r="AV202">
        <v>4213047</v>
      </c>
    </row>
    <row r="203" spans="1:48" x14ac:dyDescent="0.15">
      <c r="A203" t="s">
        <v>238</v>
      </c>
      <c r="B203" t="s">
        <v>621</v>
      </c>
      <c r="C203" t="s">
        <v>428</v>
      </c>
      <c r="D203" s="5">
        <v>1522209.1161182499</v>
      </c>
      <c r="E203" s="5">
        <v>1526347.2628858699</v>
      </c>
      <c r="F203" s="5">
        <v>1529714.5270781801</v>
      </c>
      <c r="G203" s="5">
        <v>1514082</v>
      </c>
      <c r="H203">
        <v>1516846</v>
      </c>
      <c r="I203">
        <v>1519621</v>
      </c>
      <c r="J203">
        <v>1522329</v>
      </c>
      <c r="K203">
        <v>1524894</v>
      </c>
      <c r="L203">
        <v>1527249</v>
      </c>
      <c r="M203">
        <v>1529330</v>
      </c>
      <c r="N203">
        <v>1531077</v>
      </c>
      <c r="O203">
        <v>1532440</v>
      </c>
      <c r="P203">
        <v>1533370</v>
      </c>
      <c r="Q203">
        <v>1533824</v>
      </c>
      <c r="R203">
        <v>1533767</v>
      </c>
      <c r="S203">
        <v>1533166</v>
      </c>
      <c r="T203">
        <v>1531996</v>
      </c>
      <c r="U203">
        <v>1530235</v>
      </c>
      <c r="V203">
        <v>1527868</v>
      </c>
      <c r="W203">
        <v>1524886</v>
      </c>
      <c r="X203">
        <v>1521283</v>
      </c>
      <c r="Y203">
        <v>1517060</v>
      </c>
      <c r="Z203">
        <v>1512223</v>
      </c>
      <c r="AA203">
        <v>1506782</v>
      </c>
      <c r="AB203">
        <v>1500756</v>
      </c>
      <c r="AC203">
        <v>1494165</v>
      </c>
      <c r="AD203">
        <v>1487037</v>
      </c>
      <c r="AE203">
        <v>1479404</v>
      </c>
      <c r="AF203">
        <v>1471305</v>
      </c>
      <c r="AG203">
        <v>1462783</v>
      </c>
      <c r="AH203">
        <v>1453886</v>
      </c>
      <c r="AI203">
        <v>1444669</v>
      </c>
      <c r="AJ203">
        <v>1435191</v>
      </c>
      <c r="AK203">
        <v>1425516</v>
      </c>
      <c r="AL203">
        <v>1415715</v>
      </c>
      <c r="AM203">
        <v>1405862</v>
      </c>
      <c r="AN203">
        <v>1396040</v>
      </c>
      <c r="AO203">
        <v>1386333</v>
      </c>
      <c r="AP203">
        <v>1376833</v>
      </c>
      <c r="AQ203">
        <v>1367638</v>
      </c>
      <c r="AR203">
        <v>1358848</v>
      </c>
      <c r="AS203">
        <v>1350571</v>
      </c>
      <c r="AT203">
        <v>1342921</v>
      </c>
      <c r="AU203">
        <v>1336016</v>
      </c>
      <c r="AV203">
        <v>1329978</v>
      </c>
    </row>
    <row r="204" spans="1:48" x14ac:dyDescent="0.15">
      <c r="A204" t="s">
        <v>239</v>
      </c>
      <c r="B204" t="s">
        <v>622</v>
      </c>
      <c r="C204" t="s">
        <v>428</v>
      </c>
      <c r="D204" s="5">
        <v>4461909.8204829302</v>
      </c>
      <c r="E204" s="5">
        <v>4477911.1011609603</v>
      </c>
      <c r="F204" s="5">
        <v>4491297.6581684202</v>
      </c>
      <c r="G204" s="5">
        <v>3836292</v>
      </c>
      <c r="H204">
        <v>3851078</v>
      </c>
      <c r="I204">
        <v>3863796</v>
      </c>
      <c r="J204">
        <v>3874483</v>
      </c>
      <c r="K204">
        <v>3883174</v>
      </c>
      <c r="L204">
        <v>3889909</v>
      </c>
      <c r="M204">
        <v>3894729</v>
      </c>
      <c r="N204">
        <v>3897675</v>
      </c>
      <c r="O204">
        <v>3898792</v>
      </c>
      <c r="P204">
        <v>3898126</v>
      </c>
      <c r="Q204">
        <v>3895725</v>
      </c>
      <c r="R204">
        <v>3891639</v>
      </c>
      <c r="S204">
        <v>3885918</v>
      </c>
      <c r="T204">
        <v>3878617</v>
      </c>
      <c r="U204">
        <v>3869791</v>
      </c>
      <c r="V204">
        <v>3859496</v>
      </c>
      <c r="W204">
        <v>3847791</v>
      </c>
      <c r="X204">
        <v>3834737</v>
      </c>
      <c r="Y204">
        <v>3820397</v>
      </c>
      <c r="Z204">
        <v>3804834</v>
      </c>
      <c r="AA204">
        <v>3788115</v>
      </c>
      <c r="AB204">
        <v>3770308</v>
      </c>
      <c r="AC204">
        <v>3751482</v>
      </c>
      <c r="AD204">
        <v>3731709</v>
      </c>
      <c r="AE204">
        <v>3711062</v>
      </c>
      <c r="AF204">
        <v>3689617</v>
      </c>
      <c r="AG204">
        <v>3667450</v>
      </c>
      <c r="AH204">
        <v>3644641</v>
      </c>
      <c r="AI204">
        <v>3621269</v>
      </c>
      <c r="AJ204">
        <v>3597418</v>
      </c>
      <c r="AK204">
        <v>3573172</v>
      </c>
      <c r="AL204">
        <v>3548617</v>
      </c>
      <c r="AM204">
        <v>3523841</v>
      </c>
      <c r="AN204">
        <v>3498933</v>
      </c>
      <c r="AO204">
        <v>3473986</v>
      </c>
      <c r="AP204">
        <v>3449092</v>
      </c>
      <c r="AQ204">
        <v>3424347</v>
      </c>
      <c r="AR204">
        <v>3399848</v>
      </c>
      <c r="AS204">
        <v>3375694</v>
      </c>
      <c r="AT204">
        <v>3351985</v>
      </c>
      <c r="AU204">
        <v>3328824</v>
      </c>
      <c r="AV204">
        <v>3306316</v>
      </c>
    </row>
    <row r="205" spans="1:48" x14ac:dyDescent="0.15">
      <c r="A205" t="s">
        <v>240</v>
      </c>
      <c r="B205" t="s">
        <v>623</v>
      </c>
      <c r="C205" t="s">
        <v>428</v>
      </c>
      <c r="D205" s="5">
        <v>4807575.2491455004</v>
      </c>
      <c r="E205" s="5">
        <v>4827111.5739570698</v>
      </c>
      <c r="F205" s="5">
        <v>4843491.48987165</v>
      </c>
      <c r="G205" s="5">
        <v>4662263</v>
      </c>
      <c r="H205">
        <v>4666720</v>
      </c>
      <c r="I205">
        <v>4674886</v>
      </c>
      <c r="J205">
        <v>4686153</v>
      </c>
      <c r="K205">
        <v>4699940</v>
      </c>
      <c r="L205">
        <v>4715701</v>
      </c>
      <c r="M205">
        <v>4732918</v>
      </c>
      <c r="N205">
        <v>4751107</v>
      </c>
      <c r="O205">
        <v>4769813</v>
      </c>
      <c r="P205">
        <v>4788612</v>
      </c>
      <c r="Q205">
        <v>4807113</v>
      </c>
      <c r="R205">
        <v>4824955</v>
      </c>
      <c r="S205">
        <v>4841807</v>
      </c>
      <c r="T205">
        <v>4857370</v>
      </c>
      <c r="U205">
        <v>4871378</v>
      </c>
      <c r="V205">
        <v>4883592</v>
      </c>
      <c r="W205">
        <v>4893809</v>
      </c>
      <c r="X205">
        <v>4901852</v>
      </c>
      <c r="Y205">
        <v>4907579</v>
      </c>
      <c r="Z205">
        <v>4910877</v>
      </c>
      <c r="AA205">
        <v>4911665</v>
      </c>
      <c r="AB205">
        <v>4909894</v>
      </c>
      <c r="AC205">
        <v>4905543</v>
      </c>
      <c r="AD205">
        <v>4898625</v>
      </c>
      <c r="AE205">
        <v>4889184</v>
      </c>
      <c r="AF205">
        <v>4877294</v>
      </c>
      <c r="AG205">
        <v>4863059</v>
      </c>
      <c r="AH205">
        <v>4846616</v>
      </c>
      <c r="AI205">
        <v>4828134</v>
      </c>
      <c r="AJ205">
        <v>4807810</v>
      </c>
      <c r="AK205">
        <v>4785874</v>
      </c>
      <c r="AL205">
        <v>4762588</v>
      </c>
      <c r="AM205">
        <v>4738242</v>
      </c>
      <c r="AN205">
        <v>4713161</v>
      </c>
      <c r="AO205">
        <v>4687698</v>
      </c>
      <c r="AP205">
        <v>4662239</v>
      </c>
      <c r="AQ205">
        <v>4637199</v>
      </c>
      <c r="AR205">
        <v>4613027</v>
      </c>
      <c r="AS205">
        <v>4590200</v>
      </c>
      <c r="AT205">
        <v>4569229</v>
      </c>
      <c r="AU205">
        <v>4550654</v>
      </c>
      <c r="AV205">
        <v>4535046</v>
      </c>
    </row>
    <row r="206" spans="1:48" x14ac:dyDescent="0.15">
      <c r="A206" t="s">
        <v>241</v>
      </c>
      <c r="B206" t="s">
        <v>624</v>
      </c>
      <c r="C206" t="s">
        <v>428</v>
      </c>
      <c r="D206" s="5">
        <v>5412256.0948325498</v>
      </c>
      <c r="E206" s="5">
        <v>5434322.59086983</v>
      </c>
      <c r="F206" s="5">
        <v>5453524.7442620303</v>
      </c>
      <c r="G206" s="5">
        <v>5275986</v>
      </c>
      <c r="H206">
        <v>5289326</v>
      </c>
      <c r="I206">
        <v>5304963</v>
      </c>
      <c r="J206">
        <v>5322387</v>
      </c>
      <c r="K206">
        <v>5341117</v>
      </c>
      <c r="L206">
        <v>5360702</v>
      </c>
      <c r="M206">
        <v>5380718</v>
      </c>
      <c r="N206">
        <v>5400769</v>
      </c>
      <c r="O206">
        <v>5420487</v>
      </c>
      <c r="P206">
        <v>5439534</v>
      </c>
      <c r="Q206">
        <v>5457599</v>
      </c>
      <c r="R206">
        <v>5474399</v>
      </c>
      <c r="S206">
        <v>5489679</v>
      </c>
      <c r="T206">
        <v>5503215</v>
      </c>
      <c r="U206">
        <v>5514808</v>
      </c>
      <c r="V206">
        <v>5524288</v>
      </c>
      <c r="W206">
        <v>5531516</v>
      </c>
      <c r="X206">
        <v>5536378</v>
      </c>
      <c r="Y206">
        <v>5538789</v>
      </c>
      <c r="Z206">
        <v>5538693</v>
      </c>
      <c r="AA206">
        <v>5536063</v>
      </c>
      <c r="AB206">
        <v>5530898</v>
      </c>
      <c r="AC206">
        <v>5523227</v>
      </c>
      <c r="AD206">
        <v>5513108</v>
      </c>
      <c r="AE206">
        <v>5500625</v>
      </c>
      <c r="AF206">
        <v>5485891</v>
      </c>
      <c r="AG206">
        <v>5469050</v>
      </c>
      <c r="AH206">
        <v>5450269</v>
      </c>
      <c r="AI206">
        <v>5429749</v>
      </c>
      <c r="AJ206">
        <v>5407716</v>
      </c>
      <c r="AK206">
        <v>5384423</v>
      </c>
      <c r="AL206">
        <v>5360156</v>
      </c>
      <c r="AM206">
        <v>5335224</v>
      </c>
      <c r="AN206">
        <v>5309969</v>
      </c>
      <c r="AO206">
        <v>5284757</v>
      </c>
      <c r="AP206">
        <v>5259985</v>
      </c>
      <c r="AQ206">
        <v>5236079</v>
      </c>
      <c r="AR206">
        <v>5213490</v>
      </c>
      <c r="AS206">
        <v>5192700</v>
      </c>
      <c r="AT206">
        <v>5174219</v>
      </c>
      <c r="AU206">
        <v>5158583</v>
      </c>
      <c r="AV206">
        <v>5146360</v>
      </c>
    </row>
    <row r="207" spans="1:48" x14ac:dyDescent="0.15">
      <c r="A207" t="s">
        <v>242</v>
      </c>
      <c r="B207" t="s">
        <v>625</v>
      </c>
      <c r="C207" t="s">
        <v>428</v>
      </c>
      <c r="D207" s="5">
        <v>4923306.6031327397</v>
      </c>
      <c r="E207" s="5">
        <v>4941533.9698125897</v>
      </c>
      <c r="F207" s="5">
        <v>4956838.28053346</v>
      </c>
      <c r="G207" s="5">
        <v>4572891</v>
      </c>
      <c r="H207">
        <v>4587107</v>
      </c>
      <c r="I207">
        <v>4600368</v>
      </c>
      <c r="J207">
        <v>4612557</v>
      </c>
      <c r="K207">
        <v>4623568</v>
      </c>
      <c r="L207">
        <v>4633301</v>
      </c>
      <c r="M207">
        <v>4641667</v>
      </c>
      <c r="N207">
        <v>4648586</v>
      </c>
      <c r="O207">
        <v>4653989</v>
      </c>
      <c r="P207">
        <v>4657815</v>
      </c>
      <c r="Q207">
        <v>4660011</v>
      </c>
      <c r="R207">
        <v>4660537</v>
      </c>
      <c r="S207">
        <v>4659359</v>
      </c>
      <c r="T207">
        <v>4656455</v>
      </c>
      <c r="U207">
        <v>4651810</v>
      </c>
      <c r="V207">
        <v>4645420</v>
      </c>
      <c r="W207">
        <v>4637291</v>
      </c>
      <c r="X207">
        <v>4627436</v>
      </c>
      <c r="Y207">
        <v>4615880</v>
      </c>
      <c r="Z207">
        <v>4602655</v>
      </c>
      <c r="AA207">
        <v>4587805</v>
      </c>
      <c r="AB207">
        <v>4571382</v>
      </c>
      <c r="AC207">
        <v>4553446</v>
      </c>
      <c r="AD207">
        <v>4534070</v>
      </c>
      <c r="AE207">
        <v>4513333</v>
      </c>
      <c r="AF207">
        <v>4491325</v>
      </c>
      <c r="AG207">
        <v>4468146</v>
      </c>
      <c r="AH207">
        <v>4443903</v>
      </c>
      <c r="AI207">
        <v>4418715</v>
      </c>
      <c r="AJ207">
        <v>4392708</v>
      </c>
      <c r="AK207">
        <v>4366021</v>
      </c>
      <c r="AL207">
        <v>4338799</v>
      </c>
      <c r="AM207">
        <v>4311197</v>
      </c>
      <c r="AN207">
        <v>4283382</v>
      </c>
      <c r="AO207">
        <v>4255526</v>
      </c>
      <c r="AP207">
        <v>4227814</v>
      </c>
      <c r="AQ207">
        <v>4200439</v>
      </c>
      <c r="AR207">
        <v>4173604</v>
      </c>
      <c r="AS207">
        <v>4147521</v>
      </c>
      <c r="AT207">
        <v>4122412</v>
      </c>
      <c r="AU207">
        <v>4098507</v>
      </c>
      <c r="AV207">
        <v>4076046</v>
      </c>
    </row>
    <row r="208" spans="1:48" x14ac:dyDescent="0.15">
      <c r="A208" t="s">
        <v>243</v>
      </c>
      <c r="B208" t="s">
        <v>626</v>
      </c>
      <c r="C208" t="s">
        <v>428</v>
      </c>
      <c r="D208" s="5">
        <v>3929112.7914236998</v>
      </c>
      <c r="E208" s="5">
        <v>3945594.41185873</v>
      </c>
      <c r="F208" s="5">
        <v>3960258.2949979501</v>
      </c>
      <c r="G208" s="5">
        <v>3811408</v>
      </c>
      <c r="H208">
        <v>3826564</v>
      </c>
      <c r="I208">
        <v>3841933</v>
      </c>
      <c r="J208">
        <v>3857290</v>
      </c>
      <c r="K208">
        <v>3872423</v>
      </c>
      <c r="L208">
        <v>3887137</v>
      </c>
      <c r="M208">
        <v>3901249</v>
      </c>
      <c r="N208">
        <v>3914592</v>
      </c>
      <c r="O208">
        <v>3927011</v>
      </c>
      <c r="P208">
        <v>3938367</v>
      </c>
      <c r="Q208">
        <v>3948534</v>
      </c>
      <c r="R208">
        <v>3957403</v>
      </c>
      <c r="S208">
        <v>3964875</v>
      </c>
      <c r="T208">
        <v>3970869</v>
      </c>
      <c r="U208">
        <v>3975316</v>
      </c>
      <c r="V208">
        <v>3978162</v>
      </c>
      <c r="W208">
        <v>3979367</v>
      </c>
      <c r="X208">
        <v>3978906</v>
      </c>
      <c r="Y208">
        <v>3976767</v>
      </c>
      <c r="Z208">
        <v>3972954</v>
      </c>
      <c r="AA208">
        <v>3967482</v>
      </c>
      <c r="AB208">
        <v>3960385</v>
      </c>
      <c r="AC208">
        <v>3951707</v>
      </c>
      <c r="AD208">
        <v>3941508</v>
      </c>
      <c r="AE208">
        <v>3929862</v>
      </c>
      <c r="AF208">
        <v>3916858</v>
      </c>
      <c r="AG208">
        <v>3902598</v>
      </c>
      <c r="AH208">
        <v>3887199</v>
      </c>
      <c r="AI208">
        <v>3870792</v>
      </c>
      <c r="AJ208">
        <v>3853523</v>
      </c>
      <c r="AK208">
        <v>3835551</v>
      </c>
      <c r="AL208">
        <v>3817049</v>
      </c>
      <c r="AM208">
        <v>3798207</v>
      </c>
      <c r="AN208">
        <v>3779225</v>
      </c>
      <c r="AO208">
        <v>3760321</v>
      </c>
      <c r="AP208">
        <v>3741725</v>
      </c>
      <c r="AQ208">
        <v>3723682</v>
      </c>
      <c r="AR208">
        <v>3706452</v>
      </c>
      <c r="AS208">
        <v>3690308</v>
      </c>
      <c r="AT208">
        <v>3675538</v>
      </c>
      <c r="AU208">
        <v>3662443</v>
      </c>
      <c r="AV208">
        <v>3651340</v>
      </c>
    </row>
    <row r="209" spans="1:48" x14ac:dyDescent="0.15">
      <c r="A209" t="s">
        <v>244</v>
      </c>
      <c r="B209" t="s">
        <v>627</v>
      </c>
      <c r="C209" t="s">
        <v>428</v>
      </c>
      <c r="D209" s="5">
        <v>2637978.74811449</v>
      </c>
      <c r="E209" s="5">
        <v>2651289.4528123899</v>
      </c>
      <c r="F209" s="5">
        <v>2663963.8081474602</v>
      </c>
      <c r="G209" s="5">
        <v>2471188</v>
      </c>
      <c r="H209">
        <v>2487853</v>
      </c>
      <c r="I209">
        <v>2504305</v>
      </c>
      <c r="J209">
        <v>2520405</v>
      </c>
      <c r="K209">
        <v>2536021</v>
      </c>
      <c r="L209">
        <v>2551034</v>
      </c>
      <c r="M209">
        <v>2565335</v>
      </c>
      <c r="N209">
        <v>2578822</v>
      </c>
      <c r="O209">
        <v>2591407</v>
      </c>
      <c r="P209">
        <v>2603008</v>
      </c>
      <c r="Q209">
        <v>2613557</v>
      </c>
      <c r="R209">
        <v>2622992</v>
      </c>
      <c r="S209">
        <v>2631265</v>
      </c>
      <c r="T209">
        <v>2638334</v>
      </c>
      <c r="U209">
        <v>2644170</v>
      </c>
      <c r="V209">
        <v>2648754</v>
      </c>
      <c r="W209">
        <v>2652074</v>
      </c>
      <c r="X209">
        <v>2654131</v>
      </c>
      <c r="Y209">
        <v>2654935</v>
      </c>
      <c r="Z209">
        <v>2654505</v>
      </c>
      <c r="AA209">
        <v>2652873</v>
      </c>
      <c r="AB209">
        <v>2650077</v>
      </c>
      <c r="AC209">
        <v>2646169</v>
      </c>
      <c r="AD209">
        <v>2641207</v>
      </c>
      <c r="AE209">
        <v>2635261</v>
      </c>
      <c r="AF209">
        <v>2628413</v>
      </c>
      <c r="AG209">
        <v>2620751</v>
      </c>
      <c r="AH209">
        <v>2612376</v>
      </c>
      <c r="AI209">
        <v>2603397</v>
      </c>
      <c r="AJ209">
        <v>2593936</v>
      </c>
      <c r="AK209">
        <v>2584120</v>
      </c>
      <c r="AL209">
        <v>2574092</v>
      </c>
      <c r="AM209">
        <v>2564000</v>
      </c>
      <c r="AN209">
        <v>2554004</v>
      </c>
      <c r="AO209">
        <v>2544275</v>
      </c>
      <c r="AP209">
        <v>2534993</v>
      </c>
      <c r="AQ209">
        <v>2526347</v>
      </c>
      <c r="AR209">
        <v>2518537</v>
      </c>
      <c r="AS209">
        <v>2511774</v>
      </c>
      <c r="AT209">
        <v>2506278</v>
      </c>
      <c r="AU209">
        <v>2502277</v>
      </c>
      <c r="AV209">
        <v>2500013</v>
      </c>
    </row>
    <row r="210" spans="1:48" x14ac:dyDescent="0.15">
      <c r="A210" t="s">
        <v>246</v>
      </c>
      <c r="B210" t="s">
        <v>628</v>
      </c>
      <c r="C210" t="s">
        <v>428</v>
      </c>
      <c r="D210" s="5">
        <v>13591601.8117509</v>
      </c>
      <c r="E210" s="5">
        <v>13727032.9670006</v>
      </c>
      <c r="F210" s="5">
        <v>13854308.2545365</v>
      </c>
      <c r="G210" s="5">
        <v>18402895</v>
      </c>
      <c r="H210">
        <v>18675050</v>
      </c>
      <c r="I210">
        <v>18910104</v>
      </c>
      <c r="J210">
        <v>19111063</v>
      </c>
      <c r="K210">
        <v>19280805</v>
      </c>
      <c r="L210">
        <v>19422077</v>
      </c>
      <c r="M210">
        <v>19537495</v>
      </c>
      <c r="N210">
        <v>19629545</v>
      </c>
      <c r="O210">
        <v>19700581</v>
      </c>
      <c r="P210">
        <v>19752829</v>
      </c>
      <c r="Q210">
        <v>19788380</v>
      </c>
      <c r="R210">
        <v>19809200</v>
      </c>
      <c r="S210">
        <v>19817120</v>
      </c>
      <c r="T210">
        <v>19813843</v>
      </c>
      <c r="U210">
        <v>19800939</v>
      </c>
      <c r="V210">
        <v>19779849</v>
      </c>
      <c r="W210">
        <v>19751884</v>
      </c>
      <c r="X210">
        <v>19718223</v>
      </c>
      <c r="Y210">
        <v>19679915</v>
      </c>
      <c r="Z210">
        <v>19637878</v>
      </c>
      <c r="AA210">
        <v>19592900</v>
      </c>
      <c r="AB210">
        <v>19545638</v>
      </c>
      <c r="AC210">
        <v>19496618</v>
      </c>
      <c r="AD210">
        <v>19446237</v>
      </c>
      <c r="AE210">
        <v>19394759</v>
      </c>
      <c r="AF210">
        <v>19342320</v>
      </c>
      <c r="AG210">
        <v>19288923</v>
      </c>
      <c r="AH210">
        <v>19234441</v>
      </c>
      <c r="AI210">
        <v>19178619</v>
      </c>
      <c r="AJ210">
        <v>19121067</v>
      </c>
      <c r="AK210">
        <v>19061267</v>
      </c>
      <c r="AL210">
        <v>18998571</v>
      </c>
      <c r="AM210">
        <v>18932199</v>
      </c>
      <c r="AN210">
        <v>18861241</v>
      </c>
      <c r="AO210">
        <v>18784655</v>
      </c>
      <c r="AP210">
        <v>18701272</v>
      </c>
      <c r="AQ210">
        <v>18609787</v>
      </c>
      <c r="AR210">
        <v>18508770</v>
      </c>
      <c r="AS210">
        <v>18396656</v>
      </c>
      <c r="AT210">
        <v>18271752</v>
      </c>
      <c r="AU210">
        <v>18132233</v>
      </c>
      <c r="AV210">
        <v>17976145</v>
      </c>
    </row>
    <row r="211" spans="1:48" x14ac:dyDescent="0.15">
      <c r="A211" t="s">
        <v>247</v>
      </c>
      <c r="B211" t="s">
        <v>629</v>
      </c>
      <c r="C211" t="s">
        <v>428</v>
      </c>
      <c r="D211" s="5">
        <v>2891205.64897796</v>
      </c>
      <c r="E211" s="5">
        <v>2899997.3806014098</v>
      </c>
      <c r="F211" s="5">
        <v>2908153.8714397899</v>
      </c>
      <c r="G211" s="5">
        <v>2844937</v>
      </c>
      <c r="H211">
        <v>2854785</v>
      </c>
      <c r="I211">
        <v>2865054</v>
      </c>
      <c r="J211">
        <v>2875489</v>
      </c>
      <c r="K211">
        <v>2885856</v>
      </c>
      <c r="L211">
        <v>2895936</v>
      </c>
      <c r="M211">
        <v>2905526</v>
      </c>
      <c r="N211">
        <v>2914441</v>
      </c>
      <c r="O211">
        <v>2922510</v>
      </c>
      <c r="P211">
        <v>2929580</v>
      </c>
      <c r="Q211">
        <v>2935515</v>
      </c>
      <c r="R211">
        <v>2940195</v>
      </c>
      <c r="S211">
        <v>2943515</v>
      </c>
      <c r="T211">
        <v>2945389</v>
      </c>
      <c r="U211">
        <v>2945747</v>
      </c>
      <c r="V211">
        <v>2944532</v>
      </c>
      <c r="W211">
        <v>2941709</v>
      </c>
      <c r="X211">
        <v>2937256</v>
      </c>
      <c r="Y211">
        <v>2931167</v>
      </c>
      <c r="Z211">
        <v>2923456</v>
      </c>
      <c r="AA211">
        <v>2914148</v>
      </c>
      <c r="AB211">
        <v>2903291</v>
      </c>
      <c r="AC211">
        <v>2890944</v>
      </c>
      <c r="AD211">
        <v>2877185</v>
      </c>
      <c r="AE211">
        <v>2862108</v>
      </c>
      <c r="AF211">
        <v>2845824</v>
      </c>
      <c r="AG211">
        <v>2828461</v>
      </c>
      <c r="AH211">
        <v>2810160</v>
      </c>
      <c r="AI211">
        <v>2791084</v>
      </c>
      <c r="AJ211">
        <v>2771407</v>
      </c>
      <c r="AK211">
        <v>2751323</v>
      </c>
      <c r="AL211">
        <v>2731042</v>
      </c>
      <c r="AM211">
        <v>2710789</v>
      </c>
      <c r="AN211">
        <v>2690807</v>
      </c>
      <c r="AO211">
        <v>2671355</v>
      </c>
      <c r="AP211">
        <v>2652708</v>
      </c>
      <c r="AQ211">
        <v>2635158</v>
      </c>
      <c r="AR211">
        <v>2619013</v>
      </c>
      <c r="AS211">
        <v>2604599</v>
      </c>
      <c r="AT211">
        <v>2592256</v>
      </c>
      <c r="AU211">
        <v>2582343</v>
      </c>
      <c r="AV211">
        <v>2575234</v>
      </c>
    </row>
    <row r="212" spans="1:48" x14ac:dyDescent="0.15">
      <c r="A212" t="s">
        <v>248</v>
      </c>
      <c r="B212" t="s">
        <v>630</v>
      </c>
      <c r="C212" t="s">
        <v>428</v>
      </c>
      <c r="D212" s="5">
        <v>11564374.0871746</v>
      </c>
      <c r="E212" s="5">
        <v>11744739.7860396</v>
      </c>
      <c r="F212" s="5">
        <v>11914877.728333199</v>
      </c>
      <c r="G212" s="5">
        <v>17182096</v>
      </c>
      <c r="H212">
        <v>17559804</v>
      </c>
      <c r="I212">
        <v>17888768</v>
      </c>
      <c r="J212">
        <v>18173498</v>
      </c>
      <c r="K212">
        <v>18418288</v>
      </c>
      <c r="L212">
        <v>18627210</v>
      </c>
      <c r="M212">
        <v>18804123</v>
      </c>
      <c r="N212">
        <v>18952663</v>
      </c>
      <c r="O212">
        <v>19076252</v>
      </c>
      <c r="P212">
        <v>19178091</v>
      </c>
      <c r="Q212">
        <v>19261164</v>
      </c>
      <c r="R212">
        <v>19328237</v>
      </c>
      <c r="S212">
        <v>19381858</v>
      </c>
      <c r="T212">
        <v>19424357</v>
      </c>
      <c r="U212">
        <v>19457845</v>
      </c>
      <c r="V212">
        <v>19484217</v>
      </c>
      <c r="W212">
        <v>19505147</v>
      </c>
      <c r="X212">
        <v>19522093</v>
      </c>
      <c r="Y212">
        <v>19536294</v>
      </c>
      <c r="Z212">
        <v>19548772</v>
      </c>
      <c r="AA212">
        <v>19560330</v>
      </c>
      <c r="AB212">
        <v>19571553</v>
      </c>
      <c r="AC212">
        <v>19582807</v>
      </c>
      <c r="AD212">
        <v>19594242</v>
      </c>
      <c r="AE212">
        <v>19605789</v>
      </c>
      <c r="AF212">
        <v>19617160</v>
      </c>
      <c r="AG212">
        <v>19627850</v>
      </c>
      <c r="AH212">
        <v>19637136</v>
      </c>
      <c r="AI212">
        <v>19644076</v>
      </c>
      <c r="AJ212">
        <v>19647510</v>
      </c>
      <c r="AK212">
        <v>19646061</v>
      </c>
      <c r="AL212">
        <v>19638134</v>
      </c>
      <c r="AM212">
        <v>19621913</v>
      </c>
      <c r="AN212">
        <v>19595368</v>
      </c>
      <c r="AO212">
        <v>19556249</v>
      </c>
      <c r="AP212">
        <v>19502086</v>
      </c>
      <c r="AQ212">
        <v>19430195</v>
      </c>
      <c r="AR212">
        <v>19337670</v>
      </c>
      <c r="AS212">
        <v>19221390</v>
      </c>
      <c r="AT212">
        <v>19078015</v>
      </c>
      <c r="AU212">
        <v>18903984</v>
      </c>
      <c r="AV212">
        <v>18695523</v>
      </c>
    </row>
    <row r="213" spans="1:48" x14ac:dyDescent="0.15">
      <c r="A213" t="s">
        <v>249</v>
      </c>
      <c r="B213" t="s">
        <v>631</v>
      </c>
      <c r="C213" t="s">
        <v>428</v>
      </c>
      <c r="D213" s="5">
        <v>1672089.51610802</v>
      </c>
      <c r="E213" s="5">
        <v>1689409.80865597</v>
      </c>
      <c r="F213" s="5">
        <v>1705924.4965546001</v>
      </c>
      <c r="G213" s="5">
        <v>2402908</v>
      </c>
      <c r="H213">
        <v>2439449</v>
      </c>
      <c r="I213">
        <v>2471918</v>
      </c>
      <c r="J213">
        <v>2500596</v>
      </c>
      <c r="K213">
        <v>2525753</v>
      </c>
      <c r="L213">
        <v>2547648</v>
      </c>
      <c r="M213">
        <v>2566528</v>
      </c>
      <c r="N213">
        <v>2582628</v>
      </c>
      <c r="O213">
        <v>2596174</v>
      </c>
      <c r="P213">
        <v>2607380</v>
      </c>
      <c r="Q213">
        <v>2616447</v>
      </c>
      <c r="R213">
        <v>2623567</v>
      </c>
      <c r="S213">
        <v>2628920</v>
      </c>
      <c r="T213">
        <v>2632675</v>
      </c>
      <c r="U213">
        <v>2634990</v>
      </c>
      <c r="V213">
        <v>2636011</v>
      </c>
      <c r="W213">
        <v>2635872</v>
      </c>
      <c r="X213">
        <v>2634699</v>
      </c>
      <c r="Y213">
        <v>2632604</v>
      </c>
      <c r="Z213">
        <v>2629689</v>
      </c>
      <c r="AA213">
        <v>2626043</v>
      </c>
      <c r="AB213">
        <v>2621747</v>
      </c>
      <c r="AC213">
        <v>2616868</v>
      </c>
      <c r="AD213">
        <v>2611463</v>
      </c>
      <c r="AE213">
        <v>2605577</v>
      </c>
      <c r="AF213">
        <v>2599246</v>
      </c>
      <c r="AG213">
        <v>2592491</v>
      </c>
      <c r="AH213">
        <v>2585326</v>
      </c>
      <c r="AI213">
        <v>2577751</v>
      </c>
      <c r="AJ213">
        <v>2569755</v>
      </c>
      <c r="AK213">
        <v>2561317</v>
      </c>
      <c r="AL213">
        <v>2552404</v>
      </c>
      <c r="AM213">
        <v>2542971</v>
      </c>
      <c r="AN213">
        <v>2532965</v>
      </c>
      <c r="AO213">
        <v>2522317</v>
      </c>
      <c r="AP213">
        <v>2510952</v>
      </c>
      <c r="AQ213">
        <v>2498779</v>
      </c>
      <c r="AR213">
        <v>2485698</v>
      </c>
      <c r="AS213">
        <v>2471599</v>
      </c>
      <c r="AT213">
        <v>2456359</v>
      </c>
      <c r="AU213">
        <v>2439844</v>
      </c>
      <c r="AV213">
        <v>2421909</v>
      </c>
    </row>
    <row r="214" spans="1:48" x14ac:dyDescent="0.15">
      <c r="A214" t="s">
        <v>250</v>
      </c>
      <c r="B214" t="s">
        <v>632</v>
      </c>
      <c r="C214" t="s">
        <v>428</v>
      </c>
      <c r="D214" s="5">
        <v>5563238.05634706</v>
      </c>
      <c r="E214" s="5">
        <v>5605074.9668012001</v>
      </c>
      <c r="F214" s="5">
        <v>5648201.7874652902</v>
      </c>
      <c r="G214" s="5">
        <v>5432228</v>
      </c>
      <c r="H214">
        <v>5501462</v>
      </c>
      <c r="I214">
        <v>5568630</v>
      </c>
      <c r="J214">
        <v>5633430</v>
      </c>
      <c r="K214">
        <v>5695584</v>
      </c>
      <c r="L214">
        <v>5754845</v>
      </c>
      <c r="M214">
        <v>5810989</v>
      </c>
      <c r="N214">
        <v>5863818</v>
      </c>
      <c r="O214">
        <v>5913163</v>
      </c>
      <c r="P214">
        <v>5958880</v>
      </c>
      <c r="Q214">
        <v>6000851</v>
      </c>
      <c r="R214">
        <v>6038985</v>
      </c>
      <c r="S214">
        <v>6073216</v>
      </c>
      <c r="T214">
        <v>6103508</v>
      </c>
      <c r="U214">
        <v>6129847</v>
      </c>
      <c r="V214">
        <v>6152249</v>
      </c>
      <c r="W214">
        <v>6170753</v>
      </c>
      <c r="X214">
        <v>6185428</v>
      </c>
      <c r="Y214">
        <v>6196365</v>
      </c>
      <c r="Z214">
        <v>6203687</v>
      </c>
      <c r="AA214">
        <v>6207538</v>
      </c>
      <c r="AB214">
        <v>6208092</v>
      </c>
      <c r="AC214">
        <v>6205547</v>
      </c>
      <c r="AD214">
        <v>6200130</v>
      </c>
      <c r="AE214">
        <v>6192092</v>
      </c>
      <c r="AF214">
        <v>6181710</v>
      </c>
      <c r="AG214">
        <v>6169291</v>
      </c>
      <c r="AH214">
        <v>6155165</v>
      </c>
      <c r="AI214">
        <v>6139690</v>
      </c>
      <c r="AJ214">
        <v>6123249</v>
      </c>
      <c r="AK214">
        <v>6106252</v>
      </c>
      <c r="AL214">
        <v>6089137</v>
      </c>
      <c r="AM214">
        <v>6072366</v>
      </c>
      <c r="AN214">
        <v>6056428</v>
      </c>
      <c r="AO214">
        <v>6041840</v>
      </c>
      <c r="AP214">
        <v>6029143</v>
      </c>
      <c r="AQ214">
        <v>6018907</v>
      </c>
      <c r="AR214">
        <v>6011725</v>
      </c>
      <c r="AS214">
        <v>6008220</v>
      </c>
      <c r="AT214">
        <v>6009039</v>
      </c>
      <c r="AU214">
        <v>6014857</v>
      </c>
      <c r="AV214">
        <v>6026373</v>
      </c>
    </row>
    <row r="215" spans="1:48" x14ac:dyDescent="0.15">
      <c r="A215" t="s">
        <v>251</v>
      </c>
      <c r="B215" t="s">
        <v>633</v>
      </c>
      <c r="C215" t="s">
        <v>428</v>
      </c>
      <c r="D215" s="5">
        <v>7710190.6213900503</v>
      </c>
      <c r="E215" s="5">
        <v>7789581.5035305899</v>
      </c>
      <c r="F215" s="5">
        <v>7864704.9634969598</v>
      </c>
      <c r="G215" s="5">
        <v>9357480</v>
      </c>
      <c r="H215">
        <v>9498230</v>
      </c>
      <c r="I215">
        <v>9621603</v>
      </c>
      <c r="J215">
        <v>9728896</v>
      </c>
      <c r="K215">
        <v>9821354</v>
      </c>
      <c r="L215">
        <v>9900164</v>
      </c>
      <c r="M215">
        <v>9966461</v>
      </c>
      <c r="N215">
        <v>10021323</v>
      </c>
      <c r="O215">
        <v>10065774</v>
      </c>
      <c r="P215">
        <v>10100782</v>
      </c>
      <c r="Q215">
        <v>10127263</v>
      </c>
      <c r="R215">
        <v>10146074</v>
      </c>
      <c r="S215">
        <v>10158020</v>
      </c>
      <c r="T215">
        <v>10163850</v>
      </c>
      <c r="U215">
        <v>10164258</v>
      </c>
      <c r="V215">
        <v>10159885</v>
      </c>
      <c r="W215">
        <v>10151313</v>
      </c>
      <c r="X215">
        <v>10139073</v>
      </c>
      <c r="Y215">
        <v>10123640</v>
      </c>
      <c r="Z215">
        <v>10105433</v>
      </c>
      <c r="AA215">
        <v>10084817</v>
      </c>
      <c r="AB215">
        <v>10062101</v>
      </c>
      <c r="AC215">
        <v>10037541</v>
      </c>
      <c r="AD215">
        <v>10011338</v>
      </c>
      <c r="AE215">
        <v>9983635</v>
      </c>
      <c r="AF215">
        <v>9954523</v>
      </c>
      <c r="AG215">
        <v>9924038</v>
      </c>
      <c r="AH215">
        <v>9892160</v>
      </c>
      <c r="AI215">
        <v>9858814</v>
      </c>
      <c r="AJ215">
        <v>9823871</v>
      </c>
      <c r="AK215">
        <v>9787146</v>
      </c>
      <c r="AL215">
        <v>9748401</v>
      </c>
      <c r="AM215">
        <v>9707341</v>
      </c>
      <c r="AN215">
        <v>9663617</v>
      </c>
      <c r="AO215">
        <v>9616825</v>
      </c>
      <c r="AP215">
        <v>9566506</v>
      </c>
      <c r="AQ215">
        <v>9512146</v>
      </c>
      <c r="AR215">
        <v>9453177</v>
      </c>
      <c r="AS215">
        <v>9388975</v>
      </c>
      <c r="AT215">
        <v>9318860</v>
      </c>
      <c r="AU215">
        <v>9242101</v>
      </c>
      <c r="AV215">
        <v>9157907</v>
      </c>
    </row>
    <row r="216" spans="1:48" x14ac:dyDescent="0.15">
      <c r="A216" t="s">
        <v>252</v>
      </c>
      <c r="B216" t="s">
        <v>634</v>
      </c>
      <c r="C216" t="s">
        <v>428</v>
      </c>
      <c r="D216" s="5">
        <v>4604415.2245413996</v>
      </c>
      <c r="E216" s="5">
        <v>4630512.1633395301</v>
      </c>
      <c r="F216" s="5">
        <v>4655408.5989654204</v>
      </c>
      <c r="G216" s="5">
        <v>4754551</v>
      </c>
      <c r="H216">
        <v>4797405</v>
      </c>
      <c r="I216">
        <v>4835400</v>
      </c>
      <c r="J216">
        <v>4868726</v>
      </c>
      <c r="K216">
        <v>4897574</v>
      </c>
      <c r="L216">
        <v>4922129</v>
      </c>
      <c r="M216">
        <v>4942578</v>
      </c>
      <c r="N216">
        <v>4959103</v>
      </c>
      <c r="O216">
        <v>4971887</v>
      </c>
      <c r="P216">
        <v>4981107</v>
      </c>
      <c r="Q216">
        <v>4986943</v>
      </c>
      <c r="R216">
        <v>4989568</v>
      </c>
      <c r="S216">
        <v>4989156</v>
      </c>
      <c r="T216">
        <v>4985880</v>
      </c>
      <c r="U216">
        <v>4979908</v>
      </c>
      <c r="V216">
        <v>4971408</v>
      </c>
      <c r="W216">
        <v>4960545</v>
      </c>
      <c r="X216">
        <v>4947483</v>
      </c>
      <c r="Y216">
        <v>4932384</v>
      </c>
      <c r="Z216">
        <v>4915408</v>
      </c>
      <c r="AA216">
        <v>4896711</v>
      </c>
      <c r="AB216">
        <v>4876451</v>
      </c>
      <c r="AC216">
        <v>4854780</v>
      </c>
      <c r="AD216">
        <v>4831850</v>
      </c>
      <c r="AE216">
        <v>4807811</v>
      </c>
      <c r="AF216">
        <v>4782812</v>
      </c>
      <c r="AG216">
        <v>4756997</v>
      </c>
      <c r="AH216">
        <v>4730511</v>
      </c>
      <c r="AI216">
        <v>4703496</v>
      </c>
      <c r="AJ216">
        <v>4676091</v>
      </c>
      <c r="AK216">
        <v>4648436</v>
      </c>
      <c r="AL216">
        <v>4620665</v>
      </c>
      <c r="AM216">
        <v>4592913</v>
      </c>
      <c r="AN216">
        <v>4565312</v>
      </c>
      <c r="AO216">
        <v>4537992</v>
      </c>
      <c r="AP216">
        <v>4511082</v>
      </c>
      <c r="AQ216">
        <v>4484707</v>
      </c>
      <c r="AR216">
        <v>4458992</v>
      </c>
      <c r="AS216">
        <v>4434059</v>
      </c>
      <c r="AT216">
        <v>4410029</v>
      </c>
      <c r="AU216">
        <v>4387019</v>
      </c>
      <c r="AV216">
        <v>4365146</v>
      </c>
    </row>
    <row r="217" spans="1:48" x14ac:dyDescent="0.15">
      <c r="A217" t="s">
        <v>253</v>
      </c>
      <c r="B217" t="s">
        <v>635</v>
      </c>
      <c r="C217" t="s">
        <v>428</v>
      </c>
      <c r="D217" s="5">
        <v>7180691.65540908</v>
      </c>
      <c r="E217" s="5">
        <v>7226013.1860766197</v>
      </c>
      <c r="F217" s="5">
        <v>7272925.8713231999</v>
      </c>
      <c r="G217" s="5">
        <v>6906768</v>
      </c>
      <c r="H217">
        <v>6980364</v>
      </c>
      <c r="I217">
        <v>7053361</v>
      </c>
      <c r="J217">
        <v>7125201</v>
      </c>
      <c r="K217">
        <v>7195370</v>
      </c>
      <c r="L217">
        <v>7263390</v>
      </c>
      <c r="M217">
        <v>7328829</v>
      </c>
      <c r="N217">
        <v>7391293</v>
      </c>
      <c r="O217">
        <v>7450428</v>
      </c>
      <c r="P217">
        <v>7505923</v>
      </c>
      <c r="Q217">
        <v>7557508</v>
      </c>
      <c r="R217">
        <v>7604951</v>
      </c>
      <c r="S217">
        <v>7648064</v>
      </c>
      <c r="T217">
        <v>7686698</v>
      </c>
      <c r="U217">
        <v>7720746</v>
      </c>
      <c r="V217">
        <v>7750141</v>
      </c>
      <c r="W217">
        <v>7774857</v>
      </c>
      <c r="X217">
        <v>7794908</v>
      </c>
      <c r="Y217">
        <v>7810352</v>
      </c>
      <c r="Z217">
        <v>7821284</v>
      </c>
      <c r="AA217">
        <v>7827843</v>
      </c>
      <c r="AB217">
        <v>7830205</v>
      </c>
      <c r="AC217">
        <v>7828592</v>
      </c>
      <c r="AD217">
        <v>7823262</v>
      </c>
      <c r="AE217">
        <v>7814517</v>
      </c>
      <c r="AF217">
        <v>7802699</v>
      </c>
      <c r="AG217">
        <v>7788189</v>
      </c>
      <c r="AH217">
        <v>7771413</v>
      </c>
      <c r="AI217">
        <v>7752834</v>
      </c>
      <c r="AJ217">
        <v>7732956</v>
      </c>
      <c r="AK217">
        <v>7712328</v>
      </c>
      <c r="AL217">
        <v>7691534</v>
      </c>
      <c r="AM217">
        <v>7671203</v>
      </c>
      <c r="AN217">
        <v>7652004</v>
      </c>
      <c r="AO217">
        <v>7634647</v>
      </c>
      <c r="AP217">
        <v>7619880</v>
      </c>
      <c r="AQ217">
        <v>7608496</v>
      </c>
      <c r="AR217">
        <v>7601327</v>
      </c>
      <c r="AS217">
        <v>7599245</v>
      </c>
      <c r="AT217">
        <v>7603164</v>
      </c>
      <c r="AU217">
        <v>7614040</v>
      </c>
      <c r="AV217">
        <v>7632866</v>
      </c>
    </row>
    <row r="218" spans="1:48" x14ac:dyDescent="0.15">
      <c r="A218" t="s">
        <v>254</v>
      </c>
      <c r="B218" t="s">
        <v>636</v>
      </c>
      <c r="C218" t="s">
        <v>428</v>
      </c>
      <c r="D218" s="5">
        <v>5913913.4590554498</v>
      </c>
      <c r="E218" s="5">
        <v>5941352.9915964203</v>
      </c>
      <c r="F218" s="5">
        <v>5970763.8683544602</v>
      </c>
      <c r="G218" s="5">
        <v>6128516</v>
      </c>
      <c r="H218">
        <v>6173260</v>
      </c>
      <c r="I218">
        <v>6222647</v>
      </c>
      <c r="J218">
        <v>6275608</v>
      </c>
      <c r="K218">
        <v>6331138</v>
      </c>
      <c r="L218">
        <v>6388295</v>
      </c>
      <c r="M218">
        <v>6446202</v>
      </c>
      <c r="N218">
        <v>6504049</v>
      </c>
      <c r="O218">
        <v>6561088</v>
      </c>
      <c r="P218">
        <v>6616634</v>
      </c>
      <c r="Q218">
        <v>6670070</v>
      </c>
      <c r="R218">
        <v>6720841</v>
      </c>
      <c r="S218">
        <v>6768457</v>
      </c>
      <c r="T218">
        <v>6812492</v>
      </c>
      <c r="U218">
        <v>6852585</v>
      </c>
      <c r="V218">
        <v>6888439</v>
      </c>
      <c r="W218">
        <v>6919823</v>
      </c>
      <c r="X218">
        <v>6946567</v>
      </c>
      <c r="Y218">
        <v>6968568</v>
      </c>
      <c r="Z218">
        <v>6985788</v>
      </c>
      <c r="AA218">
        <v>6998250</v>
      </c>
      <c r="AB218">
        <v>7006046</v>
      </c>
      <c r="AC218">
        <v>7009328</v>
      </c>
      <c r="AD218">
        <v>7008316</v>
      </c>
      <c r="AE218">
        <v>7003291</v>
      </c>
      <c r="AF218">
        <v>6994602</v>
      </c>
      <c r="AG218">
        <v>6982660</v>
      </c>
      <c r="AH218">
        <v>6967940</v>
      </c>
      <c r="AI218">
        <v>6950984</v>
      </c>
      <c r="AJ218">
        <v>6932396</v>
      </c>
      <c r="AK218">
        <v>6912845</v>
      </c>
      <c r="AL218">
        <v>6893065</v>
      </c>
      <c r="AM218">
        <v>6873854</v>
      </c>
      <c r="AN218">
        <v>6856075</v>
      </c>
      <c r="AO218">
        <v>6840653</v>
      </c>
      <c r="AP218">
        <v>6828581</v>
      </c>
      <c r="AQ218">
        <v>6820914</v>
      </c>
      <c r="AR218">
        <v>6818772</v>
      </c>
      <c r="AS218">
        <v>6823339</v>
      </c>
      <c r="AT218">
        <v>6835865</v>
      </c>
      <c r="AU218">
        <v>6857662</v>
      </c>
      <c r="AV218">
        <v>6890109</v>
      </c>
    </row>
    <row r="219" spans="1:48" x14ac:dyDescent="0.15">
      <c r="A219" t="s">
        <v>255</v>
      </c>
      <c r="B219" t="s">
        <v>637</v>
      </c>
      <c r="C219" t="s">
        <v>428</v>
      </c>
      <c r="D219" s="5">
        <v>4027261.4671801799</v>
      </c>
      <c r="E219" s="5">
        <v>4046756.0985077498</v>
      </c>
      <c r="F219" s="5">
        <v>4065979.3370423298</v>
      </c>
      <c r="G219" s="5">
        <v>4085565</v>
      </c>
      <c r="H219">
        <v>4113118</v>
      </c>
      <c r="I219">
        <v>4140951</v>
      </c>
      <c r="J219">
        <v>4168716</v>
      </c>
      <c r="K219">
        <v>4196089</v>
      </c>
      <c r="L219">
        <v>4222771</v>
      </c>
      <c r="M219">
        <v>4248484</v>
      </c>
      <c r="N219">
        <v>4272974</v>
      </c>
      <c r="O219">
        <v>4296010</v>
      </c>
      <c r="P219">
        <v>4317387</v>
      </c>
      <c r="Q219">
        <v>4336919</v>
      </c>
      <c r="R219">
        <v>4354446</v>
      </c>
      <c r="S219">
        <v>4369830</v>
      </c>
      <c r="T219">
        <v>4382958</v>
      </c>
      <c r="U219">
        <v>4393739</v>
      </c>
      <c r="V219">
        <v>4402106</v>
      </c>
      <c r="W219">
        <v>4408014</v>
      </c>
      <c r="X219">
        <v>4411443</v>
      </c>
      <c r="Y219">
        <v>4412395</v>
      </c>
      <c r="Z219">
        <v>4410895</v>
      </c>
      <c r="AA219">
        <v>4406994</v>
      </c>
      <c r="AB219">
        <v>4400763</v>
      </c>
      <c r="AC219">
        <v>4392299</v>
      </c>
      <c r="AD219">
        <v>4381719</v>
      </c>
      <c r="AE219">
        <v>4369167</v>
      </c>
      <c r="AF219">
        <v>4354808</v>
      </c>
      <c r="AG219">
        <v>4338831</v>
      </c>
      <c r="AH219">
        <v>4321448</v>
      </c>
      <c r="AI219">
        <v>4302895</v>
      </c>
      <c r="AJ219">
        <v>4283430</v>
      </c>
      <c r="AK219">
        <v>4263336</v>
      </c>
      <c r="AL219">
        <v>4242919</v>
      </c>
      <c r="AM219">
        <v>4222506</v>
      </c>
      <c r="AN219">
        <v>4202450</v>
      </c>
      <c r="AO219">
        <v>4183126</v>
      </c>
      <c r="AP219">
        <v>4164933</v>
      </c>
      <c r="AQ219">
        <v>4148293</v>
      </c>
      <c r="AR219">
        <v>4133651</v>
      </c>
      <c r="AS219">
        <v>4121475</v>
      </c>
      <c r="AT219">
        <v>4112258</v>
      </c>
      <c r="AU219">
        <v>4106514</v>
      </c>
      <c r="AV219">
        <v>4104783</v>
      </c>
    </row>
    <row r="220" spans="1:48" x14ac:dyDescent="0.15">
      <c r="A220" t="s">
        <v>256</v>
      </c>
      <c r="B220" t="s">
        <v>638</v>
      </c>
      <c r="C220" t="s">
        <v>428</v>
      </c>
      <c r="D220" s="5">
        <v>4863007.6400533495</v>
      </c>
      <c r="E220" s="5">
        <v>4906794.9279824104</v>
      </c>
      <c r="F220" s="5">
        <v>4949339.9062711904</v>
      </c>
      <c r="G220" s="5">
        <v>5964944</v>
      </c>
      <c r="H220">
        <v>6042363</v>
      </c>
      <c r="I220">
        <v>6114906</v>
      </c>
      <c r="J220">
        <v>6182669</v>
      </c>
      <c r="K220">
        <v>6245749</v>
      </c>
      <c r="L220">
        <v>6304247</v>
      </c>
      <c r="M220">
        <v>6358265</v>
      </c>
      <c r="N220">
        <v>6407906</v>
      </c>
      <c r="O220">
        <v>6453275</v>
      </c>
      <c r="P220">
        <v>6494480</v>
      </c>
      <c r="Q220">
        <v>6531630</v>
      </c>
      <c r="R220">
        <v>6564837</v>
      </c>
      <c r="S220">
        <v>6594215</v>
      </c>
      <c r="T220">
        <v>6619877</v>
      </c>
      <c r="U220">
        <v>6641942</v>
      </c>
      <c r="V220">
        <v>6660528</v>
      </c>
      <c r="W220">
        <v>6675756</v>
      </c>
      <c r="X220">
        <v>6687750</v>
      </c>
      <c r="Y220">
        <v>6696633</v>
      </c>
      <c r="Z220">
        <v>6702533</v>
      </c>
      <c r="AA220">
        <v>6705578</v>
      </c>
      <c r="AB220">
        <v>6705899</v>
      </c>
      <c r="AC220">
        <v>6703629</v>
      </c>
      <c r="AD220">
        <v>6698901</v>
      </c>
      <c r="AE220">
        <v>6691852</v>
      </c>
      <c r="AF220">
        <v>6682621</v>
      </c>
      <c r="AG220">
        <v>6671347</v>
      </c>
      <c r="AH220">
        <v>6658172</v>
      </c>
      <c r="AI220">
        <v>6643242</v>
      </c>
      <c r="AJ220">
        <v>6626701</v>
      </c>
      <c r="AK220">
        <v>6608697</v>
      </c>
      <c r="AL220">
        <v>6589381</v>
      </c>
      <c r="AM220">
        <v>6568904</v>
      </c>
      <c r="AN220">
        <v>6547419</v>
      </c>
      <c r="AO220">
        <v>6525083</v>
      </c>
      <c r="AP220">
        <v>6502053</v>
      </c>
      <c r="AQ220">
        <v>6478487</v>
      </c>
      <c r="AR220">
        <v>6454548</v>
      </c>
      <c r="AS220">
        <v>6430399</v>
      </c>
      <c r="AT220">
        <v>6406205</v>
      </c>
      <c r="AU220">
        <v>6382132</v>
      </c>
      <c r="AV220">
        <v>6358351</v>
      </c>
    </row>
    <row r="221" spans="1:48" x14ac:dyDescent="0.15">
      <c r="A221" t="s">
        <v>257</v>
      </c>
      <c r="B221" t="s">
        <v>639</v>
      </c>
      <c r="C221" t="s">
        <v>428</v>
      </c>
      <c r="D221" s="5">
        <v>4318260.4246002799</v>
      </c>
      <c r="E221" s="5">
        <v>4334463.6704140296</v>
      </c>
      <c r="F221" s="5">
        <v>4350798.5264778202</v>
      </c>
      <c r="G221" s="5">
        <v>3850462</v>
      </c>
      <c r="H221">
        <v>3872631</v>
      </c>
      <c r="I221">
        <v>3895489</v>
      </c>
      <c r="J221">
        <v>3918655</v>
      </c>
      <c r="K221">
        <v>3941776</v>
      </c>
      <c r="L221">
        <v>3964521</v>
      </c>
      <c r="M221">
        <v>3986586</v>
      </c>
      <c r="N221">
        <v>4007693</v>
      </c>
      <c r="O221">
        <v>4027587</v>
      </c>
      <c r="P221">
        <v>4046041</v>
      </c>
      <c r="Q221">
        <v>4062851</v>
      </c>
      <c r="R221">
        <v>4077838</v>
      </c>
      <c r="S221">
        <v>4090852</v>
      </c>
      <c r="T221">
        <v>4101763</v>
      </c>
      <c r="U221">
        <v>4110469</v>
      </c>
      <c r="V221">
        <v>4116895</v>
      </c>
      <c r="W221">
        <v>4120987</v>
      </c>
      <c r="X221">
        <v>4122719</v>
      </c>
      <c r="Y221">
        <v>4122091</v>
      </c>
      <c r="Z221">
        <v>4119125</v>
      </c>
      <c r="AA221">
        <v>4113872</v>
      </c>
      <c r="AB221">
        <v>4106405</v>
      </c>
      <c r="AC221">
        <v>4096824</v>
      </c>
      <c r="AD221">
        <v>4085255</v>
      </c>
      <c r="AE221">
        <v>4071847</v>
      </c>
      <c r="AF221">
        <v>4056776</v>
      </c>
      <c r="AG221">
        <v>4040242</v>
      </c>
      <c r="AH221">
        <v>4022471</v>
      </c>
      <c r="AI221">
        <v>4003715</v>
      </c>
      <c r="AJ221">
        <v>3984249</v>
      </c>
      <c r="AK221">
        <v>3964376</v>
      </c>
      <c r="AL221">
        <v>3944422</v>
      </c>
      <c r="AM221">
        <v>3924739</v>
      </c>
      <c r="AN221">
        <v>3905704</v>
      </c>
      <c r="AO221">
        <v>3887721</v>
      </c>
      <c r="AP221">
        <v>3871216</v>
      </c>
      <c r="AQ221">
        <v>3856643</v>
      </c>
      <c r="AR221">
        <v>3844481</v>
      </c>
      <c r="AS221">
        <v>3835232</v>
      </c>
      <c r="AT221">
        <v>3829426</v>
      </c>
      <c r="AU221">
        <v>3827616</v>
      </c>
      <c r="AV221">
        <v>3830382</v>
      </c>
    </row>
    <row r="222" spans="1:48" x14ac:dyDescent="0.15">
      <c r="A222" t="s">
        <v>258</v>
      </c>
      <c r="B222" t="s">
        <v>640</v>
      </c>
      <c r="C222" t="s">
        <v>428</v>
      </c>
      <c r="D222" s="5">
        <v>3028407.8938668598</v>
      </c>
      <c r="E222" s="5">
        <v>3053286.7051503402</v>
      </c>
      <c r="F222" s="5">
        <v>3079332.62582283</v>
      </c>
      <c r="G222" s="5">
        <v>2634629</v>
      </c>
      <c r="H222">
        <v>2672559</v>
      </c>
      <c r="I222">
        <v>2709707</v>
      </c>
      <c r="J222">
        <v>2745887</v>
      </c>
      <c r="K222">
        <v>2780930</v>
      </c>
      <c r="L222">
        <v>2814681</v>
      </c>
      <c r="M222">
        <v>2847000</v>
      </c>
      <c r="N222">
        <v>2877762</v>
      </c>
      <c r="O222">
        <v>2906857</v>
      </c>
      <c r="P222">
        <v>2934190</v>
      </c>
      <c r="Q222">
        <v>2959681</v>
      </c>
      <c r="R222">
        <v>2983266</v>
      </c>
      <c r="S222">
        <v>3004895</v>
      </c>
      <c r="T222">
        <v>3024532</v>
      </c>
      <c r="U222">
        <v>3042159</v>
      </c>
      <c r="V222">
        <v>3057770</v>
      </c>
      <c r="W222">
        <v>3071376</v>
      </c>
      <c r="X222">
        <v>3083001</v>
      </c>
      <c r="Y222">
        <v>3092687</v>
      </c>
      <c r="Z222">
        <v>3100488</v>
      </c>
      <c r="AA222">
        <v>3106475</v>
      </c>
      <c r="AB222">
        <v>3110733</v>
      </c>
      <c r="AC222">
        <v>3113363</v>
      </c>
      <c r="AD222">
        <v>3114479</v>
      </c>
      <c r="AE222">
        <v>3114212</v>
      </c>
      <c r="AF222">
        <v>3112708</v>
      </c>
      <c r="AG222">
        <v>3110126</v>
      </c>
      <c r="AH222">
        <v>3106643</v>
      </c>
      <c r="AI222">
        <v>3102449</v>
      </c>
      <c r="AJ222">
        <v>3097749</v>
      </c>
      <c r="AK222">
        <v>3092764</v>
      </c>
      <c r="AL222">
        <v>3087729</v>
      </c>
      <c r="AM222">
        <v>3082894</v>
      </c>
      <c r="AN222">
        <v>3078526</v>
      </c>
      <c r="AO222">
        <v>3074905</v>
      </c>
      <c r="AP222">
        <v>3072325</v>
      </c>
      <c r="AQ222">
        <v>3071099</v>
      </c>
      <c r="AR222">
        <v>3071551</v>
      </c>
      <c r="AS222">
        <v>3074021</v>
      </c>
      <c r="AT222">
        <v>3078867</v>
      </c>
      <c r="AU222">
        <v>3086457</v>
      </c>
      <c r="AV222">
        <v>3097179</v>
      </c>
    </row>
    <row r="223" spans="1:48" x14ac:dyDescent="0.15">
      <c r="A223" t="s">
        <v>259</v>
      </c>
      <c r="B223" t="s">
        <v>641</v>
      </c>
      <c r="C223" t="s">
        <v>428</v>
      </c>
      <c r="D223" s="5">
        <v>3034672.4457431999</v>
      </c>
      <c r="E223" s="5">
        <v>3046124.8415151699</v>
      </c>
      <c r="F223" s="5">
        <v>3057178.1440918902</v>
      </c>
      <c r="G223" s="5">
        <v>2828469</v>
      </c>
      <c r="H223">
        <v>2837349</v>
      </c>
      <c r="I223">
        <v>2848946</v>
      </c>
      <c r="J223">
        <v>2862773</v>
      </c>
      <c r="K223">
        <v>2878375</v>
      </c>
      <c r="L223">
        <v>2895318</v>
      </c>
      <c r="M223">
        <v>2913199</v>
      </c>
      <c r="N223">
        <v>2931639</v>
      </c>
      <c r="O223">
        <v>2950288</v>
      </c>
      <c r="P223">
        <v>2968819</v>
      </c>
      <c r="Q223">
        <v>2986935</v>
      </c>
      <c r="R223">
        <v>3004363</v>
      </c>
      <c r="S223">
        <v>3020859</v>
      </c>
      <c r="T223">
        <v>3036203</v>
      </c>
      <c r="U223">
        <v>3050205</v>
      </c>
      <c r="V223">
        <v>3062698</v>
      </c>
      <c r="W223">
        <v>3073543</v>
      </c>
      <c r="X223">
        <v>3082628</v>
      </c>
      <c r="Y223">
        <v>3089868</v>
      </c>
      <c r="Z223">
        <v>3095204</v>
      </c>
      <c r="AA223">
        <v>3098602</v>
      </c>
      <c r="AB223">
        <v>3100056</v>
      </c>
      <c r="AC223">
        <v>3099588</v>
      </c>
      <c r="AD223">
        <v>3097245</v>
      </c>
      <c r="AE223">
        <v>3093100</v>
      </c>
      <c r="AF223">
        <v>3087254</v>
      </c>
      <c r="AG223">
        <v>3079834</v>
      </c>
      <c r="AH223">
        <v>3070993</v>
      </c>
      <c r="AI223">
        <v>3060911</v>
      </c>
      <c r="AJ223">
        <v>3049796</v>
      </c>
      <c r="AK223">
        <v>3037880</v>
      </c>
      <c r="AL223">
        <v>3025423</v>
      </c>
      <c r="AM223">
        <v>3012711</v>
      </c>
      <c r="AN223">
        <v>3000059</v>
      </c>
      <c r="AO223">
        <v>2987805</v>
      </c>
      <c r="AP223">
        <v>2976315</v>
      </c>
      <c r="AQ223">
        <v>2965983</v>
      </c>
      <c r="AR223">
        <v>2957227</v>
      </c>
      <c r="AS223">
        <v>2950495</v>
      </c>
      <c r="AT223">
        <v>2946257</v>
      </c>
      <c r="AU223">
        <v>2945014</v>
      </c>
      <c r="AV223">
        <v>2947290</v>
      </c>
    </row>
    <row r="224" spans="1:48" x14ac:dyDescent="0.15">
      <c r="A224" t="s">
        <v>260</v>
      </c>
      <c r="B224" t="s">
        <v>642</v>
      </c>
      <c r="C224" t="s">
        <v>428</v>
      </c>
      <c r="D224" s="5">
        <v>2489362.0713456199</v>
      </c>
      <c r="E224" s="5">
        <v>2500449.7682976099</v>
      </c>
      <c r="F224" s="5">
        <v>2511174.6169020701</v>
      </c>
      <c r="G224" s="5">
        <v>2586287</v>
      </c>
      <c r="H224">
        <v>2602568</v>
      </c>
      <c r="I224">
        <v>2618614</v>
      </c>
      <c r="J224">
        <v>2634268</v>
      </c>
      <c r="K224">
        <v>2649385</v>
      </c>
      <c r="L224">
        <v>2663830</v>
      </c>
      <c r="M224">
        <v>2677480</v>
      </c>
      <c r="N224">
        <v>2690224</v>
      </c>
      <c r="O224">
        <v>2701960</v>
      </c>
      <c r="P224">
        <v>2712600</v>
      </c>
      <c r="Q224">
        <v>2722063</v>
      </c>
      <c r="R224">
        <v>2730284</v>
      </c>
      <c r="S224">
        <v>2737205</v>
      </c>
      <c r="T224">
        <v>2742781</v>
      </c>
      <c r="U224">
        <v>2746979</v>
      </c>
      <c r="V224">
        <v>2749777</v>
      </c>
      <c r="W224">
        <v>2751161</v>
      </c>
      <c r="X224">
        <v>2751131</v>
      </c>
      <c r="Y224">
        <v>2749699</v>
      </c>
      <c r="Z224">
        <v>2746886</v>
      </c>
      <c r="AA224">
        <v>2742725</v>
      </c>
      <c r="AB224">
        <v>2737260</v>
      </c>
      <c r="AC224">
        <v>2730545</v>
      </c>
      <c r="AD224">
        <v>2722649</v>
      </c>
      <c r="AE224">
        <v>2713647</v>
      </c>
      <c r="AF224">
        <v>2703628</v>
      </c>
      <c r="AG224">
        <v>2692693</v>
      </c>
      <c r="AH224">
        <v>2680953</v>
      </c>
      <c r="AI224">
        <v>2668528</v>
      </c>
      <c r="AJ224">
        <v>2655553</v>
      </c>
      <c r="AK224">
        <v>2642172</v>
      </c>
      <c r="AL224">
        <v>2628540</v>
      </c>
      <c r="AM224">
        <v>2614824</v>
      </c>
      <c r="AN224">
        <v>2601202</v>
      </c>
      <c r="AO224">
        <v>2587862</v>
      </c>
      <c r="AP224">
        <v>2575006</v>
      </c>
      <c r="AQ224">
        <v>2562843</v>
      </c>
      <c r="AR224">
        <v>2551596</v>
      </c>
      <c r="AS224">
        <v>2541499</v>
      </c>
      <c r="AT224">
        <v>2532797</v>
      </c>
      <c r="AU224">
        <v>2525745</v>
      </c>
      <c r="AV224">
        <v>2520610</v>
      </c>
    </row>
    <row r="225" spans="1:48" x14ac:dyDescent="0.15">
      <c r="A225" t="s">
        <v>261</v>
      </c>
      <c r="B225" t="s">
        <v>643</v>
      </c>
      <c r="C225" t="s">
        <v>428</v>
      </c>
      <c r="D225" s="5">
        <v>3803096.37693831</v>
      </c>
      <c r="E225" s="5">
        <v>3820704.0078691998</v>
      </c>
      <c r="F225" s="5">
        <v>3837882.1883911602</v>
      </c>
      <c r="G225" s="5">
        <v>3943328</v>
      </c>
      <c r="H225">
        <v>3968961</v>
      </c>
      <c r="I225">
        <v>3994516</v>
      </c>
      <c r="J225">
        <v>4019706</v>
      </c>
      <c r="K225">
        <v>4044264</v>
      </c>
      <c r="L225">
        <v>4067941</v>
      </c>
      <c r="M225">
        <v>4090511</v>
      </c>
      <c r="N225">
        <v>4111764</v>
      </c>
      <c r="O225">
        <v>4131514</v>
      </c>
      <c r="P225">
        <v>4149591</v>
      </c>
      <c r="Q225">
        <v>4165849</v>
      </c>
      <c r="R225">
        <v>4180157</v>
      </c>
      <c r="S225">
        <v>4192409</v>
      </c>
      <c r="T225">
        <v>4202516</v>
      </c>
      <c r="U225">
        <v>4210408</v>
      </c>
      <c r="V225">
        <v>4216038</v>
      </c>
      <c r="W225">
        <v>4219377</v>
      </c>
      <c r="X225">
        <v>4220416</v>
      </c>
      <c r="Y225">
        <v>4219165</v>
      </c>
      <c r="Z225">
        <v>4215657</v>
      </c>
      <c r="AA225">
        <v>4209942</v>
      </c>
      <c r="AB225">
        <v>4202091</v>
      </c>
      <c r="AC225">
        <v>4192194</v>
      </c>
      <c r="AD225">
        <v>4180363</v>
      </c>
      <c r="AE225">
        <v>4166728</v>
      </c>
      <c r="AF225">
        <v>4151439</v>
      </c>
      <c r="AG225">
        <v>4134666</v>
      </c>
      <c r="AH225">
        <v>4116601</v>
      </c>
      <c r="AI225">
        <v>4097453</v>
      </c>
      <c r="AJ225">
        <v>4077453</v>
      </c>
      <c r="AK225">
        <v>4056850</v>
      </c>
      <c r="AL225">
        <v>4035914</v>
      </c>
      <c r="AM225">
        <v>4014936</v>
      </c>
      <c r="AN225">
        <v>3994225</v>
      </c>
      <c r="AO225">
        <v>3974111</v>
      </c>
      <c r="AP225">
        <v>3954944</v>
      </c>
      <c r="AQ225">
        <v>3937092</v>
      </c>
      <c r="AR225">
        <v>3920946</v>
      </c>
      <c r="AS225">
        <v>3906914</v>
      </c>
      <c r="AT225">
        <v>3895427</v>
      </c>
      <c r="AU225">
        <v>3886933</v>
      </c>
      <c r="AV225">
        <v>3881901</v>
      </c>
    </row>
    <row r="226" spans="1:48" x14ac:dyDescent="0.15">
      <c r="A226" t="s">
        <v>262</v>
      </c>
      <c r="B226" t="s">
        <v>644</v>
      </c>
      <c r="C226" t="s">
        <v>428</v>
      </c>
      <c r="D226" s="5">
        <v>9123248.2315189894</v>
      </c>
      <c r="E226" s="5">
        <v>9267545.8312378302</v>
      </c>
      <c r="F226" s="5">
        <v>9405163.7698652502</v>
      </c>
      <c r="G226" s="5">
        <v>10223153</v>
      </c>
      <c r="H226">
        <v>10466314</v>
      </c>
      <c r="I226">
        <v>10677529</v>
      </c>
      <c r="J226">
        <v>10859712</v>
      </c>
      <c r="K226">
        <v>11015641</v>
      </c>
      <c r="L226">
        <v>11147953</v>
      </c>
      <c r="M226">
        <v>11259150</v>
      </c>
      <c r="N226">
        <v>11351596</v>
      </c>
      <c r="O226">
        <v>11427518</v>
      </c>
      <c r="P226">
        <v>11489006</v>
      </c>
      <c r="Q226">
        <v>11538012</v>
      </c>
      <c r="R226">
        <v>11576349</v>
      </c>
      <c r="S226">
        <v>11605697</v>
      </c>
      <c r="T226">
        <v>11627594</v>
      </c>
      <c r="U226">
        <v>11643444</v>
      </c>
      <c r="V226">
        <v>11654511</v>
      </c>
      <c r="W226">
        <v>11661924</v>
      </c>
      <c r="X226">
        <v>11666673</v>
      </c>
      <c r="Y226">
        <v>11669612</v>
      </c>
      <c r="Z226">
        <v>11671457</v>
      </c>
      <c r="AA226">
        <v>11672785</v>
      </c>
      <c r="AB226">
        <v>11674039</v>
      </c>
      <c r="AC226">
        <v>11675521</v>
      </c>
      <c r="AD226">
        <v>11677399</v>
      </c>
      <c r="AE226">
        <v>11679702</v>
      </c>
      <c r="AF226">
        <v>11682321</v>
      </c>
      <c r="AG226">
        <v>11685011</v>
      </c>
      <c r="AH226">
        <v>11687389</v>
      </c>
      <c r="AI226">
        <v>11688934</v>
      </c>
      <c r="AJ226">
        <v>11688990</v>
      </c>
      <c r="AK226">
        <v>11686760</v>
      </c>
      <c r="AL226">
        <v>11681313</v>
      </c>
      <c r="AM226">
        <v>11671579</v>
      </c>
      <c r="AN226">
        <v>11656351</v>
      </c>
      <c r="AO226">
        <v>11634284</v>
      </c>
      <c r="AP226">
        <v>11603897</v>
      </c>
      <c r="AQ226">
        <v>11563571</v>
      </c>
      <c r="AR226">
        <v>11511548</v>
      </c>
      <c r="AS226">
        <v>11445936</v>
      </c>
      <c r="AT226">
        <v>11364703</v>
      </c>
      <c r="AU226">
        <v>11265680</v>
      </c>
      <c r="AV226">
        <v>11146561</v>
      </c>
    </row>
    <row r="227" spans="1:48" x14ac:dyDescent="0.15">
      <c r="A227" t="s">
        <v>263</v>
      </c>
      <c r="B227" t="s">
        <v>645</v>
      </c>
      <c r="C227" t="s">
        <v>428</v>
      </c>
      <c r="D227" s="5">
        <v>3371892.98809765</v>
      </c>
      <c r="E227" s="5">
        <v>3411431.0804235102</v>
      </c>
      <c r="F227" s="5">
        <v>3449059.4547159001</v>
      </c>
      <c r="G227" s="5">
        <v>4342518</v>
      </c>
      <c r="H227">
        <v>4417800</v>
      </c>
      <c r="I227">
        <v>4483968</v>
      </c>
      <c r="J227">
        <v>4541743</v>
      </c>
      <c r="K227">
        <v>4591816</v>
      </c>
      <c r="L227">
        <v>4634844</v>
      </c>
      <c r="M227">
        <v>4671455</v>
      </c>
      <c r="N227">
        <v>4702242</v>
      </c>
      <c r="O227">
        <v>4727770</v>
      </c>
      <c r="P227">
        <v>4748570</v>
      </c>
      <c r="Q227">
        <v>4765141</v>
      </c>
      <c r="R227">
        <v>4777952</v>
      </c>
      <c r="S227">
        <v>4787440</v>
      </c>
      <c r="T227">
        <v>4794009</v>
      </c>
      <c r="U227">
        <v>4798032</v>
      </c>
      <c r="V227">
        <v>4799851</v>
      </c>
      <c r="W227">
        <v>4799776</v>
      </c>
      <c r="X227">
        <v>4798085</v>
      </c>
      <c r="Y227">
        <v>4795024</v>
      </c>
      <c r="Z227">
        <v>4790809</v>
      </c>
      <c r="AA227">
        <v>4785621</v>
      </c>
      <c r="AB227">
        <v>4779613</v>
      </c>
      <c r="AC227">
        <v>4772905</v>
      </c>
      <c r="AD227">
        <v>4765584</v>
      </c>
      <c r="AE227">
        <v>4757707</v>
      </c>
      <c r="AF227">
        <v>4749298</v>
      </c>
      <c r="AG227">
        <v>4740352</v>
      </c>
      <c r="AH227">
        <v>4730828</v>
      </c>
      <c r="AI227">
        <v>4720657</v>
      </c>
      <c r="AJ227">
        <v>4709736</v>
      </c>
      <c r="AK227">
        <v>4697933</v>
      </c>
      <c r="AL227">
        <v>4685081</v>
      </c>
      <c r="AM227">
        <v>4670984</v>
      </c>
      <c r="AN227">
        <v>4655414</v>
      </c>
      <c r="AO227">
        <v>4638108</v>
      </c>
      <c r="AP227">
        <v>4618777</v>
      </c>
      <c r="AQ227">
        <v>4597095</v>
      </c>
      <c r="AR227">
        <v>4572708</v>
      </c>
      <c r="AS227">
        <v>4545229</v>
      </c>
      <c r="AT227">
        <v>4514238</v>
      </c>
      <c r="AU227">
        <v>4479285</v>
      </c>
      <c r="AV227">
        <v>4439889</v>
      </c>
    </row>
    <row r="228" spans="1:48" x14ac:dyDescent="0.15">
      <c r="A228" t="s">
        <v>264</v>
      </c>
      <c r="B228" t="s">
        <v>646</v>
      </c>
      <c r="C228" t="s">
        <v>428</v>
      </c>
      <c r="D228" s="5">
        <v>2745158.3890497</v>
      </c>
      <c r="E228" s="5">
        <v>2760179.0158237899</v>
      </c>
      <c r="F228" s="5">
        <v>2775115.8819472701</v>
      </c>
      <c r="G228" s="5">
        <v>2545629</v>
      </c>
      <c r="H228">
        <v>2568066</v>
      </c>
      <c r="I228">
        <v>2589364</v>
      </c>
      <c r="J228">
        <v>2609429</v>
      </c>
      <c r="K228">
        <v>2628183</v>
      </c>
      <c r="L228">
        <v>2645551</v>
      </c>
      <c r="M228">
        <v>2661472</v>
      </c>
      <c r="N228">
        <v>2675891</v>
      </c>
      <c r="O228">
        <v>2688764</v>
      </c>
      <c r="P228">
        <v>2700056</v>
      </c>
      <c r="Q228">
        <v>2709741</v>
      </c>
      <c r="R228">
        <v>2717802</v>
      </c>
      <c r="S228">
        <v>2724231</v>
      </c>
      <c r="T228">
        <v>2729030</v>
      </c>
      <c r="U228">
        <v>2732210</v>
      </c>
      <c r="V228">
        <v>2733791</v>
      </c>
      <c r="W228">
        <v>2733803</v>
      </c>
      <c r="X228">
        <v>2732284</v>
      </c>
      <c r="Y228">
        <v>2729283</v>
      </c>
      <c r="Z228">
        <v>2724855</v>
      </c>
      <c r="AA228">
        <v>2719068</v>
      </c>
      <c r="AB228">
        <v>2711997</v>
      </c>
      <c r="AC228">
        <v>2703727</v>
      </c>
      <c r="AD228">
        <v>2694352</v>
      </c>
      <c r="AE228">
        <v>2683975</v>
      </c>
      <c r="AF228">
        <v>2672709</v>
      </c>
      <c r="AG228">
        <v>2660676</v>
      </c>
      <c r="AH228">
        <v>2648006</v>
      </c>
      <c r="AI228">
        <v>2634839</v>
      </c>
      <c r="AJ228">
        <v>2621326</v>
      </c>
      <c r="AK228">
        <v>2607625</v>
      </c>
      <c r="AL228">
        <v>2593904</v>
      </c>
      <c r="AM228">
        <v>2580340</v>
      </c>
      <c r="AN228">
        <v>2567120</v>
      </c>
      <c r="AO228">
        <v>2554438</v>
      </c>
      <c r="AP228">
        <v>2542500</v>
      </c>
      <c r="AQ228">
        <v>2531521</v>
      </c>
      <c r="AR228">
        <v>2521723</v>
      </c>
      <c r="AS228">
        <v>2513339</v>
      </c>
      <c r="AT228">
        <v>2506611</v>
      </c>
      <c r="AU228">
        <v>2501790</v>
      </c>
      <c r="AV228">
        <v>2499136</v>
      </c>
    </row>
    <row r="229" spans="1:48" x14ac:dyDescent="0.15">
      <c r="A229" t="s">
        <v>265</v>
      </c>
      <c r="B229" t="s">
        <v>647</v>
      </c>
      <c r="C229" t="s">
        <v>428</v>
      </c>
      <c r="D229" s="5">
        <v>6041985.2474779896</v>
      </c>
      <c r="E229" s="5">
        <v>6087620.5219506295</v>
      </c>
      <c r="F229" s="5">
        <v>6135830.8932041004</v>
      </c>
      <c r="G229" s="5">
        <v>5503202</v>
      </c>
      <c r="H229">
        <v>5577210</v>
      </c>
      <c r="I229">
        <v>5650335</v>
      </c>
      <c r="J229">
        <v>5722096</v>
      </c>
      <c r="K229">
        <v>5792048</v>
      </c>
      <c r="L229">
        <v>5859783</v>
      </c>
      <c r="M229">
        <v>5924930</v>
      </c>
      <c r="N229">
        <v>5987154</v>
      </c>
      <c r="O229">
        <v>6046158</v>
      </c>
      <c r="P229">
        <v>6101680</v>
      </c>
      <c r="Q229">
        <v>6153495</v>
      </c>
      <c r="R229">
        <v>6201417</v>
      </c>
      <c r="S229">
        <v>6245293</v>
      </c>
      <c r="T229">
        <v>6285010</v>
      </c>
      <c r="U229">
        <v>6320489</v>
      </c>
      <c r="V229">
        <v>6351689</v>
      </c>
      <c r="W229">
        <v>6378607</v>
      </c>
      <c r="X229">
        <v>6401273</v>
      </c>
      <c r="Y229">
        <v>6419759</v>
      </c>
      <c r="Z229">
        <v>6434168</v>
      </c>
      <c r="AA229">
        <v>6444644</v>
      </c>
      <c r="AB229">
        <v>6451366</v>
      </c>
      <c r="AC229">
        <v>6454549</v>
      </c>
      <c r="AD229">
        <v>6454446</v>
      </c>
      <c r="AE229">
        <v>6451346</v>
      </c>
      <c r="AF229">
        <v>6445575</v>
      </c>
      <c r="AG229">
        <v>6437495</v>
      </c>
      <c r="AH229">
        <v>6427506</v>
      </c>
      <c r="AI229">
        <v>6416043</v>
      </c>
      <c r="AJ229">
        <v>6403580</v>
      </c>
      <c r="AK229">
        <v>6390625</v>
      </c>
      <c r="AL229">
        <v>6377725</v>
      </c>
      <c r="AM229">
        <v>6365462</v>
      </c>
      <c r="AN229">
        <v>6354456</v>
      </c>
      <c r="AO229">
        <v>6345362</v>
      </c>
      <c r="AP229">
        <v>6338873</v>
      </c>
      <c r="AQ229">
        <v>6335720</v>
      </c>
      <c r="AR229">
        <v>6336668</v>
      </c>
      <c r="AS229">
        <v>6342519</v>
      </c>
      <c r="AT229">
        <v>6354114</v>
      </c>
      <c r="AU229">
        <v>6372328</v>
      </c>
      <c r="AV229">
        <v>6398075</v>
      </c>
    </row>
    <row r="230" spans="1:48" x14ac:dyDescent="0.15">
      <c r="A230" t="s">
        <v>266</v>
      </c>
      <c r="B230" t="s">
        <v>648</v>
      </c>
      <c r="C230" t="s">
        <v>428</v>
      </c>
      <c r="D230" s="5">
        <v>2418013.8592738099</v>
      </c>
      <c r="E230" s="5">
        <v>2427696.8641686901</v>
      </c>
      <c r="F230" s="5">
        <v>2437482.4666267</v>
      </c>
      <c r="G230" s="5">
        <v>2370029</v>
      </c>
      <c r="H230">
        <v>2383040</v>
      </c>
      <c r="I230">
        <v>2397176</v>
      </c>
      <c r="J230">
        <v>2412124</v>
      </c>
      <c r="K230">
        <v>2427591</v>
      </c>
      <c r="L230">
        <v>2443303</v>
      </c>
      <c r="M230">
        <v>2459003</v>
      </c>
      <c r="N230">
        <v>2474457</v>
      </c>
      <c r="O230">
        <v>2489448</v>
      </c>
      <c r="P230">
        <v>2503777</v>
      </c>
      <c r="Q230">
        <v>2517267</v>
      </c>
      <c r="R230">
        <v>2529758</v>
      </c>
      <c r="S230">
        <v>2541111</v>
      </c>
      <c r="T230">
        <v>2551203</v>
      </c>
      <c r="U230">
        <v>2559934</v>
      </c>
      <c r="V230">
        <v>2567221</v>
      </c>
      <c r="W230">
        <v>2573000</v>
      </c>
      <c r="X230">
        <v>2577227</v>
      </c>
      <c r="Y230">
        <v>2579878</v>
      </c>
      <c r="Z230">
        <v>2580946</v>
      </c>
      <c r="AA230">
        <v>2580444</v>
      </c>
      <c r="AB230">
        <v>2578405</v>
      </c>
      <c r="AC230">
        <v>2574881</v>
      </c>
      <c r="AD230">
        <v>2569942</v>
      </c>
      <c r="AE230">
        <v>2563679</v>
      </c>
      <c r="AF230">
        <v>2556200</v>
      </c>
      <c r="AG230">
        <v>2547634</v>
      </c>
      <c r="AH230">
        <v>2538128</v>
      </c>
      <c r="AI230">
        <v>2527848</v>
      </c>
      <c r="AJ230">
        <v>2516982</v>
      </c>
      <c r="AK230">
        <v>2505733</v>
      </c>
      <c r="AL230">
        <v>2494327</v>
      </c>
      <c r="AM230">
        <v>2483005</v>
      </c>
      <c r="AN230">
        <v>2472031</v>
      </c>
      <c r="AO230">
        <v>2461687</v>
      </c>
      <c r="AP230">
        <v>2452272</v>
      </c>
      <c r="AQ230">
        <v>2444108</v>
      </c>
      <c r="AR230">
        <v>2437534</v>
      </c>
      <c r="AS230">
        <v>2432907</v>
      </c>
      <c r="AT230">
        <v>2430606</v>
      </c>
      <c r="AU230">
        <v>2431026</v>
      </c>
      <c r="AV230">
        <v>2434585</v>
      </c>
    </row>
    <row r="231" spans="1:48" x14ac:dyDescent="0.15">
      <c r="A231" t="s">
        <v>268</v>
      </c>
      <c r="B231" t="s">
        <v>649</v>
      </c>
      <c r="C231" t="s">
        <v>428</v>
      </c>
      <c r="D231" s="5">
        <v>6955066.0237604501</v>
      </c>
      <c r="E231" s="5">
        <v>6993392.7827633303</v>
      </c>
      <c r="F231" s="5">
        <v>7028616.5489502205</v>
      </c>
      <c r="G231" s="5">
        <v>8683576</v>
      </c>
      <c r="H231">
        <v>8740684</v>
      </c>
      <c r="I231">
        <v>8794852</v>
      </c>
      <c r="J231">
        <v>8845919</v>
      </c>
      <c r="K231">
        <v>8893741</v>
      </c>
      <c r="L231">
        <v>8938189</v>
      </c>
      <c r="M231">
        <v>8979149</v>
      </c>
      <c r="N231">
        <v>9016520</v>
      </c>
      <c r="O231">
        <v>9050221</v>
      </c>
      <c r="P231">
        <v>9080181</v>
      </c>
      <c r="Q231">
        <v>9106348</v>
      </c>
      <c r="R231">
        <v>9128683</v>
      </c>
      <c r="S231">
        <v>9147164</v>
      </c>
      <c r="T231">
        <v>9161781</v>
      </c>
      <c r="U231">
        <v>9172544</v>
      </c>
      <c r="V231">
        <v>9179473</v>
      </c>
      <c r="W231">
        <v>9182606</v>
      </c>
      <c r="X231">
        <v>9181998</v>
      </c>
      <c r="Y231">
        <v>9177715</v>
      </c>
      <c r="Z231">
        <v>9169840</v>
      </c>
      <c r="AA231">
        <v>9158473</v>
      </c>
      <c r="AB231">
        <v>9143726</v>
      </c>
      <c r="AC231">
        <v>9125729</v>
      </c>
      <c r="AD231">
        <v>9104625</v>
      </c>
      <c r="AE231">
        <v>9080574</v>
      </c>
      <c r="AF231">
        <v>9053750</v>
      </c>
      <c r="AG231">
        <v>9024342</v>
      </c>
      <c r="AH231">
        <v>8992555</v>
      </c>
      <c r="AI231">
        <v>8958609</v>
      </c>
      <c r="AJ231">
        <v>8922740</v>
      </c>
      <c r="AK231">
        <v>8885196</v>
      </c>
      <c r="AL231">
        <v>8846244</v>
      </c>
      <c r="AM231">
        <v>8806164</v>
      </c>
      <c r="AN231">
        <v>8765253</v>
      </c>
      <c r="AO231">
        <v>8723820</v>
      </c>
      <c r="AP231">
        <v>8682193</v>
      </c>
      <c r="AQ231">
        <v>8640712</v>
      </c>
      <c r="AR231">
        <v>8599735</v>
      </c>
      <c r="AS231">
        <v>8559632</v>
      </c>
      <c r="AT231">
        <v>8520791</v>
      </c>
      <c r="AU231">
        <v>8483614</v>
      </c>
      <c r="AV231">
        <v>8448518</v>
      </c>
    </row>
    <row r="232" spans="1:48" x14ac:dyDescent="0.15">
      <c r="A232" t="s">
        <v>269</v>
      </c>
      <c r="B232" t="s">
        <v>650</v>
      </c>
      <c r="C232" t="s">
        <v>428</v>
      </c>
      <c r="D232" s="5">
        <v>3920759.7831693399</v>
      </c>
      <c r="E232" s="5">
        <v>3939237.3721481799</v>
      </c>
      <c r="F232" s="5">
        <v>3955583.0040229098</v>
      </c>
      <c r="G232" s="5">
        <v>4137334</v>
      </c>
      <c r="H232">
        <v>4157499</v>
      </c>
      <c r="I232">
        <v>4176425</v>
      </c>
      <c r="J232">
        <v>4194033</v>
      </c>
      <c r="K232">
        <v>4210248</v>
      </c>
      <c r="L232">
        <v>4225005</v>
      </c>
      <c r="M232">
        <v>4238243</v>
      </c>
      <c r="N232">
        <v>4249910</v>
      </c>
      <c r="O232">
        <v>4259961</v>
      </c>
      <c r="P232">
        <v>4268357</v>
      </c>
      <c r="Q232">
        <v>4275068</v>
      </c>
      <c r="R232">
        <v>4280069</v>
      </c>
      <c r="S232">
        <v>4283343</v>
      </c>
      <c r="T232">
        <v>4284880</v>
      </c>
      <c r="U232">
        <v>4284677</v>
      </c>
      <c r="V232">
        <v>4282739</v>
      </c>
      <c r="W232">
        <v>4279075</v>
      </c>
      <c r="X232">
        <v>4273706</v>
      </c>
      <c r="Y232">
        <v>4266655</v>
      </c>
      <c r="Z232">
        <v>4257955</v>
      </c>
      <c r="AA232">
        <v>4247646</v>
      </c>
      <c r="AB232">
        <v>4235775</v>
      </c>
      <c r="AC232">
        <v>4222394</v>
      </c>
      <c r="AD232">
        <v>4207564</v>
      </c>
      <c r="AE232">
        <v>4191353</v>
      </c>
      <c r="AF232">
        <v>4173837</v>
      </c>
      <c r="AG232">
        <v>4155095</v>
      </c>
      <c r="AH232">
        <v>4135218</v>
      </c>
      <c r="AI232">
        <v>4114302</v>
      </c>
      <c r="AJ232">
        <v>4092449</v>
      </c>
      <c r="AK232">
        <v>4069769</v>
      </c>
      <c r="AL232">
        <v>4046380</v>
      </c>
      <c r="AM232">
        <v>4022406</v>
      </c>
      <c r="AN232">
        <v>3997978</v>
      </c>
      <c r="AO232">
        <v>3973234</v>
      </c>
      <c r="AP232">
        <v>3948320</v>
      </c>
      <c r="AQ232">
        <v>3923388</v>
      </c>
      <c r="AR232">
        <v>3898598</v>
      </c>
      <c r="AS232">
        <v>3874116</v>
      </c>
      <c r="AT232">
        <v>3850116</v>
      </c>
      <c r="AU232">
        <v>3826778</v>
      </c>
      <c r="AV232">
        <v>3804292</v>
      </c>
    </row>
    <row r="233" spans="1:48" x14ac:dyDescent="0.15">
      <c r="A233" t="s">
        <v>270</v>
      </c>
      <c r="B233" t="s">
        <v>651</v>
      </c>
      <c r="C233" t="s">
        <v>428</v>
      </c>
      <c r="D233" s="5">
        <v>4926187.4009569101</v>
      </c>
      <c r="E233" s="5">
        <v>4943269.37018451</v>
      </c>
      <c r="F233" s="5">
        <v>4957410.4461464398</v>
      </c>
      <c r="G233" s="5">
        <v>4916630</v>
      </c>
      <c r="H233">
        <v>4930503</v>
      </c>
      <c r="I233">
        <v>4943258</v>
      </c>
      <c r="J233">
        <v>4954786</v>
      </c>
      <c r="K233">
        <v>4964986</v>
      </c>
      <c r="L233">
        <v>4973767</v>
      </c>
      <c r="M233">
        <v>4981047</v>
      </c>
      <c r="N233">
        <v>4986751</v>
      </c>
      <c r="O233">
        <v>4990816</v>
      </c>
      <c r="P233">
        <v>4993187</v>
      </c>
      <c r="Q233">
        <v>4993815</v>
      </c>
      <c r="R233">
        <v>4992665</v>
      </c>
      <c r="S233">
        <v>4989707</v>
      </c>
      <c r="T233">
        <v>4984922</v>
      </c>
      <c r="U233">
        <v>4978300</v>
      </c>
      <c r="V233">
        <v>4969838</v>
      </c>
      <c r="W233">
        <v>4959544</v>
      </c>
      <c r="X233">
        <v>4947434</v>
      </c>
      <c r="Y233">
        <v>4933535</v>
      </c>
      <c r="Z233">
        <v>4917879</v>
      </c>
      <c r="AA233">
        <v>4900511</v>
      </c>
      <c r="AB233">
        <v>4881482</v>
      </c>
      <c r="AC233">
        <v>4860855</v>
      </c>
      <c r="AD233">
        <v>4838698</v>
      </c>
      <c r="AE233">
        <v>4815092</v>
      </c>
      <c r="AF233">
        <v>4790125</v>
      </c>
      <c r="AG233">
        <v>4763893</v>
      </c>
      <c r="AH233">
        <v>4736504</v>
      </c>
      <c r="AI233">
        <v>4708072</v>
      </c>
      <c r="AJ233">
        <v>4678721</v>
      </c>
      <c r="AK233">
        <v>4648585</v>
      </c>
      <c r="AL233">
        <v>4617805</v>
      </c>
      <c r="AM233">
        <v>4586533</v>
      </c>
      <c r="AN233">
        <v>4554929</v>
      </c>
      <c r="AO233">
        <v>4523162</v>
      </c>
      <c r="AP233">
        <v>4491409</v>
      </c>
      <c r="AQ233">
        <v>4459859</v>
      </c>
      <c r="AR233">
        <v>4428706</v>
      </c>
      <c r="AS233">
        <v>4398157</v>
      </c>
      <c r="AT233">
        <v>4368424</v>
      </c>
      <c r="AU233">
        <v>4339731</v>
      </c>
      <c r="AV233">
        <v>4312310</v>
      </c>
    </row>
    <row r="234" spans="1:48" x14ac:dyDescent="0.15">
      <c r="A234" t="s">
        <v>271</v>
      </c>
      <c r="B234" t="s">
        <v>652</v>
      </c>
      <c r="C234" t="s">
        <v>428</v>
      </c>
      <c r="D234" s="5">
        <v>2973832.91552549</v>
      </c>
      <c r="E234" s="5">
        <v>2987092.27154885</v>
      </c>
      <c r="F234" s="5">
        <v>2999999.7470618701</v>
      </c>
      <c r="G234" s="5">
        <v>2806203</v>
      </c>
      <c r="H234">
        <v>2820636</v>
      </c>
      <c r="I234">
        <v>2836932</v>
      </c>
      <c r="J234">
        <v>2854696</v>
      </c>
      <c r="K234">
        <v>2873555</v>
      </c>
      <c r="L234">
        <v>2893160</v>
      </c>
      <c r="M234">
        <v>2913183</v>
      </c>
      <c r="N234">
        <v>2933319</v>
      </c>
      <c r="O234">
        <v>2953284</v>
      </c>
      <c r="P234">
        <v>2972819</v>
      </c>
      <c r="Q234">
        <v>2991686</v>
      </c>
      <c r="R234">
        <v>3009668</v>
      </c>
      <c r="S234">
        <v>3026574</v>
      </c>
      <c r="T234">
        <v>3042232</v>
      </c>
      <c r="U234">
        <v>3056494</v>
      </c>
      <c r="V234">
        <v>3069234</v>
      </c>
      <c r="W234">
        <v>3080349</v>
      </c>
      <c r="X234">
        <v>3089759</v>
      </c>
      <c r="Y234">
        <v>3097403</v>
      </c>
      <c r="Z234">
        <v>3103248</v>
      </c>
      <c r="AA234">
        <v>3107278</v>
      </c>
      <c r="AB234">
        <v>3109502</v>
      </c>
      <c r="AC234">
        <v>3109952</v>
      </c>
      <c r="AD234">
        <v>3108682</v>
      </c>
      <c r="AE234">
        <v>3105767</v>
      </c>
      <c r="AF234">
        <v>3101306</v>
      </c>
      <c r="AG234">
        <v>3095420</v>
      </c>
      <c r="AH234">
        <v>3088252</v>
      </c>
      <c r="AI234">
        <v>3079968</v>
      </c>
      <c r="AJ234">
        <v>3070756</v>
      </c>
      <c r="AK234">
        <v>3060828</v>
      </c>
      <c r="AL234">
        <v>3050415</v>
      </c>
      <c r="AM234">
        <v>3039773</v>
      </c>
      <c r="AN234">
        <v>3029181</v>
      </c>
      <c r="AO234">
        <v>3018938</v>
      </c>
      <c r="AP234">
        <v>3009368</v>
      </c>
      <c r="AQ234">
        <v>3000815</v>
      </c>
      <c r="AR234">
        <v>2993648</v>
      </c>
      <c r="AS234">
        <v>2988256</v>
      </c>
      <c r="AT234">
        <v>2985052</v>
      </c>
      <c r="AU234">
        <v>2984470</v>
      </c>
      <c r="AV234">
        <v>2986969</v>
      </c>
    </row>
    <row r="235" spans="1:48" x14ac:dyDescent="0.15">
      <c r="A235" t="s">
        <v>272</v>
      </c>
      <c r="B235" t="s">
        <v>653</v>
      </c>
      <c r="C235" t="s">
        <v>428</v>
      </c>
      <c r="D235" s="5">
        <v>1595897.1890759401</v>
      </c>
      <c r="E235" s="5">
        <v>1603520.90010576</v>
      </c>
      <c r="F235" s="5">
        <v>1610691.5560063501</v>
      </c>
      <c r="G235" s="5">
        <v>1842468</v>
      </c>
      <c r="H235">
        <v>1852987</v>
      </c>
      <c r="I235">
        <v>1863730</v>
      </c>
      <c r="J235">
        <v>1874559</v>
      </c>
      <c r="K235">
        <v>1885344</v>
      </c>
      <c r="L235">
        <v>1895963</v>
      </c>
      <c r="M235">
        <v>1906303</v>
      </c>
      <c r="N235">
        <v>1916260</v>
      </c>
      <c r="O235">
        <v>1925739</v>
      </c>
      <c r="P235">
        <v>1934652</v>
      </c>
      <c r="Q235">
        <v>1942921</v>
      </c>
      <c r="R235">
        <v>1950476</v>
      </c>
      <c r="S235">
        <v>1957256</v>
      </c>
      <c r="T235">
        <v>1963209</v>
      </c>
      <c r="U235">
        <v>1968290</v>
      </c>
      <c r="V235">
        <v>1972465</v>
      </c>
      <c r="W235">
        <v>1975707</v>
      </c>
      <c r="X235">
        <v>1977998</v>
      </c>
      <c r="Y235">
        <v>1979328</v>
      </c>
      <c r="Z235">
        <v>1979697</v>
      </c>
      <c r="AA235">
        <v>1979113</v>
      </c>
      <c r="AB235">
        <v>1977591</v>
      </c>
      <c r="AC235">
        <v>1975158</v>
      </c>
      <c r="AD235">
        <v>1971848</v>
      </c>
      <c r="AE235">
        <v>1967701</v>
      </c>
      <c r="AF235">
        <v>1962771</v>
      </c>
      <c r="AG235">
        <v>1957115</v>
      </c>
      <c r="AH235">
        <v>1950803</v>
      </c>
      <c r="AI235">
        <v>1943912</v>
      </c>
      <c r="AJ235">
        <v>1936526</v>
      </c>
      <c r="AK235">
        <v>1928741</v>
      </c>
      <c r="AL235">
        <v>1920659</v>
      </c>
      <c r="AM235">
        <v>1912391</v>
      </c>
      <c r="AN235">
        <v>1904058</v>
      </c>
      <c r="AO235">
        <v>1895787</v>
      </c>
      <c r="AP235">
        <v>1887718</v>
      </c>
      <c r="AQ235">
        <v>1879994</v>
      </c>
      <c r="AR235">
        <v>1872772</v>
      </c>
      <c r="AS235">
        <v>1866214</v>
      </c>
      <c r="AT235">
        <v>1860492</v>
      </c>
      <c r="AU235">
        <v>1855787</v>
      </c>
      <c r="AV235">
        <v>1852287</v>
      </c>
    </row>
    <row r="236" spans="1:48" x14ac:dyDescent="0.15">
      <c r="A236" t="s">
        <v>273</v>
      </c>
      <c r="B236" t="s">
        <v>654</v>
      </c>
      <c r="C236" t="s">
        <v>428</v>
      </c>
      <c r="D236" s="5">
        <v>907787.67412912298</v>
      </c>
      <c r="E236" s="5">
        <v>912420.09486459498</v>
      </c>
      <c r="F236" s="5">
        <v>916628.73697331501</v>
      </c>
      <c r="G236" s="5">
        <v>1041397</v>
      </c>
      <c r="H236">
        <v>1045958</v>
      </c>
      <c r="I236">
        <v>1050942</v>
      </c>
      <c r="J236">
        <v>1056249</v>
      </c>
      <c r="K236">
        <v>1061784</v>
      </c>
      <c r="L236">
        <v>1067458</v>
      </c>
      <c r="M236">
        <v>1073187</v>
      </c>
      <c r="N236">
        <v>1078891</v>
      </c>
      <c r="O236">
        <v>1084497</v>
      </c>
      <c r="P236">
        <v>1089938</v>
      </c>
      <c r="Q236">
        <v>1095151</v>
      </c>
      <c r="R236">
        <v>1100079</v>
      </c>
      <c r="S236">
        <v>1104670</v>
      </c>
      <c r="T236">
        <v>1108878</v>
      </c>
      <c r="U236">
        <v>1112663</v>
      </c>
      <c r="V236">
        <v>1115989</v>
      </c>
      <c r="W236">
        <v>1118826</v>
      </c>
      <c r="X236">
        <v>1121151</v>
      </c>
      <c r="Y236">
        <v>1122943</v>
      </c>
      <c r="Z236">
        <v>1124190</v>
      </c>
      <c r="AA236">
        <v>1124884</v>
      </c>
      <c r="AB236">
        <v>1125021</v>
      </c>
      <c r="AC236">
        <v>1124604</v>
      </c>
      <c r="AD236">
        <v>1123642</v>
      </c>
      <c r="AE236">
        <v>1122149</v>
      </c>
      <c r="AF236">
        <v>1120143</v>
      </c>
      <c r="AG236">
        <v>1117649</v>
      </c>
      <c r="AH236">
        <v>1114697</v>
      </c>
      <c r="AI236">
        <v>1111322</v>
      </c>
      <c r="AJ236">
        <v>1107566</v>
      </c>
      <c r="AK236">
        <v>1103473</v>
      </c>
      <c r="AL236">
        <v>1099097</v>
      </c>
      <c r="AM236">
        <v>1094494</v>
      </c>
      <c r="AN236">
        <v>1089727</v>
      </c>
      <c r="AO236">
        <v>1084864</v>
      </c>
      <c r="AP236">
        <v>1079978</v>
      </c>
      <c r="AQ236">
        <v>1075147</v>
      </c>
      <c r="AR236">
        <v>1070458</v>
      </c>
      <c r="AS236">
        <v>1065998</v>
      </c>
      <c r="AT236">
        <v>1061864</v>
      </c>
      <c r="AU236">
        <v>1058156</v>
      </c>
      <c r="AV236">
        <v>1054980</v>
      </c>
    </row>
    <row r="237" spans="1:48" x14ac:dyDescent="0.15">
      <c r="A237" t="s">
        <v>274</v>
      </c>
      <c r="B237" t="s">
        <v>655</v>
      </c>
      <c r="C237" t="s">
        <v>428</v>
      </c>
      <c r="D237" s="5">
        <v>3179662.3376341201</v>
      </c>
      <c r="E237" s="5">
        <v>3191040.2385773999</v>
      </c>
      <c r="F237" s="5">
        <v>3201854.5457502101</v>
      </c>
      <c r="G237" s="5">
        <v>3295763</v>
      </c>
      <c r="H237">
        <v>3301850</v>
      </c>
      <c r="I237">
        <v>3312742</v>
      </c>
      <c r="J237">
        <v>3327718</v>
      </c>
      <c r="K237">
        <v>3346096</v>
      </c>
      <c r="L237">
        <v>3367233</v>
      </c>
      <c r="M237">
        <v>3390520</v>
      </c>
      <c r="N237">
        <v>3415389</v>
      </c>
      <c r="O237">
        <v>3441307</v>
      </c>
      <c r="P237">
        <v>3467780</v>
      </c>
      <c r="Q237">
        <v>3494351</v>
      </c>
      <c r="R237">
        <v>3520601</v>
      </c>
      <c r="S237">
        <v>3546148</v>
      </c>
      <c r="T237">
        <v>3570647</v>
      </c>
      <c r="U237">
        <v>3593793</v>
      </c>
      <c r="V237">
        <v>3615314</v>
      </c>
      <c r="W237">
        <v>3634981</v>
      </c>
      <c r="X237">
        <v>3652598</v>
      </c>
      <c r="Y237">
        <v>3668009</v>
      </c>
      <c r="Z237">
        <v>3681095</v>
      </c>
      <c r="AA237">
        <v>3691773</v>
      </c>
      <c r="AB237">
        <v>3700001</v>
      </c>
      <c r="AC237">
        <v>3705771</v>
      </c>
      <c r="AD237">
        <v>3709115</v>
      </c>
      <c r="AE237">
        <v>3710100</v>
      </c>
      <c r="AF237">
        <v>3708834</v>
      </c>
      <c r="AG237">
        <v>3705459</v>
      </c>
      <c r="AH237">
        <v>3700156</v>
      </c>
      <c r="AI237">
        <v>3693144</v>
      </c>
      <c r="AJ237">
        <v>3684680</v>
      </c>
      <c r="AK237">
        <v>3675056</v>
      </c>
      <c r="AL237">
        <v>3664605</v>
      </c>
      <c r="AM237">
        <v>3653694</v>
      </c>
      <c r="AN237">
        <v>3642730</v>
      </c>
      <c r="AO237">
        <v>3632157</v>
      </c>
      <c r="AP237">
        <v>3622456</v>
      </c>
      <c r="AQ237">
        <v>3614145</v>
      </c>
      <c r="AR237">
        <v>3607782</v>
      </c>
      <c r="AS237">
        <v>3603960</v>
      </c>
      <c r="AT237">
        <v>3603311</v>
      </c>
      <c r="AU237">
        <v>3606503</v>
      </c>
      <c r="AV237">
        <v>3614242</v>
      </c>
    </row>
    <row r="238" spans="1:48" x14ac:dyDescent="0.15">
      <c r="A238" t="s">
        <v>275</v>
      </c>
      <c r="B238" t="s">
        <v>656</v>
      </c>
      <c r="C238" t="s">
        <v>428</v>
      </c>
      <c r="D238" s="5">
        <v>4242172.43083046</v>
      </c>
      <c r="E238" s="5">
        <v>4259540.35013422</v>
      </c>
      <c r="F238" s="5">
        <v>4276546.7811830696</v>
      </c>
      <c r="G238" s="5">
        <v>4298711</v>
      </c>
      <c r="H238">
        <v>4315747</v>
      </c>
      <c r="I238">
        <v>4337174</v>
      </c>
      <c r="J238">
        <v>4362219</v>
      </c>
      <c r="K238">
        <v>4390157</v>
      </c>
      <c r="L238">
        <v>4420301</v>
      </c>
      <c r="M238">
        <v>4452008</v>
      </c>
      <c r="N238">
        <v>4484678</v>
      </c>
      <c r="O238">
        <v>4517752</v>
      </c>
      <c r="P238">
        <v>4550712</v>
      </c>
      <c r="Q238">
        <v>4583084</v>
      </c>
      <c r="R238">
        <v>4614435</v>
      </c>
      <c r="S238">
        <v>4644376</v>
      </c>
      <c r="T238">
        <v>4672559</v>
      </c>
      <c r="U238">
        <v>4698677</v>
      </c>
      <c r="V238">
        <v>4722467</v>
      </c>
      <c r="W238">
        <v>4743707</v>
      </c>
      <c r="X238">
        <v>4762218</v>
      </c>
      <c r="Y238">
        <v>4777862</v>
      </c>
      <c r="Z238">
        <v>4790545</v>
      </c>
      <c r="AA238">
        <v>4800213</v>
      </c>
      <c r="AB238">
        <v>4806857</v>
      </c>
      <c r="AC238">
        <v>4810506</v>
      </c>
      <c r="AD238">
        <v>4811235</v>
      </c>
      <c r="AE238">
        <v>4809159</v>
      </c>
      <c r="AF238">
        <v>4804437</v>
      </c>
      <c r="AG238">
        <v>4797269</v>
      </c>
      <c r="AH238">
        <v>4787896</v>
      </c>
      <c r="AI238">
        <v>4776603</v>
      </c>
      <c r="AJ238">
        <v>4763717</v>
      </c>
      <c r="AK238">
        <v>4749607</v>
      </c>
      <c r="AL238">
        <v>4734683</v>
      </c>
      <c r="AM238">
        <v>4719398</v>
      </c>
      <c r="AN238">
        <v>4704248</v>
      </c>
      <c r="AO238">
        <v>4689769</v>
      </c>
      <c r="AP238">
        <v>4676543</v>
      </c>
      <c r="AQ238">
        <v>4665189</v>
      </c>
      <c r="AR238">
        <v>4656373</v>
      </c>
      <c r="AS238">
        <v>4650800</v>
      </c>
      <c r="AT238">
        <v>4649218</v>
      </c>
      <c r="AU238">
        <v>4652418</v>
      </c>
      <c r="AV238">
        <v>4661233</v>
      </c>
    </row>
    <row r="239" spans="1:48" x14ac:dyDescent="0.15">
      <c r="A239" t="s">
        <v>276</v>
      </c>
      <c r="B239" t="s">
        <v>657</v>
      </c>
      <c r="C239" t="s">
        <v>428</v>
      </c>
      <c r="D239" s="5">
        <v>5683496.7855681404</v>
      </c>
      <c r="E239" s="5">
        <v>5707354.0238568401</v>
      </c>
      <c r="F239" s="5">
        <v>5730004.3753183298</v>
      </c>
      <c r="G239" s="5">
        <v>5778041</v>
      </c>
      <c r="H239">
        <v>5796147</v>
      </c>
      <c r="I239">
        <v>5820721</v>
      </c>
      <c r="J239">
        <v>5850711</v>
      </c>
      <c r="K239">
        <v>5885124</v>
      </c>
      <c r="L239">
        <v>5923017</v>
      </c>
      <c r="M239">
        <v>5963509</v>
      </c>
      <c r="N239">
        <v>6005770</v>
      </c>
      <c r="O239">
        <v>6049028</v>
      </c>
      <c r="P239">
        <v>6092567</v>
      </c>
      <c r="Q239">
        <v>6135725</v>
      </c>
      <c r="R239">
        <v>6177899</v>
      </c>
      <c r="S239">
        <v>6218538</v>
      </c>
      <c r="T239">
        <v>6257150</v>
      </c>
      <c r="U239">
        <v>6293297</v>
      </c>
      <c r="V239">
        <v>6326598</v>
      </c>
      <c r="W239">
        <v>6356726</v>
      </c>
      <c r="X239">
        <v>6383411</v>
      </c>
      <c r="Y239">
        <v>6406439</v>
      </c>
      <c r="Z239">
        <v>6425653</v>
      </c>
      <c r="AA239">
        <v>6440948</v>
      </c>
      <c r="AB239">
        <v>6452278</v>
      </c>
      <c r="AC239">
        <v>6459653</v>
      </c>
      <c r="AD239">
        <v>6463137</v>
      </c>
      <c r="AE239">
        <v>6462850</v>
      </c>
      <c r="AF239">
        <v>6458970</v>
      </c>
      <c r="AG239">
        <v>6451727</v>
      </c>
      <c r="AH239">
        <v>6441411</v>
      </c>
      <c r="AI239">
        <v>6428365</v>
      </c>
      <c r="AJ239">
        <v>6412989</v>
      </c>
      <c r="AK239">
        <v>6395738</v>
      </c>
      <c r="AL239">
        <v>6377124</v>
      </c>
      <c r="AM239">
        <v>6357713</v>
      </c>
      <c r="AN239">
        <v>6338129</v>
      </c>
      <c r="AO239">
        <v>6319049</v>
      </c>
      <c r="AP239">
        <v>6301210</v>
      </c>
      <c r="AQ239">
        <v>6285400</v>
      </c>
      <c r="AR239">
        <v>6272466</v>
      </c>
      <c r="AS239">
        <v>6263311</v>
      </c>
      <c r="AT239">
        <v>6258891</v>
      </c>
      <c r="AU239">
        <v>6260221</v>
      </c>
      <c r="AV239">
        <v>6268369</v>
      </c>
    </row>
    <row r="240" spans="1:48" x14ac:dyDescent="0.15">
      <c r="A240" t="s">
        <v>277</v>
      </c>
      <c r="B240" t="s">
        <v>658</v>
      </c>
      <c r="C240" t="s">
        <v>428</v>
      </c>
      <c r="D240" s="5">
        <v>3606045.9791643899</v>
      </c>
      <c r="E240" s="5">
        <v>3620622.6046595201</v>
      </c>
      <c r="F240" s="5">
        <v>3633482.9421170801</v>
      </c>
      <c r="G240" s="5">
        <v>3561458</v>
      </c>
      <c r="H240">
        <v>3571155</v>
      </c>
      <c r="I240">
        <v>3582475</v>
      </c>
      <c r="J240">
        <v>3595064</v>
      </c>
      <c r="K240">
        <v>3608585</v>
      </c>
      <c r="L240">
        <v>3622724</v>
      </c>
      <c r="M240">
        <v>3637182</v>
      </c>
      <c r="N240">
        <v>3651683</v>
      </c>
      <c r="O240">
        <v>3665968</v>
      </c>
      <c r="P240">
        <v>3679798</v>
      </c>
      <c r="Q240">
        <v>3692953</v>
      </c>
      <c r="R240">
        <v>3705234</v>
      </c>
      <c r="S240">
        <v>3716460</v>
      </c>
      <c r="T240">
        <v>3726468</v>
      </c>
      <c r="U240">
        <v>3735118</v>
      </c>
      <c r="V240">
        <v>3742285</v>
      </c>
      <c r="W240">
        <v>3747866</v>
      </c>
      <c r="X240">
        <v>3751778</v>
      </c>
      <c r="Y240">
        <v>3753955</v>
      </c>
      <c r="Z240">
        <v>3754351</v>
      </c>
      <c r="AA240">
        <v>3752942</v>
      </c>
      <c r="AB240">
        <v>3749718</v>
      </c>
      <c r="AC240">
        <v>3744694</v>
      </c>
      <c r="AD240">
        <v>3737901</v>
      </c>
      <c r="AE240">
        <v>3729390</v>
      </c>
      <c r="AF240">
        <v>3719231</v>
      </c>
      <c r="AG240">
        <v>3707515</v>
      </c>
      <c r="AH240">
        <v>3694350</v>
      </c>
      <c r="AI240">
        <v>3679865</v>
      </c>
      <c r="AJ240">
        <v>3664208</v>
      </c>
      <c r="AK240">
        <v>3647546</v>
      </c>
      <c r="AL240">
        <v>3630065</v>
      </c>
      <c r="AM240">
        <v>3611971</v>
      </c>
      <c r="AN240">
        <v>3593490</v>
      </c>
      <c r="AO240">
        <v>3574865</v>
      </c>
      <c r="AP240">
        <v>3556361</v>
      </c>
      <c r="AQ240">
        <v>3538261</v>
      </c>
      <c r="AR240">
        <v>3520867</v>
      </c>
      <c r="AS240">
        <v>3504501</v>
      </c>
      <c r="AT240">
        <v>3489504</v>
      </c>
      <c r="AU240">
        <v>3476238</v>
      </c>
      <c r="AV240">
        <v>3465080</v>
      </c>
    </row>
    <row r="241" spans="1:48" x14ac:dyDescent="0.15">
      <c r="A241" t="s">
        <v>278</v>
      </c>
      <c r="B241" t="s">
        <v>659</v>
      </c>
      <c r="C241" t="s">
        <v>428</v>
      </c>
      <c r="D241" s="5">
        <v>2023526.8866759799</v>
      </c>
      <c r="E241" s="5">
        <v>2032670.2922691901</v>
      </c>
      <c r="F241" s="5">
        <v>2041312.88051887</v>
      </c>
      <c r="G241" s="5">
        <v>1997805</v>
      </c>
      <c r="H241">
        <v>2007622</v>
      </c>
      <c r="I241">
        <v>2018329</v>
      </c>
      <c r="J241">
        <v>2029709</v>
      </c>
      <c r="K241">
        <v>2041553</v>
      </c>
      <c r="L241">
        <v>2053669</v>
      </c>
      <c r="M241">
        <v>2065876</v>
      </c>
      <c r="N241">
        <v>2078004</v>
      </c>
      <c r="O241">
        <v>2089897</v>
      </c>
      <c r="P241">
        <v>2101413</v>
      </c>
      <c r="Q241">
        <v>2112419</v>
      </c>
      <c r="R241">
        <v>2122799</v>
      </c>
      <c r="S241">
        <v>2132446</v>
      </c>
      <c r="T241">
        <v>2141267</v>
      </c>
      <c r="U241">
        <v>2149182</v>
      </c>
      <c r="V241">
        <v>2156123</v>
      </c>
      <c r="W241">
        <v>2162035</v>
      </c>
      <c r="X241">
        <v>2166874</v>
      </c>
      <c r="Y241">
        <v>2170612</v>
      </c>
      <c r="Z241">
        <v>2173230</v>
      </c>
      <c r="AA241">
        <v>2174724</v>
      </c>
      <c r="AB241">
        <v>2175101</v>
      </c>
      <c r="AC241">
        <v>2174383</v>
      </c>
      <c r="AD241">
        <v>2172601</v>
      </c>
      <c r="AE241">
        <v>2169801</v>
      </c>
      <c r="AF241">
        <v>2166042</v>
      </c>
      <c r="AG241">
        <v>2161394</v>
      </c>
      <c r="AH241">
        <v>2155941</v>
      </c>
      <c r="AI241">
        <v>2149779</v>
      </c>
      <c r="AJ241">
        <v>2143015</v>
      </c>
      <c r="AK241">
        <v>2135772</v>
      </c>
      <c r="AL241">
        <v>2128184</v>
      </c>
      <c r="AM241">
        <v>2120395</v>
      </c>
      <c r="AN241">
        <v>2112567</v>
      </c>
      <c r="AO241">
        <v>2104869</v>
      </c>
      <c r="AP241">
        <v>2097487</v>
      </c>
      <c r="AQ241">
        <v>2090616</v>
      </c>
      <c r="AR241">
        <v>2084467</v>
      </c>
      <c r="AS241">
        <v>2079262</v>
      </c>
      <c r="AT241">
        <v>2075234</v>
      </c>
      <c r="AU241">
        <v>2072632</v>
      </c>
      <c r="AV241">
        <v>2071714</v>
      </c>
    </row>
    <row r="242" spans="1:48" x14ac:dyDescent="0.15">
      <c r="A242" t="s">
        <v>279</v>
      </c>
      <c r="B242" t="s">
        <v>660</v>
      </c>
      <c r="C242" t="s">
        <v>428</v>
      </c>
      <c r="D242" s="5">
        <v>3491503.2083713799</v>
      </c>
      <c r="E242" s="5">
        <v>3503148.86344779</v>
      </c>
      <c r="F242" s="5">
        <v>3513220.3928464199</v>
      </c>
      <c r="G242" s="5">
        <v>3412574</v>
      </c>
      <c r="H242">
        <v>3417554</v>
      </c>
      <c r="I242">
        <v>3424955</v>
      </c>
      <c r="J242">
        <v>3434346</v>
      </c>
      <c r="K242">
        <v>3445318</v>
      </c>
      <c r="L242">
        <v>3457486</v>
      </c>
      <c r="M242">
        <v>3470488</v>
      </c>
      <c r="N242">
        <v>3483984</v>
      </c>
      <c r="O242">
        <v>3497658</v>
      </c>
      <c r="P242">
        <v>3511215</v>
      </c>
      <c r="Q242">
        <v>3524386</v>
      </c>
      <c r="R242">
        <v>3536922</v>
      </c>
      <c r="S242">
        <v>3548599</v>
      </c>
      <c r="T242">
        <v>3559216</v>
      </c>
      <c r="U242">
        <v>3568592</v>
      </c>
      <c r="V242">
        <v>3576573</v>
      </c>
      <c r="W242">
        <v>3583024</v>
      </c>
      <c r="X242">
        <v>3587837</v>
      </c>
      <c r="Y242">
        <v>3590924</v>
      </c>
      <c r="Z242">
        <v>3592220</v>
      </c>
      <c r="AA242">
        <v>3591685</v>
      </c>
      <c r="AB242">
        <v>3589300</v>
      </c>
      <c r="AC242">
        <v>3585070</v>
      </c>
      <c r="AD242">
        <v>3579023</v>
      </c>
      <c r="AE242">
        <v>3571208</v>
      </c>
      <c r="AF242">
        <v>3561700</v>
      </c>
      <c r="AG242">
        <v>3550594</v>
      </c>
      <c r="AH242">
        <v>3538011</v>
      </c>
      <c r="AI242">
        <v>3524092</v>
      </c>
      <c r="AJ242">
        <v>3509002</v>
      </c>
      <c r="AK242">
        <v>3492930</v>
      </c>
      <c r="AL242">
        <v>3476087</v>
      </c>
      <c r="AM242">
        <v>3458707</v>
      </c>
      <c r="AN242">
        <v>3441047</v>
      </c>
      <c r="AO242">
        <v>3423387</v>
      </c>
      <c r="AP242">
        <v>3406029</v>
      </c>
      <c r="AQ242">
        <v>3389300</v>
      </c>
      <c r="AR242">
        <v>3373548</v>
      </c>
      <c r="AS242">
        <v>3359145</v>
      </c>
      <c r="AT242">
        <v>3346486</v>
      </c>
      <c r="AU242">
        <v>3335988</v>
      </c>
      <c r="AV242">
        <v>3328091</v>
      </c>
    </row>
    <row r="243" spans="1:48" x14ac:dyDescent="0.15">
      <c r="A243" t="s">
        <v>280</v>
      </c>
      <c r="B243" t="s">
        <v>661</v>
      </c>
      <c r="C243" t="s">
        <v>428</v>
      </c>
      <c r="D243" s="5">
        <v>2179016.0652251099</v>
      </c>
      <c r="E243" s="5">
        <v>2187529.1907885401</v>
      </c>
      <c r="F243" s="5">
        <v>2195112.92752147</v>
      </c>
      <c r="G243" s="5">
        <v>2068047</v>
      </c>
      <c r="H243">
        <v>2074343</v>
      </c>
      <c r="I243">
        <v>2081525</v>
      </c>
      <c r="J243">
        <v>2089391</v>
      </c>
      <c r="K243">
        <v>2097752</v>
      </c>
      <c r="L243">
        <v>2106427</v>
      </c>
      <c r="M243">
        <v>2115248</v>
      </c>
      <c r="N243">
        <v>2124057</v>
      </c>
      <c r="O243">
        <v>2132708</v>
      </c>
      <c r="P243">
        <v>2141067</v>
      </c>
      <c r="Q243">
        <v>2149009</v>
      </c>
      <c r="R243">
        <v>2156421</v>
      </c>
      <c r="S243">
        <v>2163202</v>
      </c>
      <c r="T243">
        <v>2169261</v>
      </c>
      <c r="U243">
        <v>2174518</v>
      </c>
      <c r="V243">
        <v>2178906</v>
      </c>
      <c r="W243">
        <v>2182367</v>
      </c>
      <c r="X243">
        <v>2184854</v>
      </c>
      <c r="Y243">
        <v>2186333</v>
      </c>
      <c r="Z243">
        <v>2186781</v>
      </c>
      <c r="AA243">
        <v>2186183</v>
      </c>
      <c r="AB243">
        <v>2184539</v>
      </c>
      <c r="AC243">
        <v>2181858</v>
      </c>
      <c r="AD243">
        <v>2178160</v>
      </c>
      <c r="AE243">
        <v>2173478</v>
      </c>
      <c r="AF243">
        <v>2167854</v>
      </c>
      <c r="AG243">
        <v>2161342</v>
      </c>
      <c r="AH243">
        <v>2154007</v>
      </c>
      <c r="AI243">
        <v>2145926</v>
      </c>
      <c r="AJ243">
        <v>2137185</v>
      </c>
      <c r="AK243">
        <v>2127884</v>
      </c>
      <c r="AL243">
        <v>2118131</v>
      </c>
      <c r="AM243">
        <v>2108048</v>
      </c>
      <c r="AN243">
        <v>2097766</v>
      </c>
      <c r="AO243">
        <v>2087428</v>
      </c>
      <c r="AP243">
        <v>2077188</v>
      </c>
      <c r="AQ243">
        <v>2067211</v>
      </c>
      <c r="AR243">
        <v>2057674</v>
      </c>
      <c r="AS243">
        <v>2048765</v>
      </c>
      <c r="AT243">
        <v>2040680</v>
      </c>
      <c r="AU243">
        <v>2033631</v>
      </c>
      <c r="AV243">
        <v>2027838</v>
      </c>
    </row>
    <row r="244" spans="1:48" x14ac:dyDescent="0.15">
      <c r="A244" t="s">
        <v>281</v>
      </c>
      <c r="B244" t="s">
        <v>662</v>
      </c>
      <c r="C244" t="s">
        <v>428</v>
      </c>
      <c r="D244" s="5">
        <v>2071854.157019</v>
      </c>
      <c r="E244" s="5">
        <v>2078617.4005152199</v>
      </c>
      <c r="F244" s="5">
        <v>2084148.1189146801</v>
      </c>
      <c r="G244" s="5">
        <v>2085698</v>
      </c>
      <c r="H244">
        <v>2088452</v>
      </c>
      <c r="I244">
        <v>2091879</v>
      </c>
      <c r="J244">
        <v>2095813</v>
      </c>
      <c r="K244">
        <v>2100097</v>
      </c>
      <c r="L244">
        <v>2104581</v>
      </c>
      <c r="M244">
        <v>2109128</v>
      </c>
      <c r="N244">
        <v>2113607</v>
      </c>
      <c r="O244">
        <v>2117896</v>
      </c>
      <c r="P244">
        <v>2121885</v>
      </c>
      <c r="Q244">
        <v>2125470</v>
      </c>
      <c r="R244">
        <v>2128558</v>
      </c>
      <c r="S244">
        <v>2131064</v>
      </c>
      <c r="T244">
        <v>2132913</v>
      </c>
      <c r="U244">
        <v>2134040</v>
      </c>
      <c r="V244">
        <v>2134387</v>
      </c>
      <c r="W244">
        <v>2133906</v>
      </c>
      <c r="X244">
        <v>2132559</v>
      </c>
      <c r="Y244">
        <v>2130315</v>
      </c>
      <c r="Z244">
        <v>2127156</v>
      </c>
      <c r="AA244">
        <v>2123069</v>
      </c>
      <c r="AB244">
        <v>2118053</v>
      </c>
      <c r="AC244">
        <v>2112114</v>
      </c>
      <c r="AD244">
        <v>2105269</v>
      </c>
      <c r="AE244">
        <v>2097542</v>
      </c>
      <c r="AF244">
        <v>2088969</v>
      </c>
      <c r="AG244">
        <v>2079593</v>
      </c>
      <c r="AH244">
        <v>2069467</v>
      </c>
      <c r="AI244">
        <v>2058652</v>
      </c>
      <c r="AJ244">
        <v>2047220</v>
      </c>
      <c r="AK244">
        <v>2035251</v>
      </c>
      <c r="AL244">
        <v>2022835</v>
      </c>
      <c r="AM244">
        <v>2010068</v>
      </c>
      <c r="AN244">
        <v>1997061</v>
      </c>
      <c r="AO244">
        <v>1983928</v>
      </c>
      <c r="AP244">
        <v>1970796</v>
      </c>
      <c r="AQ244">
        <v>1957800</v>
      </c>
      <c r="AR244">
        <v>1945084</v>
      </c>
      <c r="AS244">
        <v>1932802</v>
      </c>
      <c r="AT244">
        <v>1921115</v>
      </c>
      <c r="AU244">
        <v>1910196</v>
      </c>
      <c r="AV244">
        <v>1900225</v>
      </c>
    </row>
    <row r="245" spans="1:48" x14ac:dyDescent="0.15">
      <c r="A245" t="s">
        <v>283</v>
      </c>
      <c r="B245" t="s">
        <v>663</v>
      </c>
      <c r="C245" t="s">
        <v>428</v>
      </c>
      <c r="D245" s="5">
        <v>2153975.87670048</v>
      </c>
      <c r="E245" s="5">
        <v>2170757.5604850398</v>
      </c>
      <c r="F245" s="5">
        <v>2186809.2145349002</v>
      </c>
      <c r="G245" s="5">
        <v>2841398</v>
      </c>
      <c r="H245">
        <v>2873101</v>
      </c>
      <c r="I245">
        <v>2902504</v>
      </c>
      <c r="J245">
        <v>2929662</v>
      </c>
      <c r="K245">
        <v>2954632</v>
      </c>
      <c r="L245">
        <v>2977472</v>
      </c>
      <c r="M245">
        <v>2998239</v>
      </c>
      <c r="N245">
        <v>3016990</v>
      </c>
      <c r="O245">
        <v>3033786</v>
      </c>
      <c r="P245">
        <v>3048683</v>
      </c>
      <c r="Q245">
        <v>3061743</v>
      </c>
      <c r="R245">
        <v>3073024</v>
      </c>
      <c r="S245">
        <v>3082586</v>
      </c>
      <c r="T245">
        <v>3090492</v>
      </c>
      <c r="U245">
        <v>3096800</v>
      </c>
      <c r="V245">
        <v>3101574</v>
      </c>
      <c r="W245">
        <v>3104876</v>
      </c>
      <c r="X245">
        <v>3106766</v>
      </c>
      <c r="Y245">
        <v>3107310</v>
      </c>
      <c r="Z245">
        <v>3106569</v>
      </c>
      <c r="AA245">
        <v>3104608</v>
      </c>
      <c r="AB245">
        <v>3101491</v>
      </c>
      <c r="AC245">
        <v>3097283</v>
      </c>
      <c r="AD245">
        <v>3092048</v>
      </c>
      <c r="AE245">
        <v>3085852</v>
      </c>
      <c r="AF245">
        <v>3078762</v>
      </c>
      <c r="AG245">
        <v>3070844</v>
      </c>
      <c r="AH245">
        <v>3062164</v>
      </c>
      <c r="AI245">
        <v>3052790</v>
      </c>
      <c r="AJ245">
        <v>3042790</v>
      </c>
      <c r="AK245">
        <v>3032232</v>
      </c>
      <c r="AL245">
        <v>3021184</v>
      </c>
      <c r="AM245">
        <v>3009716</v>
      </c>
      <c r="AN245">
        <v>2997898</v>
      </c>
      <c r="AO245">
        <v>2985799</v>
      </c>
      <c r="AP245">
        <v>2973489</v>
      </c>
      <c r="AQ245">
        <v>2961040</v>
      </c>
      <c r="AR245">
        <v>2948524</v>
      </c>
      <c r="AS245">
        <v>2936010</v>
      </c>
      <c r="AT245">
        <v>2923573</v>
      </c>
      <c r="AU245">
        <v>2911284</v>
      </c>
      <c r="AV245">
        <v>2899217</v>
      </c>
    </row>
    <row r="246" spans="1:48" x14ac:dyDescent="0.15">
      <c r="A246" t="s">
        <v>284</v>
      </c>
      <c r="B246" t="s">
        <v>664</v>
      </c>
      <c r="C246" t="s">
        <v>428</v>
      </c>
      <c r="D246" s="5">
        <v>732164.513909542</v>
      </c>
      <c r="E246" s="5">
        <v>739661.84888929198</v>
      </c>
      <c r="F246" s="5">
        <v>746903.41645605594</v>
      </c>
      <c r="G246" s="5">
        <v>1016558</v>
      </c>
      <c r="H246">
        <v>1031350</v>
      </c>
      <c r="I246">
        <v>1045103</v>
      </c>
      <c r="J246">
        <v>1057858</v>
      </c>
      <c r="K246">
        <v>1069655</v>
      </c>
      <c r="L246">
        <v>1080533</v>
      </c>
      <c r="M246">
        <v>1090529</v>
      </c>
      <c r="N246">
        <v>1099682</v>
      </c>
      <c r="O246">
        <v>1108025</v>
      </c>
      <c r="P246">
        <v>1115596</v>
      </c>
      <c r="Q246">
        <v>1122428</v>
      </c>
      <c r="R246">
        <v>1128554</v>
      </c>
      <c r="S246">
        <v>1134007</v>
      </c>
      <c r="T246">
        <v>1138817</v>
      </c>
      <c r="U246">
        <v>1143017</v>
      </c>
      <c r="V246">
        <v>1146634</v>
      </c>
      <c r="W246">
        <v>1149698</v>
      </c>
      <c r="X246">
        <v>1152237</v>
      </c>
      <c r="Y246">
        <v>1154277</v>
      </c>
      <c r="Z246">
        <v>1155843</v>
      </c>
      <c r="AA246">
        <v>1156962</v>
      </c>
      <c r="AB246">
        <v>1157657</v>
      </c>
      <c r="AC246">
        <v>1157951</v>
      </c>
      <c r="AD246">
        <v>1157866</v>
      </c>
      <c r="AE246">
        <v>1157423</v>
      </c>
      <c r="AF246">
        <v>1156643</v>
      </c>
      <c r="AG246">
        <v>1155546</v>
      </c>
      <c r="AH246">
        <v>1154148</v>
      </c>
      <c r="AI246">
        <v>1152469</v>
      </c>
      <c r="AJ246">
        <v>1150524</v>
      </c>
      <c r="AK246">
        <v>1148330</v>
      </c>
      <c r="AL246">
        <v>1145900</v>
      </c>
      <c r="AM246">
        <v>1143250</v>
      </c>
      <c r="AN246">
        <v>1140391</v>
      </c>
      <c r="AO246">
        <v>1137335</v>
      </c>
      <c r="AP246">
        <v>1134094</v>
      </c>
      <c r="AQ246">
        <v>1130678</v>
      </c>
      <c r="AR246">
        <v>1127096</v>
      </c>
      <c r="AS246">
        <v>1123356</v>
      </c>
      <c r="AT246">
        <v>1119465</v>
      </c>
      <c r="AU246">
        <v>1115430</v>
      </c>
      <c r="AV246">
        <v>1111256</v>
      </c>
    </row>
    <row r="247" spans="1:48" x14ac:dyDescent="0.15">
      <c r="A247" t="s">
        <v>285</v>
      </c>
      <c r="B247" t="s">
        <v>665</v>
      </c>
      <c r="C247" t="s">
        <v>428</v>
      </c>
      <c r="D247" s="5">
        <v>1800</v>
      </c>
      <c r="E247" s="5">
        <v>1800</v>
      </c>
      <c r="F247" s="5">
        <v>1800</v>
      </c>
      <c r="G247" s="5">
        <v>2307</v>
      </c>
      <c r="H247">
        <v>2333</v>
      </c>
      <c r="I247">
        <v>2357</v>
      </c>
      <c r="J247">
        <v>2379</v>
      </c>
      <c r="K247">
        <v>2399</v>
      </c>
      <c r="L247">
        <v>2417</v>
      </c>
      <c r="M247">
        <v>2434</v>
      </c>
      <c r="N247">
        <v>2450</v>
      </c>
      <c r="O247">
        <v>2463</v>
      </c>
      <c r="P247">
        <v>2475</v>
      </c>
      <c r="Q247">
        <v>2486</v>
      </c>
      <c r="R247">
        <v>2495</v>
      </c>
      <c r="S247">
        <v>2503</v>
      </c>
      <c r="T247">
        <v>2509</v>
      </c>
      <c r="U247">
        <v>2514</v>
      </c>
      <c r="V247">
        <v>2518</v>
      </c>
      <c r="W247">
        <v>2521</v>
      </c>
      <c r="X247">
        <v>2522</v>
      </c>
      <c r="Y247">
        <v>2523</v>
      </c>
      <c r="Z247">
        <v>2522</v>
      </c>
      <c r="AA247">
        <v>2520</v>
      </c>
      <c r="AB247">
        <v>2518</v>
      </c>
      <c r="AC247">
        <v>2514</v>
      </c>
      <c r="AD247">
        <v>2510</v>
      </c>
      <c r="AE247">
        <v>2505</v>
      </c>
      <c r="AF247">
        <v>2499</v>
      </c>
      <c r="AG247">
        <v>2493</v>
      </c>
      <c r="AH247">
        <v>2486</v>
      </c>
      <c r="AI247">
        <v>2478</v>
      </c>
      <c r="AJ247">
        <v>2470</v>
      </c>
      <c r="AK247">
        <v>2462</v>
      </c>
      <c r="AL247">
        <v>2453</v>
      </c>
      <c r="AM247">
        <v>2443</v>
      </c>
      <c r="AN247">
        <v>2434</v>
      </c>
      <c r="AO247">
        <v>2424</v>
      </c>
      <c r="AP247">
        <v>2414</v>
      </c>
      <c r="AQ247">
        <v>2404</v>
      </c>
      <c r="AR247">
        <v>2394</v>
      </c>
      <c r="AS247">
        <v>2384</v>
      </c>
      <c r="AT247">
        <v>2373</v>
      </c>
      <c r="AU247">
        <v>2363</v>
      </c>
      <c r="AV247">
        <v>2354</v>
      </c>
    </row>
    <row r="248" spans="1:48" x14ac:dyDescent="0.15">
      <c r="A248" t="s">
        <v>286</v>
      </c>
      <c r="B248" t="s">
        <v>666</v>
      </c>
      <c r="C248" t="s">
        <v>428</v>
      </c>
      <c r="D248" s="5">
        <v>949796.37672026304</v>
      </c>
      <c r="E248" s="5">
        <v>954201.83259265497</v>
      </c>
      <c r="F248" s="5">
        <v>958382.88826415897</v>
      </c>
      <c r="G248" s="5">
        <v>946182</v>
      </c>
      <c r="H248">
        <v>954165</v>
      </c>
      <c r="I248">
        <v>962405</v>
      </c>
      <c r="J248">
        <v>970800</v>
      </c>
      <c r="K248">
        <v>979253</v>
      </c>
      <c r="L248">
        <v>987673</v>
      </c>
      <c r="M248">
        <v>995976</v>
      </c>
      <c r="N248">
        <v>1004083</v>
      </c>
      <c r="O248">
        <v>1011924</v>
      </c>
      <c r="P248">
        <v>1019433</v>
      </c>
      <c r="Q248">
        <v>1026550</v>
      </c>
      <c r="R248">
        <v>1033224</v>
      </c>
      <c r="S248">
        <v>1039407</v>
      </c>
      <c r="T248">
        <v>1045061</v>
      </c>
      <c r="U248">
        <v>1050150</v>
      </c>
      <c r="V248">
        <v>1054648</v>
      </c>
      <c r="W248">
        <v>1058533</v>
      </c>
      <c r="X248">
        <v>1061791</v>
      </c>
      <c r="Y248">
        <v>1064414</v>
      </c>
      <c r="Z248">
        <v>1066398</v>
      </c>
      <c r="AA248">
        <v>1067750</v>
      </c>
      <c r="AB248">
        <v>1068478</v>
      </c>
      <c r="AC248">
        <v>1068601</v>
      </c>
      <c r="AD248">
        <v>1068141</v>
      </c>
      <c r="AE248">
        <v>1067127</v>
      </c>
      <c r="AF248">
        <v>1065596</v>
      </c>
      <c r="AG248">
        <v>1063590</v>
      </c>
      <c r="AH248">
        <v>1061157</v>
      </c>
      <c r="AI248">
        <v>1058353</v>
      </c>
      <c r="AJ248">
        <v>1055237</v>
      </c>
      <c r="AK248">
        <v>1051879</v>
      </c>
      <c r="AL248">
        <v>1048351</v>
      </c>
      <c r="AM248">
        <v>1044734</v>
      </c>
      <c r="AN248">
        <v>1041114</v>
      </c>
      <c r="AO248">
        <v>1037584</v>
      </c>
      <c r="AP248">
        <v>1034243</v>
      </c>
      <c r="AQ248">
        <v>1031197</v>
      </c>
      <c r="AR248">
        <v>1028557</v>
      </c>
      <c r="AS248">
        <v>1026442</v>
      </c>
      <c r="AT248">
        <v>1024975</v>
      </c>
      <c r="AU248">
        <v>1024288</v>
      </c>
      <c r="AV248">
        <v>1024518</v>
      </c>
    </row>
    <row r="249" spans="1:48" x14ac:dyDescent="0.15">
      <c r="A249" t="s">
        <v>287</v>
      </c>
      <c r="B249" t="s">
        <v>667</v>
      </c>
      <c r="C249" t="s">
        <v>428</v>
      </c>
      <c r="D249" s="5">
        <v>111743.970366543</v>
      </c>
      <c r="E249" s="5">
        <v>112262.274228846</v>
      </c>
      <c r="F249" s="5">
        <v>112754.17730671501</v>
      </c>
      <c r="G249" s="5">
        <v>111020</v>
      </c>
      <c r="H249">
        <v>112259</v>
      </c>
      <c r="I249">
        <v>113408</v>
      </c>
      <c r="J249">
        <v>114469</v>
      </c>
      <c r="K249">
        <v>115444</v>
      </c>
      <c r="L249">
        <v>116337</v>
      </c>
      <c r="M249">
        <v>117148</v>
      </c>
      <c r="N249">
        <v>117881</v>
      </c>
      <c r="O249">
        <v>118537</v>
      </c>
      <c r="P249">
        <v>119119</v>
      </c>
      <c r="Q249">
        <v>119629</v>
      </c>
      <c r="R249">
        <v>120070</v>
      </c>
      <c r="S249">
        <v>120444</v>
      </c>
      <c r="T249">
        <v>120753</v>
      </c>
      <c r="U249">
        <v>120999</v>
      </c>
      <c r="V249">
        <v>121186</v>
      </c>
      <c r="W249">
        <v>121315</v>
      </c>
      <c r="X249">
        <v>121388</v>
      </c>
      <c r="Y249">
        <v>121410</v>
      </c>
      <c r="Z249">
        <v>121381</v>
      </c>
      <c r="AA249">
        <v>121304</v>
      </c>
      <c r="AB249">
        <v>121182</v>
      </c>
      <c r="AC249">
        <v>121018</v>
      </c>
      <c r="AD249">
        <v>120813</v>
      </c>
      <c r="AE249">
        <v>120571</v>
      </c>
      <c r="AF249">
        <v>120294</v>
      </c>
      <c r="AG249">
        <v>119985</v>
      </c>
      <c r="AH249">
        <v>119646</v>
      </c>
      <c r="AI249">
        <v>119279</v>
      </c>
      <c r="AJ249">
        <v>118889</v>
      </c>
      <c r="AK249">
        <v>118476</v>
      </c>
      <c r="AL249">
        <v>118044</v>
      </c>
      <c r="AM249">
        <v>117596</v>
      </c>
      <c r="AN249">
        <v>117135</v>
      </c>
      <c r="AO249">
        <v>116662</v>
      </c>
      <c r="AP249">
        <v>116181</v>
      </c>
      <c r="AQ249">
        <v>115694</v>
      </c>
      <c r="AR249">
        <v>115205</v>
      </c>
      <c r="AS249">
        <v>114716</v>
      </c>
      <c r="AT249">
        <v>114230</v>
      </c>
      <c r="AU249">
        <v>113750</v>
      </c>
      <c r="AV249">
        <v>113279</v>
      </c>
    </row>
    <row r="250" spans="1:48" x14ac:dyDescent="0.15">
      <c r="A250" t="s">
        <v>288</v>
      </c>
      <c r="B250" t="s">
        <v>668</v>
      </c>
      <c r="C250" t="s">
        <v>428</v>
      </c>
      <c r="D250" s="5">
        <v>525767.67779602599</v>
      </c>
      <c r="E250" s="5">
        <v>528206.35450656398</v>
      </c>
      <c r="F250" s="5">
        <v>530520.81262097904</v>
      </c>
      <c r="G250" s="5">
        <v>522363</v>
      </c>
      <c r="H250">
        <v>528191</v>
      </c>
      <c r="I250">
        <v>533596</v>
      </c>
      <c r="J250">
        <v>538589</v>
      </c>
      <c r="K250">
        <v>543179</v>
      </c>
      <c r="L250">
        <v>547378</v>
      </c>
      <c r="M250">
        <v>551196</v>
      </c>
      <c r="N250">
        <v>554643</v>
      </c>
      <c r="O250">
        <v>557731</v>
      </c>
      <c r="P250">
        <v>560469</v>
      </c>
      <c r="Q250">
        <v>562870</v>
      </c>
      <c r="R250">
        <v>564944</v>
      </c>
      <c r="S250">
        <v>566702</v>
      </c>
      <c r="T250">
        <v>568155</v>
      </c>
      <c r="U250">
        <v>569315</v>
      </c>
      <c r="V250">
        <v>570193</v>
      </c>
      <c r="W250">
        <v>570800</v>
      </c>
      <c r="X250">
        <v>571147</v>
      </c>
      <c r="Y250">
        <v>571247</v>
      </c>
      <c r="Z250">
        <v>571111</v>
      </c>
      <c r="AA250">
        <v>570750</v>
      </c>
      <c r="AB250">
        <v>570177</v>
      </c>
      <c r="AC250">
        <v>569404</v>
      </c>
      <c r="AD250">
        <v>568441</v>
      </c>
      <c r="AE250">
        <v>567302</v>
      </c>
      <c r="AF250">
        <v>565999</v>
      </c>
      <c r="AG250">
        <v>564543</v>
      </c>
      <c r="AH250">
        <v>562947</v>
      </c>
      <c r="AI250">
        <v>561224</v>
      </c>
      <c r="AJ250">
        <v>559385</v>
      </c>
      <c r="AK250">
        <v>557444</v>
      </c>
      <c r="AL250">
        <v>555413</v>
      </c>
      <c r="AM250">
        <v>553305</v>
      </c>
      <c r="AN250">
        <v>551132</v>
      </c>
      <c r="AO250">
        <v>548908</v>
      </c>
      <c r="AP250">
        <v>546645</v>
      </c>
      <c r="AQ250">
        <v>544356</v>
      </c>
      <c r="AR250">
        <v>542055</v>
      </c>
      <c r="AS250">
        <v>539755</v>
      </c>
      <c r="AT250">
        <v>537468</v>
      </c>
      <c r="AU250">
        <v>535209</v>
      </c>
      <c r="AV250">
        <v>532991</v>
      </c>
    </row>
    <row r="251" spans="1:48" x14ac:dyDescent="0.15">
      <c r="A251" t="s">
        <v>289</v>
      </c>
      <c r="B251" t="s">
        <v>669</v>
      </c>
      <c r="C251" t="s">
        <v>428</v>
      </c>
      <c r="D251" s="5">
        <v>558270.96094889904</v>
      </c>
      <c r="E251" s="5">
        <v>560860.39816257905</v>
      </c>
      <c r="F251" s="5">
        <v>563317.93750966596</v>
      </c>
      <c r="G251" s="5">
        <v>554655</v>
      </c>
      <c r="H251">
        <v>560844</v>
      </c>
      <c r="I251">
        <v>566583</v>
      </c>
      <c r="J251">
        <v>571885</v>
      </c>
      <c r="K251">
        <v>576759</v>
      </c>
      <c r="L251">
        <v>581218</v>
      </c>
      <c r="M251">
        <v>585272</v>
      </c>
      <c r="N251">
        <v>588932</v>
      </c>
      <c r="O251">
        <v>592211</v>
      </c>
      <c r="P251">
        <v>595119</v>
      </c>
      <c r="Q251">
        <v>597668</v>
      </c>
      <c r="R251">
        <v>599870</v>
      </c>
      <c r="S251">
        <v>601737</v>
      </c>
      <c r="T251">
        <v>603280</v>
      </c>
      <c r="U251">
        <v>604511</v>
      </c>
      <c r="V251">
        <v>605443</v>
      </c>
      <c r="W251">
        <v>606088</v>
      </c>
      <c r="X251">
        <v>606457</v>
      </c>
      <c r="Y251">
        <v>606563</v>
      </c>
      <c r="Z251">
        <v>606418</v>
      </c>
      <c r="AA251">
        <v>606035</v>
      </c>
      <c r="AB251">
        <v>605427</v>
      </c>
      <c r="AC251">
        <v>604605</v>
      </c>
      <c r="AD251">
        <v>603583</v>
      </c>
      <c r="AE251">
        <v>602374</v>
      </c>
      <c r="AF251">
        <v>600990</v>
      </c>
      <c r="AG251">
        <v>599444</v>
      </c>
      <c r="AH251">
        <v>597750</v>
      </c>
      <c r="AI251">
        <v>595920</v>
      </c>
      <c r="AJ251">
        <v>593968</v>
      </c>
      <c r="AK251">
        <v>591907</v>
      </c>
      <c r="AL251">
        <v>589750</v>
      </c>
      <c r="AM251">
        <v>587512</v>
      </c>
      <c r="AN251">
        <v>585205</v>
      </c>
      <c r="AO251">
        <v>582843</v>
      </c>
      <c r="AP251">
        <v>580440</v>
      </c>
      <c r="AQ251">
        <v>578010</v>
      </c>
      <c r="AR251">
        <v>575567</v>
      </c>
      <c r="AS251">
        <v>573124</v>
      </c>
      <c r="AT251">
        <v>570696</v>
      </c>
      <c r="AU251">
        <v>568297</v>
      </c>
      <c r="AV251">
        <v>565942</v>
      </c>
    </row>
    <row r="252" spans="1:48" x14ac:dyDescent="0.15">
      <c r="A252" t="s">
        <v>290</v>
      </c>
      <c r="B252" t="s">
        <v>670</v>
      </c>
      <c r="C252" t="s">
        <v>428</v>
      </c>
      <c r="D252" s="5">
        <v>543438.65063703898</v>
      </c>
      <c r="E252" s="5">
        <v>545959.29090627294</v>
      </c>
      <c r="F252" s="5">
        <v>548351.53761098895</v>
      </c>
      <c r="G252" s="5">
        <v>539919</v>
      </c>
      <c r="H252">
        <v>545943</v>
      </c>
      <c r="I252">
        <v>551530</v>
      </c>
      <c r="J252">
        <v>556691</v>
      </c>
      <c r="K252">
        <v>561436</v>
      </c>
      <c r="L252">
        <v>565776</v>
      </c>
      <c r="M252">
        <v>569722</v>
      </c>
      <c r="N252">
        <v>573285</v>
      </c>
      <c r="O252">
        <v>576476</v>
      </c>
      <c r="P252">
        <v>579307</v>
      </c>
      <c r="Q252">
        <v>581789</v>
      </c>
      <c r="R252">
        <v>583932</v>
      </c>
      <c r="S252">
        <v>585749</v>
      </c>
      <c r="T252">
        <v>587251</v>
      </c>
      <c r="U252">
        <v>588450</v>
      </c>
      <c r="V252">
        <v>589357</v>
      </c>
      <c r="W252">
        <v>589985</v>
      </c>
      <c r="X252">
        <v>590344</v>
      </c>
      <c r="Y252">
        <v>590447</v>
      </c>
      <c r="Z252">
        <v>590307</v>
      </c>
      <c r="AA252">
        <v>589934</v>
      </c>
      <c r="AB252">
        <v>589342</v>
      </c>
      <c r="AC252">
        <v>588542</v>
      </c>
      <c r="AD252">
        <v>587547</v>
      </c>
      <c r="AE252">
        <v>586370</v>
      </c>
      <c r="AF252">
        <v>585023</v>
      </c>
      <c r="AG252">
        <v>583518</v>
      </c>
      <c r="AH252">
        <v>581869</v>
      </c>
      <c r="AI252">
        <v>580088</v>
      </c>
      <c r="AJ252">
        <v>578188</v>
      </c>
      <c r="AK252">
        <v>576181</v>
      </c>
      <c r="AL252">
        <v>574082</v>
      </c>
      <c r="AM252">
        <v>571903</v>
      </c>
      <c r="AN252">
        <v>569657</v>
      </c>
      <c r="AO252">
        <v>567358</v>
      </c>
      <c r="AP252">
        <v>565019</v>
      </c>
      <c r="AQ252">
        <v>562654</v>
      </c>
      <c r="AR252">
        <v>560275</v>
      </c>
      <c r="AS252">
        <v>557898</v>
      </c>
      <c r="AT252">
        <v>555534</v>
      </c>
      <c r="AU252">
        <v>553199</v>
      </c>
      <c r="AV252">
        <v>550906</v>
      </c>
    </row>
    <row r="253" spans="1:48" x14ac:dyDescent="0.15">
      <c r="A253" t="s">
        <v>291</v>
      </c>
      <c r="B253" t="s">
        <v>671</v>
      </c>
      <c r="C253" t="s">
        <v>428</v>
      </c>
      <c r="D253" s="5">
        <v>442379.47769351403</v>
      </c>
      <c r="E253" s="5">
        <v>444431.37356888002</v>
      </c>
      <c r="F253" s="5">
        <v>446378.75225919898</v>
      </c>
      <c r="G253" s="5">
        <v>439514</v>
      </c>
      <c r="H253">
        <v>444418</v>
      </c>
      <c r="I253">
        <v>448966</v>
      </c>
      <c r="J253">
        <v>453167</v>
      </c>
      <c r="K253">
        <v>457030</v>
      </c>
      <c r="L253">
        <v>460563</v>
      </c>
      <c r="M253">
        <v>463775</v>
      </c>
      <c r="N253">
        <v>466676</v>
      </c>
      <c r="O253">
        <v>469274</v>
      </c>
      <c r="P253">
        <v>471578</v>
      </c>
      <c r="Q253">
        <v>473598</v>
      </c>
      <c r="R253">
        <v>475343</v>
      </c>
      <c r="S253">
        <v>476822</v>
      </c>
      <c r="T253">
        <v>478045</v>
      </c>
      <c r="U253">
        <v>479021</v>
      </c>
      <c r="V253">
        <v>479760</v>
      </c>
      <c r="W253">
        <v>480270</v>
      </c>
      <c r="X253">
        <v>480563</v>
      </c>
      <c r="Y253">
        <v>480647</v>
      </c>
      <c r="Z253">
        <v>480532</v>
      </c>
      <c r="AA253">
        <v>480229</v>
      </c>
      <c r="AB253">
        <v>479747</v>
      </c>
      <c r="AC253">
        <v>479096</v>
      </c>
      <c r="AD253">
        <v>478286</v>
      </c>
      <c r="AE253">
        <v>477328</v>
      </c>
      <c r="AF253">
        <v>476231</v>
      </c>
      <c r="AG253">
        <v>475006</v>
      </c>
      <c r="AH253">
        <v>473664</v>
      </c>
      <c r="AI253">
        <v>472214</v>
      </c>
      <c r="AJ253">
        <v>470667</v>
      </c>
      <c r="AK253">
        <v>469034</v>
      </c>
      <c r="AL253">
        <v>467325</v>
      </c>
      <c r="AM253">
        <v>465551</v>
      </c>
      <c r="AN253">
        <v>463723</v>
      </c>
      <c r="AO253">
        <v>461851</v>
      </c>
      <c r="AP253">
        <v>459947</v>
      </c>
      <c r="AQ253">
        <v>458022</v>
      </c>
      <c r="AR253">
        <v>456086</v>
      </c>
      <c r="AS253">
        <v>454150</v>
      </c>
      <c r="AT253">
        <v>452226</v>
      </c>
      <c r="AU253">
        <v>450326</v>
      </c>
      <c r="AV253">
        <v>448459</v>
      </c>
    </row>
    <row r="254" spans="1:48" x14ac:dyDescent="0.15">
      <c r="A254" t="s">
        <v>292</v>
      </c>
      <c r="B254" t="s">
        <v>672</v>
      </c>
      <c r="C254" t="s">
        <v>428</v>
      </c>
      <c r="D254" s="5">
        <v>283358.63794681698</v>
      </c>
      <c r="E254" s="5">
        <v>284672.94489316101</v>
      </c>
      <c r="F254" s="5">
        <v>285920.30513720401</v>
      </c>
      <c r="G254" s="5">
        <v>281523</v>
      </c>
      <c r="H254">
        <v>284665</v>
      </c>
      <c r="I254">
        <v>287578</v>
      </c>
      <c r="J254">
        <v>290269</v>
      </c>
      <c r="K254">
        <v>292743</v>
      </c>
      <c r="L254">
        <v>295006</v>
      </c>
      <c r="M254">
        <v>297063</v>
      </c>
      <c r="N254">
        <v>298921</v>
      </c>
      <c r="O254">
        <v>300585</v>
      </c>
      <c r="P254">
        <v>302061</v>
      </c>
      <c r="Q254">
        <v>303355</v>
      </c>
      <c r="R254">
        <v>304473</v>
      </c>
      <c r="S254">
        <v>305420</v>
      </c>
      <c r="T254">
        <v>306203</v>
      </c>
      <c r="U254">
        <v>306828</v>
      </c>
      <c r="V254">
        <v>307301</v>
      </c>
      <c r="W254">
        <v>307629</v>
      </c>
      <c r="X254">
        <v>307816</v>
      </c>
      <c r="Y254">
        <v>307870</v>
      </c>
      <c r="Z254">
        <v>307796</v>
      </c>
      <c r="AA254">
        <v>307602</v>
      </c>
      <c r="AB254">
        <v>307293</v>
      </c>
      <c r="AC254">
        <v>306876</v>
      </c>
      <c r="AD254">
        <v>306357</v>
      </c>
      <c r="AE254">
        <v>305744</v>
      </c>
      <c r="AF254">
        <v>305041</v>
      </c>
      <c r="AG254">
        <v>304256</v>
      </c>
      <c r="AH254">
        <v>303396</v>
      </c>
      <c r="AI254">
        <v>302468</v>
      </c>
      <c r="AJ254">
        <v>301477</v>
      </c>
      <c r="AK254">
        <v>300431</v>
      </c>
      <c r="AL254">
        <v>299336</v>
      </c>
      <c r="AM254">
        <v>298200</v>
      </c>
      <c r="AN254">
        <v>297029</v>
      </c>
      <c r="AO254">
        <v>295830</v>
      </c>
      <c r="AP254">
        <v>294610</v>
      </c>
      <c r="AQ254">
        <v>293377</v>
      </c>
      <c r="AR254">
        <v>292137</v>
      </c>
      <c r="AS254">
        <v>290897</v>
      </c>
      <c r="AT254">
        <v>289665</v>
      </c>
      <c r="AU254">
        <v>288447</v>
      </c>
      <c r="AV254">
        <v>287252</v>
      </c>
    </row>
    <row r="255" spans="1:48" x14ac:dyDescent="0.15">
      <c r="A255" t="s">
        <v>293</v>
      </c>
      <c r="B255" t="s">
        <v>673</v>
      </c>
      <c r="C255" t="s">
        <v>428</v>
      </c>
      <c r="D255" s="5">
        <v>254140.91755997899</v>
      </c>
      <c r="E255" s="5">
        <v>255319.70348201599</v>
      </c>
      <c r="F255" s="5">
        <v>256438.44572063701</v>
      </c>
      <c r="G255" s="5">
        <v>252495</v>
      </c>
      <c r="H255">
        <v>255312</v>
      </c>
      <c r="I255">
        <v>257925</v>
      </c>
      <c r="J255">
        <v>260338</v>
      </c>
      <c r="K255">
        <v>262557</v>
      </c>
      <c r="L255">
        <v>264587</v>
      </c>
      <c r="M255">
        <v>266432</v>
      </c>
      <c r="N255">
        <v>268098</v>
      </c>
      <c r="O255">
        <v>269591</v>
      </c>
      <c r="P255">
        <v>270915</v>
      </c>
      <c r="Q255">
        <v>272075</v>
      </c>
      <c r="R255">
        <v>273078</v>
      </c>
      <c r="S255">
        <v>273927</v>
      </c>
      <c r="T255">
        <v>274630</v>
      </c>
      <c r="U255">
        <v>275190</v>
      </c>
      <c r="V255">
        <v>275615</v>
      </c>
      <c r="W255">
        <v>275908</v>
      </c>
      <c r="X255">
        <v>276076</v>
      </c>
      <c r="Y255">
        <v>276124</v>
      </c>
      <c r="Z255">
        <v>276058</v>
      </c>
      <c r="AA255">
        <v>275884</v>
      </c>
      <c r="AB255">
        <v>275607</v>
      </c>
      <c r="AC255">
        <v>275233</v>
      </c>
      <c r="AD255">
        <v>274768</v>
      </c>
      <c r="AE255">
        <v>274217</v>
      </c>
      <c r="AF255">
        <v>273587</v>
      </c>
      <c r="AG255">
        <v>272883</v>
      </c>
      <c r="AH255">
        <v>272112</v>
      </c>
      <c r="AI255">
        <v>271279</v>
      </c>
      <c r="AJ255">
        <v>270390</v>
      </c>
      <c r="AK255">
        <v>269452</v>
      </c>
      <c r="AL255">
        <v>268471</v>
      </c>
      <c r="AM255">
        <v>267451</v>
      </c>
      <c r="AN255">
        <v>266401</v>
      </c>
      <c r="AO255">
        <v>265326</v>
      </c>
      <c r="AP255">
        <v>264232</v>
      </c>
      <c r="AQ255">
        <v>263126</v>
      </c>
      <c r="AR255">
        <v>262014</v>
      </c>
      <c r="AS255">
        <v>260902</v>
      </c>
      <c r="AT255">
        <v>259796</v>
      </c>
      <c r="AU255">
        <v>258704</v>
      </c>
      <c r="AV255">
        <v>257632</v>
      </c>
    </row>
    <row r="256" spans="1:48" x14ac:dyDescent="0.15">
      <c r="A256" t="s">
        <v>294</v>
      </c>
      <c r="B256" t="s">
        <v>674</v>
      </c>
      <c r="C256" t="s">
        <v>428</v>
      </c>
      <c r="D256" s="5">
        <v>495624.30658446503</v>
      </c>
      <c r="E256" s="5">
        <v>497923.16880952701</v>
      </c>
      <c r="F256" s="5">
        <v>500104.93415289</v>
      </c>
      <c r="G256" s="5">
        <v>492414</v>
      </c>
      <c r="H256">
        <v>497908</v>
      </c>
      <c r="I256">
        <v>503004</v>
      </c>
      <c r="J256">
        <v>507710</v>
      </c>
      <c r="K256">
        <v>512038</v>
      </c>
      <c r="L256">
        <v>515996</v>
      </c>
      <c r="M256">
        <v>519595</v>
      </c>
      <c r="N256">
        <v>522844</v>
      </c>
      <c r="O256">
        <v>525755</v>
      </c>
      <c r="P256">
        <v>528337</v>
      </c>
      <c r="Q256">
        <v>530600</v>
      </c>
      <c r="R256">
        <v>532555</v>
      </c>
      <c r="S256">
        <v>534212</v>
      </c>
      <c r="T256">
        <v>535582</v>
      </c>
      <c r="U256">
        <v>536675</v>
      </c>
      <c r="V256">
        <v>537503</v>
      </c>
      <c r="W256">
        <v>538075</v>
      </c>
      <c r="X256">
        <v>538402</v>
      </c>
      <c r="Y256">
        <v>538497</v>
      </c>
      <c r="Z256">
        <v>538368</v>
      </c>
      <c r="AA256">
        <v>538028</v>
      </c>
      <c r="AB256">
        <v>537488</v>
      </c>
      <c r="AC256">
        <v>536759</v>
      </c>
      <c r="AD256">
        <v>535852</v>
      </c>
      <c r="AE256">
        <v>534778</v>
      </c>
      <c r="AF256">
        <v>533549</v>
      </c>
      <c r="AG256">
        <v>532177</v>
      </c>
      <c r="AH256">
        <v>530673</v>
      </c>
      <c r="AI256">
        <v>529048</v>
      </c>
      <c r="AJ256">
        <v>527315</v>
      </c>
      <c r="AK256">
        <v>525485</v>
      </c>
      <c r="AL256">
        <v>523571</v>
      </c>
      <c r="AM256">
        <v>521583</v>
      </c>
      <c r="AN256">
        <v>519535</v>
      </c>
      <c r="AO256">
        <v>517438</v>
      </c>
      <c r="AP256">
        <v>515305</v>
      </c>
      <c r="AQ256">
        <v>513148</v>
      </c>
      <c r="AR256">
        <v>510979</v>
      </c>
      <c r="AS256">
        <v>508810</v>
      </c>
      <c r="AT256">
        <v>506655</v>
      </c>
      <c r="AU256">
        <v>504525</v>
      </c>
      <c r="AV256">
        <v>502434</v>
      </c>
    </row>
    <row r="257" spans="1:48" x14ac:dyDescent="0.15">
      <c r="A257" t="s">
        <v>295</v>
      </c>
      <c r="B257" t="s">
        <v>675</v>
      </c>
      <c r="C257" t="s">
        <v>428</v>
      </c>
      <c r="D257" s="5">
        <v>418627.07846641401</v>
      </c>
      <c r="E257" s="5">
        <v>420568.80320486898</v>
      </c>
      <c r="F257" s="5">
        <v>422411.62253285001</v>
      </c>
      <c r="G257" s="5">
        <v>415916</v>
      </c>
      <c r="H257">
        <v>420556</v>
      </c>
      <c r="I257">
        <v>424860</v>
      </c>
      <c r="J257">
        <v>428836</v>
      </c>
      <c r="K257">
        <v>432491</v>
      </c>
      <c r="L257">
        <v>435834</v>
      </c>
      <c r="M257">
        <v>438874</v>
      </c>
      <c r="N257">
        <v>441619</v>
      </c>
      <c r="O257">
        <v>444077</v>
      </c>
      <c r="P257">
        <v>446258</v>
      </c>
      <c r="Q257">
        <v>448169</v>
      </c>
      <c r="R257">
        <v>449821</v>
      </c>
      <c r="S257">
        <v>451220</v>
      </c>
      <c r="T257">
        <v>452378</v>
      </c>
      <c r="U257">
        <v>453301</v>
      </c>
      <c r="V257">
        <v>454000</v>
      </c>
      <c r="W257">
        <v>454483</v>
      </c>
      <c r="X257">
        <v>454760</v>
      </c>
      <c r="Y257">
        <v>454839</v>
      </c>
      <c r="Z257">
        <v>454731</v>
      </c>
      <c r="AA257">
        <v>454444</v>
      </c>
      <c r="AB257">
        <v>453988</v>
      </c>
      <c r="AC257">
        <v>453372</v>
      </c>
      <c r="AD257">
        <v>452605</v>
      </c>
      <c r="AE257">
        <v>451699</v>
      </c>
      <c r="AF257">
        <v>450661</v>
      </c>
      <c r="AG257">
        <v>449502</v>
      </c>
      <c r="AH257">
        <v>448231</v>
      </c>
      <c r="AI257">
        <v>446859</v>
      </c>
      <c r="AJ257">
        <v>445395</v>
      </c>
      <c r="AK257">
        <v>443850</v>
      </c>
      <c r="AL257">
        <v>442233</v>
      </c>
      <c r="AM257">
        <v>440554</v>
      </c>
      <c r="AN257">
        <v>438824</v>
      </c>
      <c r="AO257">
        <v>437053</v>
      </c>
      <c r="AP257">
        <v>435251</v>
      </c>
      <c r="AQ257">
        <v>433429</v>
      </c>
      <c r="AR257">
        <v>431597</v>
      </c>
      <c r="AS257">
        <v>429765</v>
      </c>
      <c r="AT257">
        <v>427945</v>
      </c>
      <c r="AU257">
        <v>426146</v>
      </c>
      <c r="AV257">
        <v>424380</v>
      </c>
    </row>
    <row r="258" spans="1:48" x14ac:dyDescent="0.15">
      <c r="A258" t="s">
        <v>296</v>
      </c>
      <c r="B258" t="s">
        <v>676</v>
      </c>
      <c r="C258" t="s">
        <v>428</v>
      </c>
      <c r="D258" s="5">
        <v>163928.77976466599</v>
      </c>
      <c r="E258" s="5">
        <v>164689.133271133</v>
      </c>
      <c r="F258" s="5">
        <v>165410.75673818</v>
      </c>
      <c r="G258" s="5">
        <v>162867</v>
      </c>
      <c r="H258">
        <v>164684</v>
      </c>
      <c r="I258">
        <v>166370</v>
      </c>
      <c r="J258">
        <v>167926</v>
      </c>
      <c r="K258">
        <v>169357</v>
      </c>
      <c r="L258">
        <v>170666</v>
      </c>
      <c r="M258">
        <v>171857</v>
      </c>
      <c r="N258">
        <v>172932</v>
      </c>
      <c r="O258">
        <v>173894</v>
      </c>
      <c r="P258">
        <v>174748</v>
      </c>
      <c r="Q258">
        <v>175497</v>
      </c>
      <c r="R258">
        <v>176143</v>
      </c>
      <c r="S258">
        <v>176691</v>
      </c>
      <c r="T258">
        <v>177144</v>
      </c>
      <c r="U258">
        <v>177506</v>
      </c>
      <c r="V258">
        <v>177780</v>
      </c>
      <c r="W258">
        <v>177969</v>
      </c>
      <c r="X258">
        <v>178077</v>
      </c>
      <c r="Y258">
        <v>178108</v>
      </c>
      <c r="Z258">
        <v>178066</v>
      </c>
      <c r="AA258">
        <v>177953</v>
      </c>
      <c r="AB258">
        <v>177775</v>
      </c>
      <c r="AC258">
        <v>177533</v>
      </c>
      <c r="AD258">
        <v>177233</v>
      </c>
      <c r="AE258">
        <v>176878</v>
      </c>
      <c r="AF258">
        <v>176472</v>
      </c>
      <c r="AG258">
        <v>176018</v>
      </c>
      <c r="AH258">
        <v>175520</v>
      </c>
      <c r="AI258">
        <v>174983</v>
      </c>
      <c r="AJ258">
        <v>174410</v>
      </c>
      <c r="AK258">
        <v>173805</v>
      </c>
      <c r="AL258">
        <v>173171</v>
      </c>
      <c r="AM258">
        <v>172514</v>
      </c>
      <c r="AN258">
        <v>171837</v>
      </c>
      <c r="AO258">
        <v>171143</v>
      </c>
      <c r="AP258">
        <v>170437</v>
      </c>
      <c r="AQ258">
        <v>169724</v>
      </c>
      <c r="AR258">
        <v>169006</v>
      </c>
      <c r="AS258">
        <v>168289</v>
      </c>
      <c r="AT258">
        <v>167576</v>
      </c>
      <c r="AU258">
        <v>166872</v>
      </c>
      <c r="AV258">
        <v>166180</v>
      </c>
    </row>
    <row r="259" spans="1:48" x14ac:dyDescent="0.15">
      <c r="A259" t="s">
        <v>297</v>
      </c>
      <c r="B259" t="s">
        <v>677</v>
      </c>
      <c r="C259" t="s">
        <v>428</v>
      </c>
      <c r="D259" s="5">
        <v>231038.464557122</v>
      </c>
      <c r="E259" s="5">
        <v>232110.093998314</v>
      </c>
      <c r="F259" s="5">
        <v>233127.13797347399</v>
      </c>
      <c r="G259" s="5">
        <v>229542</v>
      </c>
      <c r="H259">
        <v>232103</v>
      </c>
      <c r="I259">
        <v>234479</v>
      </c>
      <c r="J259">
        <v>236673</v>
      </c>
      <c r="K259">
        <v>238690</v>
      </c>
      <c r="L259">
        <v>240535</v>
      </c>
      <c r="M259">
        <v>242213</v>
      </c>
      <c r="N259">
        <v>243727</v>
      </c>
      <c r="O259">
        <v>245084</v>
      </c>
      <c r="P259">
        <v>246288</v>
      </c>
      <c r="Q259">
        <v>247343</v>
      </c>
      <c r="R259">
        <v>248254</v>
      </c>
      <c r="S259">
        <v>249027</v>
      </c>
      <c r="T259">
        <v>249665</v>
      </c>
      <c r="U259">
        <v>250175</v>
      </c>
      <c r="V259">
        <v>250560</v>
      </c>
      <c r="W259">
        <v>250827</v>
      </c>
      <c r="X259">
        <v>250980</v>
      </c>
      <c r="Y259">
        <v>251024</v>
      </c>
      <c r="Z259">
        <v>250964</v>
      </c>
      <c r="AA259">
        <v>250805</v>
      </c>
      <c r="AB259">
        <v>250554</v>
      </c>
      <c r="AC259">
        <v>250214</v>
      </c>
      <c r="AD259">
        <v>249791</v>
      </c>
      <c r="AE259">
        <v>249290</v>
      </c>
      <c r="AF259">
        <v>248717</v>
      </c>
      <c r="AG259">
        <v>248078</v>
      </c>
      <c r="AH259">
        <v>247376</v>
      </c>
      <c r="AI259">
        <v>246619</v>
      </c>
      <c r="AJ259">
        <v>245811</v>
      </c>
      <c r="AK259">
        <v>244958</v>
      </c>
      <c r="AL259">
        <v>244066</v>
      </c>
      <c r="AM259">
        <v>243139</v>
      </c>
      <c r="AN259">
        <v>242185</v>
      </c>
      <c r="AO259">
        <v>241207</v>
      </c>
      <c r="AP259">
        <v>240213</v>
      </c>
      <c r="AQ259">
        <v>239207</v>
      </c>
      <c r="AR259">
        <v>238196</v>
      </c>
      <c r="AS259">
        <v>237185</v>
      </c>
      <c r="AT259">
        <v>236180</v>
      </c>
      <c r="AU259">
        <v>235188</v>
      </c>
      <c r="AV259">
        <v>234213</v>
      </c>
    </row>
    <row r="260" spans="1:48" x14ac:dyDescent="0.15">
      <c r="A260" t="s">
        <v>298</v>
      </c>
      <c r="B260" t="s">
        <v>678</v>
      </c>
      <c r="C260" t="s">
        <v>428</v>
      </c>
      <c r="D260" s="5">
        <v>462263.054602655</v>
      </c>
      <c r="E260" s="5">
        <v>464407.17679389898</v>
      </c>
      <c r="F260" s="5">
        <v>466442.08407881297</v>
      </c>
      <c r="G260" s="5">
        <v>459269</v>
      </c>
      <c r="H260">
        <v>464393</v>
      </c>
      <c r="I260">
        <v>469146</v>
      </c>
      <c r="J260">
        <v>473536</v>
      </c>
      <c r="K260">
        <v>477572</v>
      </c>
      <c r="L260">
        <v>481263</v>
      </c>
      <c r="M260">
        <v>484620</v>
      </c>
      <c r="N260">
        <v>487651</v>
      </c>
      <c r="O260">
        <v>490366</v>
      </c>
      <c r="P260">
        <v>492774</v>
      </c>
      <c r="Q260">
        <v>494884</v>
      </c>
      <c r="R260">
        <v>496708</v>
      </c>
      <c r="S260">
        <v>498253</v>
      </c>
      <c r="T260">
        <v>499531</v>
      </c>
      <c r="U260">
        <v>500551</v>
      </c>
      <c r="V260">
        <v>501322</v>
      </c>
      <c r="W260">
        <v>501856</v>
      </c>
      <c r="X260">
        <v>502162</v>
      </c>
      <c r="Y260">
        <v>502249</v>
      </c>
      <c r="Z260">
        <v>502130</v>
      </c>
      <c r="AA260">
        <v>501813</v>
      </c>
      <c r="AB260">
        <v>501309</v>
      </c>
      <c r="AC260">
        <v>500629</v>
      </c>
      <c r="AD260">
        <v>499783</v>
      </c>
      <c r="AE260">
        <v>498781</v>
      </c>
      <c r="AF260">
        <v>497635</v>
      </c>
      <c r="AG260">
        <v>496355</v>
      </c>
      <c r="AH260">
        <v>494952</v>
      </c>
      <c r="AI260">
        <v>493437</v>
      </c>
      <c r="AJ260">
        <v>491821</v>
      </c>
      <c r="AK260">
        <v>490114</v>
      </c>
      <c r="AL260">
        <v>488329</v>
      </c>
      <c r="AM260">
        <v>486475</v>
      </c>
      <c r="AN260">
        <v>484565</v>
      </c>
      <c r="AO260">
        <v>482609</v>
      </c>
      <c r="AP260">
        <v>480619</v>
      </c>
      <c r="AQ260">
        <v>478607</v>
      </c>
      <c r="AR260">
        <v>476584</v>
      </c>
      <c r="AS260">
        <v>474562</v>
      </c>
      <c r="AT260">
        <v>472551</v>
      </c>
      <c r="AU260">
        <v>470565</v>
      </c>
      <c r="AV260">
        <v>468614</v>
      </c>
    </row>
    <row r="261" spans="1:48" x14ac:dyDescent="0.15">
      <c r="A261" t="s">
        <v>299</v>
      </c>
      <c r="B261" t="s">
        <v>679</v>
      </c>
      <c r="C261" t="s">
        <v>428</v>
      </c>
      <c r="D261" s="5">
        <v>370768.94018127403</v>
      </c>
      <c r="E261" s="5">
        <v>372488.683744059</v>
      </c>
      <c r="F261" s="5">
        <v>374120.82892607799</v>
      </c>
      <c r="G261" s="5">
        <v>368368</v>
      </c>
      <c r="H261">
        <v>372478</v>
      </c>
      <c r="I261">
        <v>376290</v>
      </c>
      <c r="J261">
        <v>379810</v>
      </c>
      <c r="K261">
        <v>383048</v>
      </c>
      <c r="L261">
        <v>386009</v>
      </c>
      <c r="M261">
        <v>388701</v>
      </c>
      <c r="N261">
        <v>391132</v>
      </c>
      <c r="O261">
        <v>393309</v>
      </c>
      <c r="P261">
        <v>395241</v>
      </c>
      <c r="Q261">
        <v>396934</v>
      </c>
      <c r="R261">
        <v>398396</v>
      </c>
      <c r="S261">
        <v>399636</v>
      </c>
      <c r="T261">
        <v>400661</v>
      </c>
      <c r="U261">
        <v>401479</v>
      </c>
      <c r="V261">
        <v>402098</v>
      </c>
      <c r="W261">
        <v>402526</v>
      </c>
      <c r="X261">
        <v>402771</v>
      </c>
      <c r="Y261">
        <v>402842</v>
      </c>
      <c r="Z261">
        <v>402746</v>
      </c>
      <c r="AA261">
        <v>402491</v>
      </c>
      <c r="AB261">
        <v>402087</v>
      </c>
      <c r="AC261">
        <v>401542</v>
      </c>
      <c r="AD261">
        <v>400863</v>
      </c>
      <c r="AE261">
        <v>400060</v>
      </c>
      <c r="AF261">
        <v>399141</v>
      </c>
      <c r="AG261">
        <v>398114</v>
      </c>
      <c r="AH261">
        <v>396989</v>
      </c>
      <c r="AI261">
        <v>395773</v>
      </c>
      <c r="AJ261">
        <v>394477</v>
      </c>
      <c r="AK261">
        <v>393108</v>
      </c>
      <c r="AL261">
        <v>391676</v>
      </c>
      <c r="AM261">
        <v>390189</v>
      </c>
      <c r="AN261">
        <v>388657</v>
      </c>
      <c r="AO261">
        <v>387089</v>
      </c>
      <c r="AP261">
        <v>385493</v>
      </c>
      <c r="AQ261">
        <v>383879</v>
      </c>
      <c r="AR261">
        <v>382256</v>
      </c>
      <c r="AS261">
        <v>380634</v>
      </c>
      <c r="AT261">
        <v>379021</v>
      </c>
      <c r="AU261">
        <v>377428</v>
      </c>
      <c r="AV261">
        <v>375864</v>
      </c>
    </row>
    <row r="262" spans="1:48" x14ac:dyDescent="0.15">
      <c r="A262" t="s">
        <v>300</v>
      </c>
      <c r="B262" t="s">
        <v>680</v>
      </c>
      <c r="C262" t="s">
        <v>428</v>
      </c>
      <c r="D262" s="5">
        <v>155377.955855849</v>
      </c>
      <c r="E262" s="5">
        <v>156098.647937692</v>
      </c>
      <c r="F262" s="5">
        <v>156782.63020955701</v>
      </c>
      <c r="G262" s="5">
        <v>154372</v>
      </c>
      <c r="H262">
        <v>156094</v>
      </c>
      <c r="I262">
        <v>157691</v>
      </c>
      <c r="J262">
        <v>159167</v>
      </c>
      <c r="K262">
        <v>160523</v>
      </c>
      <c r="L262">
        <v>161764</v>
      </c>
      <c r="M262">
        <v>162893</v>
      </c>
      <c r="N262">
        <v>163911</v>
      </c>
      <c r="O262">
        <v>164824</v>
      </c>
      <c r="P262">
        <v>165633</v>
      </c>
      <c r="Q262">
        <v>166343</v>
      </c>
      <c r="R262">
        <v>166956</v>
      </c>
      <c r="S262">
        <v>167475</v>
      </c>
      <c r="T262">
        <v>167905</v>
      </c>
      <c r="U262">
        <v>168247</v>
      </c>
      <c r="V262">
        <v>168507</v>
      </c>
      <c r="W262">
        <v>168686</v>
      </c>
      <c r="X262">
        <v>168789</v>
      </c>
      <c r="Y262">
        <v>168819</v>
      </c>
      <c r="Z262">
        <v>168778</v>
      </c>
      <c r="AA262">
        <v>168672</v>
      </c>
      <c r="AB262">
        <v>168502</v>
      </c>
      <c r="AC262">
        <v>168274</v>
      </c>
      <c r="AD262">
        <v>167989</v>
      </c>
      <c r="AE262">
        <v>167653</v>
      </c>
      <c r="AF262">
        <v>167268</v>
      </c>
      <c r="AG262">
        <v>166838</v>
      </c>
      <c r="AH262">
        <v>166366</v>
      </c>
      <c r="AI262">
        <v>165857</v>
      </c>
      <c r="AJ262">
        <v>165313</v>
      </c>
      <c r="AK262">
        <v>164740</v>
      </c>
      <c r="AL262">
        <v>164140</v>
      </c>
      <c r="AM262">
        <v>163517</v>
      </c>
      <c r="AN262">
        <v>162875</v>
      </c>
      <c r="AO262">
        <v>162217</v>
      </c>
      <c r="AP262">
        <v>161548</v>
      </c>
      <c r="AQ262">
        <v>160872</v>
      </c>
      <c r="AR262">
        <v>160192</v>
      </c>
      <c r="AS262">
        <v>159512</v>
      </c>
      <c r="AT262">
        <v>158836</v>
      </c>
      <c r="AU262">
        <v>158169</v>
      </c>
      <c r="AV262">
        <v>157513</v>
      </c>
    </row>
    <row r="263" spans="1:48" x14ac:dyDescent="0.15">
      <c r="A263" t="s">
        <v>301</v>
      </c>
      <c r="B263" t="s">
        <v>681</v>
      </c>
      <c r="C263" t="s">
        <v>428</v>
      </c>
      <c r="D263" s="5">
        <v>178746.16022451501</v>
      </c>
      <c r="E263" s="5">
        <v>179575.24142605401</v>
      </c>
      <c r="F263" s="5">
        <v>180362.09181344599</v>
      </c>
      <c r="G263" s="5">
        <v>177588</v>
      </c>
      <c r="H263">
        <v>179570</v>
      </c>
      <c r="I263">
        <v>181408</v>
      </c>
      <c r="J263">
        <v>183105</v>
      </c>
      <c r="K263">
        <v>184666</v>
      </c>
      <c r="L263">
        <v>186093</v>
      </c>
      <c r="M263">
        <v>187391</v>
      </c>
      <c r="N263">
        <v>188563</v>
      </c>
      <c r="O263">
        <v>189613</v>
      </c>
      <c r="P263">
        <v>190544</v>
      </c>
      <c r="Q263">
        <v>191360</v>
      </c>
      <c r="R263">
        <v>192066</v>
      </c>
      <c r="S263">
        <v>192663</v>
      </c>
      <c r="T263">
        <v>193157</v>
      </c>
      <c r="U263">
        <v>193552</v>
      </c>
      <c r="V263">
        <v>193850</v>
      </c>
      <c r="W263">
        <v>194056</v>
      </c>
      <c r="X263">
        <v>194175</v>
      </c>
      <c r="Y263">
        <v>194209</v>
      </c>
      <c r="Z263">
        <v>194162</v>
      </c>
      <c r="AA263">
        <v>194040</v>
      </c>
      <c r="AB263">
        <v>193845</v>
      </c>
      <c r="AC263">
        <v>193582</v>
      </c>
      <c r="AD263">
        <v>193255</v>
      </c>
      <c r="AE263">
        <v>192868</v>
      </c>
      <c r="AF263">
        <v>192425</v>
      </c>
      <c r="AG263">
        <v>191930</v>
      </c>
      <c r="AH263">
        <v>191387</v>
      </c>
      <c r="AI263">
        <v>190801</v>
      </c>
      <c r="AJ263">
        <v>190176</v>
      </c>
      <c r="AK263">
        <v>189517</v>
      </c>
      <c r="AL263">
        <v>188826</v>
      </c>
      <c r="AM263">
        <v>188109</v>
      </c>
      <c r="AN263">
        <v>187371</v>
      </c>
      <c r="AO263">
        <v>186615</v>
      </c>
      <c r="AP263">
        <v>185845</v>
      </c>
      <c r="AQ263">
        <v>185067</v>
      </c>
      <c r="AR263">
        <v>184285</v>
      </c>
      <c r="AS263">
        <v>183503</v>
      </c>
      <c r="AT263">
        <v>182726</v>
      </c>
      <c r="AU263">
        <v>181957</v>
      </c>
      <c r="AV263">
        <v>181203</v>
      </c>
    </row>
    <row r="264" spans="1:48" x14ac:dyDescent="0.15">
      <c r="A264" t="s">
        <v>302</v>
      </c>
      <c r="B264" t="s">
        <v>682</v>
      </c>
      <c r="C264" t="s">
        <v>428</v>
      </c>
      <c r="D264" s="5">
        <v>29478580.217052601</v>
      </c>
      <c r="E264" s="5">
        <v>29568435.062054899</v>
      </c>
      <c r="F264" s="5">
        <v>29650286.316274401</v>
      </c>
      <c r="G264" s="5">
        <v>31913910</v>
      </c>
      <c r="H264">
        <v>32050209</v>
      </c>
      <c r="I264">
        <v>32175887</v>
      </c>
      <c r="J264">
        <v>32290061</v>
      </c>
      <c r="K264">
        <v>32391939</v>
      </c>
      <c r="L264">
        <v>32480820</v>
      </c>
      <c r="M264">
        <v>32556098</v>
      </c>
      <c r="N264">
        <v>32617255</v>
      </c>
      <c r="O264">
        <v>32663869</v>
      </c>
      <c r="P264">
        <v>32695608</v>
      </c>
      <c r="Q264">
        <v>32712231</v>
      </c>
      <c r="R264">
        <v>32713592</v>
      </c>
      <c r="S264">
        <v>32699636</v>
      </c>
      <c r="T264">
        <v>32670397</v>
      </c>
      <c r="U264">
        <v>32626007</v>
      </c>
      <c r="V264">
        <v>32566684</v>
      </c>
      <c r="W264">
        <v>32492742</v>
      </c>
      <c r="X264">
        <v>32404586</v>
      </c>
      <c r="Y264">
        <v>32302713</v>
      </c>
      <c r="Z264">
        <v>32187712</v>
      </c>
      <c r="AA264">
        <v>32060263</v>
      </c>
      <c r="AB264">
        <v>31921141</v>
      </c>
      <c r="AC264">
        <v>31771210</v>
      </c>
      <c r="AD264">
        <v>31611428</v>
      </c>
      <c r="AE264">
        <v>31442843</v>
      </c>
      <c r="AF264">
        <v>31266599</v>
      </c>
      <c r="AG264">
        <v>31083927</v>
      </c>
      <c r="AH264">
        <v>30896154</v>
      </c>
      <c r="AI264">
        <v>30704697</v>
      </c>
      <c r="AJ264">
        <v>30511066</v>
      </c>
      <c r="AK264">
        <v>30316864</v>
      </c>
      <c r="AL264">
        <v>30123782</v>
      </c>
      <c r="AM264">
        <v>29933609</v>
      </c>
      <c r="AN264">
        <v>29748221</v>
      </c>
      <c r="AO264">
        <v>29569590</v>
      </c>
      <c r="AP264">
        <v>29399776</v>
      </c>
      <c r="AQ264">
        <v>29240934</v>
      </c>
      <c r="AR264">
        <v>29095311</v>
      </c>
      <c r="AS264">
        <v>28965245</v>
      </c>
      <c r="AT264">
        <v>28853166</v>
      </c>
      <c r="AU264">
        <v>28761597</v>
      </c>
      <c r="AV264">
        <v>28693153</v>
      </c>
    </row>
    <row r="265" spans="1:48" x14ac:dyDescent="0.15">
      <c r="A265" t="s">
        <v>304</v>
      </c>
      <c r="B265" t="s">
        <v>683</v>
      </c>
      <c r="C265" t="s">
        <v>428</v>
      </c>
      <c r="D265" s="5">
        <v>15779040.157548301</v>
      </c>
      <c r="E265" s="5">
        <v>15873867.531135401</v>
      </c>
      <c r="F265" s="5">
        <v>15960356.150793999</v>
      </c>
      <c r="G265" s="5">
        <v>20738729</v>
      </c>
      <c r="H265">
        <v>20935566</v>
      </c>
      <c r="I265">
        <v>21098739</v>
      </c>
      <c r="J265">
        <v>21230755</v>
      </c>
      <c r="K265">
        <v>21334023</v>
      </c>
      <c r="L265">
        <v>21410857</v>
      </c>
      <c r="M265">
        <v>21463472</v>
      </c>
      <c r="N265">
        <v>21493987</v>
      </c>
      <c r="O265">
        <v>21504422</v>
      </c>
      <c r="P265">
        <v>21496701</v>
      </c>
      <c r="Q265">
        <v>21472653</v>
      </c>
      <c r="R265">
        <v>21434006</v>
      </c>
      <c r="S265">
        <v>21382393</v>
      </c>
      <c r="T265">
        <v>21319349</v>
      </c>
      <c r="U265">
        <v>21246314</v>
      </c>
      <c r="V265">
        <v>21164628</v>
      </c>
      <c r="W265">
        <v>21075536</v>
      </c>
      <c r="X265">
        <v>20980184</v>
      </c>
      <c r="Y265">
        <v>20879622</v>
      </c>
      <c r="Z265">
        <v>20774804</v>
      </c>
      <c r="AA265">
        <v>20666584</v>
      </c>
      <c r="AB265">
        <v>20555720</v>
      </c>
      <c r="AC265">
        <v>20442875</v>
      </c>
      <c r="AD265">
        <v>20328612</v>
      </c>
      <c r="AE265">
        <v>20213399</v>
      </c>
      <c r="AF265">
        <v>20097605</v>
      </c>
      <c r="AG265">
        <v>19981503</v>
      </c>
      <c r="AH265">
        <v>19865268</v>
      </c>
      <c r="AI265">
        <v>19748979</v>
      </c>
      <c r="AJ265">
        <v>19632617</v>
      </c>
      <c r="AK265">
        <v>19516066</v>
      </c>
      <c r="AL265">
        <v>19399114</v>
      </c>
      <c r="AM265">
        <v>19281450</v>
      </c>
      <c r="AN265">
        <v>19162667</v>
      </c>
      <c r="AO265">
        <v>19042261</v>
      </c>
      <c r="AP265">
        <v>18919629</v>
      </c>
      <c r="AQ265">
        <v>18794074</v>
      </c>
      <c r="AR265">
        <v>18664799</v>
      </c>
      <c r="AS265">
        <v>18530912</v>
      </c>
      <c r="AT265">
        <v>18391422</v>
      </c>
      <c r="AU265">
        <v>18245242</v>
      </c>
      <c r="AV265">
        <v>18091188</v>
      </c>
    </row>
    <row r="266" spans="1:48" x14ac:dyDescent="0.15">
      <c r="A266" t="s">
        <v>305</v>
      </c>
      <c r="B266" t="s">
        <v>684</v>
      </c>
      <c r="C266" t="s">
        <v>428</v>
      </c>
      <c r="D266" s="5">
        <v>2722160.0102441902</v>
      </c>
      <c r="E266" s="5">
        <v>2726019.33069477</v>
      </c>
      <c r="F266" s="5">
        <v>2728918.1761677898</v>
      </c>
      <c r="G266" s="5">
        <v>2486142</v>
      </c>
      <c r="H266">
        <v>2488903</v>
      </c>
      <c r="I266">
        <v>2491428</v>
      </c>
      <c r="J266">
        <v>2493604</v>
      </c>
      <c r="K266">
        <v>2495329</v>
      </c>
      <c r="L266">
        <v>2496506</v>
      </c>
      <c r="M266">
        <v>2497051</v>
      </c>
      <c r="N266">
        <v>2496886</v>
      </c>
      <c r="O266">
        <v>2495944</v>
      </c>
      <c r="P266">
        <v>2494165</v>
      </c>
      <c r="Q266">
        <v>2491498</v>
      </c>
      <c r="R266">
        <v>2487901</v>
      </c>
      <c r="S266">
        <v>2483343</v>
      </c>
      <c r="T266">
        <v>2477799</v>
      </c>
      <c r="U266">
        <v>2471253</v>
      </c>
      <c r="V266">
        <v>2463700</v>
      </c>
      <c r="W266">
        <v>2455142</v>
      </c>
      <c r="X266">
        <v>2445590</v>
      </c>
      <c r="Y266">
        <v>2435064</v>
      </c>
      <c r="Z266">
        <v>2423594</v>
      </c>
      <c r="AA266">
        <v>2411217</v>
      </c>
      <c r="AB266">
        <v>2397980</v>
      </c>
      <c r="AC266">
        <v>2383938</v>
      </c>
      <c r="AD266">
        <v>2369155</v>
      </c>
      <c r="AE266">
        <v>2353705</v>
      </c>
      <c r="AF266">
        <v>2337670</v>
      </c>
      <c r="AG266">
        <v>2321141</v>
      </c>
      <c r="AH266">
        <v>2304216</v>
      </c>
      <c r="AI266">
        <v>2287005</v>
      </c>
      <c r="AJ266">
        <v>2269625</v>
      </c>
      <c r="AK266">
        <v>2252202</v>
      </c>
      <c r="AL266">
        <v>2234871</v>
      </c>
      <c r="AM266">
        <v>2217775</v>
      </c>
      <c r="AN266">
        <v>2201068</v>
      </c>
      <c r="AO266">
        <v>2184910</v>
      </c>
      <c r="AP266">
        <v>2169473</v>
      </c>
      <c r="AQ266">
        <v>2154934</v>
      </c>
      <c r="AR266">
        <v>2141483</v>
      </c>
      <c r="AS266">
        <v>2129315</v>
      </c>
      <c r="AT266">
        <v>2118637</v>
      </c>
      <c r="AU266">
        <v>2109662</v>
      </c>
      <c r="AV266">
        <v>2102615</v>
      </c>
    </row>
    <row r="267" spans="1:48" x14ac:dyDescent="0.15">
      <c r="A267" t="s">
        <v>306</v>
      </c>
      <c r="B267" t="s">
        <v>685</v>
      </c>
      <c r="C267" t="s">
        <v>428</v>
      </c>
      <c r="D267" s="5">
        <v>1260827.3023229099</v>
      </c>
      <c r="E267" s="5">
        <v>1267397.84586932</v>
      </c>
      <c r="F267" s="5">
        <v>1273456.9420115801</v>
      </c>
      <c r="G267" s="5">
        <v>1203871</v>
      </c>
      <c r="H267">
        <v>1212134</v>
      </c>
      <c r="I267">
        <v>1219617</v>
      </c>
      <c r="J267">
        <v>1226328</v>
      </c>
      <c r="K267">
        <v>1232278</v>
      </c>
      <c r="L267">
        <v>1237478</v>
      </c>
      <c r="M267">
        <v>1241939</v>
      </c>
      <c r="N267">
        <v>1245673</v>
      </c>
      <c r="O267">
        <v>1248695</v>
      </c>
      <c r="P267">
        <v>1251019</v>
      </c>
      <c r="Q267">
        <v>1252660</v>
      </c>
      <c r="R267">
        <v>1253634</v>
      </c>
      <c r="S267">
        <v>1253960</v>
      </c>
      <c r="T267">
        <v>1253654</v>
      </c>
      <c r="U267">
        <v>1252737</v>
      </c>
      <c r="V267">
        <v>1251229</v>
      </c>
      <c r="W267">
        <v>1249151</v>
      </c>
      <c r="X267">
        <v>1246524</v>
      </c>
      <c r="Y267">
        <v>1243372</v>
      </c>
      <c r="Z267">
        <v>1239719</v>
      </c>
      <c r="AA267">
        <v>1235590</v>
      </c>
      <c r="AB267">
        <v>1231010</v>
      </c>
      <c r="AC267">
        <v>1226006</v>
      </c>
      <c r="AD267">
        <v>1220607</v>
      </c>
      <c r="AE267">
        <v>1214840</v>
      </c>
      <c r="AF267">
        <v>1208735</v>
      </c>
      <c r="AG267">
        <v>1202324</v>
      </c>
      <c r="AH267">
        <v>1195636</v>
      </c>
      <c r="AI267">
        <v>1188706</v>
      </c>
      <c r="AJ267">
        <v>1181566</v>
      </c>
      <c r="AK267">
        <v>1174250</v>
      </c>
      <c r="AL267">
        <v>1166794</v>
      </c>
      <c r="AM267">
        <v>1159234</v>
      </c>
      <c r="AN267">
        <v>1151608</v>
      </c>
      <c r="AO267">
        <v>1143953</v>
      </c>
      <c r="AP267">
        <v>1136308</v>
      </c>
      <c r="AQ267">
        <v>1128714</v>
      </c>
      <c r="AR267">
        <v>1121211</v>
      </c>
      <c r="AS267">
        <v>1113841</v>
      </c>
      <c r="AT267">
        <v>1106647</v>
      </c>
      <c r="AU267">
        <v>1099674</v>
      </c>
      <c r="AV267">
        <v>1092965</v>
      </c>
    </row>
    <row r="268" spans="1:48" x14ac:dyDescent="0.15">
      <c r="A268" t="s">
        <v>307</v>
      </c>
      <c r="B268" t="s">
        <v>686</v>
      </c>
      <c r="C268" t="s">
        <v>428</v>
      </c>
      <c r="D268" s="5">
        <v>4294248.2690731902</v>
      </c>
      <c r="E268" s="5">
        <v>4301448.8093662402</v>
      </c>
      <c r="F268" s="5">
        <v>4307671.5412183199</v>
      </c>
      <c r="G268" s="5">
        <v>4252340</v>
      </c>
      <c r="H268">
        <v>4253646</v>
      </c>
      <c r="I268">
        <v>4258188</v>
      </c>
      <c r="J268">
        <v>4265348</v>
      </c>
      <c r="K268">
        <v>4274544</v>
      </c>
      <c r="L268">
        <v>4285232</v>
      </c>
      <c r="M268">
        <v>4296900</v>
      </c>
      <c r="N268">
        <v>4309073</v>
      </c>
      <c r="O268">
        <v>4321311</v>
      </c>
      <c r="P268">
        <v>4333211</v>
      </c>
      <c r="Q268">
        <v>4344403</v>
      </c>
      <c r="R268">
        <v>4354555</v>
      </c>
      <c r="S268">
        <v>4363369</v>
      </c>
      <c r="T268">
        <v>4370582</v>
      </c>
      <c r="U268">
        <v>4375968</v>
      </c>
      <c r="V268">
        <v>4379335</v>
      </c>
      <c r="W268">
        <v>4380528</v>
      </c>
      <c r="X268">
        <v>4379427</v>
      </c>
      <c r="Y268">
        <v>4375945</v>
      </c>
      <c r="Z268">
        <v>4370035</v>
      </c>
      <c r="AA268">
        <v>4361681</v>
      </c>
      <c r="AB268">
        <v>4350907</v>
      </c>
      <c r="AC268">
        <v>4337767</v>
      </c>
      <c r="AD268">
        <v>4322356</v>
      </c>
      <c r="AE268">
        <v>4304801</v>
      </c>
      <c r="AF268">
        <v>4285266</v>
      </c>
      <c r="AG268">
        <v>4263949</v>
      </c>
      <c r="AH268">
        <v>4241085</v>
      </c>
      <c r="AI268">
        <v>4216943</v>
      </c>
      <c r="AJ268">
        <v>4191829</v>
      </c>
      <c r="AK268">
        <v>4166085</v>
      </c>
      <c r="AL268">
        <v>4140085</v>
      </c>
      <c r="AM268">
        <v>4114242</v>
      </c>
      <c r="AN268">
        <v>4089004</v>
      </c>
      <c r="AO268">
        <v>4064852</v>
      </c>
      <c r="AP268">
        <v>4042305</v>
      </c>
      <c r="AQ268">
        <v>4021917</v>
      </c>
      <c r="AR268">
        <v>4004276</v>
      </c>
      <c r="AS268">
        <v>3990008</v>
      </c>
      <c r="AT268">
        <v>3979773</v>
      </c>
      <c r="AU268">
        <v>3974265</v>
      </c>
      <c r="AV268">
        <v>3974217</v>
      </c>
    </row>
    <row r="269" spans="1:48" x14ac:dyDescent="0.15">
      <c r="A269" t="s">
        <v>308</v>
      </c>
      <c r="B269" t="s">
        <v>687</v>
      </c>
      <c r="C269" t="s">
        <v>428</v>
      </c>
      <c r="D269" s="5">
        <v>3696331.87185521</v>
      </c>
      <c r="E269" s="5">
        <v>3707012.0734996698</v>
      </c>
      <c r="F269" s="5">
        <v>3716271.99557336</v>
      </c>
      <c r="G269" s="5">
        <v>3439786</v>
      </c>
      <c r="H269">
        <v>3455741</v>
      </c>
      <c r="I269">
        <v>3468552</v>
      </c>
      <c r="J269">
        <v>3478340</v>
      </c>
      <c r="K269">
        <v>3485228</v>
      </c>
      <c r="L269">
        <v>3489338</v>
      </c>
      <c r="M269">
        <v>3490791</v>
      </c>
      <c r="N269">
        <v>3489708</v>
      </c>
      <c r="O269">
        <v>3486209</v>
      </c>
      <c r="P269">
        <v>3480415</v>
      </c>
      <c r="Q269">
        <v>3472446</v>
      </c>
      <c r="R269">
        <v>3462419</v>
      </c>
      <c r="S269">
        <v>3450455</v>
      </c>
      <c r="T269">
        <v>3436673</v>
      </c>
      <c r="U269">
        <v>3421188</v>
      </c>
      <c r="V269">
        <v>3404121</v>
      </c>
      <c r="W269">
        <v>3385587</v>
      </c>
      <c r="X269">
        <v>3365704</v>
      </c>
      <c r="Y269">
        <v>3344587</v>
      </c>
      <c r="Z269">
        <v>3322353</v>
      </c>
      <c r="AA269">
        <v>3299118</v>
      </c>
      <c r="AB269">
        <v>3274996</v>
      </c>
      <c r="AC269">
        <v>3250102</v>
      </c>
      <c r="AD269">
        <v>3224551</v>
      </c>
      <c r="AE269">
        <v>3198456</v>
      </c>
      <c r="AF269">
        <v>3171930</v>
      </c>
      <c r="AG269">
        <v>3145087</v>
      </c>
      <c r="AH269">
        <v>3118040</v>
      </c>
      <c r="AI269">
        <v>3090900</v>
      </c>
      <c r="AJ269">
        <v>3063780</v>
      </c>
      <c r="AK269">
        <v>3036790</v>
      </c>
      <c r="AL269">
        <v>3010042</v>
      </c>
      <c r="AM269">
        <v>2983647</v>
      </c>
      <c r="AN269">
        <v>2957713</v>
      </c>
      <c r="AO269">
        <v>2932352</v>
      </c>
      <c r="AP269">
        <v>2907672</v>
      </c>
      <c r="AQ269">
        <v>2883783</v>
      </c>
      <c r="AR269">
        <v>2860792</v>
      </c>
      <c r="AS269">
        <v>2838807</v>
      </c>
      <c r="AT269">
        <v>2817937</v>
      </c>
      <c r="AU269">
        <v>2798289</v>
      </c>
      <c r="AV269">
        <v>2779969</v>
      </c>
    </row>
    <row r="270" spans="1:48" x14ac:dyDescent="0.15">
      <c r="A270" t="s">
        <v>309</v>
      </c>
      <c r="B270" t="s">
        <v>688</v>
      </c>
      <c r="C270" t="s">
        <v>428</v>
      </c>
      <c r="D270" s="5">
        <v>4707617.7535170102</v>
      </c>
      <c r="E270" s="5">
        <v>4722013.39021187</v>
      </c>
      <c r="F270" s="5">
        <v>4735037.7371647405</v>
      </c>
      <c r="G270" s="5">
        <v>4842758</v>
      </c>
      <c r="H270">
        <v>4867708</v>
      </c>
      <c r="I270">
        <v>4888699</v>
      </c>
      <c r="J270">
        <v>4905833</v>
      </c>
      <c r="K270">
        <v>4919213</v>
      </c>
      <c r="L270">
        <v>4928949</v>
      </c>
      <c r="M270">
        <v>4935152</v>
      </c>
      <c r="N270">
        <v>4937938</v>
      </c>
      <c r="O270">
        <v>4937426</v>
      </c>
      <c r="P270">
        <v>4933738</v>
      </c>
      <c r="Q270">
        <v>4927000</v>
      </c>
      <c r="R270">
        <v>4917341</v>
      </c>
      <c r="S270">
        <v>4904893</v>
      </c>
      <c r="T270">
        <v>4889794</v>
      </c>
      <c r="U270">
        <v>4872181</v>
      </c>
      <c r="V270">
        <v>4852200</v>
      </c>
      <c r="W270">
        <v>4829995</v>
      </c>
      <c r="X270">
        <v>4805717</v>
      </c>
      <c r="Y270">
        <v>4779520</v>
      </c>
      <c r="Z270">
        <v>4751560</v>
      </c>
      <c r="AA270">
        <v>4721998</v>
      </c>
      <c r="AB270">
        <v>4690997</v>
      </c>
      <c r="AC270">
        <v>4658725</v>
      </c>
      <c r="AD270">
        <v>4625353</v>
      </c>
      <c r="AE270">
        <v>4591055</v>
      </c>
      <c r="AF270">
        <v>4556008</v>
      </c>
      <c r="AG270">
        <v>4520394</v>
      </c>
      <c r="AH270">
        <v>4484397</v>
      </c>
      <c r="AI270">
        <v>4448205</v>
      </c>
      <c r="AJ270">
        <v>4412010</v>
      </c>
      <c r="AK270">
        <v>4376007</v>
      </c>
      <c r="AL270">
        <v>4340394</v>
      </c>
      <c r="AM270">
        <v>4305373</v>
      </c>
      <c r="AN270">
        <v>4271149</v>
      </c>
      <c r="AO270">
        <v>4237931</v>
      </c>
      <c r="AP270">
        <v>4205932</v>
      </c>
      <c r="AQ270">
        <v>4175367</v>
      </c>
      <c r="AR270">
        <v>4146456</v>
      </c>
      <c r="AS270">
        <v>4119421</v>
      </c>
      <c r="AT270">
        <v>4094487</v>
      </c>
      <c r="AU270">
        <v>4071886</v>
      </c>
      <c r="AV270">
        <v>4051849</v>
      </c>
    </row>
    <row r="271" spans="1:48" x14ac:dyDescent="0.15">
      <c r="A271" t="s">
        <v>310</v>
      </c>
      <c r="B271" t="s">
        <v>689</v>
      </c>
      <c r="C271" t="s">
        <v>428</v>
      </c>
      <c r="D271" s="5">
        <v>2524608.93483186</v>
      </c>
      <c r="E271" s="5">
        <v>2532373.1371213398</v>
      </c>
      <c r="F271" s="5">
        <v>2539813.3814205402</v>
      </c>
      <c r="G271" s="5">
        <v>2293590</v>
      </c>
      <c r="H271">
        <v>2305457</v>
      </c>
      <c r="I271">
        <v>2316281</v>
      </c>
      <c r="J271">
        <v>2325996</v>
      </c>
      <c r="K271">
        <v>2334541</v>
      </c>
      <c r="L271">
        <v>2341865</v>
      </c>
      <c r="M271">
        <v>2347924</v>
      </c>
      <c r="N271">
        <v>2352684</v>
      </c>
      <c r="O271">
        <v>2356116</v>
      </c>
      <c r="P271">
        <v>2358200</v>
      </c>
      <c r="Q271">
        <v>2358924</v>
      </c>
      <c r="R271">
        <v>2358284</v>
      </c>
      <c r="S271">
        <v>2356284</v>
      </c>
      <c r="T271">
        <v>2352935</v>
      </c>
      <c r="U271">
        <v>2348258</v>
      </c>
      <c r="V271">
        <v>2342278</v>
      </c>
      <c r="W271">
        <v>2335032</v>
      </c>
      <c r="X271">
        <v>2326562</v>
      </c>
      <c r="Y271">
        <v>2316920</v>
      </c>
      <c r="Z271">
        <v>2306165</v>
      </c>
      <c r="AA271">
        <v>2294362</v>
      </c>
      <c r="AB271">
        <v>2281588</v>
      </c>
      <c r="AC271">
        <v>2267923</v>
      </c>
      <c r="AD271">
        <v>2253459</v>
      </c>
      <c r="AE271">
        <v>2238295</v>
      </c>
      <c r="AF271">
        <v>2222535</v>
      </c>
      <c r="AG271">
        <v>2206294</v>
      </c>
      <c r="AH271">
        <v>2189695</v>
      </c>
      <c r="AI271">
        <v>2172866</v>
      </c>
      <c r="AJ271">
        <v>2155946</v>
      </c>
      <c r="AK271">
        <v>2139079</v>
      </c>
      <c r="AL271">
        <v>2122420</v>
      </c>
      <c r="AM271">
        <v>2106130</v>
      </c>
      <c r="AN271">
        <v>2090377</v>
      </c>
      <c r="AO271">
        <v>2075340</v>
      </c>
      <c r="AP271">
        <v>2061202</v>
      </c>
      <c r="AQ271">
        <v>2048156</v>
      </c>
      <c r="AR271">
        <v>2036405</v>
      </c>
      <c r="AS271">
        <v>2026155</v>
      </c>
      <c r="AT271">
        <v>2017623</v>
      </c>
      <c r="AU271">
        <v>2011034</v>
      </c>
      <c r="AV271">
        <v>2006619</v>
      </c>
    </row>
    <row r="272" spans="1:48" x14ac:dyDescent="0.15">
      <c r="A272" t="s">
        <v>311</v>
      </c>
      <c r="B272" t="s">
        <v>690</v>
      </c>
      <c r="C272" t="s">
        <v>428</v>
      </c>
      <c r="D272" s="5">
        <v>3328139.12240262</v>
      </c>
      <c r="E272" s="5">
        <v>3341935.5862316801</v>
      </c>
      <c r="F272" s="5">
        <v>3355097.5172056602</v>
      </c>
      <c r="G272" s="5">
        <v>2793119</v>
      </c>
      <c r="H272">
        <v>2813842</v>
      </c>
      <c r="I272">
        <v>2832032</v>
      </c>
      <c r="J272">
        <v>2847772</v>
      </c>
      <c r="K272">
        <v>2861146</v>
      </c>
      <c r="L272">
        <v>2872242</v>
      </c>
      <c r="M272">
        <v>2881144</v>
      </c>
      <c r="N272">
        <v>2887941</v>
      </c>
      <c r="O272">
        <v>2892719</v>
      </c>
      <c r="P272">
        <v>2895569</v>
      </c>
      <c r="Q272">
        <v>2896580</v>
      </c>
      <c r="R272">
        <v>2895842</v>
      </c>
      <c r="S272">
        <v>2893446</v>
      </c>
      <c r="T272">
        <v>2889484</v>
      </c>
      <c r="U272">
        <v>2884049</v>
      </c>
      <c r="V272">
        <v>2877235</v>
      </c>
      <c r="W272">
        <v>2869136</v>
      </c>
      <c r="X272">
        <v>2859846</v>
      </c>
      <c r="Y272">
        <v>2849463</v>
      </c>
      <c r="Z272">
        <v>2838082</v>
      </c>
      <c r="AA272">
        <v>2825802</v>
      </c>
      <c r="AB272">
        <v>2812720</v>
      </c>
      <c r="AC272">
        <v>2798936</v>
      </c>
      <c r="AD272">
        <v>2784550</v>
      </c>
      <c r="AE272">
        <v>2769661</v>
      </c>
      <c r="AF272">
        <v>2754372</v>
      </c>
      <c r="AG272">
        <v>2738786</v>
      </c>
      <c r="AH272">
        <v>2723004</v>
      </c>
      <c r="AI272">
        <v>2707132</v>
      </c>
      <c r="AJ272">
        <v>2691273</v>
      </c>
      <c r="AK272">
        <v>2675533</v>
      </c>
      <c r="AL272">
        <v>2660018</v>
      </c>
      <c r="AM272">
        <v>2644835</v>
      </c>
      <c r="AN272">
        <v>2630093</v>
      </c>
      <c r="AO272">
        <v>2615899</v>
      </c>
      <c r="AP272">
        <v>2602364</v>
      </c>
      <c r="AQ272">
        <v>2589597</v>
      </c>
      <c r="AR272">
        <v>2577709</v>
      </c>
      <c r="AS272">
        <v>2566812</v>
      </c>
      <c r="AT272">
        <v>2557019</v>
      </c>
      <c r="AU272">
        <v>2548443</v>
      </c>
      <c r="AV272">
        <v>2541199</v>
      </c>
    </row>
    <row r="273" spans="1:48" x14ac:dyDescent="0.15">
      <c r="A273" t="s">
        <v>312</v>
      </c>
      <c r="B273" t="s">
        <v>691</v>
      </c>
      <c r="C273" t="s">
        <v>428</v>
      </c>
      <c r="D273" s="5">
        <v>3806119.7377392398</v>
      </c>
      <c r="E273" s="5">
        <v>3817199.0790282502</v>
      </c>
      <c r="F273" s="5">
        <v>3826571.5043625999</v>
      </c>
      <c r="G273" s="5">
        <v>3130498</v>
      </c>
      <c r="H273">
        <v>3140250</v>
      </c>
      <c r="I273">
        <v>3149015</v>
      </c>
      <c r="J273">
        <v>3156741</v>
      </c>
      <c r="K273">
        <v>3163384</v>
      </c>
      <c r="L273">
        <v>3168904</v>
      </c>
      <c r="M273">
        <v>3173269</v>
      </c>
      <c r="N273">
        <v>3176451</v>
      </c>
      <c r="O273">
        <v>3178427</v>
      </c>
      <c r="P273">
        <v>3179181</v>
      </c>
      <c r="Q273">
        <v>3178701</v>
      </c>
      <c r="R273">
        <v>3176982</v>
      </c>
      <c r="S273">
        <v>3174025</v>
      </c>
      <c r="T273">
        <v>3169834</v>
      </c>
      <c r="U273">
        <v>3164422</v>
      </c>
      <c r="V273">
        <v>3157805</v>
      </c>
      <c r="W273">
        <v>3150006</v>
      </c>
      <c r="X273">
        <v>3141053</v>
      </c>
      <c r="Y273">
        <v>3130980</v>
      </c>
      <c r="Z273">
        <v>3119825</v>
      </c>
      <c r="AA273">
        <v>3107635</v>
      </c>
      <c r="AB273">
        <v>3094459</v>
      </c>
      <c r="AC273">
        <v>3080354</v>
      </c>
      <c r="AD273">
        <v>3065381</v>
      </c>
      <c r="AE273">
        <v>3049608</v>
      </c>
      <c r="AF273">
        <v>3033108</v>
      </c>
      <c r="AG273">
        <v>3015960</v>
      </c>
      <c r="AH273">
        <v>2998246</v>
      </c>
      <c r="AI273">
        <v>2980058</v>
      </c>
      <c r="AJ273">
        <v>2961491</v>
      </c>
      <c r="AK273">
        <v>2942646</v>
      </c>
      <c r="AL273">
        <v>2923628</v>
      </c>
      <c r="AM273">
        <v>2904551</v>
      </c>
      <c r="AN273">
        <v>2885532</v>
      </c>
      <c r="AO273">
        <v>2866695</v>
      </c>
      <c r="AP273">
        <v>2848168</v>
      </c>
      <c r="AQ273">
        <v>2830086</v>
      </c>
      <c r="AR273">
        <v>2812590</v>
      </c>
      <c r="AS273">
        <v>2795824</v>
      </c>
      <c r="AT273">
        <v>2779941</v>
      </c>
      <c r="AU273">
        <v>2765098</v>
      </c>
      <c r="AV273">
        <v>2751456</v>
      </c>
    </row>
    <row r="274" spans="1:48" x14ac:dyDescent="0.15">
      <c r="A274" t="s">
        <v>313</v>
      </c>
      <c r="B274" t="s">
        <v>692</v>
      </c>
      <c r="C274" t="s">
        <v>428</v>
      </c>
      <c r="D274" s="5">
        <v>3298598.1488563898</v>
      </c>
      <c r="E274" s="5">
        <v>3307137.0823430801</v>
      </c>
      <c r="F274" s="5">
        <v>3314594.2675317801</v>
      </c>
      <c r="G274" s="5">
        <v>3146663</v>
      </c>
      <c r="H274">
        <v>3159755</v>
      </c>
      <c r="I274">
        <v>3170645</v>
      </c>
      <c r="J274">
        <v>3179373</v>
      </c>
      <c r="K274">
        <v>3185980</v>
      </c>
      <c r="L274">
        <v>3190511</v>
      </c>
      <c r="M274">
        <v>3193014</v>
      </c>
      <c r="N274">
        <v>3193539</v>
      </c>
      <c r="O274">
        <v>3192142</v>
      </c>
      <c r="P274">
        <v>3188878</v>
      </c>
      <c r="Q274">
        <v>3183808</v>
      </c>
      <c r="R274">
        <v>3176994</v>
      </c>
      <c r="S274">
        <v>3168502</v>
      </c>
      <c r="T274">
        <v>3158402</v>
      </c>
      <c r="U274">
        <v>3146764</v>
      </c>
      <c r="V274">
        <v>3133665</v>
      </c>
      <c r="W274">
        <v>3119181</v>
      </c>
      <c r="X274">
        <v>3103394</v>
      </c>
      <c r="Y274">
        <v>3086388</v>
      </c>
      <c r="Z274">
        <v>3068248</v>
      </c>
      <c r="AA274">
        <v>3049066</v>
      </c>
      <c r="AB274">
        <v>3028934</v>
      </c>
      <c r="AC274">
        <v>3007948</v>
      </c>
      <c r="AD274">
        <v>2986206</v>
      </c>
      <c r="AE274">
        <v>2963811</v>
      </c>
      <c r="AF274">
        <v>2940868</v>
      </c>
      <c r="AG274">
        <v>2917483</v>
      </c>
      <c r="AH274">
        <v>2893769</v>
      </c>
      <c r="AI274">
        <v>2869838</v>
      </c>
      <c r="AJ274">
        <v>2845808</v>
      </c>
      <c r="AK274">
        <v>2821798</v>
      </c>
      <c r="AL274">
        <v>2797931</v>
      </c>
      <c r="AM274">
        <v>2774334</v>
      </c>
      <c r="AN274">
        <v>2751134</v>
      </c>
      <c r="AO274">
        <v>2728463</v>
      </c>
      <c r="AP274">
        <v>2706457</v>
      </c>
      <c r="AQ274">
        <v>2685253</v>
      </c>
      <c r="AR274">
        <v>2664992</v>
      </c>
      <c r="AS274">
        <v>2645818</v>
      </c>
      <c r="AT274">
        <v>2627877</v>
      </c>
      <c r="AU274">
        <v>2611319</v>
      </c>
      <c r="AV274">
        <v>2596297</v>
      </c>
    </row>
    <row r="275" spans="1:48" x14ac:dyDescent="0.15">
      <c r="A275" t="s">
        <v>314</v>
      </c>
      <c r="B275" t="s">
        <v>693</v>
      </c>
      <c r="C275" t="s">
        <v>428</v>
      </c>
      <c r="D275" s="5">
        <v>6391598.1088853497</v>
      </c>
      <c r="E275" s="5">
        <v>6411804.5974105801</v>
      </c>
      <c r="F275" s="5">
        <v>6430944.1959903399</v>
      </c>
      <c r="G275" s="5">
        <v>5577567</v>
      </c>
      <c r="H275">
        <v>5606906</v>
      </c>
      <c r="I275">
        <v>5633460</v>
      </c>
      <c r="J275">
        <v>5657156</v>
      </c>
      <c r="K275">
        <v>5677934</v>
      </c>
      <c r="L275">
        <v>5695746</v>
      </c>
      <c r="M275">
        <v>5710561</v>
      </c>
      <c r="N275">
        <v>5722356</v>
      </c>
      <c r="O275">
        <v>5731126</v>
      </c>
      <c r="P275">
        <v>5736878</v>
      </c>
      <c r="Q275">
        <v>5739629</v>
      </c>
      <c r="R275">
        <v>5739415</v>
      </c>
      <c r="S275">
        <v>5736281</v>
      </c>
      <c r="T275">
        <v>5730288</v>
      </c>
      <c r="U275">
        <v>5721507</v>
      </c>
      <c r="V275">
        <v>5710026</v>
      </c>
      <c r="W275">
        <v>5695944</v>
      </c>
      <c r="X275">
        <v>5679374</v>
      </c>
      <c r="Y275">
        <v>5660443</v>
      </c>
      <c r="Z275">
        <v>5639290</v>
      </c>
      <c r="AA275">
        <v>5616069</v>
      </c>
      <c r="AB275">
        <v>5590945</v>
      </c>
      <c r="AC275">
        <v>5564098</v>
      </c>
      <c r="AD275">
        <v>5535721</v>
      </c>
      <c r="AE275">
        <v>5506021</v>
      </c>
      <c r="AF275">
        <v>5475217</v>
      </c>
      <c r="AG275">
        <v>5443541</v>
      </c>
      <c r="AH275">
        <v>5411240</v>
      </c>
      <c r="AI275">
        <v>5378575</v>
      </c>
      <c r="AJ275">
        <v>5345816</v>
      </c>
      <c r="AK275">
        <v>5313251</v>
      </c>
      <c r="AL275">
        <v>5281179</v>
      </c>
      <c r="AM275">
        <v>5249913</v>
      </c>
      <c r="AN275">
        <v>5219779</v>
      </c>
      <c r="AO275">
        <v>5191117</v>
      </c>
      <c r="AP275">
        <v>5164279</v>
      </c>
      <c r="AQ275">
        <v>5139631</v>
      </c>
      <c r="AR275">
        <v>5117552</v>
      </c>
      <c r="AS275">
        <v>5098437</v>
      </c>
      <c r="AT275">
        <v>5082689</v>
      </c>
      <c r="AU275">
        <v>5070730</v>
      </c>
      <c r="AV275">
        <v>5062991</v>
      </c>
    </row>
    <row r="276" spans="1:48" x14ac:dyDescent="0.15">
      <c r="A276" t="s">
        <v>315</v>
      </c>
      <c r="B276" t="s">
        <v>694</v>
      </c>
      <c r="C276" t="s">
        <v>428</v>
      </c>
      <c r="D276" s="5">
        <v>2984450.5790343601</v>
      </c>
      <c r="E276" s="5">
        <v>2990176.2750534201</v>
      </c>
      <c r="F276" s="5">
        <v>2995262.40961895</v>
      </c>
      <c r="G276" s="5">
        <v>2943361</v>
      </c>
      <c r="H276">
        <v>2954765</v>
      </c>
      <c r="I276">
        <v>2964261</v>
      </c>
      <c r="J276">
        <v>2971865</v>
      </c>
      <c r="K276">
        <v>2977595</v>
      </c>
      <c r="L276">
        <v>2981474</v>
      </c>
      <c r="M276">
        <v>2983530</v>
      </c>
      <c r="N276">
        <v>2983795</v>
      </c>
      <c r="O276">
        <v>2982305</v>
      </c>
      <c r="P276">
        <v>2979101</v>
      </c>
      <c r="Q276">
        <v>2974227</v>
      </c>
      <c r="R276">
        <v>2967735</v>
      </c>
      <c r="S276">
        <v>2959676</v>
      </c>
      <c r="T276">
        <v>2950111</v>
      </c>
      <c r="U276">
        <v>2939101</v>
      </c>
      <c r="V276">
        <v>2926713</v>
      </c>
      <c r="W276">
        <v>2913020</v>
      </c>
      <c r="X276">
        <v>2898096</v>
      </c>
      <c r="Y276">
        <v>2882023</v>
      </c>
      <c r="Z276">
        <v>2864884</v>
      </c>
      <c r="AA276">
        <v>2846770</v>
      </c>
      <c r="AB276">
        <v>2827773</v>
      </c>
      <c r="AC276">
        <v>2807991</v>
      </c>
      <c r="AD276">
        <v>2787527</v>
      </c>
      <c r="AE276">
        <v>2766487</v>
      </c>
      <c r="AF276">
        <v>2744982</v>
      </c>
      <c r="AG276">
        <v>2723127</v>
      </c>
      <c r="AH276">
        <v>2701043</v>
      </c>
      <c r="AI276">
        <v>2678854</v>
      </c>
      <c r="AJ276">
        <v>2656688</v>
      </c>
      <c r="AK276">
        <v>2634678</v>
      </c>
      <c r="AL276">
        <v>2612962</v>
      </c>
      <c r="AM276">
        <v>2591682</v>
      </c>
      <c r="AN276">
        <v>2570983</v>
      </c>
      <c r="AO276">
        <v>2551016</v>
      </c>
      <c r="AP276">
        <v>2531936</v>
      </c>
      <c r="AQ276">
        <v>2513903</v>
      </c>
      <c r="AR276">
        <v>2497080</v>
      </c>
      <c r="AS276">
        <v>2481636</v>
      </c>
      <c r="AT276">
        <v>2467743</v>
      </c>
      <c r="AU276">
        <v>2455577</v>
      </c>
      <c r="AV276">
        <v>2445321</v>
      </c>
    </row>
    <row r="277" spans="1:48" x14ac:dyDescent="0.15">
      <c r="A277" t="s">
        <v>316</v>
      </c>
      <c r="B277" t="s">
        <v>695</v>
      </c>
      <c r="C277" t="s">
        <v>428</v>
      </c>
      <c r="D277" s="5">
        <v>4557322.3237829003</v>
      </c>
      <c r="E277" s="5">
        <v>4569217.6650688704</v>
      </c>
      <c r="F277" s="5">
        <v>4580495.9540871102</v>
      </c>
      <c r="G277" s="5">
        <v>4575669</v>
      </c>
      <c r="H277">
        <v>4588296</v>
      </c>
      <c r="I277">
        <v>4603049</v>
      </c>
      <c r="J277">
        <v>4619370</v>
      </c>
      <c r="K277">
        <v>4636738</v>
      </c>
      <c r="L277">
        <v>4654663</v>
      </c>
      <c r="M277">
        <v>4672690</v>
      </c>
      <c r="N277">
        <v>4690398</v>
      </c>
      <c r="O277">
        <v>4707401</v>
      </c>
      <c r="P277">
        <v>4723346</v>
      </c>
      <c r="Q277">
        <v>4737914</v>
      </c>
      <c r="R277">
        <v>4750820</v>
      </c>
      <c r="S277">
        <v>4761814</v>
      </c>
      <c r="T277">
        <v>4770679</v>
      </c>
      <c r="U277">
        <v>4777233</v>
      </c>
      <c r="V277">
        <v>4781326</v>
      </c>
      <c r="W277">
        <v>4782844</v>
      </c>
      <c r="X277">
        <v>4781707</v>
      </c>
      <c r="Y277">
        <v>4777868</v>
      </c>
      <c r="Z277">
        <v>4771315</v>
      </c>
      <c r="AA277">
        <v>4762069</v>
      </c>
      <c r="AB277">
        <v>4750185</v>
      </c>
      <c r="AC277">
        <v>4735755</v>
      </c>
      <c r="AD277">
        <v>4718900</v>
      </c>
      <c r="AE277">
        <v>4699779</v>
      </c>
      <c r="AF277">
        <v>4678583</v>
      </c>
      <c r="AG277">
        <v>4655538</v>
      </c>
      <c r="AH277">
        <v>4630904</v>
      </c>
      <c r="AI277">
        <v>4604975</v>
      </c>
      <c r="AJ277">
        <v>4578078</v>
      </c>
      <c r="AK277">
        <v>4550576</v>
      </c>
      <c r="AL277">
        <v>4522864</v>
      </c>
      <c r="AM277">
        <v>4495371</v>
      </c>
      <c r="AN277">
        <v>4468563</v>
      </c>
      <c r="AO277">
        <v>4442937</v>
      </c>
      <c r="AP277">
        <v>4419025</v>
      </c>
      <c r="AQ277">
        <v>4397392</v>
      </c>
      <c r="AR277">
        <v>4378640</v>
      </c>
      <c r="AS277">
        <v>4363401</v>
      </c>
      <c r="AT277">
        <v>4352345</v>
      </c>
      <c r="AU277">
        <v>4346173</v>
      </c>
      <c r="AV277">
        <v>4345622</v>
      </c>
    </row>
    <row r="278" spans="1:48" x14ac:dyDescent="0.15">
      <c r="A278" t="s">
        <v>317</v>
      </c>
      <c r="B278" t="s">
        <v>696</v>
      </c>
      <c r="C278" t="s">
        <v>428</v>
      </c>
      <c r="D278" s="5">
        <v>3225557.3404523898</v>
      </c>
      <c r="E278" s="5">
        <v>3231743.6262349999</v>
      </c>
      <c r="F278" s="5">
        <v>3238143.51205935</v>
      </c>
      <c r="G278" s="5">
        <v>3243754</v>
      </c>
      <c r="H278">
        <v>3254514</v>
      </c>
      <c r="I278">
        <v>3266175</v>
      </c>
      <c r="J278">
        <v>3278389</v>
      </c>
      <c r="K278">
        <v>3290830</v>
      </c>
      <c r="L278">
        <v>3303200</v>
      </c>
      <c r="M278">
        <v>3315221</v>
      </c>
      <c r="N278">
        <v>3326640</v>
      </c>
      <c r="O278">
        <v>3337228</v>
      </c>
      <c r="P278">
        <v>3346777</v>
      </c>
      <c r="Q278">
        <v>3355106</v>
      </c>
      <c r="R278">
        <v>3362055</v>
      </c>
      <c r="S278">
        <v>3367489</v>
      </c>
      <c r="T278">
        <v>3371296</v>
      </c>
      <c r="U278">
        <v>3373388</v>
      </c>
      <c r="V278">
        <v>3373700</v>
      </c>
      <c r="W278">
        <v>3372191</v>
      </c>
      <c r="X278">
        <v>3368843</v>
      </c>
      <c r="Y278">
        <v>3363662</v>
      </c>
      <c r="Z278">
        <v>3356678</v>
      </c>
      <c r="AA278">
        <v>3347944</v>
      </c>
      <c r="AB278">
        <v>3337537</v>
      </c>
      <c r="AC278">
        <v>3325556</v>
      </c>
      <c r="AD278">
        <v>3312126</v>
      </c>
      <c r="AE278">
        <v>3297394</v>
      </c>
      <c r="AF278">
        <v>3281531</v>
      </c>
      <c r="AG278">
        <v>3264731</v>
      </c>
      <c r="AH278">
        <v>3247213</v>
      </c>
      <c r="AI278">
        <v>3229218</v>
      </c>
      <c r="AJ278">
        <v>3211012</v>
      </c>
      <c r="AK278">
        <v>3192882</v>
      </c>
      <c r="AL278">
        <v>3175143</v>
      </c>
      <c r="AM278">
        <v>3158129</v>
      </c>
      <c r="AN278">
        <v>3142200</v>
      </c>
      <c r="AO278">
        <v>3127739</v>
      </c>
      <c r="AP278">
        <v>3115154</v>
      </c>
      <c r="AQ278">
        <v>3104873</v>
      </c>
      <c r="AR278">
        <v>3097351</v>
      </c>
      <c r="AS278">
        <v>3093065</v>
      </c>
      <c r="AT278">
        <v>3092517</v>
      </c>
      <c r="AU278">
        <v>3096230</v>
      </c>
      <c r="AV278">
        <v>3104752</v>
      </c>
    </row>
    <row r="279" spans="1:48" x14ac:dyDescent="0.15">
      <c r="A279" t="s">
        <v>318</v>
      </c>
      <c r="B279" t="s">
        <v>697</v>
      </c>
      <c r="C279" t="s">
        <v>428</v>
      </c>
      <c r="D279" s="5">
        <v>5584216.4870836698</v>
      </c>
      <c r="E279" s="5">
        <v>5599145.9969054302</v>
      </c>
      <c r="F279" s="5">
        <v>5612815.2547091302</v>
      </c>
      <c r="G279" s="5">
        <v>5371125</v>
      </c>
      <c r="H279">
        <v>5384919</v>
      </c>
      <c r="I279">
        <v>5400322</v>
      </c>
      <c r="J279">
        <v>5416820</v>
      </c>
      <c r="K279">
        <v>5433927</v>
      </c>
      <c r="L279">
        <v>5451193</v>
      </c>
      <c r="M279">
        <v>5468199</v>
      </c>
      <c r="N279">
        <v>5484559</v>
      </c>
      <c r="O279">
        <v>5499919</v>
      </c>
      <c r="P279">
        <v>5513958</v>
      </c>
      <c r="Q279">
        <v>5526386</v>
      </c>
      <c r="R279">
        <v>5536948</v>
      </c>
      <c r="S279">
        <v>5545419</v>
      </c>
      <c r="T279">
        <v>5551607</v>
      </c>
      <c r="U279">
        <v>5555353</v>
      </c>
      <c r="V279">
        <v>5556532</v>
      </c>
      <c r="W279">
        <v>5555047</v>
      </c>
      <c r="X279">
        <v>5550838</v>
      </c>
      <c r="Y279">
        <v>5543876</v>
      </c>
      <c r="Z279">
        <v>5534162</v>
      </c>
      <c r="AA279">
        <v>5521734</v>
      </c>
      <c r="AB279">
        <v>5506658</v>
      </c>
      <c r="AC279">
        <v>5489036</v>
      </c>
      <c r="AD279">
        <v>5469000</v>
      </c>
      <c r="AE279">
        <v>5446715</v>
      </c>
      <c r="AF279">
        <v>5422379</v>
      </c>
      <c r="AG279">
        <v>5396223</v>
      </c>
      <c r="AH279">
        <v>5368509</v>
      </c>
      <c r="AI279">
        <v>5339532</v>
      </c>
      <c r="AJ279">
        <v>5309620</v>
      </c>
      <c r="AK279">
        <v>5279132</v>
      </c>
      <c r="AL279">
        <v>5248462</v>
      </c>
      <c r="AM279">
        <v>5218034</v>
      </c>
      <c r="AN279">
        <v>5188305</v>
      </c>
      <c r="AO279">
        <v>5159765</v>
      </c>
      <c r="AP279">
        <v>5132937</v>
      </c>
      <c r="AQ279">
        <v>5108375</v>
      </c>
      <c r="AR279">
        <v>5086667</v>
      </c>
      <c r="AS279">
        <v>5068431</v>
      </c>
      <c r="AT279">
        <v>5054320</v>
      </c>
      <c r="AU279">
        <v>5045018</v>
      </c>
      <c r="AV279">
        <v>5041243</v>
      </c>
    </row>
    <row r="280" spans="1:48" x14ac:dyDescent="0.15">
      <c r="A280" t="s">
        <v>319</v>
      </c>
      <c r="B280" t="s">
        <v>698</v>
      </c>
      <c r="C280" t="s">
        <v>428</v>
      </c>
      <c r="D280" s="5">
        <v>1548902.81916974</v>
      </c>
      <c r="E280" s="5">
        <v>1554853.3374308101</v>
      </c>
      <c r="F280" s="5">
        <v>1560343.4172004601</v>
      </c>
      <c r="G280" s="5">
        <v>1426430</v>
      </c>
      <c r="H280">
        <v>1434440</v>
      </c>
      <c r="I280">
        <v>1441758</v>
      </c>
      <c r="J280">
        <v>1448367</v>
      </c>
      <c r="K280">
        <v>1454249</v>
      </c>
      <c r="L280">
        <v>1459392</v>
      </c>
      <c r="M280">
        <v>1463786</v>
      </c>
      <c r="N280">
        <v>1467423</v>
      </c>
      <c r="O280">
        <v>1470300</v>
      </c>
      <c r="P280">
        <v>1472413</v>
      </c>
      <c r="Q280">
        <v>1473766</v>
      </c>
      <c r="R280">
        <v>1474362</v>
      </c>
      <c r="S280">
        <v>1474208</v>
      </c>
      <c r="T280">
        <v>1473315</v>
      </c>
      <c r="U280">
        <v>1471695</v>
      </c>
      <c r="V280">
        <v>1469365</v>
      </c>
      <c r="W280">
        <v>1466342</v>
      </c>
      <c r="X280">
        <v>1462650</v>
      </c>
      <c r="Y280">
        <v>1458312</v>
      </c>
      <c r="Z280">
        <v>1453356</v>
      </c>
      <c r="AA280">
        <v>1447813</v>
      </c>
      <c r="AB280">
        <v>1441715</v>
      </c>
      <c r="AC280">
        <v>1435099</v>
      </c>
      <c r="AD280">
        <v>1428004</v>
      </c>
      <c r="AE280">
        <v>1420471</v>
      </c>
      <c r="AF280">
        <v>1412547</v>
      </c>
      <c r="AG280">
        <v>1404278</v>
      </c>
      <c r="AH280">
        <v>1395715</v>
      </c>
      <c r="AI280">
        <v>1386911</v>
      </c>
      <c r="AJ280">
        <v>1377924</v>
      </c>
      <c r="AK280">
        <v>1368813</v>
      </c>
      <c r="AL280">
        <v>1359639</v>
      </c>
      <c r="AM280">
        <v>1350469</v>
      </c>
      <c r="AN280">
        <v>1341369</v>
      </c>
      <c r="AO280">
        <v>1332412</v>
      </c>
      <c r="AP280">
        <v>1323670</v>
      </c>
      <c r="AQ280">
        <v>1315221</v>
      </c>
      <c r="AR280">
        <v>1307144</v>
      </c>
      <c r="AS280">
        <v>1299522</v>
      </c>
      <c r="AT280">
        <v>1292441</v>
      </c>
      <c r="AU280">
        <v>1285988</v>
      </c>
      <c r="AV280">
        <v>1280255</v>
      </c>
    </row>
    <row r="281" spans="1:48" x14ac:dyDescent="0.15">
      <c r="A281" t="s">
        <v>320</v>
      </c>
      <c r="B281" t="s">
        <v>699</v>
      </c>
      <c r="C281" t="s">
        <v>428</v>
      </c>
      <c r="D281" s="5">
        <v>3341374.0997195002</v>
      </c>
      <c r="E281" s="5">
        <v>3355543.0275005298</v>
      </c>
      <c r="F281" s="5">
        <v>3369939.2370778099</v>
      </c>
      <c r="G281" s="5">
        <v>2693347</v>
      </c>
      <c r="H281">
        <v>2712641</v>
      </c>
      <c r="I281">
        <v>2731441</v>
      </c>
      <c r="J281">
        <v>2749580</v>
      </c>
      <c r="K281">
        <v>2766907</v>
      </c>
      <c r="L281">
        <v>2783282</v>
      </c>
      <c r="M281">
        <v>2798581</v>
      </c>
      <c r="N281">
        <v>2812691</v>
      </c>
      <c r="O281">
        <v>2825515</v>
      </c>
      <c r="P281">
        <v>2836968</v>
      </c>
      <c r="Q281">
        <v>2846978</v>
      </c>
      <c r="R281">
        <v>2855487</v>
      </c>
      <c r="S281">
        <v>2862452</v>
      </c>
      <c r="T281">
        <v>2867842</v>
      </c>
      <c r="U281">
        <v>2871640</v>
      </c>
      <c r="V281">
        <v>2873841</v>
      </c>
      <c r="W281">
        <v>2874456</v>
      </c>
      <c r="X281">
        <v>2873508</v>
      </c>
      <c r="Y281">
        <v>2871033</v>
      </c>
      <c r="Z281">
        <v>2867082</v>
      </c>
      <c r="AA281">
        <v>2861720</v>
      </c>
      <c r="AB281">
        <v>2855022</v>
      </c>
      <c r="AC281">
        <v>2847080</v>
      </c>
      <c r="AD281">
        <v>2837999</v>
      </c>
      <c r="AE281">
        <v>2827895</v>
      </c>
      <c r="AF281">
        <v>2816901</v>
      </c>
      <c r="AG281">
        <v>2805162</v>
      </c>
      <c r="AH281">
        <v>2792834</v>
      </c>
      <c r="AI281">
        <v>2780091</v>
      </c>
      <c r="AJ281">
        <v>2767118</v>
      </c>
      <c r="AK281">
        <v>2754113</v>
      </c>
      <c r="AL281">
        <v>2741289</v>
      </c>
      <c r="AM281">
        <v>2728872</v>
      </c>
      <c r="AN281">
        <v>2717101</v>
      </c>
      <c r="AO281">
        <v>2706229</v>
      </c>
      <c r="AP281">
        <v>2696522</v>
      </c>
      <c r="AQ281">
        <v>2688260</v>
      </c>
      <c r="AR281">
        <v>2681737</v>
      </c>
      <c r="AS281">
        <v>2677259</v>
      </c>
      <c r="AT281">
        <v>2675147</v>
      </c>
      <c r="AU281">
        <v>2675734</v>
      </c>
      <c r="AV281">
        <v>2679369</v>
      </c>
    </row>
    <row r="282" spans="1:48" x14ac:dyDescent="0.15">
      <c r="A282" t="s">
        <v>321</v>
      </c>
      <c r="B282" t="s">
        <v>700</v>
      </c>
      <c r="C282" t="s">
        <v>428</v>
      </c>
      <c r="D282" s="5">
        <v>2639553.2741989898</v>
      </c>
      <c r="E282" s="5">
        <v>2641888.0292196102</v>
      </c>
      <c r="F282" s="5">
        <v>2643031.3136037202</v>
      </c>
      <c r="G282" s="5">
        <v>2310197</v>
      </c>
      <c r="H282">
        <v>2308279</v>
      </c>
      <c r="I282">
        <v>2306829</v>
      </c>
      <c r="J282">
        <v>2305695</v>
      </c>
      <c r="K282">
        <v>2304734</v>
      </c>
      <c r="L282">
        <v>2303814</v>
      </c>
      <c r="M282">
        <v>2302811</v>
      </c>
      <c r="N282">
        <v>2301613</v>
      </c>
      <c r="O282">
        <v>2300115</v>
      </c>
      <c r="P282">
        <v>2298224</v>
      </c>
      <c r="Q282">
        <v>2295855</v>
      </c>
      <c r="R282">
        <v>2292933</v>
      </c>
      <c r="S282">
        <v>2289393</v>
      </c>
      <c r="T282">
        <v>2285179</v>
      </c>
      <c r="U282">
        <v>2280245</v>
      </c>
      <c r="V282">
        <v>2274556</v>
      </c>
      <c r="W282">
        <v>2268084</v>
      </c>
      <c r="X282">
        <v>2260812</v>
      </c>
      <c r="Y282">
        <v>2252733</v>
      </c>
      <c r="Z282">
        <v>2243850</v>
      </c>
      <c r="AA282">
        <v>2234173</v>
      </c>
      <c r="AB282">
        <v>2223724</v>
      </c>
      <c r="AC282">
        <v>2212535</v>
      </c>
      <c r="AD282">
        <v>2200647</v>
      </c>
      <c r="AE282">
        <v>2188108</v>
      </c>
      <c r="AF282">
        <v>2174981</v>
      </c>
      <c r="AG282">
        <v>2161333</v>
      </c>
      <c r="AH282">
        <v>2147246</v>
      </c>
      <c r="AI282">
        <v>2132806</v>
      </c>
      <c r="AJ282">
        <v>2118113</v>
      </c>
      <c r="AK282">
        <v>2103276</v>
      </c>
      <c r="AL282">
        <v>2088411</v>
      </c>
      <c r="AM282">
        <v>2073647</v>
      </c>
      <c r="AN282">
        <v>2059120</v>
      </c>
      <c r="AO282">
        <v>2044977</v>
      </c>
      <c r="AP282">
        <v>2031374</v>
      </c>
      <c r="AQ282">
        <v>2018478</v>
      </c>
      <c r="AR282">
        <v>2006463</v>
      </c>
      <c r="AS282">
        <v>1995516</v>
      </c>
      <c r="AT282">
        <v>1985831</v>
      </c>
      <c r="AU282">
        <v>1977612</v>
      </c>
      <c r="AV282">
        <v>1971074</v>
      </c>
    </row>
    <row r="283" spans="1:48" x14ac:dyDescent="0.15">
      <c r="A283" t="s">
        <v>322</v>
      </c>
      <c r="B283" t="s">
        <v>701</v>
      </c>
      <c r="C283" t="s">
        <v>428</v>
      </c>
      <c r="D283" s="5">
        <v>942803.19541405595</v>
      </c>
      <c r="E283" s="5">
        <v>950127.52732746897</v>
      </c>
      <c r="F283" s="5">
        <v>957252.92403096799</v>
      </c>
      <c r="G283" s="5">
        <v>813427</v>
      </c>
      <c r="H283">
        <v>822535</v>
      </c>
      <c r="I283">
        <v>831178</v>
      </c>
      <c r="J283">
        <v>839349</v>
      </c>
      <c r="K283">
        <v>847043</v>
      </c>
      <c r="L283">
        <v>854255</v>
      </c>
      <c r="M283">
        <v>860983</v>
      </c>
      <c r="N283">
        <v>867224</v>
      </c>
      <c r="O283">
        <v>872979</v>
      </c>
      <c r="P283">
        <v>878248</v>
      </c>
      <c r="Q283">
        <v>883033</v>
      </c>
      <c r="R283">
        <v>887338</v>
      </c>
      <c r="S283">
        <v>891169</v>
      </c>
      <c r="T283">
        <v>894530</v>
      </c>
      <c r="U283">
        <v>897431</v>
      </c>
      <c r="V283">
        <v>899879</v>
      </c>
      <c r="W283">
        <v>901885</v>
      </c>
      <c r="X283">
        <v>903461</v>
      </c>
      <c r="Y283">
        <v>904619</v>
      </c>
      <c r="Z283">
        <v>905374</v>
      </c>
      <c r="AA283">
        <v>905740</v>
      </c>
      <c r="AB283">
        <v>905736</v>
      </c>
      <c r="AC283">
        <v>905379</v>
      </c>
      <c r="AD283">
        <v>904689</v>
      </c>
      <c r="AE283">
        <v>903686</v>
      </c>
      <c r="AF283">
        <v>902392</v>
      </c>
      <c r="AG283">
        <v>900832</v>
      </c>
      <c r="AH283">
        <v>899029</v>
      </c>
      <c r="AI283">
        <v>897011</v>
      </c>
      <c r="AJ283">
        <v>894804</v>
      </c>
      <c r="AK283">
        <v>892437</v>
      </c>
      <c r="AL283">
        <v>889940</v>
      </c>
      <c r="AM283">
        <v>887345</v>
      </c>
      <c r="AN283">
        <v>884685</v>
      </c>
      <c r="AO283">
        <v>881993</v>
      </c>
      <c r="AP283">
        <v>879306</v>
      </c>
      <c r="AQ283">
        <v>876658</v>
      </c>
      <c r="AR283">
        <v>874090</v>
      </c>
      <c r="AS283">
        <v>871639</v>
      </c>
      <c r="AT283">
        <v>869348</v>
      </c>
      <c r="AU283">
        <v>867257</v>
      </c>
      <c r="AV283">
        <v>865410</v>
      </c>
    </row>
    <row r="284" spans="1:48" x14ac:dyDescent="0.15">
      <c r="A284" t="s">
        <v>323</v>
      </c>
      <c r="B284" t="s">
        <v>323</v>
      </c>
      <c r="C284" t="s">
        <v>428</v>
      </c>
      <c r="D284" s="5">
        <v>1150702.80278277</v>
      </c>
      <c r="E284" s="5">
        <v>1159192.1167758501</v>
      </c>
      <c r="F284" s="5">
        <v>1167335.9215063599</v>
      </c>
      <c r="G284" s="5">
        <v>1097851</v>
      </c>
      <c r="H284">
        <v>1107370</v>
      </c>
      <c r="I284">
        <v>1117030</v>
      </c>
      <c r="J284">
        <v>1126747</v>
      </c>
      <c r="K284">
        <v>1136441</v>
      </c>
      <c r="L284">
        <v>1146037</v>
      </c>
      <c r="M284">
        <v>1155466</v>
      </c>
      <c r="N284">
        <v>1164664</v>
      </c>
      <c r="O284">
        <v>1173570</v>
      </c>
      <c r="P284">
        <v>1182130</v>
      </c>
      <c r="Q284">
        <v>1190294</v>
      </c>
      <c r="R284">
        <v>1198018</v>
      </c>
      <c r="S284">
        <v>1205261</v>
      </c>
      <c r="T284">
        <v>1211988</v>
      </c>
      <c r="U284">
        <v>1218170</v>
      </c>
      <c r="V284">
        <v>1223781</v>
      </c>
      <c r="W284">
        <v>1228801</v>
      </c>
      <c r="X284">
        <v>1233216</v>
      </c>
      <c r="Y284">
        <v>1237014</v>
      </c>
      <c r="Z284">
        <v>1240191</v>
      </c>
      <c r="AA284">
        <v>1242747</v>
      </c>
      <c r="AB284">
        <v>1244685</v>
      </c>
      <c r="AC284">
        <v>1246016</v>
      </c>
      <c r="AD284">
        <v>1246754</v>
      </c>
      <c r="AE284">
        <v>1246919</v>
      </c>
      <c r="AF284">
        <v>1246534</v>
      </c>
      <c r="AG284">
        <v>1245630</v>
      </c>
      <c r="AH284">
        <v>1244241</v>
      </c>
      <c r="AI284">
        <v>1242406</v>
      </c>
      <c r="AJ284">
        <v>1240168</v>
      </c>
      <c r="AK284">
        <v>1237578</v>
      </c>
      <c r="AL284">
        <v>1234690</v>
      </c>
      <c r="AM284">
        <v>1231562</v>
      </c>
      <c r="AN284">
        <v>1228259</v>
      </c>
      <c r="AO284">
        <v>1224849</v>
      </c>
      <c r="AP284">
        <v>1221406</v>
      </c>
      <c r="AQ284">
        <v>1218010</v>
      </c>
      <c r="AR284">
        <v>1214743</v>
      </c>
      <c r="AS284">
        <v>1211696</v>
      </c>
      <c r="AT284">
        <v>1208960</v>
      </c>
      <c r="AU284">
        <v>1206636</v>
      </c>
      <c r="AV284">
        <v>1204827</v>
      </c>
    </row>
    <row r="285" spans="1:48" x14ac:dyDescent="0.15">
      <c r="A285" t="s">
        <v>324</v>
      </c>
      <c r="B285" t="s">
        <v>702</v>
      </c>
      <c r="C285" t="s">
        <v>428</v>
      </c>
      <c r="D285" s="5">
        <v>4730163.2687679101</v>
      </c>
      <c r="E285" s="5">
        <v>4757985.79027774</v>
      </c>
      <c r="F285" s="5">
        <v>4785098.0192878498</v>
      </c>
      <c r="G285" s="5">
        <v>4830059</v>
      </c>
      <c r="H285">
        <v>4858109</v>
      </c>
      <c r="I285">
        <v>4891026</v>
      </c>
      <c r="J285">
        <v>4927953</v>
      </c>
      <c r="K285">
        <v>4968079</v>
      </c>
      <c r="L285">
        <v>5010640</v>
      </c>
      <c r="M285">
        <v>5054915</v>
      </c>
      <c r="N285">
        <v>5100233</v>
      </c>
      <c r="O285">
        <v>5145966</v>
      </c>
      <c r="P285">
        <v>5191531</v>
      </c>
      <c r="Q285">
        <v>5236394</v>
      </c>
      <c r="R285">
        <v>5280065</v>
      </c>
      <c r="S285">
        <v>5322099</v>
      </c>
      <c r="T285">
        <v>5362099</v>
      </c>
      <c r="U285">
        <v>5399711</v>
      </c>
      <c r="V285">
        <v>5434630</v>
      </c>
      <c r="W285">
        <v>5466595</v>
      </c>
      <c r="X285">
        <v>5495391</v>
      </c>
      <c r="Y285">
        <v>5520848</v>
      </c>
      <c r="Z285">
        <v>5542844</v>
      </c>
      <c r="AA285">
        <v>5561300</v>
      </c>
      <c r="AB285">
        <v>5576187</v>
      </c>
      <c r="AC285">
        <v>5587517</v>
      </c>
      <c r="AD285">
        <v>5595351</v>
      </c>
      <c r="AE285">
        <v>5599794</v>
      </c>
      <c r="AF285">
        <v>5600999</v>
      </c>
      <c r="AG285">
        <v>5599163</v>
      </c>
      <c r="AH285">
        <v>5594530</v>
      </c>
      <c r="AI285">
        <v>5587388</v>
      </c>
      <c r="AJ285">
        <v>5578073</v>
      </c>
      <c r="AK285">
        <v>5566965</v>
      </c>
      <c r="AL285">
        <v>5554492</v>
      </c>
      <c r="AM285">
        <v>5541126</v>
      </c>
      <c r="AN285">
        <v>5527385</v>
      </c>
      <c r="AO285">
        <v>5513833</v>
      </c>
      <c r="AP285">
        <v>5501080</v>
      </c>
      <c r="AQ285">
        <v>5489783</v>
      </c>
      <c r="AR285">
        <v>5480643</v>
      </c>
      <c r="AS285">
        <v>5474408</v>
      </c>
      <c r="AT285">
        <v>5471870</v>
      </c>
      <c r="AU285">
        <v>5473869</v>
      </c>
      <c r="AV285">
        <v>5481291</v>
      </c>
    </row>
    <row r="286" spans="1:48" x14ac:dyDescent="0.15">
      <c r="A286" t="s">
        <v>326</v>
      </c>
      <c r="B286" t="s">
        <v>703</v>
      </c>
      <c r="C286" t="s">
        <v>428</v>
      </c>
      <c r="D286" s="5">
        <v>4530214.6957566598</v>
      </c>
      <c r="E286" s="5">
        <v>4561631.0737081803</v>
      </c>
      <c r="F286" s="5">
        <v>4591320.2225546399</v>
      </c>
      <c r="G286" s="5">
        <v>5930175</v>
      </c>
      <c r="H286">
        <v>5986628</v>
      </c>
      <c r="I286">
        <v>6038287</v>
      </c>
      <c r="J286">
        <v>6085281</v>
      </c>
      <c r="K286">
        <v>6127743</v>
      </c>
      <c r="L286">
        <v>6165802</v>
      </c>
      <c r="M286">
        <v>6199592</v>
      </c>
      <c r="N286">
        <v>6229245</v>
      </c>
      <c r="O286">
        <v>6254895</v>
      </c>
      <c r="P286">
        <v>6276676</v>
      </c>
      <c r="Q286">
        <v>6294723</v>
      </c>
      <c r="R286">
        <v>6309172</v>
      </c>
      <c r="S286">
        <v>6320158</v>
      </c>
      <c r="T286">
        <v>6327820</v>
      </c>
      <c r="U286">
        <v>6332295</v>
      </c>
      <c r="V286">
        <v>6333720</v>
      </c>
      <c r="W286">
        <v>6332237</v>
      </c>
      <c r="X286">
        <v>6327983</v>
      </c>
      <c r="Y286">
        <v>6321100</v>
      </c>
      <c r="Z286">
        <v>6311729</v>
      </c>
      <c r="AA286">
        <v>6300011</v>
      </c>
      <c r="AB286">
        <v>6286090</v>
      </c>
      <c r="AC286">
        <v>6270109</v>
      </c>
      <c r="AD286">
        <v>6252211</v>
      </c>
      <c r="AE286">
        <v>6232541</v>
      </c>
      <c r="AF286">
        <v>6211245</v>
      </c>
      <c r="AG286">
        <v>6188469</v>
      </c>
      <c r="AH286">
        <v>6164360</v>
      </c>
      <c r="AI286">
        <v>6139064</v>
      </c>
      <c r="AJ286">
        <v>6112730</v>
      </c>
      <c r="AK286">
        <v>6085507</v>
      </c>
      <c r="AL286">
        <v>6057545</v>
      </c>
      <c r="AM286">
        <v>6028993</v>
      </c>
      <c r="AN286">
        <v>6000003</v>
      </c>
      <c r="AO286">
        <v>5970726</v>
      </c>
      <c r="AP286">
        <v>5941314</v>
      </c>
      <c r="AQ286">
        <v>5911921</v>
      </c>
      <c r="AR286">
        <v>5882700</v>
      </c>
      <c r="AS286">
        <v>5853806</v>
      </c>
      <c r="AT286">
        <v>5825393</v>
      </c>
      <c r="AU286">
        <v>5797618</v>
      </c>
      <c r="AV286">
        <v>5770636</v>
      </c>
    </row>
    <row r="287" spans="1:48" x14ac:dyDescent="0.15">
      <c r="A287" t="s">
        <v>327</v>
      </c>
      <c r="B287" t="s">
        <v>704</v>
      </c>
      <c r="C287" t="s">
        <v>428</v>
      </c>
      <c r="D287" s="5">
        <v>2953125.11245223</v>
      </c>
      <c r="E287" s="5">
        <v>2972523.96347372</v>
      </c>
      <c r="F287" s="5">
        <v>2991968.2404638901</v>
      </c>
      <c r="G287" s="5">
        <v>3002928</v>
      </c>
      <c r="H287">
        <v>3031418</v>
      </c>
      <c r="I287">
        <v>3060053</v>
      </c>
      <c r="J287">
        <v>3088560</v>
      </c>
      <c r="K287">
        <v>3116686</v>
      </c>
      <c r="L287">
        <v>3144193</v>
      </c>
      <c r="M287">
        <v>3170864</v>
      </c>
      <c r="N287">
        <v>3196499</v>
      </c>
      <c r="O287">
        <v>3220916</v>
      </c>
      <c r="P287">
        <v>3243950</v>
      </c>
      <c r="Q287">
        <v>3265458</v>
      </c>
      <c r="R287">
        <v>3285313</v>
      </c>
      <c r="S287">
        <v>3303404</v>
      </c>
      <c r="T287">
        <v>3319642</v>
      </c>
      <c r="U287">
        <v>3333954</v>
      </c>
      <c r="V287">
        <v>3346286</v>
      </c>
      <c r="W287">
        <v>3356601</v>
      </c>
      <c r="X287">
        <v>3364883</v>
      </c>
      <c r="Y287">
        <v>3371132</v>
      </c>
      <c r="Z287">
        <v>3375366</v>
      </c>
      <c r="AA287">
        <v>3377622</v>
      </c>
      <c r="AB287">
        <v>3377955</v>
      </c>
      <c r="AC287">
        <v>3376439</v>
      </c>
      <c r="AD287">
        <v>3373165</v>
      </c>
      <c r="AE287">
        <v>3368243</v>
      </c>
      <c r="AF287">
        <v>3361800</v>
      </c>
      <c r="AG287">
        <v>3353984</v>
      </c>
      <c r="AH287">
        <v>3344958</v>
      </c>
      <c r="AI287">
        <v>3334905</v>
      </c>
      <c r="AJ287">
        <v>3324026</v>
      </c>
      <c r="AK287">
        <v>3312539</v>
      </c>
      <c r="AL287">
        <v>3300683</v>
      </c>
      <c r="AM287">
        <v>3288713</v>
      </c>
      <c r="AN287">
        <v>3276901</v>
      </c>
      <c r="AO287">
        <v>3265541</v>
      </c>
      <c r="AP287">
        <v>3254942</v>
      </c>
      <c r="AQ287">
        <v>3245433</v>
      </c>
      <c r="AR287">
        <v>3237361</v>
      </c>
      <c r="AS287">
        <v>3231089</v>
      </c>
      <c r="AT287">
        <v>3227001</v>
      </c>
      <c r="AU287">
        <v>3225499</v>
      </c>
      <c r="AV287">
        <v>3227001</v>
      </c>
    </row>
    <row r="288" spans="1:48" x14ac:dyDescent="0.15">
      <c r="A288" t="s">
        <v>328</v>
      </c>
      <c r="B288" t="s">
        <v>705</v>
      </c>
      <c r="C288" t="s">
        <v>428</v>
      </c>
      <c r="D288" s="5">
        <v>6254409.9661816796</v>
      </c>
      <c r="E288" s="5">
        <v>6277895.7600823101</v>
      </c>
      <c r="F288" s="5">
        <v>6301338.2923193797</v>
      </c>
      <c r="G288" s="5">
        <v>6575302</v>
      </c>
      <c r="H288">
        <v>6606192</v>
      </c>
      <c r="I288">
        <v>6640338</v>
      </c>
      <c r="J288">
        <v>6676848</v>
      </c>
      <c r="K288">
        <v>6714881</v>
      </c>
      <c r="L288">
        <v>6753654</v>
      </c>
      <c r="M288">
        <v>6792439</v>
      </c>
      <c r="N288">
        <v>6830560</v>
      </c>
      <c r="O288">
        <v>6867398</v>
      </c>
      <c r="P288">
        <v>6902390</v>
      </c>
      <c r="Q288">
        <v>6935026</v>
      </c>
      <c r="R288">
        <v>6964850</v>
      </c>
      <c r="S288">
        <v>6991465</v>
      </c>
      <c r="T288">
        <v>7014524</v>
      </c>
      <c r="U288">
        <v>7033739</v>
      </c>
      <c r="V288">
        <v>7048874</v>
      </c>
      <c r="W288">
        <v>7059750</v>
      </c>
      <c r="X288">
        <v>7066241</v>
      </c>
      <c r="Y288">
        <v>7068277</v>
      </c>
      <c r="Z288">
        <v>7065843</v>
      </c>
      <c r="AA288">
        <v>7058979</v>
      </c>
      <c r="AB288">
        <v>7047780</v>
      </c>
      <c r="AC288">
        <v>7032395</v>
      </c>
      <c r="AD288">
        <v>7013029</v>
      </c>
      <c r="AE288">
        <v>6989940</v>
      </c>
      <c r="AF288">
        <v>6963444</v>
      </c>
      <c r="AG288">
        <v>6933909</v>
      </c>
      <c r="AH288">
        <v>6901760</v>
      </c>
      <c r="AI288">
        <v>6867475</v>
      </c>
      <c r="AJ288">
        <v>6831589</v>
      </c>
      <c r="AK288">
        <v>6794691</v>
      </c>
      <c r="AL288">
        <v>6757424</v>
      </c>
      <c r="AM288">
        <v>6720487</v>
      </c>
      <c r="AN288">
        <v>6684633</v>
      </c>
      <c r="AO288">
        <v>6650672</v>
      </c>
      <c r="AP288">
        <v>6619467</v>
      </c>
      <c r="AQ288">
        <v>6591936</v>
      </c>
      <c r="AR288">
        <v>6569052</v>
      </c>
      <c r="AS288">
        <v>6551843</v>
      </c>
      <c r="AT288">
        <v>6541394</v>
      </c>
      <c r="AU288">
        <v>6538841</v>
      </c>
      <c r="AV288">
        <v>6545378</v>
      </c>
    </row>
    <row r="289" spans="1:48" x14ac:dyDescent="0.15">
      <c r="A289" t="s">
        <v>329</v>
      </c>
      <c r="B289" t="s">
        <v>706</v>
      </c>
      <c r="C289" t="s">
        <v>428</v>
      </c>
      <c r="D289" s="5">
        <v>2364956.06197169</v>
      </c>
      <c r="E289" s="5">
        <v>2375544.8302064301</v>
      </c>
      <c r="F289" s="5">
        <v>2385960.4392831302</v>
      </c>
      <c r="G289" s="5">
        <v>2458977</v>
      </c>
      <c r="H289">
        <v>2470443</v>
      </c>
      <c r="I289">
        <v>2483790</v>
      </c>
      <c r="J289">
        <v>2498630</v>
      </c>
      <c r="K289">
        <v>2514598</v>
      </c>
      <c r="L289">
        <v>2531349</v>
      </c>
      <c r="M289">
        <v>2548563</v>
      </c>
      <c r="N289">
        <v>2565940</v>
      </c>
      <c r="O289">
        <v>2583204</v>
      </c>
      <c r="P289">
        <v>2600099</v>
      </c>
      <c r="Q289">
        <v>2616394</v>
      </c>
      <c r="R289">
        <v>2631878</v>
      </c>
      <c r="S289">
        <v>2646363</v>
      </c>
      <c r="T289">
        <v>2659684</v>
      </c>
      <c r="U289">
        <v>2671697</v>
      </c>
      <c r="V289">
        <v>2682282</v>
      </c>
      <c r="W289">
        <v>2691338</v>
      </c>
      <c r="X289">
        <v>2698789</v>
      </c>
      <c r="Y289">
        <v>2704582</v>
      </c>
      <c r="Z289">
        <v>2708682</v>
      </c>
      <c r="AA289">
        <v>2711082</v>
      </c>
      <c r="AB289">
        <v>2711792</v>
      </c>
      <c r="AC289">
        <v>2710847</v>
      </c>
      <c r="AD289">
        <v>2708304</v>
      </c>
      <c r="AE289">
        <v>2704242</v>
      </c>
      <c r="AF289">
        <v>2698762</v>
      </c>
      <c r="AG289">
        <v>2691987</v>
      </c>
      <c r="AH289">
        <v>2684064</v>
      </c>
      <c r="AI289">
        <v>2675159</v>
      </c>
      <c r="AJ289">
        <v>2665464</v>
      </c>
      <c r="AK289">
        <v>2655189</v>
      </c>
      <c r="AL289">
        <v>2644571</v>
      </c>
      <c r="AM289">
        <v>2633866</v>
      </c>
      <c r="AN289">
        <v>2623352</v>
      </c>
      <c r="AO289">
        <v>2613332</v>
      </c>
      <c r="AP289">
        <v>2604129</v>
      </c>
      <c r="AQ289">
        <v>2596088</v>
      </c>
      <c r="AR289">
        <v>2589577</v>
      </c>
      <c r="AS289">
        <v>2584988</v>
      </c>
      <c r="AT289">
        <v>2582732</v>
      </c>
      <c r="AU289">
        <v>2583244</v>
      </c>
      <c r="AV289">
        <v>2586980</v>
      </c>
    </row>
    <row r="290" spans="1:48" x14ac:dyDescent="0.15">
      <c r="A290" t="s">
        <v>330</v>
      </c>
      <c r="B290" t="s">
        <v>707</v>
      </c>
      <c r="C290" t="s">
        <v>428</v>
      </c>
      <c r="D290" s="5">
        <v>6710809.6457947101</v>
      </c>
      <c r="E290" s="5">
        <v>6743147.6210519299</v>
      </c>
      <c r="F290" s="5">
        <v>6776667.8536192495</v>
      </c>
      <c r="G290" s="5">
        <v>6864173</v>
      </c>
      <c r="H290">
        <v>6899184</v>
      </c>
      <c r="I290">
        <v>6944225</v>
      </c>
      <c r="J290">
        <v>6997603</v>
      </c>
      <c r="K290">
        <v>7057716</v>
      </c>
      <c r="L290">
        <v>7123058</v>
      </c>
      <c r="M290">
        <v>7192212</v>
      </c>
      <c r="N290">
        <v>7263857</v>
      </c>
      <c r="O290">
        <v>7336766</v>
      </c>
      <c r="P290">
        <v>7409801</v>
      </c>
      <c r="Q290">
        <v>7481922</v>
      </c>
      <c r="R290">
        <v>7552178</v>
      </c>
      <c r="S290">
        <v>7619712</v>
      </c>
      <c r="T290">
        <v>7683762</v>
      </c>
      <c r="U290">
        <v>7743658</v>
      </c>
      <c r="V290">
        <v>7798821</v>
      </c>
      <c r="W290">
        <v>7848768</v>
      </c>
      <c r="X290">
        <v>7893107</v>
      </c>
      <c r="Y290">
        <v>7931540</v>
      </c>
      <c r="Z290">
        <v>7963863</v>
      </c>
      <c r="AA290">
        <v>7989962</v>
      </c>
      <c r="AB290">
        <v>8009820</v>
      </c>
      <c r="AC290">
        <v>8023509</v>
      </c>
      <c r="AD290">
        <v>8031198</v>
      </c>
      <c r="AE290">
        <v>8033146</v>
      </c>
      <c r="AF290">
        <v>8029707</v>
      </c>
      <c r="AG290">
        <v>8021326</v>
      </c>
      <c r="AH290">
        <v>8008543</v>
      </c>
      <c r="AI290">
        <v>7991989</v>
      </c>
      <c r="AJ290">
        <v>7972392</v>
      </c>
      <c r="AK290">
        <v>7950568</v>
      </c>
      <c r="AL290">
        <v>7927430</v>
      </c>
      <c r="AM290">
        <v>7903981</v>
      </c>
      <c r="AN290">
        <v>7881319</v>
      </c>
      <c r="AO290">
        <v>7860636</v>
      </c>
      <c r="AP290">
        <v>7843213</v>
      </c>
      <c r="AQ290">
        <v>7830429</v>
      </c>
      <c r="AR290">
        <v>7823753</v>
      </c>
      <c r="AS290">
        <v>7824747</v>
      </c>
      <c r="AT290">
        <v>7835067</v>
      </c>
      <c r="AU290">
        <v>7856462</v>
      </c>
      <c r="AV290">
        <v>7890774</v>
      </c>
    </row>
    <row r="291" spans="1:48" x14ac:dyDescent="0.15">
      <c r="A291" t="s">
        <v>331</v>
      </c>
      <c r="B291" t="s">
        <v>708</v>
      </c>
      <c r="C291" t="s">
        <v>428</v>
      </c>
      <c r="D291" s="5">
        <v>3145872.9836622099</v>
      </c>
      <c r="E291" s="5">
        <v>3156207.48491662</v>
      </c>
      <c r="F291" s="5">
        <v>3166894.12572663</v>
      </c>
      <c r="G291" s="5">
        <v>3287298</v>
      </c>
      <c r="H291">
        <v>3298213</v>
      </c>
      <c r="I291">
        <v>3312913</v>
      </c>
      <c r="J291">
        <v>3330718</v>
      </c>
      <c r="K291">
        <v>3350985</v>
      </c>
      <c r="L291">
        <v>3373112</v>
      </c>
      <c r="M291">
        <v>3396535</v>
      </c>
      <c r="N291">
        <v>3420727</v>
      </c>
      <c r="O291">
        <v>3445203</v>
      </c>
      <c r="P291">
        <v>3469514</v>
      </c>
      <c r="Q291">
        <v>3493250</v>
      </c>
      <c r="R291">
        <v>3516041</v>
      </c>
      <c r="S291">
        <v>3537555</v>
      </c>
      <c r="T291">
        <v>3557498</v>
      </c>
      <c r="U291">
        <v>3575615</v>
      </c>
      <c r="V291">
        <v>3591692</v>
      </c>
      <c r="W291">
        <v>3605550</v>
      </c>
      <c r="X291">
        <v>3617052</v>
      </c>
      <c r="Y291">
        <v>3626097</v>
      </c>
      <c r="Z291">
        <v>3632624</v>
      </c>
      <c r="AA291">
        <v>3636611</v>
      </c>
      <c r="AB291">
        <v>3638075</v>
      </c>
      <c r="AC291">
        <v>3637070</v>
      </c>
      <c r="AD291">
        <v>3633691</v>
      </c>
      <c r="AE291">
        <v>3628069</v>
      </c>
      <c r="AF291">
        <v>3620375</v>
      </c>
      <c r="AG291">
        <v>3610821</v>
      </c>
      <c r="AH291">
        <v>3599654</v>
      </c>
      <c r="AI291">
        <v>3587161</v>
      </c>
      <c r="AJ291">
        <v>3573670</v>
      </c>
      <c r="AK291">
        <v>3559543</v>
      </c>
      <c r="AL291">
        <v>3545186</v>
      </c>
      <c r="AM291">
        <v>3531039</v>
      </c>
      <c r="AN291">
        <v>3517585</v>
      </c>
      <c r="AO291">
        <v>3505342</v>
      </c>
      <c r="AP291">
        <v>3494868</v>
      </c>
      <c r="AQ291">
        <v>3486762</v>
      </c>
      <c r="AR291">
        <v>3481657</v>
      </c>
      <c r="AS291">
        <v>3480230</v>
      </c>
      <c r="AT291">
        <v>3483192</v>
      </c>
      <c r="AU291">
        <v>3491297</v>
      </c>
      <c r="AV291">
        <v>3505333</v>
      </c>
    </row>
    <row r="292" spans="1:48" x14ac:dyDescent="0.15">
      <c r="A292" t="s">
        <v>332</v>
      </c>
      <c r="B292" t="s">
        <v>332</v>
      </c>
      <c r="C292" t="s">
        <v>428</v>
      </c>
      <c r="D292" s="5">
        <v>2893616.2321292502</v>
      </c>
      <c r="E292" s="5">
        <v>2907615.7102349601</v>
      </c>
      <c r="F292" s="5">
        <v>2921555.16480307</v>
      </c>
      <c r="G292" s="5">
        <v>3000660</v>
      </c>
      <c r="H292">
        <v>3014901</v>
      </c>
      <c r="I292">
        <v>3032436</v>
      </c>
      <c r="J292">
        <v>3052674</v>
      </c>
      <c r="K292">
        <v>3075057</v>
      </c>
      <c r="L292">
        <v>3099060</v>
      </c>
      <c r="M292">
        <v>3124190</v>
      </c>
      <c r="N292">
        <v>3149987</v>
      </c>
      <c r="O292">
        <v>3176025</v>
      </c>
      <c r="P292">
        <v>3201908</v>
      </c>
      <c r="Q292">
        <v>3227276</v>
      </c>
      <c r="R292">
        <v>3251797</v>
      </c>
      <c r="S292">
        <v>3275176</v>
      </c>
      <c r="T292">
        <v>3297150</v>
      </c>
      <c r="U292">
        <v>3317486</v>
      </c>
      <c r="V292">
        <v>3335986</v>
      </c>
      <c r="W292">
        <v>3352485</v>
      </c>
      <c r="X292">
        <v>3366848</v>
      </c>
      <c r="Y292">
        <v>3378976</v>
      </c>
      <c r="Z292">
        <v>3388800</v>
      </c>
      <c r="AA292">
        <v>3396285</v>
      </c>
      <c r="AB292">
        <v>3401429</v>
      </c>
      <c r="AC292">
        <v>3404261</v>
      </c>
      <c r="AD292">
        <v>3404844</v>
      </c>
      <c r="AE292">
        <v>3403274</v>
      </c>
      <c r="AF292">
        <v>3399679</v>
      </c>
      <c r="AG292">
        <v>3394218</v>
      </c>
      <c r="AH292">
        <v>3387086</v>
      </c>
      <c r="AI292">
        <v>3378509</v>
      </c>
      <c r="AJ292">
        <v>3368745</v>
      </c>
      <c r="AK292">
        <v>3358085</v>
      </c>
      <c r="AL292">
        <v>3346854</v>
      </c>
      <c r="AM292">
        <v>3335408</v>
      </c>
      <c r="AN292">
        <v>3324137</v>
      </c>
      <c r="AO292">
        <v>3313462</v>
      </c>
      <c r="AP292">
        <v>3303838</v>
      </c>
      <c r="AQ292">
        <v>3295752</v>
      </c>
      <c r="AR292">
        <v>3289725</v>
      </c>
      <c r="AS292">
        <v>3286308</v>
      </c>
      <c r="AT292">
        <v>3286088</v>
      </c>
      <c r="AU292">
        <v>3289682</v>
      </c>
      <c r="AV292">
        <v>3297741</v>
      </c>
    </row>
    <row r="293" spans="1:48" x14ac:dyDescent="0.15">
      <c r="A293" t="s">
        <v>333</v>
      </c>
      <c r="B293" t="s">
        <v>333</v>
      </c>
      <c r="C293" t="s">
        <v>428</v>
      </c>
      <c r="D293" s="5">
        <v>3563711.2561939801</v>
      </c>
      <c r="E293" s="5">
        <v>3575540.22559939</v>
      </c>
      <c r="F293" s="5">
        <v>3586986.01572396</v>
      </c>
      <c r="G293" s="5">
        <v>3747198</v>
      </c>
      <c r="H293">
        <v>3758358</v>
      </c>
      <c r="I293">
        <v>3772587</v>
      </c>
      <c r="J293">
        <v>3789281</v>
      </c>
      <c r="K293">
        <v>3807871</v>
      </c>
      <c r="L293">
        <v>3827823</v>
      </c>
      <c r="M293">
        <v>3848636</v>
      </c>
      <c r="N293">
        <v>3869845</v>
      </c>
      <c r="O293">
        <v>3891020</v>
      </c>
      <c r="P293">
        <v>3911765</v>
      </c>
      <c r="Q293">
        <v>3931716</v>
      </c>
      <c r="R293">
        <v>3950549</v>
      </c>
      <c r="S293">
        <v>3967970</v>
      </c>
      <c r="T293">
        <v>3983720</v>
      </c>
      <c r="U293">
        <v>3997577</v>
      </c>
      <c r="V293">
        <v>4009353</v>
      </c>
      <c r="W293">
        <v>4018891</v>
      </c>
      <c r="X293">
        <v>4026074</v>
      </c>
      <c r="Y293">
        <v>4030815</v>
      </c>
      <c r="Z293">
        <v>4033064</v>
      </c>
      <c r="AA293">
        <v>4032806</v>
      </c>
      <c r="AB293">
        <v>4030058</v>
      </c>
      <c r="AC293">
        <v>4024873</v>
      </c>
      <c r="AD293">
        <v>4017340</v>
      </c>
      <c r="AE293">
        <v>4007581</v>
      </c>
      <c r="AF293">
        <v>3995752</v>
      </c>
      <c r="AG293">
        <v>3982045</v>
      </c>
      <c r="AH293">
        <v>3966685</v>
      </c>
      <c r="AI293">
        <v>3949934</v>
      </c>
      <c r="AJ293">
        <v>3932086</v>
      </c>
      <c r="AK293">
        <v>3913470</v>
      </c>
      <c r="AL293">
        <v>3894452</v>
      </c>
      <c r="AM293">
        <v>3875429</v>
      </c>
      <c r="AN293">
        <v>3856836</v>
      </c>
      <c r="AO293">
        <v>3839139</v>
      </c>
      <c r="AP293">
        <v>3822841</v>
      </c>
      <c r="AQ293">
        <v>3808480</v>
      </c>
      <c r="AR293">
        <v>3796626</v>
      </c>
      <c r="AS293">
        <v>3787886</v>
      </c>
      <c r="AT293">
        <v>3782901</v>
      </c>
      <c r="AU293">
        <v>3782346</v>
      </c>
      <c r="AV293">
        <v>3786930</v>
      </c>
    </row>
    <row r="294" spans="1:48" x14ac:dyDescent="0.15">
      <c r="A294" t="s">
        <v>334</v>
      </c>
      <c r="B294" t="s">
        <v>334</v>
      </c>
      <c r="C294" t="s">
        <v>428</v>
      </c>
      <c r="D294" s="5">
        <v>3312770.2347298702</v>
      </c>
      <c r="E294" s="5">
        <v>3326830.0157975801</v>
      </c>
      <c r="F294" s="5">
        <v>3340744.1503956802</v>
      </c>
      <c r="G294" s="5">
        <v>3475404</v>
      </c>
      <c r="H294">
        <v>3494130</v>
      </c>
      <c r="I294">
        <v>3514226</v>
      </c>
      <c r="J294">
        <v>3535271</v>
      </c>
      <c r="K294">
        <v>3556868</v>
      </c>
      <c r="L294">
        <v>3578646</v>
      </c>
      <c r="M294">
        <v>3600261</v>
      </c>
      <c r="N294">
        <v>3621395</v>
      </c>
      <c r="O294">
        <v>3641757</v>
      </c>
      <c r="P294">
        <v>3661082</v>
      </c>
      <c r="Q294">
        <v>3679130</v>
      </c>
      <c r="R294">
        <v>3695689</v>
      </c>
      <c r="S294">
        <v>3710571</v>
      </c>
      <c r="T294">
        <v>3723617</v>
      </c>
      <c r="U294">
        <v>3734691</v>
      </c>
      <c r="V294">
        <v>3743688</v>
      </c>
      <c r="W294">
        <v>3750523</v>
      </c>
      <c r="X294">
        <v>3755143</v>
      </c>
      <c r="Y294">
        <v>3757518</v>
      </c>
      <c r="Z294">
        <v>3757645</v>
      </c>
      <c r="AA294">
        <v>3755547</v>
      </c>
      <c r="AB294">
        <v>3751273</v>
      </c>
      <c r="AC294">
        <v>3744900</v>
      </c>
      <c r="AD294">
        <v>3736530</v>
      </c>
      <c r="AE294">
        <v>3726290</v>
      </c>
      <c r="AF294">
        <v>3714336</v>
      </c>
      <c r="AG294">
        <v>3700847</v>
      </c>
      <c r="AH294">
        <v>3686031</v>
      </c>
      <c r="AI294">
        <v>3670122</v>
      </c>
      <c r="AJ294">
        <v>3653377</v>
      </c>
      <c r="AK294">
        <v>3636084</v>
      </c>
      <c r="AL294">
        <v>3618553</v>
      </c>
      <c r="AM294">
        <v>3601124</v>
      </c>
      <c r="AN294">
        <v>3584160</v>
      </c>
      <c r="AO294">
        <v>3568053</v>
      </c>
      <c r="AP294">
        <v>3553218</v>
      </c>
      <c r="AQ294">
        <v>3540099</v>
      </c>
      <c r="AR294">
        <v>3529166</v>
      </c>
      <c r="AS294">
        <v>3520914</v>
      </c>
      <c r="AT294">
        <v>3515864</v>
      </c>
      <c r="AU294">
        <v>3514566</v>
      </c>
      <c r="AV294">
        <v>3517592</v>
      </c>
    </row>
    <row r="295" spans="1:48" x14ac:dyDescent="0.15">
      <c r="A295" t="s">
        <v>336</v>
      </c>
      <c r="B295" t="s">
        <v>709</v>
      </c>
      <c r="C295" t="s">
        <v>428</v>
      </c>
      <c r="D295" s="5">
        <v>6737942.2623768002</v>
      </c>
      <c r="E295" s="5">
        <v>6780534.7812824901</v>
      </c>
      <c r="F295" s="5">
        <v>6820034.08504319</v>
      </c>
      <c r="G295" s="5">
        <v>8388967</v>
      </c>
      <c r="H295">
        <v>8459386</v>
      </c>
      <c r="I295">
        <v>8522601</v>
      </c>
      <c r="J295">
        <v>8578923</v>
      </c>
      <c r="K295">
        <v>8628656</v>
      </c>
      <c r="L295">
        <v>8672095</v>
      </c>
      <c r="M295">
        <v>8709528</v>
      </c>
      <c r="N295">
        <v>8741233</v>
      </c>
      <c r="O295">
        <v>8767483</v>
      </c>
      <c r="P295">
        <v>8788541</v>
      </c>
      <c r="Q295">
        <v>8804663</v>
      </c>
      <c r="R295">
        <v>8816096</v>
      </c>
      <c r="S295">
        <v>8823081</v>
      </c>
      <c r="T295">
        <v>8825849</v>
      </c>
      <c r="U295">
        <v>8824624</v>
      </c>
      <c r="V295">
        <v>8819623</v>
      </c>
      <c r="W295">
        <v>8811053</v>
      </c>
      <c r="X295">
        <v>8799116</v>
      </c>
      <c r="Y295">
        <v>8784003</v>
      </c>
      <c r="Z295">
        <v>8765898</v>
      </c>
      <c r="AA295">
        <v>8744979</v>
      </c>
      <c r="AB295">
        <v>8721414</v>
      </c>
      <c r="AC295">
        <v>8695363</v>
      </c>
      <c r="AD295">
        <v>8666980</v>
      </c>
      <c r="AE295">
        <v>8636409</v>
      </c>
      <c r="AF295">
        <v>8603787</v>
      </c>
      <c r="AG295">
        <v>8569243</v>
      </c>
      <c r="AH295">
        <v>8532898</v>
      </c>
      <c r="AI295">
        <v>8494866</v>
      </c>
      <c r="AJ295">
        <v>8455251</v>
      </c>
      <c r="AK295">
        <v>8414151</v>
      </c>
      <c r="AL295">
        <v>8371656</v>
      </c>
      <c r="AM295">
        <v>8327847</v>
      </c>
      <c r="AN295">
        <v>8282797</v>
      </c>
      <c r="AO295">
        <v>8236572</v>
      </c>
      <c r="AP295">
        <v>8189230</v>
      </c>
      <c r="AQ295">
        <v>8140821</v>
      </c>
      <c r="AR295">
        <v>8091387</v>
      </c>
      <c r="AS295">
        <v>8040961</v>
      </c>
      <c r="AT295">
        <v>7989570</v>
      </c>
      <c r="AU295">
        <v>7937232</v>
      </c>
      <c r="AV295">
        <v>7883956</v>
      </c>
    </row>
    <row r="296" spans="1:48" x14ac:dyDescent="0.15">
      <c r="A296" t="s">
        <v>337</v>
      </c>
      <c r="B296" t="s">
        <v>710</v>
      </c>
      <c r="C296" t="s">
        <v>428</v>
      </c>
      <c r="D296" s="5">
        <v>6067717.8725815602</v>
      </c>
      <c r="E296" s="5">
        <v>6099478.7074205298</v>
      </c>
      <c r="F296" s="5">
        <v>6130538.4482977204</v>
      </c>
      <c r="G296" s="5">
        <v>5733278</v>
      </c>
      <c r="H296">
        <v>5765367</v>
      </c>
      <c r="I296">
        <v>5801225</v>
      </c>
      <c r="J296">
        <v>5840034</v>
      </c>
      <c r="K296">
        <v>5881026</v>
      </c>
      <c r="L296">
        <v>5923474</v>
      </c>
      <c r="M296">
        <v>5966701</v>
      </c>
      <c r="N296">
        <v>6010073</v>
      </c>
      <c r="O296">
        <v>6053002</v>
      </c>
      <c r="P296">
        <v>6094946</v>
      </c>
      <c r="Q296">
        <v>6135409</v>
      </c>
      <c r="R296">
        <v>6173941</v>
      </c>
      <c r="S296">
        <v>6210136</v>
      </c>
      <c r="T296">
        <v>6243634</v>
      </c>
      <c r="U296">
        <v>6274123</v>
      </c>
      <c r="V296">
        <v>6301334</v>
      </c>
      <c r="W296">
        <v>6325045</v>
      </c>
      <c r="X296">
        <v>6345078</v>
      </c>
      <c r="Y296">
        <v>6361304</v>
      </c>
      <c r="Z296">
        <v>6373636</v>
      </c>
      <c r="AA296">
        <v>6382035</v>
      </c>
      <c r="AB296">
        <v>6386506</v>
      </c>
      <c r="AC296">
        <v>6387102</v>
      </c>
      <c r="AD296">
        <v>6383919</v>
      </c>
      <c r="AE296">
        <v>6377100</v>
      </c>
      <c r="AF296">
        <v>6366834</v>
      </c>
      <c r="AG296">
        <v>6353355</v>
      </c>
      <c r="AH296">
        <v>6336942</v>
      </c>
      <c r="AI296">
        <v>6317922</v>
      </c>
      <c r="AJ296">
        <v>6296665</v>
      </c>
      <c r="AK296">
        <v>6273588</v>
      </c>
      <c r="AL296">
        <v>6249154</v>
      </c>
      <c r="AM296">
        <v>6223870</v>
      </c>
      <c r="AN296">
        <v>6198291</v>
      </c>
      <c r="AO296">
        <v>6173016</v>
      </c>
      <c r="AP296">
        <v>6148690</v>
      </c>
      <c r="AQ296">
        <v>6126004</v>
      </c>
      <c r="AR296">
        <v>6105694</v>
      </c>
      <c r="AS296">
        <v>6088542</v>
      </c>
      <c r="AT296">
        <v>6075376</v>
      </c>
      <c r="AU296">
        <v>6067069</v>
      </c>
      <c r="AV296">
        <v>6064541</v>
      </c>
    </row>
    <row r="297" spans="1:48" x14ac:dyDescent="0.15">
      <c r="A297" t="s">
        <v>338</v>
      </c>
      <c r="B297" t="s">
        <v>711</v>
      </c>
      <c r="C297" t="s">
        <v>428</v>
      </c>
      <c r="D297" s="5">
        <v>2385759.8075965098</v>
      </c>
      <c r="E297" s="5">
        <v>2398069.4361644499</v>
      </c>
      <c r="F297" s="5">
        <v>2409780.36544374</v>
      </c>
      <c r="G297" s="5">
        <v>2234051</v>
      </c>
      <c r="H297">
        <v>2249310</v>
      </c>
      <c r="I297">
        <v>2264000</v>
      </c>
      <c r="J297">
        <v>2278032</v>
      </c>
      <c r="K297">
        <v>2291324</v>
      </c>
      <c r="L297">
        <v>2303802</v>
      </c>
      <c r="M297">
        <v>2315399</v>
      </c>
      <c r="N297">
        <v>2326053</v>
      </c>
      <c r="O297">
        <v>2335711</v>
      </c>
      <c r="P297">
        <v>2344324</v>
      </c>
      <c r="Q297">
        <v>2351852</v>
      </c>
      <c r="R297">
        <v>2358262</v>
      </c>
      <c r="S297">
        <v>2363526</v>
      </c>
      <c r="T297">
        <v>2367625</v>
      </c>
      <c r="U297">
        <v>2370545</v>
      </c>
      <c r="V297">
        <v>2372279</v>
      </c>
      <c r="W297">
        <v>2372828</v>
      </c>
      <c r="X297">
        <v>2372198</v>
      </c>
      <c r="Y297">
        <v>2370404</v>
      </c>
      <c r="Z297">
        <v>2367467</v>
      </c>
      <c r="AA297">
        <v>2363413</v>
      </c>
      <c r="AB297">
        <v>2358277</v>
      </c>
      <c r="AC297">
        <v>2352101</v>
      </c>
      <c r="AD297">
        <v>2344931</v>
      </c>
      <c r="AE297">
        <v>2336823</v>
      </c>
      <c r="AF297">
        <v>2327838</v>
      </c>
      <c r="AG297">
        <v>2318044</v>
      </c>
      <c r="AH297">
        <v>2307516</v>
      </c>
      <c r="AI297">
        <v>2296337</v>
      </c>
      <c r="AJ297">
        <v>2284595</v>
      </c>
      <c r="AK297">
        <v>2272386</v>
      </c>
      <c r="AL297">
        <v>2259811</v>
      </c>
      <c r="AM297">
        <v>2246980</v>
      </c>
      <c r="AN297">
        <v>2234008</v>
      </c>
      <c r="AO297">
        <v>2221019</v>
      </c>
      <c r="AP297">
        <v>2208143</v>
      </c>
      <c r="AQ297">
        <v>2195514</v>
      </c>
      <c r="AR297">
        <v>2183276</v>
      </c>
      <c r="AS297">
        <v>2171580</v>
      </c>
      <c r="AT297">
        <v>2160582</v>
      </c>
      <c r="AU297">
        <v>2150445</v>
      </c>
      <c r="AV297">
        <v>2141340</v>
      </c>
    </row>
    <row r="298" spans="1:48" x14ac:dyDescent="0.15">
      <c r="A298" t="s">
        <v>339</v>
      </c>
      <c r="B298" t="s">
        <v>712</v>
      </c>
      <c r="C298" t="s">
        <v>428</v>
      </c>
      <c r="D298" s="5">
        <v>2585605.7360764602</v>
      </c>
      <c r="E298" s="5">
        <v>2597400.3358924198</v>
      </c>
      <c r="F298" s="5">
        <v>2608724.4368467499</v>
      </c>
      <c r="G298" s="5">
        <v>2417493</v>
      </c>
      <c r="H298">
        <v>2430980</v>
      </c>
      <c r="I298">
        <v>2444740</v>
      </c>
      <c r="J298">
        <v>2458575</v>
      </c>
      <c r="K298">
        <v>2472300</v>
      </c>
      <c r="L298">
        <v>2485743</v>
      </c>
      <c r="M298">
        <v>2498745</v>
      </c>
      <c r="N298">
        <v>2511157</v>
      </c>
      <c r="O298">
        <v>2522847</v>
      </c>
      <c r="P298">
        <v>2533691</v>
      </c>
      <c r="Q298">
        <v>2543582</v>
      </c>
      <c r="R298">
        <v>2552421</v>
      </c>
      <c r="S298">
        <v>2560126</v>
      </c>
      <c r="T298">
        <v>2566625</v>
      </c>
      <c r="U298">
        <v>2571858</v>
      </c>
      <c r="V298">
        <v>2575780</v>
      </c>
      <c r="W298">
        <v>2578358</v>
      </c>
      <c r="X298">
        <v>2579569</v>
      </c>
      <c r="Y298">
        <v>2579406</v>
      </c>
      <c r="Z298">
        <v>2577874</v>
      </c>
      <c r="AA298">
        <v>2574988</v>
      </c>
      <c r="AB298">
        <v>2570778</v>
      </c>
      <c r="AC298">
        <v>2565286</v>
      </c>
      <c r="AD298">
        <v>2558567</v>
      </c>
      <c r="AE298">
        <v>2550688</v>
      </c>
      <c r="AF298">
        <v>2541729</v>
      </c>
      <c r="AG298">
        <v>2531782</v>
      </c>
      <c r="AH298">
        <v>2520952</v>
      </c>
      <c r="AI298">
        <v>2509358</v>
      </c>
      <c r="AJ298">
        <v>2497128</v>
      </c>
      <c r="AK298">
        <v>2484406</v>
      </c>
      <c r="AL298">
        <v>2471348</v>
      </c>
      <c r="AM298">
        <v>2458121</v>
      </c>
      <c r="AN298">
        <v>2444906</v>
      </c>
      <c r="AO298">
        <v>2431896</v>
      </c>
      <c r="AP298">
        <v>2419297</v>
      </c>
      <c r="AQ298">
        <v>2407328</v>
      </c>
      <c r="AR298">
        <v>2396220</v>
      </c>
      <c r="AS298">
        <v>2386216</v>
      </c>
      <c r="AT298">
        <v>2377572</v>
      </c>
      <c r="AU298">
        <v>2370558</v>
      </c>
      <c r="AV298">
        <v>2365454</v>
      </c>
    </row>
    <row r="299" spans="1:48" x14ac:dyDescent="0.15">
      <c r="A299" t="s">
        <v>340</v>
      </c>
      <c r="B299" t="s">
        <v>713</v>
      </c>
      <c r="C299" t="s">
        <v>428</v>
      </c>
      <c r="D299" s="5">
        <v>5420730.4891395904</v>
      </c>
      <c r="E299" s="5">
        <v>5458744.1907440098</v>
      </c>
      <c r="F299" s="5">
        <v>5497217.1296142796</v>
      </c>
      <c r="G299" s="5">
        <v>5044987</v>
      </c>
      <c r="H299">
        <v>5092298</v>
      </c>
      <c r="I299">
        <v>5142085</v>
      </c>
      <c r="J299">
        <v>5193678</v>
      </c>
      <c r="K299">
        <v>5246450</v>
      </c>
      <c r="L299">
        <v>5299809</v>
      </c>
      <c r="M299">
        <v>5353205</v>
      </c>
      <c r="N299">
        <v>5406125</v>
      </c>
      <c r="O299">
        <v>5458096</v>
      </c>
      <c r="P299">
        <v>5508684</v>
      </c>
      <c r="Q299">
        <v>5557494</v>
      </c>
      <c r="R299">
        <v>5604168</v>
      </c>
      <c r="S299">
        <v>5648390</v>
      </c>
      <c r="T299">
        <v>5689882</v>
      </c>
      <c r="U299">
        <v>5728404</v>
      </c>
      <c r="V299">
        <v>5763757</v>
      </c>
      <c r="W299">
        <v>5795777</v>
      </c>
      <c r="X299">
        <v>5824344</v>
      </c>
      <c r="Y299">
        <v>5849374</v>
      </c>
      <c r="Z299">
        <v>5870823</v>
      </c>
      <c r="AA299">
        <v>5888685</v>
      </c>
      <c r="AB299">
        <v>5902993</v>
      </c>
      <c r="AC299">
        <v>5913821</v>
      </c>
      <c r="AD299">
        <v>5921281</v>
      </c>
      <c r="AE299">
        <v>5925521</v>
      </c>
      <c r="AF299">
        <v>5926734</v>
      </c>
      <c r="AG299">
        <v>5925146</v>
      </c>
      <c r="AH299">
        <v>5921025</v>
      </c>
      <c r="AI299">
        <v>5914679</v>
      </c>
      <c r="AJ299">
        <v>5906453</v>
      </c>
      <c r="AK299">
        <v>5896730</v>
      </c>
      <c r="AL299">
        <v>5885936</v>
      </c>
      <c r="AM299">
        <v>5874531</v>
      </c>
      <c r="AN299">
        <v>5863019</v>
      </c>
      <c r="AO299">
        <v>5851939</v>
      </c>
      <c r="AP299">
        <v>5841870</v>
      </c>
      <c r="AQ299">
        <v>5833432</v>
      </c>
      <c r="AR299">
        <v>5827283</v>
      </c>
      <c r="AS299">
        <v>5824117</v>
      </c>
      <c r="AT299">
        <v>5824671</v>
      </c>
      <c r="AU299">
        <v>5829720</v>
      </c>
      <c r="AV299">
        <v>5840077</v>
      </c>
    </row>
    <row r="300" spans="1:48" x14ac:dyDescent="0.15">
      <c r="A300" t="s">
        <v>341</v>
      </c>
      <c r="B300" t="s">
        <v>714</v>
      </c>
      <c r="C300" t="s">
        <v>428</v>
      </c>
      <c r="D300" s="5">
        <v>1300692.93343024</v>
      </c>
      <c r="E300" s="5">
        <v>1309364.67538043</v>
      </c>
      <c r="F300" s="5">
        <v>1317665.0305697599</v>
      </c>
      <c r="G300" s="5">
        <v>1242418</v>
      </c>
      <c r="H300">
        <v>1253798</v>
      </c>
      <c r="I300">
        <v>1264471</v>
      </c>
      <c r="J300">
        <v>1274431</v>
      </c>
      <c r="K300">
        <v>1283674</v>
      </c>
      <c r="L300">
        <v>1292196</v>
      </c>
      <c r="M300">
        <v>1299998</v>
      </c>
      <c r="N300">
        <v>1307079</v>
      </c>
      <c r="O300">
        <v>1313442</v>
      </c>
      <c r="P300">
        <v>1319090</v>
      </c>
      <c r="Q300">
        <v>1324030</v>
      </c>
      <c r="R300">
        <v>1328268</v>
      </c>
      <c r="S300">
        <v>1331813</v>
      </c>
      <c r="T300">
        <v>1334675</v>
      </c>
      <c r="U300">
        <v>1336867</v>
      </c>
      <c r="V300">
        <v>1338402</v>
      </c>
      <c r="W300">
        <v>1339296</v>
      </c>
      <c r="X300">
        <v>1339565</v>
      </c>
      <c r="Y300">
        <v>1339228</v>
      </c>
      <c r="Z300">
        <v>1338305</v>
      </c>
      <c r="AA300">
        <v>1336819</v>
      </c>
      <c r="AB300">
        <v>1334792</v>
      </c>
      <c r="AC300">
        <v>1332250</v>
      </c>
      <c r="AD300">
        <v>1329220</v>
      </c>
      <c r="AE300">
        <v>1325729</v>
      </c>
      <c r="AF300">
        <v>1321809</v>
      </c>
      <c r="AG300">
        <v>1317490</v>
      </c>
      <c r="AH300">
        <v>1312807</v>
      </c>
      <c r="AI300">
        <v>1307793</v>
      </c>
      <c r="AJ300">
        <v>1302487</v>
      </c>
      <c r="AK300">
        <v>1296925</v>
      </c>
      <c r="AL300">
        <v>1291147</v>
      </c>
      <c r="AM300">
        <v>1285196</v>
      </c>
      <c r="AN300">
        <v>1279114</v>
      </c>
      <c r="AO300">
        <v>1272947</v>
      </c>
      <c r="AP300">
        <v>1266740</v>
      </c>
      <c r="AQ300">
        <v>1260542</v>
      </c>
      <c r="AR300">
        <v>1254402</v>
      </c>
      <c r="AS300">
        <v>1248371</v>
      </c>
      <c r="AT300">
        <v>1242504</v>
      </c>
      <c r="AU300">
        <v>1236853</v>
      </c>
      <c r="AV300">
        <v>1231476</v>
      </c>
    </row>
    <row r="301" spans="1:48" x14ac:dyDescent="0.15">
      <c r="A301" t="s">
        <v>342</v>
      </c>
      <c r="B301" t="s">
        <v>715</v>
      </c>
      <c r="C301" t="s">
        <v>428</v>
      </c>
      <c r="D301" s="5">
        <v>2673812.4011440999</v>
      </c>
      <c r="E301" s="5">
        <v>2691231.9355390701</v>
      </c>
      <c r="F301" s="5">
        <v>2707374.4123528199</v>
      </c>
      <c r="G301" s="5">
        <v>2386658</v>
      </c>
      <c r="H301">
        <v>2404792</v>
      </c>
      <c r="I301">
        <v>2421771</v>
      </c>
      <c r="J301">
        <v>2437589</v>
      </c>
      <c r="K301">
        <v>2452242</v>
      </c>
      <c r="L301">
        <v>2465727</v>
      </c>
      <c r="M301">
        <v>2478044</v>
      </c>
      <c r="N301">
        <v>2489196</v>
      </c>
      <c r="O301">
        <v>2499186</v>
      </c>
      <c r="P301">
        <v>2508019</v>
      </c>
      <c r="Q301">
        <v>2515703</v>
      </c>
      <c r="R301">
        <v>2522249</v>
      </c>
      <c r="S301">
        <v>2527667</v>
      </c>
      <c r="T301">
        <v>2531972</v>
      </c>
      <c r="U301">
        <v>2535178</v>
      </c>
      <c r="V301">
        <v>2537304</v>
      </c>
      <c r="W301">
        <v>2538369</v>
      </c>
      <c r="X301">
        <v>2538394</v>
      </c>
      <c r="Y301">
        <v>2537404</v>
      </c>
      <c r="Z301">
        <v>2535422</v>
      </c>
      <c r="AA301">
        <v>2532478</v>
      </c>
      <c r="AB301">
        <v>2528600</v>
      </c>
      <c r="AC301">
        <v>2523820</v>
      </c>
      <c r="AD301">
        <v>2518171</v>
      </c>
      <c r="AE301">
        <v>2511688</v>
      </c>
      <c r="AF301">
        <v>2504408</v>
      </c>
      <c r="AG301">
        <v>2496372</v>
      </c>
      <c r="AH301">
        <v>2487620</v>
      </c>
      <c r="AI301">
        <v>2478195</v>
      </c>
      <c r="AJ301">
        <v>2468143</v>
      </c>
      <c r="AK301">
        <v>2457511</v>
      </c>
      <c r="AL301">
        <v>2446348</v>
      </c>
      <c r="AM301">
        <v>2434704</v>
      </c>
      <c r="AN301">
        <v>2422634</v>
      </c>
      <c r="AO301">
        <v>2410192</v>
      </c>
      <c r="AP301">
        <v>2397435</v>
      </c>
      <c r="AQ301">
        <v>2384422</v>
      </c>
      <c r="AR301">
        <v>2371215</v>
      </c>
      <c r="AS301">
        <v>2357875</v>
      </c>
      <c r="AT301">
        <v>2344469</v>
      </c>
      <c r="AU301">
        <v>2331062</v>
      </c>
      <c r="AV301">
        <v>2317725</v>
      </c>
    </row>
    <row r="302" spans="1:48" x14ac:dyDescent="0.15">
      <c r="A302" t="s">
        <v>343</v>
      </c>
      <c r="B302" t="s">
        <v>716</v>
      </c>
      <c r="C302" t="s">
        <v>428</v>
      </c>
      <c r="D302" s="5">
        <v>2551602.4123951201</v>
      </c>
      <c r="E302" s="5">
        <v>2568962.2411632198</v>
      </c>
      <c r="F302" s="5">
        <v>2585406.7904526</v>
      </c>
      <c r="G302" s="5">
        <v>2239293</v>
      </c>
      <c r="H302">
        <v>2257841</v>
      </c>
      <c r="I302">
        <v>2275739</v>
      </c>
      <c r="J302">
        <v>2292925</v>
      </c>
      <c r="K302">
        <v>2309339</v>
      </c>
      <c r="L302">
        <v>2324930</v>
      </c>
      <c r="M302">
        <v>2339646</v>
      </c>
      <c r="N302">
        <v>2353446</v>
      </c>
      <c r="O302">
        <v>2366290</v>
      </c>
      <c r="P302">
        <v>2378144</v>
      </c>
      <c r="Q302">
        <v>2388979</v>
      </c>
      <c r="R302">
        <v>2398771</v>
      </c>
      <c r="S302">
        <v>2407501</v>
      </c>
      <c r="T302">
        <v>2415153</v>
      </c>
      <c r="U302">
        <v>2421719</v>
      </c>
      <c r="V302">
        <v>2427194</v>
      </c>
      <c r="W302">
        <v>2431578</v>
      </c>
      <c r="X302">
        <v>2434876</v>
      </c>
      <c r="Y302">
        <v>2437098</v>
      </c>
      <c r="Z302">
        <v>2438259</v>
      </c>
      <c r="AA302">
        <v>2438379</v>
      </c>
      <c r="AB302">
        <v>2437483</v>
      </c>
      <c r="AC302">
        <v>2435600</v>
      </c>
      <c r="AD302">
        <v>2432764</v>
      </c>
      <c r="AE302">
        <v>2429016</v>
      </c>
      <c r="AF302">
        <v>2424398</v>
      </c>
      <c r="AG302">
        <v>2418961</v>
      </c>
      <c r="AH302">
        <v>2412758</v>
      </c>
      <c r="AI302">
        <v>2405848</v>
      </c>
      <c r="AJ302">
        <v>2398295</v>
      </c>
      <c r="AK302">
        <v>2390168</v>
      </c>
      <c r="AL302">
        <v>2381540</v>
      </c>
      <c r="AM302">
        <v>2372489</v>
      </c>
      <c r="AN302">
        <v>2363100</v>
      </c>
      <c r="AO302">
        <v>2353459</v>
      </c>
      <c r="AP302">
        <v>2343661</v>
      </c>
      <c r="AQ302">
        <v>2333804</v>
      </c>
      <c r="AR302">
        <v>2323989</v>
      </c>
      <c r="AS302">
        <v>2314326</v>
      </c>
      <c r="AT302">
        <v>2304926</v>
      </c>
      <c r="AU302">
        <v>2295908</v>
      </c>
      <c r="AV302">
        <v>2287393</v>
      </c>
    </row>
    <row r="303" spans="1:48" x14ac:dyDescent="0.15">
      <c r="A303" t="s">
        <v>344</v>
      </c>
      <c r="B303" t="s">
        <v>717</v>
      </c>
      <c r="C303" t="s">
        <v>428</v>
      </c>
      <c r="D303" s="5">
        <v>2782207.9471996701</v>
      </c>
      <c r="E303" s="5">
        <v>2796496.4471372101</v>
      </c>
      <c r="F303" s="5">
        <v>2809962.73145193</v>
      </c>
      <c r="G303" s="5">
        <v>2400395</v>
      </c>
      <c r="H303">
        <v>2416565</v>
      </c>
      <c r="I303">
        <v>2431829</v>
      </c>
      <c r="J303">
        <v>2446121</v>
      </c>
      <c r="K303">
        <v>2459380</v>
      </c>
      <c r="L303">
        <v>2471552</v>
      </c>
      <c r="M303">
        <v>2482590</v>
      </c>
      <c r="N303">
        <v>2492452</v>
      </c>
      <c r="O303">
        <v>2501102</v>
      </c>
      <c r="P303">
        <v>2508511</v>
      </c>
      <c r="Q303">
        <v>2514655</v>
      </c>
      <c r="R303">
        <v>2519518</v>
      </c>
      <c r="S303">
        <v>2523087</v>
      </c>
      <c r="T303">
        <v>2525359</v>
      </c>
      <c r="U303">
        <v>2526334</v>
      </c>
      <c r="V303">
        <v>2526021</v>
      </c>
      <c r="W303">
        <v>2524431</v>
      </c>
      <c r="X303">
        <v>2521586</v>
      </c>
      <c r="Y303">
        <v>2517510</v>
      </c>
      <c r="Z303">
        <v>2512236</v>
      </c>
      <c r="AA303">
        <v>2505802</v>
      </c>
      <c r="AB303">
        <v>2498252</v>
      </c>
      <c r="AC303">
        <v>2489637</v>
      </c>
      <c r="AD303">
        <v>2480012</v>
      </c>
      <c r="AE303">
        <v>2469440</v>
      </c>
      <c r="AF303">
        <v>2457991</v>
      </c>
      <c r="AG303">
        <v>2445739</v>
      </c>
      <c r="AH303">
        <v>2432765</v>
      </c>
      <c r="AI303">
        <v>2419157</v>
      </c>
      <c r="AJ303">
        <v>2405007</v>
      </c>
      <c r="AK303">
        <v>2390415</v>
      </c>
      <c r="AL303">
        <v>2375488</v>
      </c>
      <c r="AM303">
        <v>2360335</v>
      </c>
      <c r="AN303">
        <v>2345076</v>
      </c>
      <c r="AO303">
        <v>2329834</v>
      </c>
      <c r="AP303">
        <v>2314740</v>
      </c>
      <c r="AQ303">
        <v>2299930</v>
      </c>
      <c r="AR303">
        <v>2285546</v>
      </c>
      <c r="AS303">
        <v>2271737</v>
      </c>
      <c r="AT303">
        <v>2258657</v>
      </c>
      <c r="AU303">
        <v>2246468</v>
      </c>
      <c r="AV303">
        <v>2235336</v>
      </c>
    </row>
    <row r="304" spans="1:48" x14ac:dyDescent="0.15">
      <c r="A304" t="s">
        <v>345</v>
      </c>
      <c r="B304" t="s">
        <v>718</v>
      </c>
      <c r="C304" t="s">
        <v>428</v>
      </c>
      <c r="D304" s="5">
        <v>4698157.8456558296</v>
      </c>
      <c r="E304" s="5">
        <v>4724436.5305621801</v>
      </c>
      <c r="F304" s="5">
        <v>4749212.42669426</v>
      </c>
      <c r="G304" s="5">
        <v>4451889</v>
      </c>
      <c r="H304">
        <v>4478110</v>
      </c>
      <c r="I304">
        <v>4505313</v>
      </c>
      <c r="J304">
        <v>4533120</v>
      </c>
      <c r="K304">
        <v>4561172</v>
      </c>
      <c r="L304">
        <v>4589132</v>
      </c>
      <c r="M304">
        <v>4616686</v>
      </c>
      <c r="N304">
        <v>4643541</v>
      </c>
      <c r="O304">
        <v>4669428</v>
      </c>
      <c r="P304">
        <v>4694099</v>
      </c>
      <c r="Q304">
        <v>4717327</v>
      </c>
      <c r="R304">
        <v>4738909</v>
      </c>
      <c r="S304">
        <v>4758663</v>
      </c>
      <c r="T304">
        <v>4776429</v>
      </c>
      <c r="U304">
        <v>4792070</v>
      </c>
      <c r="V304">
        <v>4805470</v>
      </c>
      <c r="W304">
        <v>4816536</v>
      </c>
      <c r="X304">
        <v>4825197</v>
      </c>
      <c r="Y304">
        <v>4831404</v>
      </c>
      <c r="Z304">
        <v>4835129</v>
      </c>
      <c r="AA304">
        <v>4836367</v>
      </c>
      <c r="AB304">
        <v>4835136</v>
      </c>
      <c r="AC304">
        <v>4831475</v>
      </c>
      <c r="AD304">
        <v>4825445</v>
      </c>
      <c r="AE304">
        <v>4817129</v>
      </c>
      <c r="AF304">
        <v>4806633</v>
      </c>
      <c r="AG304">
        <v>4794085</v>
      </c>
      <c r="AH304">
        <v>4779634</v>
      </c>
      <c r="AI304">
        <v>4763452</v>
      </c>
      <c r="AJ304">
        <v>4745733</v>
      </c>
      <c r="AK304">
        <v>4726693</v>
      </c>
      <c r="AL304">
        <v>4706570</v>
      </c>
      <c r="AM304">
        <v>4685624</v>
      </c>
      <c r="AN304">
        <v>4664137</v>
      </c>
      <c r="AO304">
        <v>4642414</v>
      </c>
      <c r="AP304">
        <v>4620781</v>
      </c>
      <c r="AQ304">
        <v>4599587</v>
      </c>
      <c r="AR304">
        <v>4579202</v>
      </c>
      <c r="AS304">
        <v>4560019</v>
      </c>
      <c r="AT304">
        <v>4542454</v>
      </c>
      <c r="AU304">
        <v>4526942</v>
      </c>
      <c r="AV304">
        <v>4513943</v>
      </c>
    </row>
    <row r="305" spans="1:48" x14ac:dyDescent="0.15">
      <c r="A305" t="s">
        <v>346</v>
      </c>
      <c r="B305" t="s">
        <v>719</v>
      </c>
      <c r="C305" t="s">
        <v>428</v>
      </c>
      <c r="D305" s="5">
        <v>3677538.1075276802</v>
      </c>
      <c r="E305" s="5">
        <v>3699614.3620712399</v>
      </c>
      <c r="F305" s="5">
        <v>3720748.26208094</v>
      </c>
      <c r="G305" s="5">
        <v>3481538</v>
      </c>
      <c r="H305">
        <v>3502975</v>
      </c>
      <c r="I305">
        <v>3526053</v>
      </c>
      <c r="J305">
        <v>3550381</v>
      </c>
      <c r="K305">
        <v>3575593</v>
      </c>
      <c r="L305">
        <v>3601342</v>
      </c>
      <c r="M305">
        <v>3627305</v>
      </c>
      <c r="N305">
        <v>3653177</v>
      </c>
      <c r="O305">
        <v>3678678</v>
      </c>
      <c r="P305">
        <v>3703546</v>
      </c>
      <c r="Q305">
        <v>3727543</v>
      </c>
      <c r="R305">
        <v>3750451</v>
      </c>
      <c r="S305">
        <v>3772074</v>
      </c>
      <c r="T305">
        <v>3792238</v>
      </c>
      <c r="U305">
        <v>3810788</v>
      </c>
      <c r="V305">
        <v>3827593</v>
      </c>
      <c r="W305">
        <v>3842543</v>
      </c>
      <c r="X305">
        <v>3855548</v>
      </c>
      <c r="Y305">
        <v>3866541</v>
      </c>
      <c r="Z305">
        <v>3875476</v>
      </c>
      <c r="AA305">
        <v>3882327</v>
      </c>
      <c r="AB305">
        <v>3887090</v>
      </c>
      <c r="AC305">
        <v>3889785</v>
      </c>
      <c r="AD305">
        <v>3890450</v>
      </c>
      <c r="AE305">
        <v>3889146</v>
      </c>
      <c r="AF305">
        <v>3885955</v>
      </c>
      <c r="AG305">
        <v>3880981</v>
      </c>
      <c r="AH305">
        <v>3874348</v>
      </c>
      <c r="AI305">
        <v>3866203</v>
      </c>
      <c r="AJ305">
        <v>3856714</v>
      </c>
      <c r="AK305">
        <v>3846070</v>
      </c>
      <c r="AL305">
        <v>3834481</v>
      </c>
      <c r="AM305">
        <v>3822180</v>
      </c>
      <c r="AN305">
        <v>3809419</v>
      </c>
      <c r="AO305">
        <v>3796475</v>
      </c>
      <c r="AP305">
        <v>3783642</v>
      </c>
      <c r="AQ305">
        <v>3771238</v>
      </c>
      <c r="AR305">
        <v>3759603</v>
      </c>
      <c r="AS305">
        <v>3749097</v>
      </c>
      <c r="AT305">
        <v>3740101</v>
      </c>
      <c r="AU305">
        <v>3733019</v>
      </c>
      <c r="AV305">
        <v>3728276</v>
      </c>
    </row>
    <row r="306" spans="1:48" x14ac:dyDescent="0.15">
      <c r="A306" t="s">
        <v>347</v>
      </c>
      <c r="B306" t="s">
        <v>720</v>
      </c>
      <c r="C306" t="s">
        <v>428</v>
      </c>
      <c r="D306" s="5">
        <v>1193922.8668084899</v>
      </c>
      <c r="E306" s="5">
        <v>1202008.3128897599</v>
      </c>
      <c r="F306" s="5">
        <v>1209557.4039992201</v>
      </c>
      <c r="G306" s="5">
        <v>1290923</v>
      </c>
      <c r="H306">
        <v>1301331</v>
      </c>
      <c r="I306">
        <v>1311232</v>
      </c>
      <c r="J306">
        <v>1320601</v>
      </c>
      <c r="K306">
        <v>1329417</v>
      </c>
      <c r="L306">
        <v>1337659</v>
      </c>
      <c r="M306">
        <v>1345310</v>
      </c>
      <c r="N306">
        <v>1352354</v>
      </c>
      <c r="O306">
        <v>1358778</v>
      </c>
      <c r="P306">
        <v>1364570</v>
      </c>
      <c r="Q306">
        <v>1369723</v>
      </c>
      <c r="R306">
        <v>1374228</v>
      </c>
      <c r="S306">
        <v>1378082</v>
      </c>
      <c r="T306">
        <v>1381282</v>
      </c>
      <c r="U306">
        <v>1383828</v>
      </c>
      <c r="V306">
        <v>1385722</v>
      </c>
      <c r="W306">
        <v>1386968</v>
      </c>
      <c r="X306">
        <v>1387572</v>
      </c>
      <c r="Y306">
        <v>1387543</v>
      </c>
      <c r="Z306">
        <v>1386891</v>
      </c>
      <c r="AA306">
        <v>1385630</v>
      </c>
      <c r="AB306">
        <v>1383775</v>
      </c>
      <c r="AC306">
        <v>1381343</v>
      </c>
      <c r="AD306">
        <v>1378353</v>
      </c>
      <c r="AE306">
        <v>1374827</v>
      </c>
      <c r="AF306">
        <v>1370790</v>
      </c>
      <c r="AG306">
        <v>1366266</v>
      </c>
      <c r="AH306">
        <v>1361284</v>
      </c>
      <c r="AI306">
        <v>1355875</v>
      </c>
      <c r="AJ306">
        <v>1350072</v>
      </c>
      <c r="AK306">
        <v>1343908</v>
      </c>
      <c r="AL306">
        <v>1337422</v>
      </c>
      <c r="AM306">
        <v>1330652</v>
      </c>
      <c r="AN306">
        <v>1323639</v>
      </c>
      <c r="AO306">
        <v>1316427</v>
      </c>
      <c r="AP306">
        <v>1309063</v>
      </c>
      <c r="AQ306">
        <v>1301593</v>
      </c>
      <c r="AR306">
        <v>1294068</v>
      </c>
      <c r="AS306">
        <v>1286540</v>
      </c>
      <c r="AT306">
        <v>1279063</v>
      </c>
      <c r="AU306">
        <v>1271696</v>
      </c>
      <c r="AV306">
        <v>1264495</v>
      </c>
    </row>
    <row r="307" spans="1:48" x14ac:dyDescent="0.15">
      <c r="A307" t="s">
        <v>348</v>
      </c>
      <c r="B307" t="s">
        <v>721</v>
      </c>
      <c r="C307" t="s">
        <v>428</v>
      </c>
      <c r="D307" s="5">
        <v>3585840.8381789699</v>
      </c>
      <c r="E307" s="5">
        <v>3603917.89660704</v>
      </c>
      <c r="F307" s="5">
        <v>3620939.9243803299</v>
      </c>
      <c r="G307" s="5">
        <v>3317758</v>
      </c>
      <c r="H307">
        <v>3337303</v>
      </c>
      <c r="I307">
        <v>3356632</v>
      </c>
      <c r="J307">
        <v>3375550</v>
      </c>
      <c r="K307">
        <v>3393876</v>
      </c>
      <c r="L307">
        <v>3411441</v>
      </c>
      <c r="M307">
        <v>3428090</v>
      </c>
      <c r="N307">
        <v>3443679</v>
      </c>
      <c r="O307">
        <v>3458079</v>
      </c>
      <c r="P307">
        <v>3471173</v>
      </c>
      <c r="Q307">
        <v>3482857</v>
      </c>
      <c r="R307">
        <v>3493040</v>
      </c>
      <c r="S307">
        <v>3501645</v>
      </c>
      <c r="T307">
        <v>3508606</v>
      </c>
      <c r="U307">
        <v>3513871</v>
      </c>
      <c r="V307">
        <v>3517401</v>
      </c>
      <c r="W307">
        <v>3519170</v>
      </c>
      <c r="X307">
        <v>3519166</v>
      </c>
      <c r="Y307">
        <v>3517387</v>
      </c>
      <c r="Z307">
        <v>3513848</v>
      </c>
      <c r="AA307">
        <v>3508573</v>
      </c>
      <c r="AB307">
        <v>3501602</v>
      </c>
      <c r="AC307">
        <v>3492985</v>
      </c>
      <c r="AD307">
        <v>3482789</v>
      </c>
      <c r="AE307">
        <v>3471091</v>
      </c>
      <c r="AF307">
        <v>3457980</v>
      </c>
      <c r="AG307">
        <v>3443562</v>
      </c>
      <c r="AH307">
        <v>3427952</v>
      </c>
      <c r="AI307">
        <v>3411281</v>
      </c>
      <c r="AJ307">
        <v>3393690</v>
      </c>
      <c r="AK307">
        <v>3375335</v>
      </c>
      <c r="AL307">
        <v>3356385</v>
      </c>
      <c r="AM307">
        <v>3337021</v>
      </c>
      <c r="AN307">
        <v>3317438</v>
      </c>
      <c r="AO307">
        <v>3297842</v>
      </c>
      <c r="AP307">
        <v>3278455</v>
      </c>
      <c r="AQ307">
        <v>3259509</v>
      </c>
      <c r="AR307">
        <v>3241251</v>
      </c>
      <c r="AS307">
        <v>3223941</v>
      </c>
      <c r="AT307">
        <v>3207849</v>
      </c>
      <c r="AU307">
        <v>3193263</v>
      </c>
      <c r="AV307">
        <v>3180479</v>
      </c>
    </row>
    <row r="308" spans="1:48" x14ac:dyDescent="0.15">
      <c r="A308" t="s">
        <v>349</v>
      </c>
      <c r="B308" t="s">
        <v>722</v>
      </c>
      <c r="C308" t="s">
        <v>428</v>
      </c>
      <c r="D308" s="5">
        <v>1275080.5729184099</v>
      </c>
      <c r="E308" s="5">
        <v>1283794.80462018</v>
      </c>
      <c r="F308" s="5">
        <v>1292025.7389044401</v>
      </c>
      <c r="G308" s="5">
        <v>1305541</v>
      </c>
      <c r="H308">
        <v>1315638</v>
      </c>
      <c r="I308">
        <v>1325626</v>
      </c>
      <c r="J308">
        <v>1335438</v>
      </c>
      <c r="K308">
        <v>1345010</v>
      </c>
      <c r="L308">
        <v>1354282</v>
      </c>
      <c r="M308">
        <v>1363199</v>
      </c>
      <c r="N308">
        <v>1371710</v>
      </c>
      <c r="O308">
        <v>1379768</v>
      </c>
      <c r="P308">
        <v>1387332</v>
      </c>
      <c r="Q308">
        <v>1394362</v>
      </c>
      <c r="R308">
        <v>1400826</v>
      </c>
      <c r="S308">
        <v>1406694</v>
      </c>
      <c r="T308">
        <v>1411940</v>
      </c>
      <c r="U308">
        <v>1416545</v>
      </c>
      <c r="V308">
        <v>1420491</v>
      </c>
      <c r="W308">
        <v>1423767</v>
      </c>
      <c r="X308">
        <v>1426364</v>
      </c>
      <c r="Y308">
        <v>1428280</v>
      </c>
      <c r="Z308">
        <v>1429514</v>
      </c>
      <c r="AA308">
        <v>1430072</v>
      </c>
      <c r="AB308">
        <v>1429963</v>
      </c>
      <c r="AC308">
        <v>1429201</v>
      </c>
      <c r="AD308">
        <v>1427804</v>
      </c>
      <c r="AE308">
        <v>1425794</v>
      </c>
      <c r="AF308">
        <v>1423198</v>
      </c>
      <c r="AG308">
        <v>1420047</v>
      </c>
      <c r="AH308">
        <v>1416375</v>
      </c>
      <c r="AI308">
        <v>1412222</v>
      </c>
      <c r="AJ308">
        <v>1407633</v>
      </c>
      <c r="AK308">
        <v>1402655</v>
      </c>
      <c r="AL308">
        <v>1397341</v>
      </c>
      <c r="AM308">
        <v>1391748</v>
      </c>
      <c r="AN308">
        <v>1385936</v>
      </c>
      <c r="AO308">
        <v>1379970</v>
      </c>
      <c r="AP308">
        <v>1373922</v>
      </c>
      <c r="AQ308">
        <v>1367864</v>
      </c>
      <c r="AR308">
        <v>1361874</v>
      </c>
      <c r="AS308">
        <v>1356036</v>
      </c>
      <c r="AT308">
        <v>1350436</v>
      </c>
      <c r="AU308">
        <v>1345166</v>
      </c>
      <c r="AV308">
        <v>1340321</v>
      </c>
    </row>
    <row r="309" spans="1:48" x14ac:dyDescent="0.15">
      <c r="A309" t="s">
        <v>350</v>
      </c>
      <c r="B309" t="s">
        <v>723</v>
      </c>
      <c r="C309" t="s">
        <v>428</v>
      </c>
      <c r="D309" s="5">
        <v>563305.88098488003</v>
      </c>
      <c r="E309" s="5">
        <v>567372.59351055697</v>
      </c>
      <c r="F309" s="5">
        <v>571244.05689922697</v>
      </c>
      <c r="G309" s="5">
        <v>548146</v>
      </c>
      <c r="H309">
        <v>552662</v>
      </c>
      <c r="I309">
        <v>557176</v>
      </c>
      <c r="J309">
        <v>561655</v>
      </c>
      <c r="K309">
        <v>566070</v>
      </c>
      <c r="L309">
        <v>570391</v>
      </c>
      <c r="M309">
        <v>574591</v>
      </c>
      <c r="N309">
        <v>578645</v>
      </c>
      <c r="O309">
        <v>582532</v>
      </c>
      <c r="P309">
        <v>586229</v>
      </c>
      <c r="Q309">
        <v>589717</v>
      </c>
      <c r="R309">
        <v>592980</v>
      </c>
      <c r="S309">
        <v>596003</v>
      </c>
      <c r="T309">
        <v>598771</v>
      </c>
      <c r="U309">
        <v>601275</v>
      </c>
      <c r="V309">
        <v>603504</v>
      </c>
      <c r="W309">
        <v>605452</v>
      </c>
      <c r="X309">
        <v>607112</v>
      </c>
      <c r="Y309">
        <v>608482</v>
      </c>
      <c r="Z309">
        <v>609560</v>
      </c>
      <c r="AA309">
        <v>610346</v>
      </c>
      <c r="AB309">
        <v>610843</v>
      </c>
      <c r="AC309">
        <v>611056</v>
      </c>
      <c r="AD309">
        <v>610989</v>
      </c>
      <c r="AE309">
        <v>610652</v>
      </c>
      <c r="AF309">
        <v>610055</v>
      </c>
      <c r="AG309">
        <v>609210</v>
      </c>
      <c r="AH309">
        <v>608131</v>
      </c>
      <c r="AI309">
        <v>606833</v>
      </c>
      <c r="AJ309">
        <v>605336</v>
      </c>
      <c r="AK309">
        <v>603658</v>
      </c>
      <c r="AL309">
        <v>601822</v>
      </c>
      <c r="AM309">
        <v>599852</v>
      </c>
      <c r="AN309">
        <v>597772</v>
      </c>
      <c r="AO309">
        <v>595612</v>
      </c>
      <c r="AP309">
        <v>593400</v>
      </c>
      <c r="AQ309">
        <v>591168</v>
      </c>
      <c r="AR309">
        <v>588950</v>
      </c>
      <c r="AS309">
        <v>586781</v>
      </c>
      <c r="AT309">
        <v>584698</v>
      </c>
      <c r="AU309">
        <v>582741</v>
      </c>
      <c r="AV309">
        <v>580951</v>
      </c>
    </row>
    <row r="310" spans="1:48" x14ac:dyDescent="0.15">
      <c r="A310" t="s">
        <v>351</v>
      </c>
      <c r="B310" t="s">
        <v>724</v>
      </c>
      <c r="C310" t="s">
        <v>428</v>
      </c>
      <c r="D310" s="5">
        <v>423178.00432567601</v>
      </c>
      <c r="E310" s="5">
        <v>426590.30208152399</v>
      </c>
      <c r="F310" s="5">
        <v>429834.273023571</v>
      </c>
      <c r="G310" s="5">
        <v>383410</v>
      </c>
      <c r="H310">
        <v>387491</v>
      </c>
      <c r="I310">
        <v>391291</v>
      </c>
      <c r="J310">
        <v>394817</v>
      </c>
      <c r="K310">
        <v>398077</v>
      </c>
      <c r="L310">
        <v>401078</v>
      </c>
      <c r="M310">
        <v>403828</v>
      </c>
      <c r="N310">
        <v>406335</v>
      </c>
      <c r="O310">
        <v>408604</v>
      </c>
      <c r="P310">
        <v>410644</v>
      </c>
      <c r="Q310">
        <v>412462</v>
      </c>
      <c r="R310">
        <v>414064</v>
      </c>
      <c r="S310">
        <v>415458</v>
      </c>
      <c r="T310">
        <v>416650</v>
      </c>
      <c r="U310">
        <v>417648</v>
      </c>
      <c r="V310">
        <v>418458</v>
      </c>
      <c r="W310">
        <v>419086</v>
      </c>
      <c r="X310">
        <v>419540</v>
      </c>
      <c r="Y310">
        <v>419825</v>
      </c>
      <c r="Z310">
        <v>419948</v>
      </c>
      <c r="AA310">
        <v>419916</v>
      </c>
      <c r="AB310">
        <v>419734</v>
      </c>
      <c r="AC310">
        <v>419409</v>
      </c>
      <c r="AD310">
        <v>418947</v>
      </c>
      <c r="AE310">
        <v>418354</v>
      </c>
      <c r="AF310">
        <v>417636</v>
      </c>
      <c r="AG310">
        <v>416799</v>
      </c>
      <c r="AH310">
        <v>415849</v>
      </c>
      <c r="AI310">
        <v>414790</v>
      </c>
      <c r="AJ310">
        <v>413630</v>
      </c>
      <c r="AK310">
        <v>412373</v>
      </c>
      <c r="AL310">
        <v>411025</v>
      </c>
      <c r="AM310">
        <v>409591</v>
      </c>
      <c r="AN310">
        <v>408078</v>
      </c>
      <c r="AO310">
        <v>406489</v>
      </c>
      <c r="AP310">
        <v>404830</v>
      </c>
      <c r="AQ310">
        <v>403107</v>
      </c>
      <c r="AR310">
        <v>401324</v>
      </c>
      <c r="AS310">
        <v>399486</v>
      </c>
      <c r="AT310">
        <v>397598</v>
      </c>
      <c r="AU310">
        <v>395665</v>
      </c>
      <c r="AV310">
        <v>393692</v>
      </c>
    </row>
    <row r="311" spans="1:48" x14ac:dyDescent="0.15">
      <c r="A311" t="s">
        <v>353</v>
      </c>
      <c r="B311" t="s">
        <v>725</v>
      </c>
      <c r="C311" t="s">
        <v>427</v>
      </c>
      <c r="D311" s="5">
        <v>596867.00327679701</v>
      </c>
      <c r="E311" s="5">
        <v>602345.406498175</v>
      </c>
      <c r="F311" s="5">
        <v>607552.65278159198</v>
      </c>
      <c r="G311" s="5">
        <v>857369</v>
      </c>
      <c r="H311">
        <v>867877</v>
      </c>
      <c r="I311">
        <v>877567</v>
      </c>
      <c r="J311">
        <v>886480</v>
      </c>
      <c r="K311">
        <v>894650</v>
      </c>
      <c r="L311">
        <v>902113</v>
      </c>
      <c r="M311">
        <v>908904</v>
      </c>
      <c r="N311">
        <v>915054</v>
      </c>
      <c r="O311">
        <v>920596</v>
      </c>
      <c r="P311">
        <v>925558</v>
      </c>
      <c r="Q311">
        <v>929970</v>
      </c>
      <c r="R311">
        <v>933858</v>
      </c>
      <c r="S311">
        <v>937250</v>
      </c>
      <c r="T311">
        <v>940168</v>
      </c>
      <c r="U311">
        <v>942637</v>
      </c>
      <c r="V311">
        <v>944679</v>
      </c>
      <c r="W311">
        <v>946314</v>
      </c>
      <c r="X311">
        <v>947561</v>
      </c>
      <c r="Y311">
        <v>948439</v>
      </c>
      <c r="Z311">
        <v>948964</v>
      </c>
      <c r="AA311">
        <v>949151</v>
      </c>
      <c r="AB311">
        <v>949015</v>
      </c>
      <c r="AC311">
        <v>948568</v>
      </c>
      <c r="AD311">
        <v>947822</v>
      </c>
      <c r="AE311">
        <v>946785</v>
      </c>
      <c r="AF311">
        <v>945469</v>
      </c>
      <c r="AG311">
        <v>943878</v>
      </c>
      <c r="AH311">
        <v>942021</v>
      </c>
      <c r="AI311">
        <v>939900</v>
      </c>
      <c r="AJ311">
        <v>937521</v>
      </c>
      <c r="AK311">
        <v>934884</v>
      </c>
      <c r="AL311">
        <v>931991</v>
      </c>
      <c r="AM311">
        <v>928841</v>
      </c>
      <c r="AN311">
        <v>925431</v>
      </c>
      <c r="AO311">
        <v>921760</v>
      </c>
      <c r="AP311">
        <v>917822</v>
      </c>
      <c r="AQ311">
        <v>913611</v>
      </c>
      <c r="AR311">
        <v>909120</v>
      </c>
      <c r="AS311">
        <v>904341</v>
      </c>
      <c r="AT311">
        <v>899264</v>
      </c>
      <c r="AU311">
        <v>893877</v>
      </c>
      <c r="AV311">
        <v>888168</v>
      </c>
    </row>
    <row r="312" spans="1:48" x14ac:dyDescent="0.15">
      <c r="A312" t="s">
        <v>354</v>
      </c>
      <c r="B312" t="s">
        <v>726</v>
      </c>
      <c r="C312" t="s">
        <v>427</v>
      </c>
      <c r="D312" s="5">
        <v>742566.68928576203</v>
      </c>
      <c r="E312" s="5">
        <v>748436.90970865299</v>
      </c>
      <c r="F312" s="5">
        <v>754172.70087057096</v>
      </c>
      <c r="G312" s="5">
        <v>790981</v>
      </c>
      <c r="H312">
        <v>798177</v>
      </c>
      <c r="I312">
        <v>805686</v>
      </c>
      <c r="J312">
        <v>813423</v>
      </c>
      <c r="K312">
        <v>821307</v>
      </c>
      <c r="L312">
        <v>829264</v>
      </c>
      <c r="M312">
        <v>837223</v>
      </c>
      <c r="N312">
        <v>845119</v>
      </c>
      <c r="O312">
        <v>852888</v>
      </c>
      <c r="P312">
        <v>860476</v>
      </c>
      <c r="Q312">
        <v>867830</v>
      </c>
      <c r="R312">
        <v>874903</v>
      </c>
      <c r="S312">
        <v>881653</v>
      </c>
      <c r="T312">
        <v>888040</v>
      </c>
      <c r="U312">
        <v>894033</v>
      </c>
      <c r="V312">
        <v>899602</v>
      </c>
      <c r="W312">
        <v>904723</v>
      </c>
      <c r="X312">
        <v>909378</v>
      </c>
      <c r="Y312">
        <v>913551</v>
      </c>
      <c r="Z312">
        <v>917234</v>
      </c>
      <c r="AA312">
        <v>920419</v>
      </c>
      <c r="AB312">
        <v>923108</v>
      </c>
      <c r="AC312">
        <v>925303</v>
      </c>
      <c r="AD312">
        <v>927014</v>
      </c>
      <c r="AE312">
        <v>928255</v>
      </c>
      <c r="AF312">
        <v>929042</v>
      </c>
      <c r="AG312">
        <v>929399</v>
      </c>
      <c r="AH312">
        <v>929354</v>
      </c>
      <c r="AI312">
        <v>928939</v>
      </c>
      <c r="AJ312">
        <v>928189</v>
      </c>
      <c r="AK312">
        <v>927148</v>
      </c>
      <c r="AL312">
        <v>925860</v>
      </c>
      <c r="AM312">
        <v>924377</v>
      </c>
      <c r="AN312">
        <v>922753</v>
      </c>
      <c r="AO312">
        <v>921050</v>
      </c>
      <c r="AP312">
        <v>919332</v>
      </c>
      <c r="AQ312">
        <v>917669</v>
      </c>
      <c r="AR312">
        <v>916133</v>
      </c>
      <c r="AS312">
        <v>914806</v>
      </c>
      <c r="AT312">
        <v>913768</v>
      </c>
      <c r="AU312">
        <v>913110</v>
      </c>
      <c r="AV312">
        <v>912924</v>
      </c>
    </row>
    <row r="313" spans="1:48" x14ac:dyDescent="0.15">
      <c r="A313" t="s">
        <v>355</v>
      </c>
      <c r="B313" t="s">
        <v>727</v>
      </c>
      <c r="C313" t="s">
        <v>427</v>
      </c>
      <c r="D313" s="5">
        <v>693394.06795604504</v>
      </c>
      <c r="E313" s="5">
        <v>698802.38936245302</v>
      </c>
      <c r="F313" s="5">
        <v>704104.28392139799</v>
      </c>
      <c r="G313" s="5">
        <v>754276</v>
      </c>
      <c r="H313">
        <v>760964</v>
      </c>
      <c r="I313">
        <v>768041</v>
      </c>
      <c r="J313">
        <v>775420</v>
      </c>
      <c r="K313">
        <v>783020</v>
      </c>
      <c r="L313">
        <v>790764</v>
      </c>
      <c r="M313">
        <v>798578</v>
      </c>
      <c r="N313">
        <v>806396</v>
      </c>
      <c r="O313">
        <v>814152</v>
      </c>
      <c r="P313">
        <v>821789</v>
      </c>
      <c r="Q313">
        <v>829253</v>
      </c>
      <c r="R313">
        <v>836493</v>
      </c>
      <c r="S313">
        <v>843464</v>
      </c>
      <c r="T313">
        <v>850127</v>
      </c>
      <c r="U313">
        <v>856445</v>
      </c>
      <c r="V313">
        <v>862386</v>
      </c>
      <c r="W313">
        <v>867925</v>
      </c>
      <c r="X313">
        <v>873039</v>
      </c>
      <c r="Y313">
        <v>877711</v>
      </c>
      <c r="Z313">
        <v>881928</v>
      </c>
      <c r="AA313">
        <v>885681</v>
      </c>
      <c r="AB313">
        <v>888967</v>
      </c>
      <c r="AC313">
        <v>891786</v>
      </c>
      <c r="AD313">
        <v>894145</v>
      </c>
      <c r="AE313">
        <v>896053</v>
      </c>
      <c r="AF313">
        <v>897525</v>
      </c>
      <c r="AG313">
        <v>898580</v>
      </c>
      <c r="AH313">
        <v>899243</v>
      </c>
      <c r="AI313">
        <v>899541</v>
      </c>
      <c r="AJ313">
        <v>899507</v>
      </c>
      <c r="AK313">
        <v>899180</v>
      </c>
      <c r="AL313">
        <v>898602</v>
      </c>
      <c r="AM313">
        <v>897819</v>
      </c>
      <c r="AN313">
        <v>896883</v>
      </c>
      <c r="AO313">
        <v>895850</v>
      </c>
      <c r="AP313">
        <v>894781</v>
      </c>
      <c r="AQ313">
        <v>893740</v>
      </c>
      <c r="AR313">
        <v>892799</v>
      </c>
      <c r="AS313">
        <v>892030</v>
      </c>
      <c r="AT313">
        <v>891514</v>
      </c>
      <c r="AU313">
        <v>891334</v>
      </c>
      <c r="AV313">
        <v>891577</v>
      </c>
    </row>
    <row r="314" spans="1:48" x14ac:dyDescent="0.15">
      <c r="A314" t="s">
        <v>356</v>
      </c>
      <c r="B314" t="s">
        <v>728</v>
      </c>
      <c r="C314" t="s">
        <v>427</v>
      </c>
      <c r="D314" s="5">
        <v>207489.56472979099</v>
      </c>
      <c r="E314" s="5">
        <v>209360.58582721901</v>
      </c>
      <c r="F314" s="5">
        <v>211175.555538368</v>
      </c>
      <c r="G314" s="5">
        <v>236212</v>
      </c>
      <c r="H314">
        <v>238893</v>
      </c>
      <c r="I314">
        <v>241530</v>
      </c>
      <c r="J314">
        <v>244114</v>
      </c>
      <c r="K314">
        <v>246635</v>
      </c>
      <c r="L314">
        <v>249083</v>
      </c>
      <c r="M314">
        <v>251451</v>
      </c>
      <c r="N314">
        <v>253731</v>
      </c>
      <c r="O314">
        <v>255916</v>
      </c>
      <c r="P314">
        <v>257999</v>
      </c>
      <c r="Q314">
        <v>259976</v>
      </c>
      <c r="R314">
        <v>261840</v>
      </c>
      <c r="S314">
        <v>263588</v>
      </c>
      <c r="T314">
        <v>265215</v>
      </c>
      <c r="U314">
        <v>266719</v>
      </c>
      <c r="V314">
        <v>268097</v>
      </c>
      <c r="W314">
        <v>269347</v>
      </c>
      <c r="X314">
        <v>270468</v>
      </c>
      <c r="Y314">
        <v>271460</v>
      </c>
      <c r="Z314">
        <v>272322</v>
      </c>
      <c r="AA314">
        <v>273055</v>
      </c>
      <c r="AB314">
        <v>273661</v>
      </c>
      <c r="AC314">
        <v>274141</v>
      </c>
      <c r="AD314">
        <v>274499</v>
      </c>
      <c r="AE314">
        <v>274738</v>
      </c>
      <c r="AF314">
        <v>274860</v>
      </c>
      <c r="AG314">
        <v>274872</v>
      </c>
      <c r="AH314">
        <v>274779</v>
      </c>
      <c r="AI314">
        <v>274585</v>
      </c>
      <c r="AJ314">
        <v>274299</v>
      </c>
      <c r="AK314">
        <v>273926</v>
      </c>
      <c r="AL314">
        <v>273475</v>
      </c>
      <c r="AM314">
        <v>272953</v>
      </c>
      <c r="AN314">
        <v>272372</v>
      </c>
      <c r="AO314">
        <v>271739</v>
      </c>
      <c r="AP314">
        <v>271065</v>
      </c>
      <c r="AQ314">
        <v>270362</v>
      </c>
      <c r="AR314">
        <v>269640</v>
      </c>
      <c r="AS314">
        <v>268913</v>
      </c>
      <c r="AT314">
        <v>268193</v>
      </c>
      <c r="AU314">
        <v>267494</v>
      </c>
      <c r="AV314">
        <v>266830</v>
      </c>
    </row>
    <row r="315" spans="1:48" x14ac:dyDescent="0.15">
      <c r="A315" t="s">
        <v>357</v>
      </c>
      <c r="B315" t="s">
        <v>729</v>
      </c>
      <c r="C315" t="s">
        <v>427</v>
      </c>
      <c r="D315" s="5">
        <v>346723.44039630197</v>
      </c>
      <c r="E315" s="5">
        <v>349491.56476950599</v>
      </c>
      <c r="F315" s="5">
        <v>352174.322266654</v>
      </c>
      <c r="G315" s="5">
        <v>350321</v>
      </c>
      <c r="H315">
        <v>353990</v>
      </c>
      <c r="I315">
        <v>357522</v>
      </c>
      <c r="J315">
        <v>360911</v>
      </c>
      <c r="K315">
        <v>364147</v>
      </c>
      <c r="L315">
        <v>367225</v>
      </c>
      <c r="M315">
        <v>370137</v>
      </c>
      <c r="N315">
        <v>372879</v>
      </c>
      <c r="O315">
        <v>375445</v>
      </c>
      <c r="P315">
        <v>377832</v>
      </c>
      <c r="Q315">
        <v>380036</v>
      </c>
      <c r="R315">
        <v>382055</v>
      </c>
      <c r="S315">
        <v>383887</v>
      </c>
      <c r="T315">
        <v>385531</v>
      </c>
      <c r="U315">
        <v>386986</v>
      </c>
      <c r="V315">
        <v>388253</v>
      </c>
      <c r="W315">
        <v>389334</v>
      </c>
      <c r="X315">
        <v>390229</v>
      </c>
      <c r="Y315">
        <v>390942</v>
      </c>
      <c r="Z315">
        <v>391475</v>
      </c>
      <c r="AA315">
        <v>391834</v>
      </c>
      <c r="AB315">
        <v>392022</v>
      </c>
      <c r="AC315">
        <v>392046</v>
      </c>
      <c r="AD315">
        <v>391911</v>
      </c>
      <c r="AE315">
        <v>391624</v>
      </c>
      <c r="AF315">
        <v>391194</v>
      </c>
      <c r="AG315">
        <v>390629</v>
      </c>
      <c r="AH315">
        <v>389938</v>
      </c>
      <c r="AI315">
        <v>389131</v>
      </c>
      <c r="AJ315">
        <v>388218</v>
      </c>
      <c r="AK315">
        <v>387212</v>
      </c>
      <c r="AL315">
        <v>386124</v>
      </c>
      <c r="AM315">
        <v>384967</v>
      </c>
      <c r="AN315">
        <v>383754</v>
      </c>
      <c r="AO315">
        <v>382501</v>
      </c>
      <c r="AP315">
        <v>381222</v>
      </c>
      <c r="AQ315">
        <v>379933</v>
      </c>
      <c r="AR315">
        <v>378650</v>
      </c>
      <c r="AS315">
        <v>377392</v>
      </c>
      <c r="AT315">
        <v>376175</v>
      </c>
      <c r="AU315">
        <v>375019</v>
      </c>
      <c r="AV315">
        <v>373943</v>
      </c>
    </row>
    <row r="316" spans="1:48" x14ac:dyDescent="0.15">
      <c r="A316" t="s">
        <v>358</v>
      </c>
      <c r="B316" t="s">
        <v>730</v>
      </c>
      <c r="C316" t="s">
        <v>427</v>
      </c>
      <c r="D316" s="5">
        <v>491147.68629926798</v>
      </c>
      <c r="E316" s="5">
        <v>495104.44212743198</v>
      </c>
      <c r="F316" s="5">
        <v>498968.32684378501</v>
      </c>
      <c r="G316" s="5">
        <v>501068</v>
      </c>
      <c r="H316">
        <v>504786</v>
      </c>
      <c r="I316">
        <v>509135</v>
      </c>
      <c r="J316">
        <v>514020</v>
      </c>
      <c r="K316">
        <v>519349</v>
      </c>
      <c r="L316">
        <v>525038</v>
      </c>
      <c r="M316">
        <v>531005</v>
      </c>
      <c r="N316">
        <v>537173</v>
      </c>
      <c r="O316">
        <v>543472</v>
      </c>
      <c r="P316">
        <v>549833</v>
      </c>
      <c r="Q316">
        <v>556195</v>
      </c>
      <c r="R316">
        <v>562500</v>
      </c>
      <c r="S316">
        <v>568695</v>
      </c>
      <c r="T316">
        <v>574731</v>
      </c>
      <c r="U316">
        <v>580565</v>
      </c>
      <c r="V316">
        <v>586158</v>
      </c>
      <c r="W316">
        <v>591476</v>
      </c>
      <c r="X316">
        <v>596489</v>
      </c>
      <c r="Y316">
        <v>601173</v>
      </c>
      <c r="Z316">
        <v>605506</v>
      </c>
      <c r="AA316">
        <v>609475</v>
      </c>
      <c r="AB316">
        <v>613067</v>
      </c>
      <c r="AC316">
        <v>616278</v>
      </c>
      <c r="AD316">
        <v>619104</v>
      </c>
      <c r="AE316">
        <v>621551</v>
      </c>
      <c r="AF316">
        <v>623625</v>
      </c>
      <c r="AG316">
        <v>625339</v>
      </c>
      <c r="AH316">
        <v>626711</v>
      </c>
      <c r="AI316">
        <v>627762</v>
      </c>
      <c r="AJ316">
        <v>628520</v>
      </c>
      <c r="AK316">
        <v>629016</v>
      </c>
      <c r="AL316">
        <v>629286</v>
      </c>
      <c r="AM316">
        <v>629370</v>
      </c>
      <c r="AN316">
        <v>629315</v>
      </c>
      <c r="AO316">
        <v>629170</v>
      </c>
      <c r="AP316">
        <v>628990</v>
      </c>
      <c r="AQ316">
        <v>628834</v>
      </c>
      <c r="AR316">
        <v>628768</v>
      </c>
      <c r="AS316">
        <v>628859</v>
      </c>
      <c r="AT316">
        <v>629182</v>
      </c>
      <c r="AU316">
        <v>629815</v>
      </c>
      <c r="AV316">
        <v>630840</v>
      </c>
    </row>
    <row r="317" spans="1:48" x14ac:dyDescent="0.15">
      <c r="A317" t="s">
        <v>359</v>
      </c>
      <c r="B317" t="s">
        <v>731</v>
      </c>
      <c r="C317" t="s">
        <v>427</v>
      </c>
      <c r="D317" s="5">
        <v>101793.628481024</v>
      </c>
      <c r="E317" s="5">
        <v>102687.53061113801</v>
      </c>
      <c r="F317" s="5">
        <v>103553.022344646</v>
      </c>
      <c r="G317" s="5">
        <v>122132</v>
      </c>
      <c r="H317">
        <v>123296</v>
      </c>
      <c r="I317">
        <v>124521</v>
      </c>
      <c r="J317">
        <v>125795</v>
      </c>
      <c r="K317">
        <v>127105</v>
      </c>
      <c r="L317">
        <v>128440</v>
      </c>
      <c r="M317">
        <v>129788</v>
      </c>
      <c r="N317">
        <v>131139</v>
      </c>
      <c r="O317">
        <v>132484</v>
      </c>
      <c r="P317">
        <v>133812</v>
      </c>
      <c r="Q317">
        <v>135116</v>
      </c>
      <c r="R317">
        <v>136388</v>
      </c>
      <c r="S317">
        <v>137621</v>
      </c>
      <c r="T317">
        <v>138808</v>
      </c>
      <c r="U317">
        <v>139943</v>
      </c>
      <c r="V317">
        <v>141022</v>
      </c>
      <c r="W317">
        <v>142039</v>
      </c>
      <c r="X317">
        <v>142991</v>
      </c>
      <c r="Y317">
        <v>143875</v>
      </c>
      <c r="Z317">
        <v>144687</v>
      </c>
      <c r="AA317">
        <v>145428</v>
      </c>
      <c r="AB317">
        <v>146094</v>
      </c>
      <c r="AC317">
        <v>146686</v>
      </c>
      <c r="AD317">
        <v>147203</v>
      </c>
      <c r="AE317">
        <v>147647</v>
      </c>
      <c r="AF317">
        <v>148019</v>
      </c>
      <c r="AG317">
        <v>148321</v>
      </c>
      <c r="AH317">
        <v>148555</v>
      </c>
      <c r="AI317">
        <v>148726</v>
      </c>
      <c r="AJ317">
        <v>148837</v>
      </c>
      <c r="AK317">
        <v>148893</v>
      </c>
      <c r="AL317">
        <v>148900</v>
      </c>
      <c r="AM317">
        <v>148863</v>
      </c>
      <c r="AN317">
        <v>148789</v>
      </c>
      <c r="AO317">
        <v>148685</v>
      </c>
      <c r="AP317">
        <v>148561</v>
      </c>
      <c r="AQ317">
        <v>148423</v>
      </c>
      <c r="AR317">
        <v>148283</v>
      </c>
      <c r="AS317">
        <v>148149</v>
      </c>
      <c r="AT317">
        <v>148032</v>
      </c>
      <c r="AU317">
        <v>147945</v>
      </c>
      <c r="AV317">
        <v>147898</v>
      </c>
    </row>
    <row r="318" spans="1:48" x14ac:dyDescent="0.15">
      <c r="A318" t="s">
        <v>361</v>
      </c>
      <c r="B318" t="s">
        <v>732</v>
      </c>
      <c r="C318" t="s">
        <v>427</v>
      </c>
      <c r="D318" s="5">
        <v>8910168.2640192304</v>
      </c>
      <c r="E318" s="5">
        <v>8978511.5343363602</v>
      </c>
      <c r="F318" s="5">
        <v>9042636.7265949808</v>
      </c>
      <c r="G318" s="5">
        <v>12798586</v>
      </c>
      <c r="H318">
        <v>12952097</v>
      </c>
      <c r="I318">
        <v>13084293</v>
      </c>
      <c r="J318">
        <v>13196698</v>
      </c>
      <c r="K318">
        <v>13290783</v>
      </c>
      <c r="L318">
        <v>13367958</v>
      </c>
      <c r="M318">
        <v>13429580</v>
      </c>
      <c r="N318">
        <v>13476945</v>
      </c>
      <c r="O318">
        <v>13511296</v>
      </c>
      <c r="P318">
        <v>13533816</v>
      </c>
      <c r="Q318">
        <v>13545632</v>
      </c>
      <c r="R318">
        <v>13547816</v>
      </c>
      <c r="S318">
        <v>13541379</v>
      </c>
      <c r="T318">
        <v>13527278</v>
      </c>
      <c r="U318">
        <v>13506413</v>
      </c>
      <c r="V318">
        <v>13479627</v>
      </c>
      <c r="W318">
        <v>13447705</v>
      </c>
      <c r="X318">
        <v>13411375</v>
      </c>
      <c r="Y318">
        <v>13371309</v>
      </c>
      <c r="Z318">
        <v>13328122</v>
      </c>
      <c r="AA318">
        <v>13282371</v>
      </c>
      <c r="AB318">
        <v>13234558</v>
      </c>
      <c r="AC318">
        <v>13185126</v>
      </c>
      <c r="AD318">
        <v>13134462</v>
      </c>
      <c r="AE318">
        <v>13082897</v>
      </c>
      <c r="AF318">
        <v>13030703</v>
      </c>
      <c r="AG318">
        <v>12978096</v>
      </c>
      <c r="AH318">
        <v>12925235</v>
      </c>
      <c r="AI318">
        <v>12872224</v>
      </c>
      <c r="AJ318">
        <v>12819106</v>
      </c>
      <c r="AK318">
        <v>12765871</v>
      </c>
      <c r="AL318">
        <v>12712449</v>
      </c>
      <c r="AM318">
        <v>12658716</v>
      </c>
      <c r="AN318">
        <v>12604488</v>
      </c>
      <c r="AO318">
        <v>12549526</v>
      </c>
      <c r="AP318">
        <v>12493534</v>
      </c>
      <c r="AQ318">
        <v>12436159</v>
      </c>
      <c r="AR318">
        <v>12376989</v>
      </c>
      <c r="AS318">
        <v>12315559</v>
      </c>
      <c r="AT318">
        <v>12251343</v>
      </c>
      <c r="AU318">
        <v>12183761</v>
      </c>
      <c r="AV318">
        <v>12112175</v>
      </c>
    </row>
    <row r="319" spans="1:48" x14ac:dyDescent="0.15">
      <c r="A319" t="s">
        <v>362</v>
      </c>
      <c r="B319" t="s">
        <v>733</v>
      </c>
      <c r="C319" t="s">
        <v>427</v>
      </c>
      <c r="D319" s="5">
        <v>861769.191417831</v>
      </c>
      <c r="E319" s="5">
        <v>866175.83233467105</v>
      </c>
      <c r="F319" s="5">
        <v>870310.91048230801</v>
      </c>
      <c r="G319" s="5">
        <v>692388</v>
      </c>
      <c r="H319">
        <v>698279</v>
      </c>
      <c r="I319">
        <v>703375</v>
      </c>
      <c r="J319">
        <v>707709</v>
      </c>
      <c r="K319">
        <v>711314</v>
      </c>
      <c r="L319">
        <v>714221</v>
      </c>
      <c r="M319">
        <v>716462</v>
      </c>
      <c r="N319">
        <v>718068</v>
      </c>
      <c r="O319">
        <v>719072</v>
      </c>
      <c r="P319">
        <v>719502</v>
      </c>
      <c r="Q319">
        <v>719391</v>
      </c>
      <c r="R319">
        <v>718768</v>
      </c>
      <c r="S319">
        <v>717663</v>
      </c>
      <c r="T319">
        <v>716105</v>
      </c>
      <c r="U319">
        <v>714125</v>
      </c>
      <c r="V319">
        <v>711750</v>
      </c>
      <c r="W319">
        <v>709009</v>
      </c>
      <c r="X319">
        <v>705931</v>
      </c>
      <c r="Y319">
        <v>702544</v>
      </c>
      <c r="Z319">
        <v>698876</v>
      </c>
      <c r="AA319">
        <v>694953</v>
      </c>
      <c r="AB319">
        <v>690803</v>
      </c>
      <c r="AC319">
        <v>686453</v>
      </c>
      <c r="AD319">
        <v>681929</v>
      </c>
      <c r="AE319">
        <v>677257</v>
      </c>
      <c r="AF319">
        <v>672464</v>
      </c>
      <c r="AG319">
        <v>667574</v>
      </c>
      <c r="AH319">
        <v>662613</v>
      </c>
      <c r="AI319">
        <v>657605</v>
      </c>
      <c r="AJ319">
        <v>652576</v>
      </c>
      <c r="AK319">
        <v>647550</v>
      </c>
      <c r="AL319">
        <v>642550</v>
      </c>
      <c r="AM319">
        <v>637601</v>
      </c>
      <c r="AN319">
        <v>632725</v>
      </c>
      <c r="AO319">
        <v>627946</v>
      </c>
      <c r="AP319">
        <v>623287</v>
      </c>
      <c r="AQ319">
        <v>618769</v>
      </c>
      <c r="AR319">
        <v>614415</v>
      </c>
      <c r="AS319">
        <v>610247</v>
      </c>
      <c r="AT319">
        <v>606286</v>
      </c>
      <c r="AU319">
        <v>602554</v>
      </c>
      <c r="AV319">
        <v>599070</v>
      </c>
    </row>
    <row r="320" spans="1:48" x14ac:dyDescent="0.15">
      <c r="A320" t="s">
        <v>363</v>
      </c>
      <c r="B320" t="s">
        <v>734</v>
      </c>
      <c r="C320" t="s">
        <v>427</v>
      </c>
      <c r="D320" s="5">
        <v>3847588.8758953498</v>
      </c>
      <c r="E320" s="5">
        <v>3869578.3472308898</v>
      </c>
      <c r="F320" s="5">
        <v>3890506.43435639</v>
      </c>
      <c r="G320" s="5">
        <v>3291628</v>
      </c>
      <c r="H320">
        <v>3321687</v>
      </c>
      <c r="I320">
        <v>3348218</v>
      </c>
      <c r="J320">
        <v>3371349</v>
      </c>
      <c r="K320">
        <v>3391207</v>
      </c>
      <c r="L320">
        <v>3407918</v>
      </c>
      <c r="M320">
        <v>3421610</v>
      </c>
      <c r="N320">
        <v>3432411</v>
      </c>
      <c r="O320">
        <v>3440446</v>
      </c>
      <c r="P320">
        <v>3445844</v>
      </c>
      <c r="Q320">
        <v>3448732</v>
      </c>
      <c r="R320">
        <v>3449237</v>
      </c>
      <c r="S320">
        <v>3447485</v>
      </c>
      <c r="T320">
        <v>3443605</v>
      </c>
      <c r="U320">
        <v>3437723</v>
      </c>
      <c r="V320">
        <v>3429966</v>
      </c>
      <c r="W320">
        <v>3420462</v>
      </c>
      <c r="X320">
        <v>3409338</v>
      </c>
      <c r="Y320">
        <v>3396720</v>
      </c>
      <c r="Z320">
        <v>3382737</v>
      </c>
      <c r="AA320">
        <v>3367516</v>
      </c>
      <c r="AB320">
        <v>3351182</v>
      </c>
      <c r="AC320">
        <v>3333865</v>
      </c>
      <c r="AD320">
        <v>3315690</v>
      </c>
      <c r="AE320">
        <v>3296786</v>
      </c>
      <c r="AF320">
        <v>3277279</v>
      </c>
      <c r="AG320">
        <v>3257296</v>
      </c>
      <c r="AH320">
        <v>3236965</v>
      </c>
      <c r="AI320">
        <v>3216412</v>
      </c>
      <c r="AJ320">
        <v>3195766</v>
      </c>
      <c r="AK320">
        <v>3175153</v>
      </c>
      <c r="AL320">
        <v>3154700</v>
      </c>
      <c r="AM320">
        <v>3134535</v>
      </c>
      <c r="AN320">
        <v>3114785</v>
      </c>
      <c r="AO320">
        <v>3095577</v>
      </c>
      <c r="AP320">
        <v>3077037</v>
      </c>
      <c r="AQ320">
        <v>3059295</v>
      </c>
      <c r="AR320">
        <v>3042476</v>
      </c>
      <c r="AS320">
        <v>3026707</v>
      </c>
      <c r="AT320">
        <v>3012117</v>
      </c>
      <c r="AU320">
        <v>2998832</v>
      </c>
      <c r="AV320">
        <v>2986979</v>
      </c>
    </row>
    <row r="321" spans="1:48" x14ac:dyDescent="0.15">
      <c r="A321" t="s">
        <v>364</v>
      </c>
      <c r="B321" t="s">
        <v>735</v>
      </c>
      <c r="C321" t="s">
        <v>427</v>
      </c>
      <c r="D321" s="5">
        <v>5298293.3560812203</v>
      </c>
      <c r="E321" s="5">
        <v>5332866.1511642402</v>
      </c>
      <c r="F321" s="5">
        <v>5366046.68376543</v>
      </c>
      <c r="G321" s="5">
        <v>4169751</v>
      </c>
      <c r="H321">
        <v>4213498</v>
      </c>
      <c r="I321">
        <v>4252514</v>
      </c>
      <c r="J321">
        <v>4286997</v>
      </c>
      <c r="K321">
        <v>4317146</v>
      </c>
      <c r="L321">
        <v>4343156</v>
      </c>
      <c r="M321">
        <v>4365219</v>
      </c>
      <c r="N321">
        <v>4383526</v>
      </c>
      <c r="O321">
        <v>4398265</v>
      </c>
      <c r="P321">
        <v>4409621</v>
      </c>
      <c r="Q321">
        <v>4417778</v>
      </c>
      <c r="R321">
        <v>4422916</v>
      </c>
      <c r="S321">
        <v>4425214</v>
      </c>
      <c r="T321">
        <v>4424848</v>
      </c>
      <c r="U321">
        <v>4421992</v>
      </c>
      <c r="V321">
        <v>4416818</v>
      </c>
      <c r="W321">
        <v>4409494</v>
      </c>
      <c r="X321">
        <v>4400186</v>
      </c>
      <c r="Y321">
        <v>4389060</v>
      </c>
      <c r="Z321">
        <v>4376277</v>
      </c>
      <c r="AA321">
        <v>4361996</v>
      </c>
      <c r="AB321">
        <v>4346375</v>
      </c>
      <c r="AC321">
        <v>4329569</v>
      </c>
      <c r="AD321">
        <v>4311729</v>
      </c>
      <c r="AE321">
        <v>4293007</v>
      </c>
      <c r="AF321">
        <v>4273549</v>
      </c>
      <c r="AG321">
        <v>4253500</v>
      </c>
      <c r="AH321">
        <v>4233005</v>
      </c>
      <c r="AI321">
        <v>4212202</v>
      </c>
      <c r="AJ321">
        <v>4191231</v>
      </c>
      <c r="AK321">
        <v>4170227</v>
      </c>
      <c r="AL321">
        <v>4149324</v>
      </c>
      <c r="AM321">
        <v>4128652</v>
      </c>
      <c r="AN321">
        <v>4108341</v>
      </c>
      <c r="AO321">
        <v>4088516</v>
      </c>
      <c r="AP321">
        <v>4069301</v>
      </c>
      <c r="AQ321">
        <v>4050819</v>
      </c>
      <c r="AR321">
        <v>4033188</v>
      </c>
      <c r="AS321">
        <v>4016524</v>
      </c>
      <c r="AT321">
        <v>4000943</v>
      </c>
      <c r="AU321">
        <v>3986557</v>
      </c>
      <c r="AV321">
        <v>3973474</v>
      </c>
    </row>
    <row r="322" spans="1:48" x14ac:dyDescent="0.15">
      <c r="A322" t="s">
        <v>365</v>
      </c>
      <c r="B322" t="s">
        <v>736</v>
      </c>
      <c r="C322" t="s">
        <v>427</v>
      </c>
      <c r="D322" s="5">
        <v>5462729.3442521403</v>
      </c>
      <c r="E322" s="5">
        <v>5492993.5860347599</v>
      </c>
      <c r="F322" s="5">
        <v>5521827.83206964</v>
      </c>
      <c r="G322" s="5">
        <v>4645759</v>
      </c>
      <c r="H322">
        <v>4688435</v>
      </c>
      <c r="I322">
        <v>4725821</v>
      </c>
      <c r="J322">
        <v>4758130</v>
      </c>
      <c r="K322">
        <v>4785572</v>
      </c>
      <c r="L322">
        <v>4808354</v>
      </c>
      <c r="M322">
        <v>4826685</v>
      </c>
      <c r="N322">
        <v>4840769</v>
      </c>
      <c r="O322">
        <v>4850813</v>
      </c>
      <c r="P322">
        <v>4857019</v>
      </c>
      <c r="Q322">
        <v>4859589</v>
      </c>
      <c r="R322">
        <v>4858725</v>
      </c>
      <c r="S322">
        <v>4854624</v>
      </c>
      <c r="T322">
        <v>4847486</v>
      </c>
      <c r="U322">
        <v>4837508</v>
      </c>
      <c r="V322">
        <v>4824883</v>
      </c>
      <c r="W322">
        <v>4809808</v>
      </c>
      <c r="X322">
        <v>4792474</v>
      </c>
      <c r="Y322">
        <v>4773073</v>
      </c>
      <c r="Z322">
        <v>4751794</v>
      </c>
      <c r="AA322">
        <v>4728828</v>
      </c>
      <c r="AB322">
        <v>4704361</v>
      </c>
      <c r="AC322">
        <v>4678580</v>
      </c>
      <c r="AD322">
        <v>4651669</v>
      </c>
      <c r="AE322">
        <v>4623811</v>
      </c>
      <c r="AF322">
        <v>4595190</v>
      </c>
      <c r="AG322">
        <v>4565986</v>
      </c>
      <c r="AH322">
        <v>4536378</v>
      </c>
      <c r="AI322">
        <v>4506545</v>
      </c>
      <c r="AJ322">
        <v>4476663</v>
      </c>
      <c r="AK322">
        <v>4446909</v>
      </c>
      <c r="AL322">
        <v>4417456</v>
      </c>
      <c r="AM322">
        <v>4388477</v>
      </c>
      <c r="AN322">
        <v>4360145</v>
      </c>
      <c r="AO322">
        <v>4332629</v>
      </c>
      <c r="AP322">
        <v>4306098</v>
      </c>
      <c r="AQ322">
        <v>4280720</v>
      </c>
      <c r="AR322">
        <v>4256662</v>
      </c>
      <c r="AS322">
        <v>4234088</v>
      </c>
      <c r="AT322">
        <v>4213162</v>
      </c>
      <c r="AU322">
        <v>4194046</v>
      </c>
      <c r="AV322">
        <v>4176902</v>
      </c>
    </row>
    <row r="323" spans="1:48" x14ac:dyDescent="0.15">
      <c r="A323" t="s">
        <v>366</v>
      </c>
      <c r="B323" t="s">
        <v>737</v>
      </c>
      <c r="C323" t="s">
        <v>427</v>
      </c>
      <c r="D323" s="5">
        <v>2310236.7446197998</v>
      </c>
      <c r="E323" s="5">
        <v>2328949.0800706102</v>
      </c>
      <c r="F323" s="5">
        <v>2346776.8000123599</v>
      </c>
      <c r="G323" s="5">
        <v>2256558</v>
      </c>
      <c r="H323">
        <v>2282486</v>
      </c>
      <c r="I323">
        <v>2306356</v>
      </c>
      <c r="J323">
        <v>2328237</v>
      </c>
      <c r="K323">
        <v>2348194</v>
      </c>
      <c r="L323">
        <v>2366296</v>
      </c>
      <c r="M323">
        <v>2382607</v>
      </c>
      <c r="N323">
        <v>2397193</v>
      </c>
      <c r="O323">
        <v>2410121</v>
      </c>
      <c r="P323">
        <v>2421453</v>
      </c>
      <c r="Q323">
        <v>2431255</v>
      </c>
      <c r="R323">
        <v>2439589</v>
      </c>
      <c r="S323">
        <v>2446519</v>
      </c>
      <c r="T323">
        <v>2452107</v>
      </c>
      <c r="U323">
        <v>2456416</v>
      </c>
      <c r="V323">
        <v>2459507</v>
      </c>
      <c r="W323">
        <v>2461440</v>
      </c>
      <c r="X323">
        <v>2462276</v>
      </c>
      <c r="Y323">
        <v>2462076</v>
      </c>
      <c r="Z323">
        <v>2460898</v>
      </c>
      <c r="AA323">
        <v>2458802</v>
      </c>
      <c r="AB323">
        <v>2455846</v>
      </c>
      <c r="AC323">
        <v>2452087</v>
      </c>
      <c r="AD323">
        <v>2447584</v>
      </c>
      <c r="AE323">
        <v>2442392</v>
      </c>
      <c r="AF323">
        <v>2436570</v>
      </c>
      <c r="AG323">
        <v>2430171</v>
      </c>
      <c r="AH323">
        <v>2423252</v>
      </c>
      <c r="AI323">
        <v>2415867</v>
      </c>
      <c r="AJ323">
        <v>2408070</v>
      </c>
      <c r="AK323">
        <v>2399916</v>
      </c>
      <c r="AL323">
        <v>2391458</v>
      </c>
      <c r="AM323">
        <v>2382748</v>
      </c>
      <c r="AN323">
        <v>2373839</v>
      </c>
      <c r="AO323">
        <v>2364782</v>
      </c>
      <c r="AP323">
        <v>2355629</v>
      </c>
      <c r="AQ323">
        <v>2346429</v>
      </c>
      <c r="AR323">
        <v>2337234</v>
      </c>
      <c r="AS323">
        <v>2328093</v>
      </c>
      <c r="AT323">
        <v>2319056</v>
      </c>
      <c r="AU323">
        <v>2310170</v>
      </c>
      <c r="AV323">
        <v>2301484</v>
      </c>
    </row>
    <row r="324" spans="1:48" x14ac:dyDescent="0.15">
      <c r="A324" t="s">
        <v>367</v>
      </c>
      <c r="B324" t="s">
        <v>738</v>
      </c>
      <c r="C324" t="s">
        <v>427</v>
      </c>
      <c r="D324" s="5">
        <v>3499611.54213185</v>
      </c>
      <c r="E324" s="5">
        <v>3511174.1565591898</v>
      </c>
      <c r="F324" s="5">
        <v>3521550.6098972298</v>
      </c>
      <c r="G324" s="5">
        <v>3196382</v>
      </c>
      <c r="H324">
        <v>3211204</v>
      </c>
      <c r="I324">
        <v>3224075</v>
      </c>
      <c r="J324">
        <v>3234989</v>
      </c>
      <c r="K324">
        <v>3243944</v>
      </c>
      <c r="L324">
        <v>3250946</v>
      </c>
      <c r="M324">
        <v>3256004</v>
      </c>
      <c r="N324">
        <v>3259136</v>
      </c>
      <c r="O324">
        <v>3260363</v>
      </c>
      <c r="P324">
        <v>3259712</v>
      </c>
      <c r="Q324">
        <v>3257217</v>
      </c>
      <c r="R324">
        <v>3252916</v>
      </c>
      <c r="S324">
        <v>3246854</v>
      </c>
      <c r="T324">
        <v>3239081</v>
      </c>
      <c r="U324">
        <v>3229654</v>
      </c>
      <c r="V324">
        <v>3218632</v>
      </c>
      <c r="W324">
        <v>3206084</v>
      </c>
      <c r="X324">
        <v>3192082</v>
      </c>
      <c r="Y324">
        <v>3176705</v>
      </c>
      <c r="Z324">
        <v>3160037</v>
      </c>
      <c r="AA324">
        <v>3142168</v>
      </c>
      <c r="AB324">
        <v>3123193</v>
      </c>
      <c r="AC324">
        <v>3103214</v>
      </c>
      <c r="AD324">
        <v>3082336</v>
      </c>
      <c r="AE324">
        <v>3060674</v>
      </c>
      <c r="AF324">
        <v>3038344</v>
      </c>
      <c r="AG324">
        <v>3015470</v>
      </c>
      <c r="AH324">
        <v>2992183</v>
      </c>
      <c r="AI324">
        <v>2968617</v>
      </c>
      <c r="AJ324">
        <v>2944913</v>
      </c>
      <c r="AK324">
        <v>2921217</v>
      </c>
      <c r="AL324">
        <v>2897683</v>
      </c>
      <c r="AM324">
        <v>2874466</v>
      </c>
      <c r="AN324">
        <v>2851732</v>
      </c>
      <c r="AO324">
        <v>2829648</v>
      </c>
      <c r="AP324">
        <v>2808390</v>
      </c>
      <c r="AQ324">
        <v>2788139</v>
      </c>
      <c r="AR324">
        <v>2769080</v>
      </c>
      <c r="AS324">
        <v>2751405</v>
      </c>
      <c r="AT324">
        <v>2735312</v>
      </c>
      <c r="AU324">
        <v>2721003</v>
      </c>
      <c r="AV324">
        <v>2708689</v>
      </c>
    </row>
    <row r="325" spans="1:48" x14ac:dyDescent="0.15">
      <c r="A325" t="s">
        <v>368</v>
      </c>
      <c r="B325" t="s">
        <v>739</v>
      </c>
      <c r="C325" t="s">
        <v>427</v>
      </c>
      <c r="D325" s="5">
        <v>3524934.0043058898</v>
      </c>
      <c r="E325" s="5">
        <v>3552520.96323486</v>
      </c>
      <c r="F325" s="5">
        <v>3578928.28660877</v>
      </c>
      <c r="G325" s="5">
        <v>3582544</v>
      </c>
      <c r="H325">
        <v>3624543</v>
      </c>
      <c r="I325">
        <v>3662749</v>
      </c>
      <c r="J325">
        <v>3697324</v>
      </c>
      <c r="K325">
        <v>3728430</v>
      </c>
      <c r="L325">
        <v>3756224</v>
      </c>
      <c r="M325">
        <v>3780861</v>
      </c>
      <c r="N325">
        <v>3802492</v>
      </c>
      <c r="O325">
        <v>3821265</v>
      </c>
      <c r="P325">
        <v>3837325</v>
      </c>
      <c r="Q325">
        <v>3850816</v>
      </c>
      <c r="R325">
        <v>3861875</v>
      </c>
      <c r="S325">
        <v>3870639</v>
      </c>
      <c r="T325">
        <v>3877242</v>
      </c>
      <c r="U325">
        <v>3881812</v>
      </c>
      <c r="V325">
        <v>3884477</v>
      </c>
      <c r="W325">
        <v>3885361</v>
      </c>
      <c r="X325">
        <v>3884585</v>
      </c>
      <c r="Y325">
        <v>3882266</v>
      </c>
      <c r="Z325">
        <v>3878519</v>
      </c>
      <c r="AA325">
        <v>3873456</v>
      </c>
      <c r="AB325">
        <v>3867185</v>
      </c>
      <c r="AC325">
        <v>3859812</v>
      </c>
      <c r="AD325">
        <v>3851439</v>
      </c>
      <c r="AE325">
        <v>3842166</v>
      </c>
      <c r="AF325">
        <v>3832089</v>
      </c>
      <c r="AG325">
        <v>3821301</v>
      </c>
      <c r="AH325">
        <v>3809892</v>
      </c>
      <c r="AI325">
        <v>3797951</v>
      </c>
      <c r="AJ325">
        <v>3785560</v>
      </c>
      <c r="AK325">
        <v>3772801</v>
      </c>
      <c r="AL325">
        <v>3759752</v>
      </c>
      <c r="AM325">
        <v>3746488</v>
      </c>
      <c r="AN325">
        <v>3733080</v>
      </c>
      <c r="AO325">
        <v>3719598</v>
      </c>
      <c r="AP325">
        <v>3706108</v>
      </c>
      <c r="AQ325">
        <v>3692671</v>
      </c>
      <c r="AR325">
        <v>3679349</v>
      </c>
      <c r="AS325">
        <v>3666196</v>
      </c>
      <c r="AT325">
        <v>3653268</v>
      </c>
      <c r="AU325">
        <v>3640614</v>
      </c>
      <c r="AV325">
        <v>3628281</v>
      </c>
    </row>
    <row r="326" spans="1:48" x14ac:dyDescent="0.15">
      <c r="A326" t="s">
        <v>369</v>
      </c>
      <c r="B326" t="s">
        <v>740</v>
      </c>
      <c r="C326" t="s">
        <v>427</v>
      </c>
      <c r="D326" s="5">
        <v>2718091.8571836101</v>
      </c>
      <c r="E326" s="5">
        <v>2731798.3846812202</v>
      </c>
      <c r="F326" s="5">
        <v>2744738.7877909401</v>
      </c>
      <c r="G326" s="5">
        <v>2475296</v>
      </c>
      <c r="H326">
        <v>2493256</v>
      </c>
      <c r="I326">
        <v>2509673</v>
      </c>
      <c r="J326">
        <v>2524536</v>
      </c>
      <c r="K326">
        <v>2537837</v>
      </c>
      <c r="L326">
        <v>2549577</v>
      </c>
      <c r="M326">
        <v>2559757</v>
      </c>
      <c r="N326">
        <v>2568385</v>
      </c>
      <c r="O326">
        <v>2575473</v>
      </c>
      <c r="P326">
        <v>2581036</v>
      </c>
      <c r="Q326">
        <v>2585097</v>
      </c>
      <c r="R326">
        <v>2587681</v>
      </c>
      <c r="S326">
        <v>2588817</v>
      </c>
      <c r="T326">
        <v>2588540</v>
      </c>
      <c r="U326">
        <v>2586890</v>
      </c>
      <c r="V326">
        <v>2583910</v>
      </c>
      <c r="W326">
        <v>2579649</v>
      </c>
      <c r="X326">
        <v>2574159</v>
      </c>
      <c r="Y326">
        <v>2567497</v>
      </c>
      <c r="Z326">
        <v>2559725</v>
      </c>
      <c r="AA326">
        <v>2550911</v>
      </c>
      <c r="AB326">
        <v>2541124</v>
      </c>
      <c r="AC326">
        <v>2530441</v>
      </c>
      <c r="AD326">
        <v>2518941</v>
      </c>
      <c r="AE326">
        <v>2506710</v>
      </c>
      <c r="AF326">
        <v>2493835</v>
      </c>
      <c r="AG326">
        <v>2480411</v>
      </c>
      <c r="AH326">
        <v>2466537</v>
      </c>
      <c r="AI326">
        <v>2452314</v>
      </c>
      <c r="AJ326">
        <v>2437851</v>
      </c>
      <c r="AK326">
        <v>2423259</v>
      </c>
      <c r="AL326">
        <v>2408655</v>
      </c>
      <c r="AM326">
        <v>2394159</v>
      </c>
      <c r="AN326">
        <v>2379897</v>
      </c>
      <c r="AO326">
        <v>2366000</v>
      </c>
      <c r="AP326">
        <v>2352601</v>
      </c>
      <c r="AQ326">
        <v>2339840</v>
      </c>
      <c r="AR326">
        <v>2327861</v>
      </c>
      <c r="AS326">
        <v>2316812</v>
      </c>
      <c r="AT326">
        <v>2306845</v>
      </c>
      <c r="AU326">
        <v>2298118</v>
      </c>
      <c r="AV326">
        <v>2290794</v>
      </c>
    </row>
    <row r="327" spans="1:48" x14ac:dyDescent="0.15">
      <c r="A327" t="s">
        <v>370</v>
      </c>
      <c r="B327" t="s">
        <v>741</v>
      </c>
      <c r="C327" t="s">
        <v>427</v>
      </c>
      <c r="D327" s="5">
        <v>2440418.0424580202</v>
      </c>
      <c r="E327" s="5">
        <v>2456849.2281388999</v>
      </c>
      <c r="F327" s="5">
        <v>2472610.5566308298</v>
      </c>
      <c r="G327" s="5">
        <v>2020105</v>
      </c>
      <c r="H327">
        <v>2041130</v>
      </c>
      <c r="I327">
        <v>2060091</v>
      </c>
      <c r="J327">
        <v>2077057</v>
      </c>
      <c r="K327">
        <v>2092097</v>
      </c>
      <c r="L327">
        <v>2105282</v>
      </c>
      <c r="M327">
        <v>2116681</v>
      </c>
      <c r="N327">
        <v>2126364</v>
      </c>
      <c r="O327">
        <v>2134401</v>
      </c>
      <c r="P327">
        <v>2140862</v>
      </c>
      <c r="Q327">
        <v>2145817</v>
      </c>
      <c r="R327">
        <v>2149335</v>
      </c>
      <c r="S327">
        <v>2151486</v>
      </c>
      <c r="T327">
        <v>2152341</v>
      </c>
      <c r="U327">
        <v>2151970</v>
      </c>
      <c r="V327">
        <v>2150442</v>
      </c>
      <c r="W327">
        <v>2147828</v>
      </c>
      <c r="X327">
        <v>2144197</v>
      </c>
      <c r="Y327">
        <v>2139621</v>
      </c>
      <c r="Z327">
        <v>2134168</v>
      </c>
      <c r="AA327">
        <v>2127909</v>
      </c>
      <c r="AB327">
        <v>2120914</v>
      </c>
      <c r="AC327">
        <v>2113254</v>
      </c>
      <c r="AD327">
        <v>2104998</v>
      </c>
      <c r="AE327">
        <v>2096217</v>
      </c>
      <c r="AF327">
        <v>2086981</v>
      </c>
      <c r="AG327">
        <v>2077361</v>
      </c>
      <c r="AH327">
        <v>2067427</v>
      </c>
      <c r="AI327">
        <v>2057249</v>
      </c>
      <c r="AJ327">
        <v>2046897</v>
      </c>
      <c r="AK327">
        <v>2036443</v>
      </c>
      <c r="AL327">
        <v>2025956</v>
      </c>
      <c r="AM327">
        <v>2015507</v>
      </c>
      <c r="AN327">
        <v>2005166</v>
      </c>
      <c r="AO327">
        <v>1995004</v>
      </c>
      <c r="AP327">
        <v>1985092</v>
      </c>
      <c r="AQ327">
        <v>1975500</v>
      </c>
      <c r="AR327">
        <v>1966298</v>
      </c>
      <c r="AS327">
        <v>1957558</v>
      </c>
      <c r="AT327">
        <v>1949350</v>
      </c>
      <c r="AU327">
        <v>1941744</v>
      </c>
      <c r="AV327">
        <v>1934811</v>
      </c>
    </row>
    <row r="328" spans="1:48" x14ac:dyDescent="0.15">
      <c r="A328" t="s">
        <v>372</v>
      </c>
      <c r="B328" t="s">
        <v>742</v>
      </c>
      <c r="C328" t="s">
        <v>427</v>
      </c>
      <c r="D328" s="5">
        <v>3802281.5336918798</v>
      </c>
      <c r="E328" s="5">
        <v>3830019.5465468802</v>
      </c>
      <c r="F328" s="5">
        <v>3855879.78523432</v>
      </c>
      <c r="G328" s="5">
        <v>4311693</v>
      </c>
      <c r="H328">
        <v>4359210</v>
      </c>
      <c r="I328">
        <v>4400350</v>
      </c>
      <c r="J328">
        <v>4435536</v>
      </c>
      <c r="K328">
        <v>4465175</v>
      </c>
      <c r="L328">
        <v>4489661</v>
      </c>
      <c r="M328">
        <v>4509372</v>
      </c>
      <c r="N328">
        <v>4524671</v>
      </c>
      <c r="O328">
        <v>4535908</v>
      </c>
      <c r="P328">
        <v>4543415</v>
      </c>
      <c r="Q328">
        <v>4547511</v>
      </c>
      <c r="R328">
        <v>4548499</v>
      </c>
      <c r="S328">
        <v>4546669</v>
      </c>
      <c r="T328">
        <v>4542294</v>
      </c>
      <c r="U328">
        <v>4535633</v>
      </c>
      <c r="V328">
        <v>4526929</v>
      </c>
      <c r="W328">
        <v>4516413</v>
      </c>
      <c r="X328">
        <v>4504297</v>
      </c>
      <c r="Y328">
        <v>4490782</v>
      </c>
      <c r="Z328">
        <v>4476050</v>
      </c>
      <c r="AA328">
        <v>4460272</v>
      </c>
      <c r="AB328">
        <v>4443602</v>
      </c>
      <c r="AC328">
        <v>4426179</v>
      </c>
      <c r="AD328">
        <v>4408128</v>
      </c>
      <c r="AE328">
        <v>4389558</v>
      </c>
      <c r="AF328">
        <v>4370563</v>
      </c>
      <c r="AG328">
        <v>4351225</v>
      </c>
      <c r="AH328">
        <v>4331606</v>
      </c>
      <c r="AI328">
        <v>4311758</v>
      </c>
      <c r="AJ328">
        <v>4291714</v>
      </c>
      <c r="AK328">
        <v>4271496</v>
      </c>
      <c r="AL328">
        <v>4251107</v>
      </c>
      <c r="AM328">
        <v>4230539</v>
      </c>
      <c r="AN328">
        <v>4209765</v>
      </c>
      <c r="AO328">
        <v>4188748</v>
      </c>
      <c r="AP328">
        <v>4167431</v>
      </c>
      <c r="AQ328">
        <v>4145745</v>
      </c>
      <c r="AR328">
        <v>4123606</v>
      </c>
      <c r="AS328">
        <v>4100914</v>
      </c>
      <c r="AT328">
        <v>4077554</v>
      </c>
      <c r="AU328">
        <v>4053398</v>
      </c>
      <c r="AV328">
        <v>4028302</v>
      </c>
    </row>
    <row r="329" spans="1:48" x14ac:dyDescent="0.15">
      <c r="A329" t="s">
        <v>373</v>
      </c>
      <c r="B329" t="s">
        <v>743</v>
      </c>
      <c r="C329" t="s">
        <v>427</v>
      </c>
      <c r="D329" s="5">
        <v>243328.48133330399</v>
      </c>
      <c r="E329" s="5">
        <v>244864.53651441401</v>
      </c>
      <c r="F329" s="5">
        <v>246263.72513685</v>
      </c>
      <c r="G329" s="5">
        <v>310145</v>
      </c>
      <c r="H329">
        <v>312653</v>
      </c>
      <c r="I329">
        <v>314849</v>
      </c>
      <c r="J329">
        <v>316747</v>
      </c>
      <c r="K329">
        <v>318361</v>
      </c>
      <c r="L329">
        <v>319704</v>
      </c>
      <c r="M329">
        <v>320789</v>
      </c>
      <c r="N329">
        <v>321629</v>
      </c>
      <c r="O329">
        <v>322236</v>
      </c>
      <c r="P329">
        <v>322623</v>
      </c>
      <c r="Q329">
        <v>322801</v>
      </c>
      <c r="R329">
        <v>322781</v>
      </c>
      <c r="S329">
        <v>322575</v>
      </c>
      <c r="T329">
        <v>322193</v>
      </c>
      <c r="U329">
        <v>321645</v>
      </c>
      <c r="V329">
        <v>320942</v>
      </c>
      <c r="W329">
        <v>320093</v>
      </c>
      <c r="X329">
        <v>319107</v>
      </c>
      <c r="Y329">
        <v>317995</v>
      </c>
      <c r="Z329">
        <v>316763</v>
      </c>
      <c r="AA329">
        <v>315421</v>
      </c>
      <c r="AB329">
        <v>313976</v>
      </c>
      <c r="AC329">
        <v>312437</v>
      </c>
      <c r="AD329">
        <v>310811</v>
      </c>
      <c r="AE329">
        <v>309104</v>
      </c>
      <c r="AF329">
        <v>307324</v>
      </c>
      <c r="AG329">
        <v>305476</v>
      </c>
      <c r="AH329">
        <v>303567</v>
      </c>
      <c r="AI329">
        <v>301602</v>
      </c>
      <c r="AJ329">
        <v>299587</v>
      </c>
      <c r="AK329">
        <v>297526</v>
      </c>
      <c r="AL329">
        <v>295425</v>
      </c>
      <c r="AM329">
        <v>293288</v>
      </c>
      <c r="AN329">
        <v>291118</v>
      </c>
      <c r="AO329">
        <v>288920</v>
      </c>
      <c r="AP329">
        <v>286696</v>
      </c>
      <c r="AQ329">
        <v>284450</v>
      </c>
      <c r="AR329">
        <v>282184</v>
      </c>
      <c r="AS329">
        <v>279901</v>
      </c>
      <c r="AT329">
        <v>277602</v>
      </c>
      <c r="AU329">
        <v>275290</v>
      </c>
      <c r="AV329">
        <v>272965</v>
      </c>
    </row>
    <row r="330" spans="1:48" x14ac:dyDescent="0.15">
      <c r="A330" t="s">
        <v>374</v>
      </c>
      <c r="B330" t="s">
        <v>744</v>
      </c>
      <c r="C330" t="s">
        <v>427</v>
      </c>
      <c r="D330" s="5">
        <v>481794.102460358</v>
      </c>
      <c r="E330" s="5">
        <v>484219.57565585099</v>
      </c>
      <c r="F330" s="5">
        <v>486454.54249957501</v>
      </c>
      <c r="G330" s="5">
        <v>435207</v>
      </c>
      <c r="H330">
        <v>438011</v>
      </c>
      <c r="I330">
        <v>440597</v>
      </c>
      <c r="J330">
        <v>442956</v>
      </c>
      <c r="K330">
        <v>445079</v>
      </c>
      <c r="L330">
        <v>446959</v>
      </c>
      <c r="M330">
        <v>448591</v>
      </c>
      <c r="N330">
        <v>449969</v>
      </c>
      <c r="O330">
        <v>451089</v>
      </c>
      <c r="P330">
        <v>451950</v>
      </c>
      <c r="Q330">
        <v>452549</v>
      </c>
      <c r="R330">
        <v>452885</v>
      </c>
      <c r="S330">
        <v>452959</v>
      </c>
      <c r="T330">
        <v>452774</v>
      </c>
      <c r="U330">
        <v>452331</v>
      </c>
      <c r="V330">
        <v>451635</v>
      </c>
      <c r="W330">
        <v>450689</v>
      </c>
      <c r="X330">
        <v>449502</v>
      </c>
      <c r="Y330">
        <v>448078</v>
      </c>
      <c r="Z330">
        <v>446428</v>
      </c>
      <c r="AA330">
        <v>444559</v>
      </c>
      <c r="AB330">
        <v>442483</v>
      </c>
      <c r="AC330">
        <v>440210</v>
      </c>
      <c r="AD330">
        <v>437754</v>
      </c>
      <c r="AE330">
        <v>435128</v>
      </c>
      <c r="AF330">
        <v>432346</v>
      </c>
      <c r="AG330">
        <v>429425</v>
      </c>
      <c r="AH330">
        <v>426381</v>
      </c>
      <c r="AI330">
        <v>423233</v>
      </c>
      <c r="AJ330">
        <v>419999</v>
      </c>
      <c r="AK330">
        <v>416700</v>
      </c>
      <c r="AL330">
        <v>413357</v>
      </c>
      <c r="AM330">
        <v>409992</v>
      </c>
      <c r="AN330">
        <v>406630</v>
      </c>
      <c r="AO330">
        <v>403293</v>
      </c>
      <c r="AP330">
        <v>400009</v>
      </c>
      <c r="AQ330">
        <v>396803</v>
      </c>
      <c r="AR330">
        <v>393704</v>
      </c>
      <c r="AS330">
        <v>390741</v>
      </c>
      <c r="AT330">
        <v>387943</v>
      </c>
      <c r="AU330">
        <v>385341</v>
      </c>
      <c r="AV330">
        <v>382969</v>
      </c>
    </row>
    <row r="331" spans="1:48" x14ac:dyDescent="0.15">
      <c r="A331" t="s">
        <v>375</v>
      </c>
      <c r="B331" t="s">
        <v>745</v>
      </c>
      <c r="C331" t="s">
        <v>427</v>
      </c>
      <c r="D331" s="5">
        <v>1764351.51740617</v>
      </c>
      <c r="E331" s="5">
        <v>1777082.18439572</v>
      </c>
      <c r="F331" s="5">
        <v>1789946.8627877899</v>
      </c>
      <c r="G331" s="5">
        <v>1492358</v>
      </c>
      <c r="H331">
        <v>1512043</v>
      </c>
      <c r="I331">
        <v>1530216</v>
      </c>
      <c r="J331">
        <v>1546896</v>
      </c>
      <c r="K331">
        <v>1562103</v>
      </c>
      <c r="L331">
        <v>1575858</v>
      </c>
      <c r="M331">
        <v>1588188</v>
      </c>
      <c r="N331">
        <v>1599120</v>
      </c>
      <c r="O331">
        <v>1608685</v>
      </c>
      <c r="P331">
        <v>1616917</v>
      </c>
      <c r="Q331">
        <v>1623852</v>
      </c>
      <c r="R331">
        <v>1629529</v>
      </c>
      <c r="S331">
        <v>1633990</v>
      </c>
      <c r="T331">
        <v>1637278</v>
      </c>
      <c r="U331">
        <v>1639441</v>
      </c>
      <c r="V331">
        <v>1640529</v>
      </c>
      <c r="W331">
        <v>1640594</v>
      </c>
      <c r="X331">
        <v>1639692</v>
      </c>
      <c r="Y331">
        <v>1637880</v>
      </c>
      <c r="Z331">
        <v>1635219</v>
      </c>
      <c r="AA331">
        <v>1631772</v>
      </c>
      <c r="AB331">
        <v>1627606</v>
      </c>
      <c r="AC331">
        <v>1622789</v>
      </c>
      <c r="AD331">
        <v>1617392</v>
      </c>
      <c r="AE331">
        <v>1611491</v>
      </c>
      <c r="AF331">
        <v>1605161</v>
      </c>
      <c r="AG331">
        <v>1598483</v>
      </c>
      <c r="AH331">
        <v>1591538</v>
      </c>
      <c r="AI331">
        <v>1584413</v>
      </c>
      <c r="AJ331">
        <v>1577193</v>
      </c>
      <c r="AK331">
        <v>1569971</v>
      </c>
      <c r="AL331">
        <v>1562840</v>
      </c>
      <c r="AM331">
        <v>1555894</v>
      </c>
      <c r="AN331">
        <v>1549234</v>
      </c>
      <c r="AO331">
        <v>1542959</v>
      </c>
      <c r="AP331">
        <v>1537175</v>
      </c>
      <c r="AQ331">
        <v>1531988</v>
      </c>
      <c r="AR331">
        <v>1527507</v>
      </c>
      <c r="AS331">
        <v>1523845</v>
      </c>
      <c r="AT331">
        <v>1521116</v>
      </c>
      <c r="AU331">
        <v>1519439</v>
      </c>
      <c r="AV331">
        <v>1518934</v>
      </c>
    </row>
    <row r="332" spans="1:48" x14ac:dyDescent="0.15">
      <c r="A332" t="s">
        <v>376</v>
      </c>
      <c r="B332" t="s">
        <v>746</v>
      </c>
      <c r="C332" t="s">
        <v>427</v>
      </c>
      <c r="D332" s="5">
        <v>3378140.0978031801</v>
      </c>
      <c r="E332" s="5">
        <v>3399960.9720488102</v>
      </c>
      <c r="F332" s="5">
        <v>3421660.76528164</v>
      </c>
      <c r="G332" s="5">
        <v>2955044</v>
      </c>
      <c r="H332">
        <v>2984502</v>
      </c>
      <c r="I332">
        <v>3013088</v>
      </c>
      <c r="J332">
        <v>3040647</v>
      </c>
      <c r="K332">
        <v>3067035</v>
      </c>
      <c r="L332">
        <v>3092121</v>
      </c>
      <c r="M332">
        <v>3115788</v>
      </c>
      <c r="N332">
        <v>3137931</v>
      </c>
      <c r="O332">
        <v>3158457</v>
      </c>
      <c r="P332">
        <v>3177289</v>
      </c>
      <c r="Q332">
        <v>3194360</v>
      </c>
      <c r="R332">
        <v>3209618</v>
      </c>
      <c r="S332">
        <v>3223022</v>
      </c>
      <c r="T332">
        <v>3234545</v>
      </c>
      <c r="U332">
        <v>3244173</v>
      </c>
      <c r="V332">
        <v>3251904</v>
      </c>
      <c r="W332">
        <v>3257751</v>
      </c>
      <c r="X332">
        <v>3261738</v>
      </c>
      <c r="Y332">
        <v>3263902</v>
      </c>
      <c r="Z332">
        <v>3264294</v>
      </c>
      <c r="AA332">
        <v>3262977</v>
      </c>
      <c r="AB332">
        <v>3260027</v>
      </c>
      <c r="AC332">
        <v>3255534</v>
      </c>
      <c r="AD332">
        <v>3249600</v>
      </c>
      <c r="AE332">
        <v>3242340</v>
      </c>
      <c r="AF332">
        <v>3233881</v>
      </c>
      <c r="AG332">
        <v>3224366</v>
      </c>
      <c r="AH332">
        <v>3213947</v>
      </c>
      <c r="AI332">
        <v>3202791</v>
      </c>
      <c r="AJ332">
        <v>3191079</v>
      </c>
      <c r="AK332">
        <v>3179003</v>
      </c>
      <c r="AL332">
        <v>3166767</v>
      </c>
      <c r="AM332">
        <v>3154592</v>
      </c>
      <c r="AN332">
        <v>3142708</v>
      </c>
      <c r="AO332">
        <v>3131360</v>
      </c>
      <c r="AP332">
        <v>3120805</v>
      </c>
      <c r="AQ332">
        <v>3111313</v>
      </c>
      <c r="AR332">
        <v>3103167</v>
      </c>
      <c r="AS332">
        <v>3096664</v>
      </c>
      <c r="AT332">
        <v>3092112</v>
      </c>
      <c r="AU332">
        <v>3089834</v>
      </c>
      <c r="AV332">
        <v>3090163</v>
      </c>
    </row>
    <row r="333" spans="1:48" x14ac:dyDescent="0.15">
      <c r="A333" t="s">
        <v>377</v>
      </c>
      <c r="B333" t="s">
        <v>747</v>
      </c>
      <c r="C333" t="s">
        <v>427</v>
      </c>
      <c r="D333" s="5">
        <v>1882353.65474464</v>
      </c>
      <c r="E333" s="5">
        <v>1895180.8268110501</v>
      </c>
      <c r="F333" s="5">
        <v>1907838.24386851</v>
      </c>
      <c r="G333" s="5">
        <v>1448492</v>
      </c>
      <c r="H333">
        <v>1464902</v>
      </c>
      <c r="I333">
        <v>1480098</v>
      </c>
      <c r="J333">
        <v>1494079</v>
      </c>
      <c r="K333">
        <v>1506847</v>
      </c>
      <c r="L333">
        <v>1518409</v>
      </c>
      <c r="M333">
        <v>1528773</v>
      </c>
      <c r="N333">
        <v>1537950</v>
      </c>
      <c r="O333">
        <v>1545956</v>
      </c>
      <c r="P333">
        <v>1552808</v>
      </c>
      <c r="Q333">
        <v>1558526</v>
      </c>
      <c r="R333">
        <v>1563135</v>
      </c>
      <c r="S333">
        <v>1566660</v>
      </c>
      <c r="T333">
        <v>1569133</v>
      </c>
      <c r="U333">
        <v>1570585</v>
      </c>
      <c r="V333">
        <v>1571053</v>
      </c>
      <c r="W333">
        <v>1570575</v>
      </c>
      <c r="X333">
        <v>1569193</v>
      </c>
      <c r="Y333">
        <v>1566953</v>
      </c>
      <c r="Z333">
        <v>1563901</v>
      </c>
      <c r="AA333">
        <v>1560089</v>
      </c>
      <c r="AB333">
        <v>1555570</v>
      </c>
      <c r="AC333">
        <v>1550403</v>
      </c>
      <c r="AD333">
        <v>1544646</v>
      </c>
      <c r="AE333">
        <v>1538363</v>
      </c>
      <c r="AF333">
        <v>1531619</v>
      </c>
      <c r="AG333">
        <v>1524484</v>
      </c>
      <c r="AH333">
        <v>1517030</v>
      </c>
      <c r="AI333">
        <v>1509332</v>
      </c>
      <c r="AJ333">
        <v>1501467</v>
      </c>
      <c r="AK333">
        <v>1493518</v>
      </c>
      <c r="AL333">
        <v>1485568</v>
      </c>
      <c r="AM333">
        <v>1477704</v>
      </c>
      <c r="AN333">
        <v>1470017</v>
      </c>
      <c r="AO333">
        <v>1462599</v>
      </c>
      <c r="AP333">
        <v>1455547</v>
      </c>
      <c r="AQ333">
        <v>1448961</v>
      </c>
      <c r="AR333">
        <v>1442942</v>
      </c>
      <c r="AS333">
        <v>1437595</v>
      </c>
      <c r="AT333">
        <v>1433030</v>
      </c>
      <c r="AU333">
        <v>1429357</v>
      </c>
      <c r="AV333">
        <v>1426690</v>
      </c>
    </row>
    <row r="334" spans="1:48" x14ac:dyDescent="0.15">
      <c r="A334" t="s">
        <v>378</v>
      </c>
      <c r="B334" t="s">
        <v>748</v>
      </c>
      <c r="C334" t="s">
        <v>427</v>
      </c>
      <c r="D334" s="5">
        <v>1246480.1088471101</v>
      </c>
      <c r="E334" s="5">
        <v>1253401.2817911601</v>
      </c>
      <c r="F334" s="5">
        <v>1259892.34468729</v>
      </c>
      <c r="G334" s="5">
        <v>1122656</v>
      </c>
      <c r="H334">
        <v>1130987</v>
      </c>
      <c r="I334">
        <v>1138658</v>
      </c>
      <c r="J334">
        <v>1145652</v>
      </c>
      <c r="K334">
        <v>1151953</v>
      </c>
      <c r="L334">
        <v>1157549</v>
      </c>
      <c r="M334">
        <v>1162432</v>
      </c>
      <c r="N334">
        <v>1166595</v>
      </c>
      <c r="O334">
        <v>1170034</v>
      </c>
      <c r="P334">
        <v>1172748</v>
      </c>
      <c r="Q334">
        <v>1174738</v>
      </c>
      <c r="R334">
        <v>1176009</v>
      </c>
      <c r="S334">
        <v>1176568</v>
      </c>
      <c r="T334">
        <v>1176425</v>
      </c>
      <c r="U334">
        <v>1175592</v>
      </c>
      <c r="V334">
        <v>1174085</v>
      </c>
      <c r="W334">
        <v>1171921</v>
      </c>
      <c r="X334">
        <v>1169122</v>
      </c>
      <c r="Y334">
        <v>1165710</v>
      </c>
      <c r="Z334">
        <v>1161712</v>
      </c>
      <c r="AA334">
        <v>1157156</v>
      </c>
      <c r="AB334">
        <v>1152075</v>
      </c>
      <c r="AC334">
        <v>1146503</v>
      </c>
      <c r="AD334">
        <v>1140476</v>
      </c>
      <c r="AE334">
        <v>1134035</v>
      </c>
      <c r="AF334">
        <v>1127222</v>
      </c>
      <c r="AG334">
        <v>1120083</v>
      </c>
      <c r="AH334">
        <v>1112664</v>
      </c>
      <c r="AI334">
        <v>1105018</v>
      </c>
      <c r="AJ334">
        <v>1097197</v>
      </c>
      <c r="AK334">
        <v>1089257</v>
      </c>
      <c r="AL334">
        <v>1081258</v>
      </c>
      <c r="AM334">
        <v>1073261</v>
      </c>
      <c r="AN334">
        <v>1065331</v>
      </c>
      <c r="AO334">
        <v>1057533</v>
      </c>
      <c r="AP334">
        <v>1049939</v>
      </c>
      <c r="AQ334">
        <v>1042621</v>
      </c>
      <c r="AR334">
        <v>1035653</v>
      </c>
      <c r="AS334">
        <v>1029114</v>
      </c>
      <c r="AT334">
        <v>1023085</v>
      </c>
      <c r="AU334">
        <v>1017649</v>
      </c>
      <c r="AV334">
        <v>1012892</v>
      </c>
    </row>
    <row r="335" spans="1:48" x14ac:dyDescent="0.15">
      <c r="A335" t="s">
        <v>379</v>
      </c>
      <c r="B335" t="s">
        <v>749</v>
      </c>
      <c r="C335" t="s">
        <v>427</v>
      </c>
      <c r="D335" s="5">
        <v>2125773.1062151399</v>
      </c>
      <c r="E335" s="5">
        <v>2137428.1862403699</v>
      </c>
      <c r="F335" s="5">
        <v>2149073.4135589702</v>
      </c>
      <c r="G335" s="5">
        <v>1832064</v>
      </c>
      <c r="H335">
        <v>1848518</v>
      </c>
      <c r="I335">
        <v>1864381</v>
      </c>
      <c r="J335">
        <v>1879551</v>
      </c>
      <c r="K335">
        <v>1893940</v>
      </c>
      <c r="L335">
        <v>1907464</v>
      </c>
      <c r="M335">
        <v>1920050</v>
      </c>
      <c r="N335">
        <v>1931632</v>
      </c>
      <c r="O335">
        <v>1942156</v>
      </c>
      <c r="P335">
        <v>1951572</v>
      </c>
      <c r="Q335">
        <v>1959842</v>
      </c>
      <c r="R335">
        <v>1966934</v>
      </c>
      <c r="S335">
        <v>1972828</v>
      </c>
      <c r="T335">
        <v>1977508</v>
      </c>
      <c r="U335">
        <v>1980972</v>
      </c>
      <c r="V335">
        <v>1983221</v>
      </c>
      <c r="W335">
        <v>1984269</v>
      </c>
      <c r="X335">
        <v>1984136</v>
      </c>
      <c r="Y335">
        <v>1982852</v>
      </c>
      <c r="Z335">
        <v>1980455</v>
      </c>
      <c r="AA335">
        <v>1976991</v>
      </c>
      <c r="AB335">
        <v>1972516</v>
      </c>
      <c r="AC335">
        <v>1967093</v>
      </c>
      <c r="AD335">
        <v>1960795</v>
      </c>
      <c r="AE335">
        <v>1953703</v>
      </c>
      <c r="AF335">
        <v>1945906</v>
      </c>
      <c r="AG335">
        <v>1937503</v>
      </c>
      <c r="AH335">
        <v>1928600</v>
      </c>
      <c r="AI335">
        <v>1919312</v>
      </c>
      <c r="AJ335">
        <v>1909764</v>
      </c>
      <c r="AK335">
        <v>1900087</v>
      </c>
      <c r="AL335">
        <v>1890423</v>
      </c>
      <c r="AM335">
        <v>1880922</v>
      </c>
      <c r="AN335">
        <v>1871741</v>
      </c>
      <c r="AO335">
        <v>1863048</v>
      </c>
      <c r="AP335">
        <v>1855018</v>
      </c>
      <c r="AQ335">
        <v>1847835</v>
      </c>
      <c r="AR335">
        <v>1841691</v>
      </c>
      <c r="AS335">
        <v>1836788</v>
      </c>
      <c r="AT335">
        <v>1833335</v>
      </c>
      <c r="AU335">
        <v>1831550</v>
      </c>
      <c r="AV335">
        <v>1831661</v>
      </c>
    </row>
    <row r="336" spans="1:48" x14ac:dyDescent="0.15">
      <c r="A336" t="s">
        <v>380</v>
      </c>
      <c r="B336" t="s">
        <v>750</v>
      </c>
      <c r="C336" t="s">
        <v>427</v>
      </c>
      <c r="D336" s="5">
        <v>1139456.9394056499</v>
      </c>
      <c r="E336" s="5">
        <v>1145923.8160043301</v>
      </c>
      <c r="F336" s="5">
        <v>1152004.7807235799</v>
      </c>
      <c r="G336" s="5">
        <v>1047479</v>
      </c>
      <c r="H336">
        <v>1055671</v>
      </c>
      <c r="I336">
        <v>1063202</v>
      </c>
      <c r="J336">
        <v>1070060</v>
      </c>
      <c r="K336">
        <v>1076237</v>
      </c>
      <c r="L336">
        <v>1081724</v>
      </c>
      <c r="M336">
        <v>1086516</v>
      </c>
      <c r="N336">
        <v>1090611</v>
      </c>
      <c r="O336">
        <v>1094009</v>
      </c>
      <c r="P336">
        <v>1096710</v>
      </c>
      <c r="Q336">
        <v>1098720</v>
      </c>
      <c r="R336">
        <v>1100044</v>
      </c>
      <c r="S336">
        <v>1100692</v>
      </c>
      <c r="T336">
        <v>1100675</v>
      </c>
      <c r="U336">
        <v>1100005</v>
      </c>
      <c r="V336">
        <v>1098699</v>
      </c>
      <c r="W336">
        <v>1096774</v>
      </c>
      <c r="X336">
        <v>1094251</v>
      </c>
      <c r="Y336">
        <v>1091152</v>
      </c>
      <c r="Z336">
        <v>1087503</v>
      </c>
      <c r="AA336">
        <v>1083329</v>
      </c>
      <c r="AB336">
        <v>1078660</v>
      </c>
      <c r="AC336">
        <v>1073529</v>
      </c>
      <c r="AD336">
        <v>1067969</v>
      </c>
      <c r="AE336">
        <v>1062017</v>
      </c>
      <c r="AF336">
        <v>1055710</v>
      </c>
      <c r="AG336">
        <v>1049091</v>
      </c>
      <c r="AH336">
        <v>1042202</v>
      </c>
      <c r="AI336">
        <v>1035088</v>
      </c>
      <c r="AJ336">
        <v>1027798</v>
      </c>
      <c r="AK336">
        <v>1020382</v>
      </c>
      <c r="AL336">
        <v>1012891</v>
      </c>
      <c r="AM336">
        <v>1005381</v>
      </c>
      <c r="AN336">
        <v>997908</v>
      </c>
      <c r="AO336">
        <v>990532</v>
      </c>
      <c r="AP336">
        <v>983315</v>
      </c>
      <c r="AQ336">
        <v>976320</v>
      </c>
      <c r="AR336">
        <v>969613</v>
      </c>
      <c r="AS336">
        <v>963262</v>
      </c>
      <c r="AT336">
        <v>957340</v>
      </c>
      <c r="AU336">
        <v>951917</v>
      </c>
      <c r="AV336">
        <v>947071</v>
      </c>
    </row>
    <row r="337" spans="1:48" x14ac:dyDescent="0.15">
      <c r="A337" t="s">
        <v>381</v>
      </c>
      <c r="B337" t="s">
        <v>751</v>
      </c>
      <c r="C337" t="s">
        <v>427</v>
      </c>
      <c r="D337" s="5">
        <v>2288181.7356577702</v>
      </c>
      <c r="E337" s="5">
        <v>2301407.2399902199</v>
      </c>
      <c r="F337" s="5">
        <v>2314300.2319742301</v>
      </c>
      <c r="G337" s="5">
        <v>2160976</v>
      </c>
      <c r="H337">
        <v>2179622</v>
      </c>
      <c r="I337">
        <v>2197483</v>
      </c>
      <c r="J337">
        <v>2214470</v>
      </c>
      <c r="K337">
        <v>2230502</v>
      </c>
      <c r="L337">
        <v>2245508</v>
      </c>
      <c r="M337">
        <v>2259422</v>
      </c>
      <c r="N337">
        <v>2272189</v>
      </c>
      <c r="O337">
        <v>2283762</v>
      </c>
      <c r="P337">
        <v>2294100</v>
      </c>
      <c r="Q337">
        <v>2303172</v>
      </c>
      <c r="R337">
        <v>2310956</v>
      </c>
      <c r="S337">
        <v>2317435</v>
      </c>
      <c r="T337">
        <v>2322603</v>
      </c>
      <c r="U337">
        <v>2326461</v>
      </c>
      <c r="V337">
        <v>2329019</v>
      </c>
      <c r="W337">
        <v>2330293</v>
      </c>
      <c r="X337">
        <v>2330311</v>
      </c>
      <c r="Y337">
        <v>2329105</v>
      </c>
      <c r="Z337">
        <v>2326718</v>
      </c>
      <c r="AA337">
        <v>2323199</v>
      </c>
      <c r="AB337">
        <v>2318608</v>
      </c>
      <c r="AC337">
        <v>2313011</v>
      </c>
      <c r="AD337">
        <v>2306483</v>
      </c>
      <c r="AE337">
        <v>2299105</v>
      </c>
      <c r="AF337">
        <v>2290971</v>
      </c>
      <c r="AG337">
        <v>2282178</v>
      </c>
      <c r="AH337">
        <v>2272834</v>
      </c>
      <c r="AI337">
        <v>2263054</v>
      </c>
      <c r="AJ337">
        <v>2252963</v>
      </c>
      <c r="AK337">
        <v>2242693</v>
      </c>
      <c r="AL337">
        <v>2232382</v>
      </c>
      <c r="AM337">
        <v>2222180</v>
      </c>
      <c r="AN337">
        <v>2212243</v>
      </c>
      <c r="AO337">
        <v>2202735</v>
      </c>
      <c r="AP337">
        <v>2193829</v>
      </c>
      <c r="AQ337">
        <v>2185707</v>
      </c>
      <c r="AR337">
        <v>2178556</v>
      </c>
      <c r="AS337">
        <v>2172574</v>
      </c>
      <c r="AT337">
        <v>2167967</v>
      </c>
      <c r="AU337">
        <v>2164948</v>
      </c>
      <c r="AV337">
        <v>2163739</v>
      </c>
    </row>
    <row r="338" spans="1:48" x14ac:dyDescent="0.15">
      <c r="A338" t="s">
        <v>382</v>
      </c>
      <c r="B338" t="s">
        <v>752</v>
      </c>
      <c r="C338" t="s">
        <v>427</v>
      </c>
      <c r="D338" s="5">
        <v>2776797.3218833101</v>
      </c>
      <c r="E338" s="5">
        <v>2792396.3501704801</v>
      </c>
      <c r="F338" s="5">
        <v>2807910.3117354298</v>
      </c>
      <c r="G338" s="5">
        <v>2500598</v>
      </c>
      <c r="H338">
        <v>2523979</v>
      </c>
      <c r="I338">
        <v>2546188</v>
      </c>
      <c r="J338">
        <v>2567129</v>
      </c>
      <c r="K338">
        <v>2586717</v>
      </c>
      <c r="L338">
        <v>2604874</v>
      </c>
      <c r="M338">
        <v>2621534</v>
      </c>
      <c r="N338">
        <v>2636640</v>
      </c>
      <c r="O338">
        <v>2650145</v>
      </c>
      <c r="P338">
        <v>2662013</v>
      </c>
      <c r="Q338">
        <v>2672214</v>
      </c>
      <c r="R338">
        <v>2680732</v>
      </c>
      <c r="S338">
        <v>2687559</v>
      </c>
      <c r="T338">
        <v>2692697</v>
      </c>
      <c r="U338">
        <v>2696156</v>
      </c>
      <c r="V338">
        <v>2697959</v>
      </c>
      <c r="W338">
        <v>2698137</v>
      </c>
      <c r="X338">
        <v>2696730</v>
      </c>
      <c r="Y338">
        <v>2693789</v>
      </c>
      <c r="Z338">
        <v>2689375</v>
      </c>
      <c r="AA338">
        <v>2683558</v>
      </c>
      <c r="AB338">
        <v>2676418</v>
      </c>
      <c r="AC338">
        <v>2668044</v>
      </c>
      <c r="AD338">
        <v>2658537</v>
      </c>
      <c r="AE338">
        <v>2648005</v>
      </c>
      <c r="AF338">
        <v>2636569</v>
      </c>
      <c r="AG338">
        <v>2624356</v>
      </c>
      <c r="AH338">
        <v>2611505</v>
      </c>
      <c r="AI338">
        <v>2598165</v>
      </c>
      <c r="AJ338">
        <v>2584495</v>
      </c>
      <c r="AK338">
        <v>2570661</v>
      </c>
      <c r="AL338">
        <v>2556842</v>
      </c>
      <c r="AM338">
        <v>2543225</v>
      </c>
      <c r="AN338">
        <v>2530008</v>
      </c>
      <c r="AO338">
        <v>2517398</v>
      </c>
      <c r="AP338">
        <v>2505612</v>
      </c>
      <c r="AQ338">
        <v>2494876</v>
      </c>
      <c r="AR338">
        <v>2485427</v>
      </c>
      <c r="AS338">
        <v>2477510</v>
      </c>
      <c r="AT338">
        <v>2471383</v>
      </c>
      <c r="AU338">
        <v>2467310</v>
      </c>
      <c r="AV338">
        <v>2465568</v>
      </c>
    </row>
    <row r="339" spans="1:48" x14ac:dyDescent="0.15">
      <c r="A339" t="s">
        <v>383</v>
      </c>
      <c r="B339" t="s">
        <v>753</v>
      </c>
      <c r="C339" t="s">
        <v>427</v>
      </c>
      <c r="D339" s="5">
        <v>2663424.2464195802</v>
      </c>
      <c r="E339" s="5">
        <v>2678880.7911478202</v>
      </c>
      <c r="F339" s="5">
        <v>2693783.4642541199</v>
      </c>
      <c r="G339" s="5">
        <v>2387693</v>
      </c>
      <c r="H339">
        <v>2407135</v>
      </c>
      <c r="I339">
        <v>2425870</v>
      </c>
      <c r="J339">
        <v>2443797</v>
      </c>
      <c r="K339">
        <v>2460825</v>
      </c>
      <c r="L339">
        <v>2476872</v>
      </c>
      <c r="M339">
        <v>2491862</v>
      </c>
      <c r="N339">
        <v>2505730</v>
      </c>
      <c r="O339">
        <v>2518416</v>
      </c>
      <c r="P339">
        <v>2529872</v>
      </c>
      <c r="Q339">
        <v>2540056</v>
      </c>
      <c r="R339">
        <v>2548934</v>
      </c>
      <c r="S339">
        <v>2556481</v>
      </c>
      <c r="T339">
        <v>2562681</v>
      </c>
      <c r="U339">
        <v>2567526</v>
      </c>
      <c r="V339">
        <v>2571015</v>
      </c>
      <c r="W339">
        <v>2573157</v>
      </c>
      <c r="X339">
        <v>2573968</v>
      </c>
      <c r="Y339">
        <v>2573473</v>
      </c>
      <c r="Z339">
        <v>2571705</v>
      </c>
      <c r="AA339">
        <v>2568705</v>
      </c>
      <c r="AB339">
        <v>2564523</v>
      </c>
      <c r="AC339">
        <v>2559218</v>
      </c>
      <c r="AD339">
        <v>2552854</v>
      </c>
      <c r="AE339">
        <v>2545507</v>
      </c>
      <c r="AF339">
        <v>2537260</v>
      </c>
      <c r="AG339">
        <v>2528204</v>
      </c>
      <c r="AH339">
        <v>2518437</v>
      </c>
      <c r="AI339">
        <v>2508069</v>
      </c>
      <c r="AJ339">
        <v>2497214</v>
      </c>
      <c r="AK339">
        <v>2485998</v>
      </c>
      <c r="AL339">
        <v>2474552</v>
      </c>
      <c r="AM339">
        <v>2463017</v>
      </c>
      <c r="AN339">
        <v>2451544</v>
      </c>
      <c r="AO339">
        <v>2440288</v>
      </c>
      <c r="AP339">
        <v>2429416</v>
      </c>
      <c r="AQ339">
        <v>2419103</v>
      </c>
      <c r="AR339">
        <v>2409529</v>
      </c>
      <c r="AS339">
        <v>2400886</v>
      </c>
      <c r="AT339">
        <v>2393373</v>
      </c>
      <c r="AU339">
        <v>2387197</v>
      </c>
      <c r="AV339">
        <v>2382573</v>
      </c>
    </row>
    <row r="340" spans="1:48" x14ac:dyDescent="0.15">
      <c r="A340" t="s">
        <v>384</v>
      </c>
      <c r="B340" t="s">
        <v>384</v>
      </c>
      <c r="C340" t="s">
        <v>427</v>
      </c>
      <c r="D340" s="5">
        <v>2026906.55692704</v>
      </c>
      <c r="E340" s="5">
        <v>2040001.1630184299</v>
      </c>
      <c r="F340" s="5">
        <v>2052793.19790114</v>
      </c>
      <c r="G340" s="5">
        <v>2091401</v>
      </c>
      <c r="H340">
        <v>2109641</v>
      </c>
      <c r="I340">
        <v>2127897</v>
      </c>
      <c r="J340">
        <v>2146014</v>
      </c>
      <c r="K340">
        <v>2163844</v>
      </c>
      <c r="L340">
        <v>2181254</v>
      </c>
      <c r="M340">
        <v>2198117</v>
      </c>
      <c r="N340">
        <v>2214320</v>
      </c>
      <c r="O340">
        <v>2229757</v>
      </c>
      <c r="P340">
        <v>2244336</v>
      </c>
      <c r="Q340">
        <v>2257972</v>
      </c>
      <c r="R340">
        <v>2270593</v>
      </c>
      <c r="S340">
        <v>2282136</v>
      </c>
      <c r="T340">
        <v>2292549</v>
      </c>
      <c r="U340">
        <v>2301789</v>
      </c>
      <c r="V340">
        <v>2309826</v>
      </c>
      <c r="W340">
        <v>2316638</v>
      </c>
      <c r="X340">
        <v>2322214</v>
      </c>
      <c r="Y340">
        <v>2326554</v>
      </c>
      <c r="Z340">
        <v>2329669</v>
      </c>
      <c r="AA340">
        <v>2331579</v>
      </c>
      <c r="AB340">
        <v>2332314</v>
      </c>
      <c r="AC340">
        <v>2331916</v>
      </c>
      <c r="AD340">
        <v>2330437</v>
      </c>
      <c r="AE340">
        <v>2327938</v>
      </c>
      <c r="AF340">
        <v>2324493</v>
      </c>
      <c r="AG340">
        <v>2320183</v>
      </c>
      <c r="AH340">
        <v>2315103</v>
      </c>
      <c r="AI340">
        <v>2309355</v>
      </c>
      <c r="AJ340">
        <v>2303054</v>
      </c>
      <c r="AK340">
        <v>2296324</v>
      </c>
      <c r="AL340">
        <v>2289301</v>
      </c>
      <c r="AM340">
        <v>2282128</v>
      </c>
      <c r="AN340">
        <v>2274963</v>
      </c>
      <c r="AO340">
        <v>2267970</v>
      </c>
      <c r="AP340">
        <v>2261326</v>
      </c>
      <c r="AQ340">
        <v>2255218</v>
      </c>
      <c r="AR340">
        <v>2249844</v>
      </c>
      <c r="AS340">
        <v>2245410</v>
      </c>
      <c r="AT340">
        <v>2242134</v>
      </c>
      <c r="AU340">
        <v>2240246</v>
      </c>
      <c r="AV340">
        <v>2239984</v>
      </c>
    </row>
    <row r="341" spans="1:48" x14ac:dyDescent="0.15">
      <c r="A341" t="s">
        <v>385</v>
      </c>
      <c r="B341" t="s">
        <v>385</v>
      </c>
      <c r="C341" t="s">
        <v>427</v>
      </c>
      <c r="D341" s="5">
        <v>721801.78191339504</v>
      </c>
      <c r="E341" s="5">
        <v>727014.29321321496</v>
      </c>
      <c r="F341" s="5">
        <v>732088.12070094503</v>
      </c>
      <c r="G341" s="5">
        <v>685296</v>
      </c>
      <c r="H341">
        <v>691775</v>
      </c>
      <c r="I341">
        <v>698232</v>
      </c>
      <c r="J341">
        <v>704618</v>
      </c>
      <c r="K341">
        <v>710889</v>
      </c>
      <c r="L341">
        <v>717005</v>
      </c>
      <c r="M341">
        <v>722926</v>
      </c>
      <c r="N341">
        <v>728619</v>
      </c>
      <c r="O341">
        <v>734050</v>
      </c>
      <c r="P341">
        <v>739192</v>
      </c>
      <c r="Q341">
        <v>744019</v>
      </c>
      <c r="R341">
        <v>748509</v>
      </c>
      <c r="S341">
        <v>752641</v>
      </c>
      <c r="T341">
        <v>756400</v>
      </c>
      <c r="U341">
        <v>759772</v>
      </c>
      <c r="V341">
        <v>762748</v>
      </c>
      <c r="W341">
        <v>765320</v>
      </c>
      <c r="X341">
        <v>767484</v>
      </c>
      <c r="Y341">
        <v>769241</v>
      </c>
      <c r="Z341">
        <v>770591</v>
      </c>
      <c r="AA341">
        <v>771542</v>
      </c>
      <c r="AB341">
        <v>772100</v>
      </c>
      <c r="AC341">
        <v>772279</v>
      </c>
      <c r="AD341">
        <v>772093</v>
      </c>
      <c r="AE341">
        <v>771559</v>
      </c>
      <c r="AF341">
        <v>770699</v>
      </c>
      <c r="AG341">
        <v>769537</v>
      </c>
      <c r="AH341">
        <v>768101</v>
      </c>
      <c r="AI341">
        <v>766420</v>
      </c>
      <c r="AJ341">
        <v>764528</v>
      </c>
      <c r="AK341">
        <v>762463</v>
      </c>
      <c r="AL341">
        <v>760262</v>
      </c>
      <c r="AM341">
        <v>757970</v>
      </c>
      <c r="AN341">
        <v>755633</v>
      </c>
      <c r="AO341">
        <v>753298</v>
      </c>
      <c r="AP341">
        <v>751019</v>
      </c>
      <c r="AQ341">
        <v>748851</v>
      </c>
      <c r="AR341">
        <v>746853</v>
      </c>
      <c r="AS341">
        <v>745084</v>
      </c>
      <c r="AT341">
        <v>743612</v>
      </c>
      <c r="AU341">
        <v>742502</v>
      </c>
      <c r="AV341">
        <v>741826</v>
      </c>
    </row>
    <row r="342" spans="1:48" x14ac:dyDescent="0.15">
      <c r="A342" t="s">
        <v>387</v>
      </c>
      <c r="B342" t="s">
        <v>754</v>
      </c>
      <c r="C342" t="s">
        <v>427</v>
      </c>
      <c r="D342" s="5">
        <v>2303987.98563122</v>
      </c>
      <c r="E342" s="5">
        <v>2317942.6985684098</v>
      </c>
      <c r="F342" s="5">
        <v>2331134.5117563098</v>
      </c>
      <c r="G342" s="5">
        <v>2448699</v>
      </c>
      <c r="H342">
        <v>2467879</v>
      </c>
      <c r="I342">
        <v>2485816</v>
      </c>
      <c r="J342">
        <v>2502476</v>
      </c>
      <c r="K342">
        <v>2517832</v>
      </c>
      <c r="L342">
        <v>2531861</v>
      </c>
      <c r="M342">
        <v>2544543</v>
      </c>
      <c r="N342">
        <v>2555863</v>
      </c>
      <c r="O342">
        <v>2565811</v>
      </c>
      <c r="P342">
        <v>2574381</v>
      </c>
      <c r="Q342">
        <v>2581571</v>
      </c>
      <c r="R342">
        <v>2587383</v>
      </c>
      <c r="S342">
        <v>2591825</v>
      </c>
      <c r="T342">
        <v>2594909</v>
      </c>
      <c r="U342">
        <v>2596649</v>
      </c>
      <c r="V342">
        <v>2597066</v>
      </c>
      <c r="W342">
        <v>2596186</v>
      </c>
      <c r="X342">
        <v>2594035</v>
      </c>
      <c r="Y342">
        <v>2590649</v>
      </c>
      <c r="Z342">
        <v>2586065</v>
      </c>
      <c r="AA342">
        <v>2580324</v>
      </c>
      <c r="AB342">
        <v>2573474</v>
      </c>
      <c r="AC342">
        <v>2565565</v>
      </c>
      <c r="AD342">
        <v>2556652</v>
      </c>
      <c r="AE342">
        <v>2546795</v>
      </c>
      <c r="AF342">
        <v>2536058</v>
      </c>
      <c r="AG342">
        <v>2524509</v>
      </c>
      <c r="AH342">
        <v>2512222</v>
      </c>
      <c r="AI342">
        <v>2499273</v>
      </c>
      <c r="AJ342">
        <v>2485743</v>
      </c>
      <c r="AK342">
        <v>2471720</v>
      </c>
      <c r="AL342">
        <v>2457292</v>
      </c>
      <c r="AM342">
        <v>2442555</v>
      </c>
      <c r="AN342">
        <v>2427607</v>
      </c>
      <c r="AO342">
        <v>2412553</v>
      </c>
      <c r="AP342">
        <v>2397499</v>
      </c>
      <c r="AQ342">
        <v>2382559</v>
      </c>
      <c r="AR342">
        <v>2367848</v>
      </c>
      <c r="AS342">
        <v>2353488</v>
      </c>
      <c r="AT342">
        <v>2339604</v>
      </c>
      <c r="AU342">
        <v>2326325</v>
      </c>
      <c r="AV342">
        <v>2313786</v>
      </c>
    </row>
    <row r="343" spans="1:48" x14ac:dyDescent="0.15">
      <c r="A343" t="s">
        <v>388</v>
      </c>
      <c r="B343" t="s">
        <v>755</v>
      </c>
      <c r="C343" t="s">
        <v>427</v>
      </c>
      <c r="D343" s="5">
        <v>1452781.93021985</v>
      </c>
      <c r="E343" s="5">
        <v>1461508.3671762701</v>
      </c>
      <c r="F343" s="5">
        <v>1470028.3075081899</v>
      </c>
      <c r="G343" s="5">
        <v>1349112</v>
      </c>
      <c r="H343">
        <v>1358427</v>
      </c>
      <c r="I343">
        <v>1368125</v>
      </c>
      <c r="J343">
        <v>1378064</v>
      </c>
      <c r="K343">
        <v>1388112</v>
      </c>
      <c r="L343">
        <v>1398143</v>
      </c>
      <c r="M343">
        <v>1408042</v>
      </c>
      <c r="N343">
        <v>1417701</v>
      </c>
      <c r="O343">
        <v>1427021</v>
      </c>
      <c r="P343">
        <v>1435913</v>
      </c>
      <c r="Q343">
        <v>1444293</v>
      </c>
      <c r="R343">
        <v>1452088</v>
      </c>
      <c r="S343">
        <v>1459234</v>
      </c>
      <c r="T343">
        <v>1465674</v>
      </c>
      <c r="U343">
        <v>1471358</v>
      </c>
      <c r="V343">
        <v>1476249</v>
      </c>
      <c r="W343">
        <v>1480315</v>
      </c>
      <c r="X343">
        <v>1483533</v>
      </c>
      <c r="Y343">
        <v>1485888</v>
      </c>
      <c r="Z343">
        <v>1487376</v>
      </c>
      <c r="AA343">
        <v>1487999</v>
      </c>
      <c r="AB343">
        <v>1487768</v>
      </c>
      <c r="AC343">
        <v>1486704</v>
      </c>
      <c r="AD343">
        <v>1484833</v>
      </c>
      <c r="AE343">
        <v>1482194</v>
      </c>
      <c r="AF343">
        <v>1478831</v>
      </c>
      <c r="AG343">
        <v>1474798</v>
      </c>
      <c r="AH343">
        <v>1470157</v>
      </c>
      <c r="AI343">
        <v>1464979</v>
      </c>
      <c r="AJ343">
        <v>1459342</v>
      </c>
      <c r="AK343">
        <v>1453335</v>
      </c>
      <c r="AL343">
        <v>1447054</v>
      </c>
      <c r="AM343">
        <v>1440602</v>
      </c>
      <c r="AN343">
        <v>1434094</v>
      </c>
      <c r="AO343">
        <v>1427650</v>
      </c>
      <c r="AP343">
        <v>1421401</v>
      </c>
      <c r="AQ343">
        <v>1415486</v>
      </c>
      <c r="AR343">
        <v>1410050</v>
      </c>
      <c r="AS343">
        <v>1405250</v>
      </c>
      <c r="AT343">
        <v>1401250</v>
      </c>
      <c r="AU343">
        <v>1398222</v>
      </c>
      <c r="AV343">
        <v>1396347</v>
      </c>
    </row>
    <row r="344" spans="1:48" x14ac:dyDescent="0.15">
      <c r="A344" t="s">
        <v>389</v>
      </c>
      <c r="B344" t="s">
        <v>389</v>
      </c>
      <c r="C344" t="s">
        <v>427</v>
      </c>
      <c r="D344" s="5">
        <v>286369.623103916</v>
      </c>
      <c r="E344" s="5">
        <v>288541.42994404997</v>
      </c>
      <c r="F344" s="5">
        <v>290680.734323518</v>
      </c>
      <c r="G344" s="5">
        <v>262734</v>
      </c>
      <c r="H344">
        <v>265316</v>
      </c>
      <c r="I344">
        <v>267890</v>
      </c>
      <c r="J344">
        <v>270437</v>
      </c>
      <c r="K344">
        <v>272937</v>
      </c>
      <c r="L344">
        <v>275373</v>
      </c>
      <c r="M344">
        <v>277729</v>
      </c>
      <c r="N344">
        <v>279989</v>
      </c>
      <c r="O344">
        <v>282139</v>
      </c>
      <c r="P344">
        <v>284168</v>
      </c>
      <c r="Q344">
        <v>286064</v>
      </c>
      <c r="R344">
        <v>287817</v>
      </c>
      <c r="S344">
        <v>289419</v>
      </c>
      <c r="T344">
        <v>290862</v>
      </c>
      <c r="U344">
        <v>292141</v>
      </c>
      <c r="V344">
        <v>293251</v>
      </c>
      <c r="W344">
        <v>294189</v>
      </c>
      <c r="X344">
        <v>294952</v>
      </c>
      <c r="Y344">
        <v>295539</v>
      </c>
      <c r="Z344">
        <v>295953</v>
      </c>
      <c r="AA344">
        <v>296193</v>
      </c>
      <c r="AB344">
        <v>296264</v>
      </c>
      <c r="AC344">
        <v>296169</v>
      </c>
      <c r="AD344">
        <v>295916</v>
      </c>
      <c r="AE344">
        <v>295509</v>
      </c>
      <c r="AF344">
        <v>294959</v>
      </c>
      <c r="AG344">
        <v>294275</v>
      </c>
      <c r="AH344">
        <v>293467</v>
      </c>
      <c r="AI344">
        <v>292548</v>
      </c>
      <c r="AJ344">
        <v>291531</v>
      </c>
      <c r="AK344">
        <v>290432</v>
      </c>
      <c r="AL344">
        <v>289266</v>
      </c>
      <c r="AM344">
        <v>288051</v>
      </c>
      <c r="AN344">
        <v>286805</v>
      </c>
      <c r="AO344">
        <v>285550</v>
      </c>
      <c r="AP344">
        <v>284305</v>
      </c>
      <c r="AQ344">
        <v>283093</v>
      </c>
      <c r="AR344">
        <v>281940</v>
      </c>
      <c r="AS344">
        <v>280869</v>
      </c>
      <c r="AT344">
        <v>279908</v>
      </c>
      <c r="AU344">
        <v>279084</v>
      </c>
      <c r="AV344">
        <v>278426</v>
      </c>
    </row>
    <row r="345" spans="1:48" x14ac:dyDescent="0.15">
      <c r="A345" t="s">
        <v>390</v>
      </c>
      <c r="B345" t="s">
        <v>390</v>
      </c>
      <c r="C345" t="s">
        <v>427</v>
      </c>
      <c r="D345" s="5">
        <v>269305.284784463</v>
      </c>
      <c r="E345" s="5">
        <v>271419.88542182301</v>
      </c>
      <c r="F345" s="5">
        <v>273529.92448517698</v>
      </c>
      <c r="G345" s="5">
        <v>273551</v>
      </c>
      <c r="H345">
        <v>276202</v>
      </c>
      <c r="I345">
        <v>278991</v>
      </c>
      <c r="J345">
        <v>281883</v>
      </c>
      <c r="K345">
        <v>284847</v>
      </c>
      <c r="L345">
        <v>287851</v>
      </c>
      <c r="M345">
        <v>290868</v>
      </c>
      <c r="N345">
        <v>293869</v>
      </c>
      <c r="O345">
        <v>296831</v>
      </c>
      <c r="P345">
        <v>299731</v>
      </c>
      <c r="Q345">
        <v>302546</v>
      </c>
      <c r="R345">
        <v>305259</v>
      </c>
      <c r="S345">
        <v>307851</v>
      </c>
      <c r="T345">
        <v>310308</v>
      </c>
      <c r="U345">
        <v>312615</v>
      </c>
      <c r="V345">
        <v>314762</v>
      </c>
      <c r="W345">
        <v>316738</v>
      </c>
      <c r="X345">
        <v>318535</v>
      </c>
      <c r="Y345">
        <v>320149</v>
      </c>
      <c r="Z345">
        <v>321574</v>
      </c>
      <c r="AA345">
        <v>322808</v>
      </c>
      <c r="AB345">
        <v>323852</v>
      </c>
      <c r="AC345">
        <v>324706</v>
      </c>
      <c r="AD345">
        <v>325375</v>
      </c>
      <c r="AE345">
        <v>325863</v>
      </c>
      <c r="AF345">
        <v>326179</v>
      </c>
      <c r="AG345">
        <v>326331</v>
      </c>
      <c r="AH345">
        <v>326330</v>
      </c>
      <c r="AI345">
        <v>326190</v>
      </c>
      <c r="AJ345">
        <v>325925</v>
      </c>
      <c r="AK345">
        <v>325553</v>
      </c>
      <c r="AL345">
        <v>325090</v>
      </c>
      <c r="AM345">
        <v>324560</v>
      </c>
      <c r="AN345">
        <v>323983</v>
      </c>
      <c r="AO345">
        <v>323384</v>
      </c>
      <c r="AP345">
        <v>322790</v>
      </c>
      <c r="AQ345">
        <v>322228</v>
      </c>
      <c r="AR345">
        <v>321730</v>
      </c>
      <c r="AS345">
        <v>321325</v>
      </c>
      <c r="AT345">
        <v>321049</v>
      </c>
      <c r="AU345">
        <v>320937</v>
      </c>
      <c r="AV345">
        <v>321027</v>
      </c>
    </row>
    <row r="346" spans="1:48" x14ac:dyDescent="0.15">
      <c r="A346" t="s">
        <v>391</v>
      </c>
      <c r="B346" t="s">
        <v>391</v>
      </c>
      <c r="C346" t="s">
        <v>427</v>
      </c>
      <c r="D346" s="5">
        <v>464529.40547687199</v>
      </c>
      <c r="E346" s="5">
        <v>468035.85966488998</v>
      </c>
      <c r="F346" s="5">
        <v>471470.21845207998</v>
      </c>
      <c r="G346" s="5">
        <v>443159</v>
      </c>
      <c r="H346">
        <v>446981</v>
      </c>
      <c r="I346">
        <v>450990</v>
      </c>
      <c r="J346">
        <v>455135</v>
      </c>
      <c r="K346">
        <v>459368</v>
      </c>
      <c r="L346">
        <v>463644</v>
      </c>
      <c r="M346">
        <v>467919</v>
      </c>
      <c r="N346">
        <v>472155</v>
      </c>
      <c r="O346">
        <v>476315</v>
      </c>
      <c r="P346">
        <v>480364</v>
      </c>
      <c r="Q346">
        <v>484272</v>
      </c>
      <c r="R346">
        <v>488010</v>
      </c>
      <c r="S346">
        <v>491552</v>
      </c>
      <c r="T346">
        <v>494876</v>
      </c>
      <c r="U346">
        <v>497962</v>
      </c>
      <c r="V346">
        <v>500793</v>
      </c>
      <c r="W346">
        <v>503355</v>
      </c>
      <c r="X346">
        <v>505636</v>
      </c>
      <c r="Y346">
        <v>507628</v>
      </c>
      <c r="Z346">
        <v>509324</v>
      </c>
      <c r="AA346">
        <v>510722</v>
      </c>
      <c r="AB346">
        <v>511822</v>
      </c>
      <c r="AC346">
        <v>512627</v>
      </c>
      <c r="AD346">
        <v>513142</v>
      </c>
      <c r="AE346">
        <v>513374</v>
      </c>
      <c r="AF346">
        <v>513337</v>
      </c>
      <c r="AG346">
        <v>513043</v>
      </c>
      <c r="AH346">
        <v>512509</v>
      </c>
      <c r="AI346">
        <v>511755</v>
      </c>
      <c r="AJ346">
        <v>510804</v>
      </c>
      <c r="AK346">
        <v>509680</v>
      </c>
      <c r="AL346">
        <v>508412</v>
      </c>
      <c r="AM346">
        <v>507030</v>
      </c>
      <c r="AN346">
        <v>505569</v>
      </c>
      <c r="AO346">
        <v>504066</v>
      </c>
      <c r="AP346">
        <v>502558</v>
      </c>
      <c r="AQ346">
        <v>501089</v>
      </c>
      <c r="AR346">
        <v>499704</v>
      </c>
      <c r="AS346">
        <v>498451</v>
      </c>
      <c r="AT346">
        <v>497379</v>
      </c>
      <c r="AU346">
        <v>496543</v>
      </c>
      <c r="AV346">
        <v>496000</v>
      </c>
    </row>
    <row r="347" spans="1:48" x14ac:dyDescent="0.15">
      <c r="A347" t="s">
        <v>392</v>
      </c>
      <c r="B347" t="s">
        <v>392</v>
      </c>
      <c r="C347" t="s">
        <v>427</v>
      </c>
      <c r="D347" s="5">
        <v>191859.45638907401</v>
      </c>
      <c r="E347" s="5">
        <v>193355.989379245</v>
      </c>
      <c r="F347" s="5">
        <v>194825.72223200201</v>
      </c>
      <c r="G347" s="5">
        <v>213880</v>
      </c>
      <c r="H347">
        <v>215565</v>
      </c>
      <c r="I347">
        <v>217457</v>
      </c>
      <c r="J347">
        <v>219522</v>
      </c>
      <c r="K347">
        <v>221725</v>
      </c>
      <c r="L347">
        <v>224033</v>
      </c>
      <c r="M347">
        <v>226417</v>
      </c>
      <c r="N347">
        <v>228846</v>
      </c>
      <c r="O347">
        <v>231295</v>
      </c>
      <c r="P347">
        <v>233737</v>
      </c>
      <c r="Q347">
        <v>236151</v>
      </c>
      <c r="R347">
        <v>238514</v>
      </c>
      <c r="S347">
        <v>240808</v>
      </c>
      <c r="T347">
        <v>243013</v>
      </c>
      <c r="U347">
        <v>245115</v>
      </c>
      <c r="V347">
        <v>247100</v>
      </c>
      <c r="W347">
        <v>248954</v>
      </c>
      <c r="X347">
        <v>250669</v>
      </c>
      <c r="Y347">
        <v>252235</v>
      </c>
      <c r="Z347">
        <v>253646</v>
      </c>
      <c r="AA347">
        <v>254897</v>
      </c>
      <c r="AB347">
        <v>255985</v>
      </c>
      <c r="AC347">
        <v>256909</v>
      </c>
      <c r="AD347">
        <v>257670</v>
      </c>
      <c r="AE347">
        <v>258270</v>
      </c>
      <c r="AF347">
        <v>258714</v>
      </c>
      <c r="AG347">
        <v>259008</v>
      </c>
      <c r="AH347">
        <v>259160</v>
      </c>
      <c r="AI347">
        <v>259180</v>
      </c>
      <c r="AJ347">
        <v>259080</v>
      </c>
      <c r="AK347">
        <v>258873</v>
      </c>
      <c r="AL347">
        <v>258576</v>
      </c>
      <c r="AM347">
        <v>258204</v>
      </c>
      <c r="AN347">
        <v>257778</v>
      </c>
      <c r="AO347">
        <v>257319</v>
      </c>
      <c r="AP347">
        <v>256849</v>
      </c>
      <c r="AQ347">
        <v>256393</v>
      </c>
      <c r="AR347">
        <v>255977</v>
      </c>
      <c r="AS347">
        <v>255631</v>
      </c>
      <c r="AT347">
        <v>255384</v>
      </c>
      <c r="AU347">
        <v>255268</v>
      </c>
      <c r="AV347">
        <v>255317</v>
      </c>
    </row>
    <row r="348" spans="1:48" x14ac:dyDescent="0.15">
      <c r="A348" t="s">
        <v>393</v>
      </c>
      <c r="B348" t="s">
        <v>393</v>
      </c>
      <c r="C348" t="s">
        <v>427</v>
      </c>
      <c r="D348" s="5">
        <v>399758.971366435</v>
      </c>
      <c r="E348" s="5">
        <v>402540.07323912799</v>
      </c>
      <c r="F348" s="5">
        <v>405245.91646436002</v>
      </c>
      <c r="G348" s="5">
        <v>423156</v>
      </c>
      <c r="H348">
        <v>425184</v>
      </c>
      <c r="I348">
        <v>427948</v>
      </c>
      <c r="J348">
        <v>431345</v>
      </c>
      <c r="K348">
        <v>435278</v>
      </c>
      <c r="L348">
        <v>439653</v>
      </c>
      <c r="M348">
        <v>444385</v>
      </c>
      <c r="N348">
        <v>449390</v>
      </c>
      <c r="O348">
        <v>454591</v>
      </c>
      <c r="P348">
        <v>459915</v>
      </c>
      <c r="Q348">
        <v>465295</v>
      </c>
      <c r="R348">
        <v>470669</v>
      </c>
      <c r="S348">
        <v>475979</v>
      </c>
      <c r="T348">
        <v>481172</v>
      </c>
      <c r="U348">
        <v>486202</v>
      </c>
      <c r="V348">
        <v>491024</v>
      </c>
      <c r="W348">
        <v>495603</v>
      </c>
      <c r="X348">
        <v>499905</v>
      </c>
      <c r="Y348">
        <v>503903</v>
      </c>
      <c r="Z348">
        <v>507575</v>
      </c>
      <c r="AA348">
        <v>510902</v>
      </c>
      <c r="AB348">
        <v>513872</v>
      </c>
      <c r="AC348">
        <v>516478</v>
      </c>
      <c r="AD348">
        <v>518716</v>
      </c>
      <c r="AE348">
        <v>520591</v>
      </c>
      <c r="AF348">
        <v>522108</v>
      </c>
      <c r="AG348">
        <v>523280</v>
      </c>
      <c r="AH348">
        <v>524124</v>
      </c>
      <c r="AI348">
        <v>524664</v>
      </c>
      <c r="AJ348">
        <v>524925</v>
      </c>
      <c r="AK348">
        <v>524942</v>
      </c>
      <c r="AL348">
        <v>524750</v>
      </c>
      <c r="AM348">
        <v>524392</v>
      </c>
      <c r="AN348">
        <v>523915</v>
      </c>
      <c r="AO348">
        <v>523373</v>
      </c>
      <c r="AP348">
        <v>522821</v>
      </c>
      <c r="AQ348">
        <v>522323</v>
      </c>
      <c r="AR348">
        <v>521946</v>
      </c>
      <c r="AS348">
        <v>521761</v>
      </c>
      <c r="AT348">
        <v>521846</v>
      </c>
      <c r="AU348">
        <v>522284</v>
      </c>
      <c r="AV348">
        <v>523162</v>
      </c>
    </row>
    <row r="349" spans="1:48" x14ac:dyDescent="0.15">
      <c r="A349" t="s">
        <v>394</v>
      </c>
      <c r="B349" t="s">
        <v>394</v>
      </c>
      <c r="C349" t="s">
        <v>427</v>
      </c>
      <c r="D349" s="5">
        <v>520150.69437893701</v>
      </c>
      <c r="E349" s="5">
        <v>524872.56836061704</v>
      </c>
      <c r="F349" s="5">
        <v>529415.20397383603</v>
      </c>
      <c r="G349" s="5">
        <v>462569</v>
      </c>
      <c r="H349">
        <v>468210</v>
      </c>
      <c r="I349">
        <v>473509</v>
      </c>
      <c r="J349">
        <v>478467</v>
      </c>
      <c r="K349">
        <v>483088</v>
      </c>
      <c r="L349">
        <v>487373</v>
      </c>
      <c r="M349">
        <v>491325</v>
      </c>
      <c r="N349">
        <v>494947</v>
      </c>
      <c r="O349">
        <v>498242</v>
      </c>
      <c r="P349">
        <v>501215</v>
      </c>
      <c r="Q349">
        <v>503869</v>
      </c>
      <c r="R349">
        <v>506209</v>
      </c>
      <c r="S349">
        <v>508239</v>
      </c>
      <c r="T349">
        <v>509965</v>
      </c>
      <c r="U349">
        <v>511393</v>
      </c>
      <c r="V349">
        <v>512528</v>
      </c>
      <c r="W349">
        <v>513377</v>
      </c>
      <c r="X349">
        <v>513945</v>
      </c>
      <c r="Y349">
        <v>514241</v>
      </c>
      <c r="Z349">
        <v>514271</v>
      </c>
      <c r="AA349">
        <v>514043</v>
      </c>
      <c r="AB349">
        <v>513566</v>
      </c>
      <c r="AC349">
        <v>512847</v>
      </c>
      <c r="AD349">
        <v>511894</v>
      </c>
      <c r="AE349">
        <v>510719</v>
      </c>
      <c r="AF349">
        <v>509328</v>
      </c>
      <c r="AG349">
        <v>507734</v>
      </c>
      <c r="AH349">
        <v>505945</v>
      </c>
      <c r="AI349">
        <v>503972</v>
      </c>
      <c r="AJ349">
        <v>501825</v>
      </c>
      <c r="AK349">
        <v>499517</v>
      </c>
      <c r="AL349">
        <v>497059</v>
      </c>
      <c r="AM349">
        <v>494462</v>
      </c>
      <c r="AN349">
        <v>491740</v>
      </c>
      <c r="AO349">
        <v>488903</v>
      </c>
      <c r="AP349">
        <v>485966</v>
      </c>
      <c r="AQ349">
        <v>482942</v>
      </c>
      <c r="AR349">
        <v>479844</v>
      </c>
      <c r="AS349">
        <v>476686</v>
      </c>
      <c r="AT349">
        <v>473483</v>
      </c>
      <c r="AU349">
        <v>470250</v>
      </c>
      <c r="AV349">
        <v>467002</v>
      </c>
    </row>
    <row r="350" spans="1:48" x14ac:dyDescent="0.15">
      <c r="A350" t="s">
        <v>396</v>
      </c>
      <c r="B350" t="s">
        <v>756</v>
      </c>
      <c r="C350" t="s">
        <v>427</v>
      </c>
      <c r="D350" s="5">
        <v>2107277.8755751899</v>
      </c>
      <c r="E350" s="5">
        <v>2124536.5064035999</v>
      </c>
      <c r="F350" s="5">
        <v>2140933.2977690501</v>
      </c>
      <c r="G350" s="5">
        <v>2827726</v>
      </c>
      <c r="H350">
        <v>2858948</v>
      </c>
      <c r="I350">
        <v>2887523</v>
      </c>
      <c r="J350">
        <v>2913555</v>
      </c>
      <c r="K350">
        <v>2937146</v>
      </c>
      <c r="L350">
        <v>2958395</v>
      </c>
      <c r="M350">
        <v>2977399</v>
      </c>
      <c r="N350">
        <v>2994254</v>
      </c>
      <c r="O350">
        <v>3009051</v>
      </c>
      <c r="P350">
        <v>3021882</v>
      </c>
      <c r="Q350">
        <v>3032834</v>
      </c>
      <c r="R350">
        <v>3041995</v>
      </c>
      <c r="S350">
        <v>3049448</v>
      </c>
      <c r="T350">
        <v>3055275</v>
      </c>
      <c r="U350">
        <v>3059556</v>
      </c>
      <c r="V350">
        <v>3062368</v>
      </c>
      <c r="W350">
        <v>3063787</v>
      </c>
      <c r="X350">
        <v>3063885</v>
      </c>
      <c r="Y350">
        <v>3062733</v>
      </c>
      <c r="Z350">
        <v>3060401</v>
      </c>
      <c r="AA350">
        <v>3056954</v>
      </c>
      <c r="AB350">
        <v>3052458</v>
      </c>
      <c r="AC350">
        <v>3046974</v>
      </c>
      <c r="AD350">
        <v>3040563</v>
      </c>
      <c r="AE350">
        <v>3033281</v>
      </c>
      <c r="AF350">
        <v>3025186</v>
      </c>
      <c r="AG350">
        <v>3016329</v>
      </c>
      <c r="AH350">
        <v>3006764</v>
      </c>
      <c r="AI350">
        <v>2996538</v>
      </c>
      <c r="AJ350">
        <v>2985698</v>
      </c>
      <c r="AK350">
        <v>2974290</v>
      </c>
      <c r="AL350">
        <v>2962355</v>
      </c>
      <c r="AM350">
        <v>2949935</v>
      </c>
      <c r="AN350">
        <v>2937067</v>
      </c>
      <c r="AO350">
        <v>2923787</v>
      </c>
      <c r="AP350">
        <v>2910129</v>
      </c>
      <c r="AQ350">
        <v>2896125</v>
      </c>
      <c r="AR350">
        <v>2881803</v>
      </c>
      <c r="AS350">
        <v>2867193</v>
      </c>
      <c r="AT350">
        <v>2852317</v>
      </c>
      <c r="AU350">
        <v>2837200</v>
      </c>
      <c r="AV350">
        <v>2821862</v>
      </c>
    </row>
    <row r="351" spans="1:48" x14ac:dyDescent="0.15">
      <c r="A351" t="s">
        <v>397</v>
      </c>
      <c r="B351" t="s">
        <v>757</v>
      </c>
      <c r="C351" t="s">
        <v>427</v>
      </c>
      <c r="D351" s="5">
        <v>754405.43012902397</v>
      </c>
      <c r="E351" s="5">
        <v>758331.60173152201</v>
      </c>
      <c r="F351" s="5">
        <v>761958.83323572401</v>
      </c>
      <c r="G351" s="5">
        <v>746659</v>
      </c>
      <c r="H351">
        <v>751349</v>
      </c>
      <c r="I351">
        <v>755702</v>
      </c>
      <c r="J351">
        <v>759706</v>
      </c>
      <c r="K351">
        <v>763347</v>
      </c>
      <c r="L351">
        <v>766613</v>
      </c>
      <c r="M351">
        <v>769495</v>
      </c>
      <c r="N351">
        <v>771985</v>
      </c>
      <c r="O351">
        <v>774076</v>
      </c>
      <c r="P351">
        <v>775762</v>
      </c>
      <c r="Q351">
        <v>777041</v>
      </c>
      <c r="R351">
        <v>777911</v>
      </c>
      <c r="S351">
        <v>778371</v>
      </c>
      <c r="T351">
        <v>778424</v>
      </c>
      <c r="U351">
        <v>778071</v>
      </c>
      <c r="V351">
        <v>777318</v>
      </c>
      <c r="W351">
        <v>776172</v>
      </c>
      <c r="X351">
        <v>774639</v>
      </c>
      <c r="Y351">
        <v>772729</v>
      </c>
      <c r="Z351">
        <v>770454</v>
      </c>
      <c r="AA351">
        <v>767827</v>
      </c>
      <c r="AB351">
        <v>764860</v>
      </c>
      <c r="AC351">
        <v>761571</v>
      </c>
      <c r="AD351">
        <v>757978</v>
      </c>
      <c r="AE351">
        <v>754098</v>
      </c>
      <c r="AF351">
        <v>749953</v>
      </c>
      <c r="AG351">
        <v>745566</v>
      </c>
      <c r="AH351">
        <v>740959</v>
      </c>
      <c r="AI351">
        <v>736160</v>
      </c>
      <c r="AJ351">
        <v>731195</v>
      </c>
      <c r="AK351">
        <v>726092</v>
      </c>
      <c r="AL351">
        <v>720883</v>
      </c>
      <c r="AM351">
        <v>715599</v>
      </c>
      <c r="AN351">
        <v>710274</v>
      </c>
      <c r="AO351">
        <v>704943</v>
      </c>
      <c r="AP351">
        <v>699643</v>
      </c>
      <c r="AQ351">
        <v>694412</v>
      </c>
      <c r="AR351">
        <v>689291</v>
      </c>
      <c r="AS351">
        <v>684322</v>
      </c>
      <c r="AT351">
        <v>679547</v>
      </c>
      <c r="AU351">
        <v>675011</v>
      </c>
      <c r="AV351">
        <v>670762</v>
      </c>
    </row>
    <row r="352" spans="1:48" x14ac:dyDescent="0.15">
      <c r="A352" t="s">
        <v>398</v>
      </c>
      <c r="B352" t="s">
        <v>758</v>
      </c>
      <c r="C352" t="s">
        <v>427</v>
      </c>
      <c r="D352" s="5">
        <v>1332746.01724584</v>
      </c>
      <c r="E352" s="5">
        <v>1342078.91754893</v>
      </c>
      <c r="F352" s="5">
        <v>1351258.2143880001</v>
      </c>
      <c r="G352" s="5">
        <v>1371716</v>
      </c>
      <c r="H352">
        <v>1382655</v>
      </c>
      <c r="I352">
        <v>1394258</v>
      </c>
      <c r="J352">
        <v>1406350</v>
      </c>
      <c r="K352">
        <v>1418765</v>
      </c>
      <c r="L352">
        <v>1431349</v>
      </c>
      <c r="M352">
        <v>1443954</v>
      </c>
      <c r="N352">
        <v>1456447</v>
      </c>
      <c r="O352">
        <v>1468701</v>
      </c>
      <c r="P352">
        <v>1480601</v>
      </c>
      <c r="Q352">
        <v>1492042</v>
      </c>
      <c r="R352">
        <v>1502929</v>
      </c>
      <c r="S352">
        <v>1513177</v>
      </c>
      <c r="T352">
        <v>1522709</v>
      </c>
      <c r="U352">
        <v>1531463</v>
      </c>
      <c r="V352">
        <v>1539381</v>
      </c>
      <c r="W352">
        <v>1546420</v>
      </c>
      <c r="X352">
        <v>1552544</v>
      </c>
      <c r="Y352">
        <v>1557729</v>
      </c>
      <c r="Z352">
        <v>1561959</v>
      </c>
      <c r="AA352">
        <v>1565231</v>
      </c>
      <c r="AB352">
        <v>1567549</v>
      </c>
      <c r="AC352">
        <v>1568929</v>
      </c>
      <c r="AD352">
        <v>1569396</v>
      </c>
      <c r="AE352">
        <v>1568986</v>
      </c>
      <c r="AF352">
        <v>1567744</v>
      </c>
      <c r="AG352">
        <v>1565725</v>
      </c>
      <c r="AH352">
        <v>1562997</v>
      </c>
      <c r="AI352">
        <v>1559633</v>
      </c>
      <c r="AJ352">
        <v>1555720</v>
      </c>
      <c r="AK352">
        <v>1551353</v>
      </c>
      <c r="AL352">
        <v>1546640</v>
      </c>
      <c r="AM352">
        <v>1541694</v>
      </c>
      <c r="AN352">
        <v>1536643</v>
      </c>
      <c r="AO352">
        <v>1531623</v>
      </c>
      <c r="AP352">
        <v>1526778</v>
      </c>
      <c r="AQ352">
        <v>1522267</v>
      </c>
      <c r="AR352">
        <v>1518254</v>
      </c>
      <c r="AS352">
        <v>1514916</v>
      </c>
      <c r="AT352">
        <v>1512440</v>
      </c>
      <c r="AU352">
        <v>1511021</v>
      </c>
      <c r="AV352">
        <v>1510866</v>
      </c>
    </row>
    <row r="353" spans="1:48" x14ac:dyDescent="0.15">
      <c r="A353" t="s">
        <v>399</v>
      </c>
      <c r="B353" t="s">
        <v>759</v>
      </c>
      <c r="C353" t="s">
        <v>427</v>
      </c>
      <c r="D353" s="5">
        <v>1274907.3094359101</v>
      </c>
      <c r="E353" s="5">
        <v>1282619.3938819999</v>
      </c>
      <c r="F353" s="5">
        <v>1290332.3022787899</v>
      </c>
      <c r="G353" s="5">
        <v>1134833</v>
      </c>
      <c r="H353">
        <v>1142097</v>
      </c>
      <c r="I353">
        <v>1150422</v>
      </c>
      <c r="J353">
        <v>1159606</v>
      </c>
      <c r="K353">
        <v>1169457</v>
      </c>
      <c r="L353">
        <v>1179794</v>
      </c>
      <c r="M353">
        <v>1190450</v>
      </c>
      <c r="N353">
        <v>1201265</v>
      </c>
      <c r="O353">
        <v>1212093</v>
      </c>
      <c r="P353">
        <v>1222799</v>
      </c>
      <c r="Q353">
        <v>1233258</v>
      </c>
      <c r="R353">
        <v>1243357</v>
      </c>
      <c r="S353">
        <v>1252996</v>
      </c>
      <c r="T353">
        <v>1262083</v>
      </c>
      <c r="U353">
        <v>1270539</v>
      </c>
      <c r="V353">
        <v>1278297</v>
      </c>
      <c r="W353">
        <v>1285299</v>
      </c>
      <c r="X353">
        <v>1291500</v>
      </c>
      <c r="Y353">
        <v>1296867</v>
      </c>
      <c r="Z353">
        <v>1301376</v>
      </c>
      <c r="AA353">
        <v>1305015</v>
      </c>
      <c r="AB353">
        <v>1307785</v>
      </c>
      <c r="AC353">
        <v>1309695</v>
      </c>
      <c r="AD353">
        <v>1310768</v>
      </c>
      <c r="AE353">
        <v>1311038</v>
      </c>
      <c r="AF353">
        <v>1310548</v>
      </c>
      <c r="AG353">
        <v>1309355</v>
      </c>
      <c r="AH353">
        <v>1307526</v>
      </c>
      <c r="AI353">
        <v>1305139</v>
      </c>
      <c r="AJ353">
        <v>1302284</v>
      </c>
      <c r="AK353">
        <v>1299061</v>
      </c>
      <c r="AL353">
        <v>1295583</v>
      </c>
      <c r="AM353">
        <v>1291972</v>
      </c>
      <c r="AN353">
        <v>1288364</v>
      </c>
      <c r="AO353">
        <v>1284904</v>
      </c>
      <c r="AP353">
        <v>1281750</v>
      </c>
      <c r="AQ353">
        <v>1279069</v>
      </c>
      <c r="AR353">
        <v>1277041</v>
      </c>
      <c r="AS353">
        <v>1275857</v>
      </c>
      <c r="AT353">
        <v>1275720</v>
      </c>
      <c r="AU353">
        <v>1276841</v>
      </c>
      <c r="AV353">
        <v>1279447</v>
      </c>
    </row>
    <row r="354" spans="1:48" x14ac:dyDescent="0.15">
      <c r="A354" t="s">
        <v>400</v>
      </c>
      <c r="B354" t="s">
        <v>760</v>
      </c>
      <c r="C354" t="s">
        <v>427</v>
      </c>
      <c r="D354" s="5">
        <v>1128826.17931158</v>
      </c>
      <c r="E354" s="5">
        <v>1136926.1298235799</v>
      </c>
      <c r="F354" s="5">
        <v>1144964.8392984199</v>
      </c>
      <c r="G354" s="5">
        <v>1057994</v>
      </c>
      <c r="H354">
        <v>1067297</v>
      </c>
      <c r="I354">
        <v>1076975</v>
      </c>
      <c r="J354">
        <v>1086906</v>
      </c>
      <c r="K354">
        <v>1096970</v>
      </c>
      <c r="L354">
        <v>1107059</v>
      </c>
      <c r="M354">
        <v>1117069</v>
      </c>
      <c r="N354">
        <v>1126906</v>
      </c>
      <c r="O354">
        <v>1136481</v>
      </c>
      <c r="P354">
        <v>1145715</v>
      </c>
      <c r="Q354">
        <v>1154534</v>
      </c>
      <c r="R354">
        <v>1162874</v>
      </c>
      <c r="S354">
        <v>1170676</v>
      </c>
      <c r="T354">
        <v>1177891</v>
      </c>
      <c r="U354">
        <v>1184474</v>
      </c>
      <c r="V354">
        <v>1190391</v>
      </c>
      <c r="W354">
        <v>1195614</v>
      </c>
      <c r="X354">
        <v>1200122</v>
      </c>
      <c r="Y354">
        <v>1203901</v>
      </c>
      <c r="Z354">
        <v>1206947</v>
      </c>
      <c r="AA354">
        <v>1209260</v>
      </c>
      <c r="AB354">
        <v>1210851</v>
      </c>
      <c r="AC354">
        <v>1211735</v>
      </c>
      <c r="AD354">
        <v>1211936</v>
      </c>
      <c r="AE354">
        <v>1211487</v>
      </c>
      <c r="AF354">
        <v>1210426</v>
      </c>
      <c r="AG354">
        <v>1208800</v>
      </c>
      <c r="AH354">
        <v>1206662</v>
      </c>
      <c r="AI354">
        <v>1204075</v>
      </c>
      <c r="AJ354">
        <v>1201106</v>
      </c>
      <c r="AK354">
        <v>1197831</v>
      </c>
      <c r="AL354">
        <v>1194336</v>
      </c>
      <c r="AM354">
        <v>1190710</v>
      </c>
      <c r="AN354">
        <v>1187052</v>
      </c>
      <c r="AO354">
        <v>1183469</v>
      </c>
      <c r="AP354">
        <v>1180073</v>
      </c>
      <c r="AQ354">
        <v>1176986</v>
      </c>
      <c r="AR354">
        <v>1174337</v>
      </c>
      <c r="AS354">
        <v>1172260</v>
      </c>
      <c r="AT354">
        <v>1170900</v>
      </c>
      <c r="AU354">
        <v>1170406</v>
      </c>
      <c r="AV354">
        <v>1170938</v>
      </c>
    </row>
    <row r="355" spans="1:48" x14ac:dyDescent="0.15">
      <c r="A355" t="s">
        <v>402</v>
      </c>
      <c r="B355" t="s">
        <v>761</v>
      </c>
      <c r="C355" t="s">
        <v>427</v>
      </c>
      <c r="D355" s="5">
        <v>3284518.1761582098</v>
      </c>
      <c r="E355" s="5">
        <v>3307775.6707613398</v>
      </c>
      <c r="F355" s="5">
        <v>3329176.9772104202</v>
      </c>
      <c r="G355" s="5">
        <v>4015917</v>
      </c>
      <c r="H355">
        <v>4054222</v>
      </c>
      <c r="I355">
        <v>4087866</v>
      </c>
      <c r="J355">
        <v>4117141</v>
      </c>
      <c r="K355">
        <v>4142326</v>
      </c>
      <c r="L355">
        <v>4163689</v>
      </c>
      <c r="M355">
        <v>4181487</v>
      </c>
      <c r="N355">
        <v>4195965</v>
      </c>
      <c r="O355">
        <v>4207358</v>
      </c>
      <c r="P355">
        <v>4215889</v>
      </c>
      <c r="Q355">
        <v>4221768</v>
      </c>
      <c r="R355">
        <v>4225196</v>
      </c>
      <c r="S355">
        <v>4226361</v>
      </c>
      <c r="T355">
        <v>4225441</v>
      </c>
      <c r="U355">
        <v>4222601</v>
      </c>
      <c r="V355">
        <v>4217995</v>
      </c>
      <c r="W355">
        <v>4211766</v>
      </c>
      <c r="X355">
        <v>4204047</v>
      </c>
      <c r="Y355">
        <v>4194957</v>
      </c>
      <c r="Z355">
        <v>4184605</v>
      </c>
      <c r="AA355">
        <v>4173088</v>
      </c>
      <c r="AB355">
        <v>4160493</v>
      </c>
      <c r="AC355">
        <v>4146895</v>
      </c>
      <c r="AD355">
        <v>4132355</v>
      </c>
      <c r="AE355">
        <v>4116927</v>
      </c>
      <c r="AF355">
        <v>4100651</v>
      </c>
      <c r="AG355">
        <v>4083556</v>
      </c>
      <c r="AH355">
        <v>4065659</v>
      </c>
      <c r="AI355">
        <v>4046967</v>
      </c>
      <c r="AJ355">
        <v>4027475</v>
      </c>
      <c r="AK355">
        <v>4007166</v>
      </c>
      <c r="AL355">
        <v>3986012</v>
      </c>
      <c r="AM355">
        <v>3963975</v>
      </c>
      <c r="AN355">
        <v>3941003</v>
      </c>
      <c r="AO355">
        <v>3917035</v>
      </c>
      <c r="AP355">
        <v>3891997</v>
      </c>
      <c r="AQ355">
        <v>3865804</v>
      </c>
      <c r="AR355">
        <v>3838360</v>
      </c>
      <c r="AS355">
        <v>3809557</v>
      </c>
      <c r="AT355">
        <v>3779277</v>
      </c>
      <c r="AU355">
        <v>3747389</v>
      </c>
      <c r="AV355">
        <v>3713751</v>
      </c>
    </row>
    <row r="356" spans="1:48" x14ac:dyDescent="0.15">
      <c r="A356" t="s">
        <v>403</v>
      </c>
      <c r="B356" t="s">
        <v>762</v>
      </c>
      <c r="C356" t="s">
        <v>427</v>
      </c>
      <c r="D356" s="5">
        <v>409229.47036489099</v>
      </c>
      <c r="E356" s="5">
        <v>411501.57562764699</v>
      </c>
      <c r="F356" s="5">
        <v>413553.93431486498</v>
      </c>
      <c r="G356" s="5">
        <v>486957</v>
      </c>
      <c r="H356">
        <v>490335</v>
      </c>
      <c r="I356">
        <v>493337</v>
      </c>
      <c r="J356">
        <v>495974</v>
      </c>
      <c r="K356">
        <v>498254</v>
      </c>
      <c r="L356">
        <v>500189</v>
      </c>
      <c r="M356">
        <v>501786</v>
      </c>
      <c r="N356">
        <v>503056</v>
      </c>
      <c r="O356">
        <v>504008</v>
      </c>
      <c r="P356">
        <v>504652</v>
      </c>
      <c r="Q356">
        <v>504997</v>
      </c>
      <c r="R356">
        <v>505054</v>
      </c>
      <c r="S356">
        <v>504830</v>
      </c>
      <c r="T356">
        <v>504337</v>
      </c>
      <c r="U356">
        <v>503583</v>
      </c>
      <c r="V356">
        <v>502579</v>
      </c>
      <c r="W356">
        <v>501333</v>
      </c>
      <c r="X356">
        <v>499855</v>
      </c>
      <c r="Y356">
        <v>498154</v>
      </c>
      <c r="Z356">
        <v>496241</v>
      </c>
      <c r="AA356">
        <v>494124</v>
      </c>
      <c r="AB356">
        <v>491813</v>
      </c>
      <c r="AC356">
        <v>489318</v>
      </c>
      <c r="AD356">
        <v>486647</v>
      </c>
      <c r="AE356">
        <v>483811</v>
      </c>
      <c r="AF356">
        <v>480819</v>
      </c>
      <c r="AG356">
        <v>477680</v>
      </c>
      <c r="AH356">
        <v>474403</v>
      </c>
      <c r="AI356">
        <v>470999</v>
      </c>
      <c r="AJ356">
        <v>467476</v>
      </c>
      <c r="AK356">
        <v>463844</v>
      </c>
      <c r="AL356">
        <v>460113</v>
      </c>
      <c r="AM356">
        <v>456291</v>
      </c>
      <c r="AN356">
        <v>452388</v>
      </c>
      <c r="AO356">
        <v>448413</v>
      </c>
      <c r="AP356">
        <v>444376</v>
      </c>
      <c r="AQ356">
        <v>440286</v>
      </c>
      <c r="AR356">
        <v>436153</v>
      </c>
      <c r="AS356">
        <v>431986</v>
      </c>
      <c r="AT356">
        <v>427793</v>
      </c>
      <c r="AU356">
        <v>423585</v>
      </c>
      <c r="AV356">
        <v>419371</v>
      </c>
    </row>
    <row r="357" spans="1:48" x14ac:dyDescent="0.15">
      <c r="A357" t="s">
        <v>404</v>
      </c>
      <c r="B357" t="s">
        <v>763</v>
      </c>
      <c r="C357" t="s">
        <v>427</v>
      </c>
      <c r="D357" s="5">
        <v>659251.05217510799</v>
      </c>
      <c r="E357" s="5">
        <v>663815.51729357697</v>
      </c>
      <c r="F357" s="5">
        <v>668058.15914665395</v>
      </c>
      <c r="G357" s="5">
        <v>689266</v>
      </c>
      <c r="H357">
        <v>693971</v>
      </c>
      <c r="I357">
        <v>698734</v>
      </c>
      <c r="J357">
        <v>703511</v>
      </c>
      <c r="K357">
        <v>708261</v>
      </c>
      <c r="L357">
        <v>712946</v>
      </c>
      <c r="M357">
        <v>717527</v>
      </c>
      <c r="N357">
        <v>721972</v>
      </c>
      <c r="O357">
        <v>726248</v>
      </c>
      <c r="P357">
        <v>730326</v>
      </c>
      <c r="Q357">
        <v>734179</v>
      </c>
      <c r="R357">
        <v>737783</v>
      </c>
      <c r="S357">
        <v>741116</v>
      </c>
      <c r="T357">
        <v>744157</v>
      </c>
      <c r="U357">
        <v>746891</v>
      </c>
      <c r="V357">
        <v>749302</v>
      </c>
      <c r="W357">
        <v>751378</v>
      </c>
      <c r="X357">
        <v>753109</v>
      </c>
      <c r="Y357">
        <v>754488</v>
      </c>
      <c r="Z357">
        <v>755509</v>
      </c>
      <c r="AA357">
        <v>756172</v>
      </c>
      <c r="AB357">
        <v>756474</v>
      </c>
      <c r="AC357">
        <v>756419</v>
      </c>
      <c r="AD357">
        <v>756012</v>
      </c>
      <c r="AE357">
        <v>755259</v>
      </c>
      <c r="AF357">
        <v>754171</v>
      </c>
      <c r="AG357">
        <v>752760</v>
      </c>
      <c r="AH357">
        <v>751039</v>
      </c>
      <c r="AI357">
        <v>749027</v>
      </c>
      <c r="AJ357">
        <v>746742</v>
      </c>
      <c r="AK357">
        <v>744207</v>
      </c>
      <c r="AL357">
        <v>741445</v>
      </c>
      <c r="AM357">
        <v>738484</v>
      </c>
      <c r="AN357">
        <v>735352</v>
      </c>
      <c r="AO357">
        <v>732082</v>
      </c>
      <c r="AP357">
        <v>728707</v>
      </c>
      <c r="AQ357">
        <v>725264</v>
      </c>
      <c r="AR357">
        <v>721792</v>
      </c>
      <c r="AS357">
        <v>718332</v>
      </c>
      <c r="AT357">
        <v>714928</v>
      </c>
      <c r="AU357">
        <v>711627</v>
      </c>
      <c r="AV357">
        <v>708476</v>
      </c>
    </row>
    <row r="358" spans="1:48" x14ac:dyDescent="0.15">
      <c r="A358" t="s">
        <v>405</v>
      </c>
      <c r="B358" t="s">
        <v>764</v>
      </c>
      <c r="C358" t="s">
        <v>427</v>
      </c>
      <c r="D358" s="5">
        <v>594983.81518759101</v>
      </c>
      <c r="E358" s="5">
        <v>597861.85188497906</v>
      </c>
      <c r="F358" s="5">
        <v>600478.36504729604</v>
      </c>
      <c r="G358" s="5">
        <v>669410</v>
      </c>
      <c r="H358">
        <v>673355</v>
      </c>
      <c r="I358">
        <v>676950</v>
      </c>
      <c r="J358">
        <v>680190</v>
      </c>
      <c r="K358">
        <v>683070</v>
      </c>
      <c r="L358">
        <v>685586</v>
      </c>
      <c r="M358">
        <v>687737</v>
      </c>
      <c r="N358">
        <v>689521</v>
      </c>
      <c r="O358">
        <v>690937</v>
      </c>
      <c r="P358">
        <v>691985</v>
      </c>
      <c r="Q358">
        <v>692668</v>
      </c>
      <c r="R358">
        <v>692987</v>
      </c>
      <c r="S358">
        <v>692946</v>
      </c>
      <c r="T358">
        <v>692550</v>
      </c>
      <c r="U358">
        <v>691802</v>
      </c>
      <c r="V358">
        <v>690711</v>
      </c>
      <c r="W358">
        <v>689283</v>
      </c>
      <c r="X358">
        <v>687525</v>
      </c>
      <c r="Y358">
        <v>685449</v>
      </c>
      <c r="Z358">
        <v>683062</v>
      </c>
      <c r="AA358">
        <v>680377</v>
      </c>
      <c r="AB358">
        <v>677406</v>
      </c>
      <c r="AC358">
        <v>674162</v>
      </c>
      <c r="AD358">
        <v>670658</v>
      </c>
      <c r="AE358">
        <v>666909</v>
      </c>
      <c r="AF358">
        <v>662933</v>
      </c>
      <c r="AG358">
        <v>658744</v>
      </c>
      <c r="AH358">
        <v>654362</v>
      </c>
      <c r="AI358">
        <v>649805</v>
      </c>
      <c r="AJ358">
        <v>645093</v>
      </c>
      <c r="AK358">
        <v>640247</v>
      </c>
      <c r="AL358">
        <v>635288</v>
      </c>
      <c r="AM358">
        <v>630239</v>
      </c>
      <c r="AN358">
        <v>625124</v>
      </c>
      <c r="AO358">
        <v>619967</v>
      </c>
      <c r="AP358">
        <v>614794</v>
      </c>
      <c r="AQ358">
        <v>609632</v>
      </c>
      <c r="AR358">
        <v>604508</v>
      </c>
      <c r="AS358">
        <v>599451</v>
      </c>
      <c r="AT358">
        <v>594489</v>
      </c>
      <c r="AU358">
        <v>589654</v>
      </c>
      <c r="AV358">
        <v>584977</v>
      </c>
    </row>
    <row r="359" spans="1:48" x14ac:dyDescent="0.15">
      <c r="A359" t="s">
        <v>406</v>
      </c>
      <c r="B359" t="s">
        <v>406</v>
      </c>
      <c r="C359" t="s">
        <v>427</v>
      </c>
      <c r="D359" s="5">
        <v>1477431.2878922201</v>
      </c>
      <c r="E359" s="5">
        <v>1483518.8838162499</v>
      </c>
      <c r="F359" s="5">
        <v>1488988.5663377801</v>
      </c>
      <c r="G359" s="5">
        <v>1605620</v>
      </c>
      <c r="H359">
        <v>1613511</v>
      </c>
      <c r="I359">
        <v>1620649</v>
      </c>
      <c r="J359">
        <v>1627010</v>
      </c>
      <c r="K359">
        <v>1632572</v>
      </c>
      <c r="L359">
        <v>1637316</v>
      </c>
      <c r="M359">
        <v>1641228</v>
      </c>
      <c r="N359">
        <v>1644295</v>
      </c>
      <c r="O359">
        <v>1646508</v>
      </c>
      <c r="P359">
        <v>1647860</v>
      </c>
      <c r="Q359">
        <v>1648349</v>
      </c>
      <c r="R359">
        <v>1647974</v>
      </c>
      <c r="S359">
        <v>1646738</v>
      </c>
      <c r="T359">
        <v>1644648</v>
      </c>
      <c r="U359">
        <v>1641711</v>
      </c>
      <c r="V359">
        <v>1637941</v>
      </c>
      <c r="W359">
        <v>1633353</v>
      </c>
      <c r="X359">
        <v>1627964</v>
      </c>
      <c r="Y359">
        <v>1621797</v>
      </c>
      <c r="Z359">
        <v>1614875</v>
      </c>
      <c r="AA359">
        <v>1607226</v>
      </c>
      <c r="AB359">
        <v>1598880</v>
      </c>
      <c r="AC359">
        <v>1589870</v>
      </c>
      <c r="AD359">
        <v>1580234</v>
      </c>
      <c r="AE359">
        <v>1570011</v>
      </c>
      <c r="AF359">
        <v>1559244</v>
      </c>
      <c r="AG359">
        <v>1547978</v>
      </c>
      <c r="AH359">
        <v>1536262</v>
      </c>
      <c r="AI359">
        <v>1524148</v>
      </c>
      <c r="AJ359">
        <v>1511691</v>
      </c>
      <c r="AK359">
        <v>1498949</v>
      </c>
      <c r="AL359">
        <v>1485983</v>
      </c>
      <c r="AM359">
        <v>1472856</v>
      </c>
      <c r="AN359">
        <v>1459637</v>
      </c>
      <c r="AO359">
        <v>1446395</v>
      </c>
      <c r="AP359">
        <v>1433203</v>
      </c>
      <c r="AQ359">
        <v>1420138</v>
      </c>
      <c r="AR359">
        <v>1407278</v>
      </c>
      <c r="AS359">
        <v>1394708</v>
      </c>
      <c r="AT359">
        <v>1382511</v>
      </c>
      <c r="AU359">
        <v>1370777</v>
      </c>
      <c r="AV359">
        <v>1359596</v>
      </c>
    </row>
    <row r="360" spans="1:48" x14ac:dyDescent="0.15">
      <c r="A360" t="s">
        <v>407</v>
      </c>
      <c r="B360" t="s">
        <v>407</v>
      </c>
      <c r="C360" t="s">
        <v>427</v>
      </c>
      <c r="D360" s="5">
        <v>462607.62220792798</v>
      </c>
      <c r="E360" s="5">
        <v>465070.10588310403</v>
      </c>
      <c r="F360" s="5">
        <v>467350.70001040702</v>
      </c>
      <c r="G360" s="5">
        <v>485264</v>
      </c>
      <c r="H360">
        <v>488183</v>
      </c>
      <c r="I360">
        <v>491004</v>
      </c>
      <c r="J360">
        <v>493704</v>
      </c>
      <c r="K360">
        <v>496264</v>
      </c>
      <c r="L360">
        <v>498663</v>
      </c>
      <c r="M360">
        <v>500885</v>
      </c>
      <c r="N360">
        <v>502913</v>
      </c>
      <c r="O360">
        <v>504732</v>
      </c>
      <c r="P360">
        <v>506331</v>
      </c>
      <c r="Q360">
        <v>507696</v>
      </c>
      <c r="R360">
        <v>508820</v>
      </c>
      <c r="S360">
        <v>509693</v>
      </c>
      <c r="T360">
        <v>510309</v>
      </c>
      <c r="U360">
        <v>510662</v>
      </c>
      <c r="V360">
        <v>510751</v>
      </c>
      <c r="W360">
        <v>510572</v>
      </c>
      <c r="X360">
        <v>510125</v>
      </c>
      <c r="Y360">
        <v>509412</v>
      </c>
      <c r="Z360">
        <v>508436</v>
      </c>
      <c r="AA360">
        <v>507200</v>
      </c>
      <c r="AB360">
        <v>505712</v>
      </c>
      <c r="AC360">
        <v>503977</v>
      </c>
      <c r="AD360">
        <v>502007</v>
      </c>
      <c r="AE360">
        <v>499811</v>
      </c>
      <c r="AF360">
        <v>497402</v>
      </c>
      <c r="AG360">
        <v>494793</v>
      </c>
      <c r="AH360">
        <v>492000</v>
      </c>
      <c r="AI360">
        <v>489041</v>
      </c>
      <c r="AJ360">
        <v>485933</v>
      </c>
      <c r="AK360">
        <v>482697</v>
      </c>
      <c r="AL360">
        <v>479355</v>
      </c>
      <c r="AM360">
        <v>475930</v>
      </c>
      <c r="AN360">
        <v>472447</v>
      </c>
      <c r="AO360">
        <v>468932</v>
      </c>
      <c r="AP360">
        <v>465413</v>
      </c>
      <c r="AQ360">
        <v>461921</v>
      </c>
      <c r="AR360">
        <v>458486</v>
      </c>
      <c r="AS360">
        <v>455141</v>
      </c>
      <c r="AT360">
        <v>451921</v>
      </c>
      <c r="AU360">
        <v>448861</v>
      </c>
      <c r="AV360">
        <v>445999</v>
      </c>
    </row>
    <row r="361" spans="1:48" x14ac:dyDescent="0.15">
      <c r="A361" t="s">
        <v>408</v>
      </c>
      <c r="B361" t="s">
        <v>408</v>
      </c>
      <c r="C361" t="s">
        <v>427</v>
      </c>
      <c r="D361" s="5">
        <v>1342750.41860955</v>
      </c>
      <c r="E361" s="5">
        <v>1351258.4649543001</v>
      </c>
      <c r="F361" s="5">
        <v>1359184.25903052</v>
      </c>
      <c r="G361" s="5">
        <v>1602088</v>
      </c>
      <c r="H361">
        <v>1613925</v>
      </c>
      <c r="I361">
        <v>1625249</v>
      </c>
      <c r="J361">
        <v>1636015</v>
      </c>
      <c r="K361">
        <v>1646182</v>
      </c>
      <c r="L361">
        <v>1655712</v>
      </c>
      <c r="M361">
        <v>1664570</v>
      </c>
      <c r="N361">
        <v>1672725</v>
      </c>
      <c r="O361">
        <v>1680149</v>
      </c>
      <c r="P361">
        <v>1686819</v>
      </c>
      <c r="Q361">
        <v>1692713</v>
      </c>
      <c r="R361">
        <v>1697814</v>
      </c>
      <c r="S361">
        <v>1702108</v>
      </c>
      <c r="T361">
        <v>1705585</v>
      </c>
      <c r="U361">
        <v>1708238</v>
      </c>
      <c r="V361">
        <v>1710063</v>
      </c>
      <c r="W361">
        <v>1711060</v>
      </c>
      <c r="X361">
        <v>1711233</v>
      </c>
      <c r="Y361">
        <v>1710589</v>
      </c>
      <c r="Z361">
        <v>1709138</v>
      </c>
      <c r="AA361">
        <v>1706893</v>
      </c>
      <c r="AB361">
        <v>1703872</v>
      </c>
      <c r="AC361">
        <v>1700096</v>
      </c>
      <c r="AD361">
        <v>1695588</v>
      </c>
      <c r="AE361">
        <v>1690377</v>
      </c>
      <c r="AF361">
        <v>1684493</v>
      </c>
      <c r="AG361">
        <v>1677971</v>
      </c>
      <c r="AH361">
        <v>1670849</v>
      </c>
      <c r="AI361">
        <v>1663168</v>
      </c>
      <c r="AJ361">
        <v>1654974</v>
      </c>
      <c r="AK361">
        <v>1646314</v>
      </c>
      <c r="AL361">
        <v>1637240</v>
      </c>
      <c r="AM361">
        <v>1627808</v>
      </c>
      <c r="AN361">
        <v>1618076</v>
      </c>
      <c r="AO361">
        <v>1608107</v>
      </c>
      <c r="AP361">
        <v>1597965</v>
      </c>
      <c r="AQ361">
        <v>1587721</v>
      </c>
      <c r="AR361">
        <v>1577446</v>
      </c>
      <c r="AS361">
        <v>1567217</v>
      </c>
      <c r="AT361">
        <v>1557113</v>
      </c>
      <c r="AU361">
        <v>1547217</v>
      </c>
      <c r="AV361">
        <v>1537616</v>
      </c>
    </row>
    <row r="362" spans="1:48" x14ac:dyDescent="0.15">
      <c r="A362" t="s">
        <v>409</v>
      </c>
      <c r="B362" t="s">
        <v>409</v>
      </c>
      <c r="C362" t="s">
        <v>427</v>
      </c>
      <c r="D362" s="5">
        <v>2505550.7741942098</v>
      </c>
      <c r="E362" s="5">
        <v>2524775.3056313498</v>
      </c>
      <c r="F362" s="5">
        <v>2543232.6099388599</v>
      </c>
      <c r="G362" s="5">
        <v>2690874</v>
      </c>
      <c r="H362">
        <v>2714341</v>
      </c>
      <c r="I362">
        <v>2738164</v>
      </c>
      <c r="J362">
        <v>2762144</v>
      </c>
      <c r="K362">
        <v>2786091</v>
      </c>
      <c r="L362">
        <v>2809827</v>
      </c>
      <c r="M362">
        <v>2833187</v>
      </c>
      <c r="N362">
        <v>2856014</v>
      </c>
      <c r="O362">
        <v>2878167</v>
      </c>
      <c r="P362">
        <v>2899511</v>
      </c>
      <c r="Q362">
        <v>2919928</v>
      </c>
      <c r="R362">
        <v>2939308</v>
      </c>
      <c r="S362">
        <v>2957552</v>
      </c>
      <c r="T362">
        <v>2974575</v>
      </c>
      <c r="U362">
        <v>2990302</v>
      </c>
      <c r="V362">
        <v>3004668</v>
      </c>
      <c r="W362">
        <v>3017623</v>
      </c>
      <c r="X362">
        <v>3029124</v>
      </c>
      <c r="Y362">
        <v>3039144</v>
      </c>
      <c r="Z362">
        <v>3047664</v>
      </c>
      <c r="AA362">
        <v>3054677</v>
      </c>
      <c r="AB362">
        <v>3060190</v>
      </c>
      <c r="AC362">
        <v>3064217</v>
      </c>
      <c r="AD362">
        <v>3066787</v>
      </c>
      <c r="AE362">
        <v>3067939</v>
      </c>
      <c r="AF362">
        <v>3067724</v>
      </c>
      <c r="AG362">
        <v>3066204</v>
      </c>
      <c r="AH362">
        <v>3063453</v>
      </c>
      <c r="AI362">
        <v>3059554</v>
      </c>
      <c r="AJ362">
        <v>3054606</v>
      </c>
      <c r="AK362">
        <v>3048715</v>
      </c>
      <c r="AL362">
        <v>3042001</v>
      </c>
      <c r="AM362">
        <v>3034594</v>
      </c>
      <c r="AN362">
        <v>3026637</v>
      </c>
      <c r="AO362">
        <v>3018282</v>
      </c>
      <c r="AP362">
        <v>3009696</v>
      </c>
      <c r="AQ362">
        <v>3001053</v>
      </c>
      <c r="AR362">
        <v>2992542</v>
      </c>
      <c r="AS362">
        <v>2984362</v>
      </c>
      <c r="AT362">
        <v>2976724</v>
      </c>
      <c r="AU362">
        <v>2969849</v>
      </c>
      <c r="AV362">
        <v>2963971</v>
      </c>
    </row>
    <row r="363" spans="1:48" x14ac:dyDescent="0.15">
      <c r="A363" t="s">
        <v>410</v>
      </c>
      <c r="B363" t="s">
        <v>410</v>
      </c>
      <c r="C363" t="s">
        <v>427</v>
      </c>
      <c r="D363" s="5">
        <v>558870.70568754501</v>
      </c>
      <c r="E363" s="5">
        <v>563135.701767158</v>
      </c>
      <c r="F363" s="5">
        <v>567206.997499399</v>
      </c>
      <c r="G363" s="5">
        <v>618280</v>
      </c>
      <c r="H363">
        <v>622206</v>
      </c>
      <c r="I363">
        <v>626784</v>
      </c>
      <c r="J363">
        <v>631914</v>
      </c>
      <c r="K363">
        <v>637497</v>
      </c>
      <c r="L363">
        <v>643444</v>
      </c>
      <c r="M363">
        <v>649668</v>
      </c>
      <c r="N363">
        <v>656086</v>
      </c>
      <c r="O363">
        <v>662623</v>
      </c>
      <c r="P363">
        <v>669207</v>
      </c>
      <c r="Q363">
        <v>675771</v>
      </c>
      <c r="R363">
        <v>682255</v>
      </c>
      <c r="S363">
        <v>688601</v>
      </c>
      <c r="T363">
        <v>694758</v>
      </c>
      <c r="U363">
        <v>700680</v>
      </c>
      <c r="V363">
        <v>706324</v>
      </c>
      <c r="W363">
        <v>711655</v>
      </c>
      <c r="X363">
        <v>716641</v>
      </c>
      <c r="Y363">
        <v>721254</v>
      </c>
      <c r="Z363">
        <v>725475</v>
      </c>
      <c r="AA363">
        <v>729285</v>
      </c>
      <c r="AB363">
        <v>732674</v>
      </c>
      <c r="AC363">
        <v>735634</v>
      </c>
      <c r="AD363">
        <v>738165</v>
      </c>
      <c r="AE363">
        <v>740269</v>
      </c>
      <c r="AF363">
        <v>741956</v>
      </c>
      <c r="AG363">
        <v>743237</v>
      </c>
      <c r="AH363">
        <v>744132</v>
      </c>
      <c r="AI363">
        <v>744664</v>
      </c>
      <c r="AJ363">
        <v>744861</v>
      </c>
      <c r="AK363">
        <v>744757</v>
      </c>
      <c r="AL363">
        <v>744390</v>
      </c>
      <c r="AM363">
        <v>743803</v>
      </c>
      <c r="AN363">
        <v>743044</v>
      </c>
      <c r="AO363">
        <v>742167</v>
      </c>
      <c r="AP363">
        <v>741230</v>
      </c>
      <c r="AQ363">
        <v>740296</v>
      </c>
      <c r="AR363">
        <v>739434</v>
      </c>
      <c r="AS363">
        <v>738717</v>
      </c>
      <c r="AT363">
        <v>738222</v>
      </c>
      <c r="AU363">
        <v>738034</v>
      </c>
      <c r="AV363">
        <v>738240</v>
      </c>
    </row>
    <row r="364" spans="1:48" x14ac:dyDescent="0.15">
      <c r="A364" t="s">
        <v>411</v>
      </c>
      <c r="B364" t="s">
        <v>411</v>
      </c>
      <c r="C364" t="s">
        <v>427</v>
      </c>
      <c r="D364" s="5">
        <v>4212171.3848868599</v>
      </c>
      <c r="E364" s="5">
        <v>4247975.5820400603</v>
      </c>
      <c r="F364" s="5">
        <v>4283128.1488763299</v>
      </c>
      <c r="G364" s="5">
        <v>4452733</v>
      </c>
      <c r="H364">
        <v>4496260</v>
      </c>
      <c r="I364">
        <v>4541882</v>
      </c>
      <c r="J364">
        <v>4589095</v>
      </c>
      <c r="K364">
        <v>4637419</v>
      </c>
      <c r="L364">
        <v>4686406</v>
      </c>
      <c r="M364">
        <v>4735633</v>
      </c>
      <c r="N364">
        <v>4784705</v>
      </c>
      <c r="O364">
        <v>4833254</v>
      </c>
      <c r="P364">
        <v>4880940</v>
      </c>
      <c r="Q364">
        <v>4927452</v>
      </c>
      <c r="R364">
        <v>4972504</v>
      </c>
      <c r="S364">
        <v>5015838</v>
      </c>
      <c r="T364">
        <v>5057226</v>
      </c>
      <c r="U364">
        <v>5096464</v>
      </c>
      <c r="V364">
        <v>5133379</v>
      </c>
      <c r="W364">
        <v>5167822</v>
      </c>
      <c r="X364">
        <v>5199674</v>
      </c>
      <c r="Y364">
        <v>5228844</v>
      </c>
      <c r="Z364">
        <v>5255266</v>
      </c>
      <c r="AA364">
        <v>5278903</v>
      </c>
      <c r="AB364">
        <v>5299745</v>
      </c>
      <c r="AC364">
        <v>5317812</v>
      </c>
      <c r="AD364">
        <v>5333147</v>
      </c>
      <c r="AE364">
        <v>5345825</v>
      </c>
      <c r="AF364">
        <v>5355945</v>
      </c>
      <c r="AG364">
        <v>5363636</v>
      </c>
      <c r="AH364">
        <v>5369054</v>
      </c>
      <c r="AI364">
        <v>5372381</v>
      </c>
      <c r="AJ364">
        <v>5373828</v>
      </c>
      <c r="AK364">
        <v>5373633</v>
      </c>
      <c r="AL364">
        <v>5372063</v>
      </c>
      <c r="AM364">
        <v>5369410</v>
      </c>
      <c r="AN364">
        <v>5365996</v>
      </c>
      <c r="AO364">
        <v>5362168</v>
      </c>
      <c r="AP364">
        <v>5358302</v>
      </c>
      <c r="AQ364">
        <v>5354802</v>
      </c>
      <c r="AR364">
        <v>5352099</v>
      </c>
      <c r="AS364">
        <v>5350650</v>
      </c>
      <c r="AT364">
        <v>5350943</v>
      </c>
      <c r="AU364">
        <v>5353490</v>
      </c>
      <c r="AV364">
        <v>5358833</v>
      </c>
    </row>
    <row r="365" spans="1:48" x14ac:dyDescent="0.15">
      <c r="A365" t="s">
        <v>412</v>
      </c>
      <c r="B365" t="s">
        <v>412</v>
      </c>
      <c r="C365" t="s">
        <v>427</v>
      </c>
      <c r="D365" s="5">
        <v>2142243.4941112502</v>
      </c>
      <c r="E365" s="5">
        <v>2161460.2022596202</v>
      </c>
      <c r="F365" s="5">
        <v>2180195.9369974402</v>
      </c>
      <c r="G365" s="5">
        <v>2479254</v>
      </c>
      <c r="H365">
        <v>2504659</v>
      </c>
      <c r="I365">
        <v>2530886</v>
      </c>
      <c r="J365">
        <v>2557700</v>
      </c>
      <c r="K365">
        <v>2584876</v>
      </c>
      <c r="L365">
        <v>2612203</v>
      </c>
      <c r="M365">
        <v>2639483</v>
      </c>
      <c r="N365">
        <v>2666532</v>
      </c>
      <c r="O365">
        <v>2693175</v>
      </c>
      <c r="P365">
        <v>2719254</v>
      </c>
      <c r="Q365">
        <v>2744622</v>
      </c>
      <c r="R365">
        <v>2769145</v>
      </c>
      <c r="S365">
        <v>2792702</v>
      </c>
      <c r="T365">
        <v>2815185</v>
      </c>
      <c r="U365">
        <v>2836497</v>
      </c>
      <c r="V365">
        <v>2856557</v>
      </c>
      <c r="W365">
        <v>2875295</v>
      </c>
      <c r="X365">
        <v>2892653</v>
      </c>
      <c r="Y365">
        <v>2908589</v>
      </c>
      <c r="Z365">
        <v>2923069</v>
      </c>
      <c r="AA365">
        <v>2936077</v>
      </c>
      <c r="AB365">
        <v>2947607</v>
      </c>
      <c r="AC365">
        <v>2957666</v>
      </c>
      <c r="AD365">
        <v>2966273</v>
      </c>
      <c r="AE365">
        <v>2973463</v>
      </c>
      <c r="AF365">
        <v>2979281</v>
      </c>
      <c r="AG365">
        <v>2983785</v>
      </c>
      <c r="AH365">
        <v>2987047</v>
      </c>
      <c r="AI365">
        <v>2989152</v>
      </c>
      <c r="AJ365">
        <v>2990196</v>
      </c>
      <c r="AK365">
        <v>2990289</v>
      </c>
      <c r="AL365">
        <v>2989555</v>
      </c>
      <c r="AM365">
        <v>2988130</v>
      </c>
      <c r="AN365">
        <v>2986161</v>
      </c>
      <c r="AO365">
        <v>2983810</v>
      </c>
      <c r="AP365">
        <v>2981252</v>
      </c>
      <c r="AQ365">
        <v>2978673</v>
      </c>
      <c r="AR365">
        <v>2976273</v>
      </c>
      <c r="AS365">
        <v>2974266</v>
      </c>
      <c r="AT365">
        <v>2972876</v>
      </c>
      <c r="AU365">
        <v>2972342</v>
      </c>
      <c r="AV365">
        <v>2972916</v>
      </c>
    </row>
    <row r="366" spans="1:48" x14ac:dyDescent="0.15">
      <c r="A366" t="s">
        <v>413</v>
      </c>
      <c r="B366" t="s">
        <v>413</v>
      </c>
      <c r="C366" t="s">
        <v>427</v>
      </c>
      <c r="D366" s="5">
        <v>2610175.7188761099</v>
      </c>
      <c r="E366" s="5">
        <v>2627605.45123437</v>
      </c>
      <c r="F366" s="5">
        <v>2644133.0000603502</v>
      </c>
      <c r="G366" s="5">
        <v>2827455</v>
      </c>
      <c r="H366">
        <v>2848309</v>
      </c>
      <c r="I366">
        <v>2869390</v>
      </c>
      <c r="J366">
        <v>2890497</v>
      </c>
      <c r="K366">
        <v>2911441</v>
      </c>
      <c r="L366">
        <v>2932046</v>
      </c>
      <c r="M366">
        <v>2952146</v>
      </c>
      <c r="N366">
        <v>2971589</v>
      </c>
      <c r="O366">
        <v>2990233</v>
      </c>
      <c r="P366">
        <v>3007949</v>
      </c>
      <c r="Q366">
        <v>3024619</v>
      </c>
      <c r="R366">
        <v>3040137</v>
      </c>
      <c r="S366">
        <v>3054409</v>
      </c>
      <c r="T366">
        <v>3067352</v>
      </c>
      <c r="U366">
        <v>3078898</v>
      </c>
      <c r="V366">
        <v>3088986</v>
      </c>
      <c r="W366">
        <v>3097570</v>
      </c>
      <c r="X366">
        <v>3104616</v>
      </c>
      <c r="Y366">
        <v>3110100</v>
      </c>
      <c r="Z366">
        <v>3114010</v>
      </c>
      <c r="AA366">
        <v>3116348</v>
      </c>
      <c r="AB366">
        <v>3117125</v>
      </c>
      <c r="AC366">
        <v>3116366</v>
      </c>
      <c r="AD366">
        <v>3114106</v>
      </c>
      <c r="AE366">
        <v>3110394</v>
      </c>
      <c r="AF366">
        <v>3105289</v>
      </c>
      <c r="AG366">
        <v>3098862</v>
      </c>
      <c r="AH366">
        <v>3091197</v>
      </c>
      <c r="AI366">
        <v>3082389</v>
      </c>
      <c r="AJ366">
        <v>3072544</v>
      </c>
      <c r="AK366">
        <v>3061782</v>
      </c>
      <c r="AL366">
        <v>3050232</v>
      </c>
      <c r="AM366">
        <v>3038037</v>
      </c>
      <c r="AN366">
        <v>3025352</v>
      </c>
      <c r="AO366">
        <v>3012342</v>
      </c>
      <c r="AP366">
        <v>2999184</v>
      </c>
      <c r="AQ366">
        <v>2986070</v>
      </c>
      <c r="AR366">
        <v>2973199</v>
      </c>
      <c r="AS366">
        <v>2960785</v>
      </c>
      <c r="AT366">
        <v>2949054</v>
      </c>
      <c r="AU366">
        <v>2938242</v>
      </c>
      <c r="AV366">
        <v>2928597</v>
      </c>
    </row>
    <row r="367" spans="1:48" x14ac:dyDescent="0.15">
      <c r="A367" t="s">
        <v>414</v>
      </c>
      <c r="B367" t="s">
        <v>765</v>
      </c>
      <c r="C367" t="s">
        <v>427</v>
      </c>
      <c r="D367" s="5">
        <v>1260675.01621909</v>
      </c>
      <c r="E367" s="5">
        <v>1265978.67542734</v>
      </c>
      <c r="F367" s="5">
        <v>1270822.4816614301</v>
      </c>
      <c r="G367" s="5">
        <v>1132923</v>
      </c>
      <c r="H367">
        <v>1138586</v>
      </c>
      <c r="I367">
        <v>1143912</v>
      </c>
      <c r="J367">
        <v>1148859</v>
      </c>
      <c r="K367">
        <v>1153389</v>
      </c>
      <c r="L367">
        <v>1157468</v>
      </c>
      <c r="M367">
        <v>1161062</v>
      </c>
      <c r="N367">
        <v>1164145</v>
      </c>
      <c r="O367">
        <v>1166690</v>
      </c>
      <c r="P367">
        <v>1168678</v>
      </c>
      <c r="Q367">
        <v>1170089</v>
      </c>
      <c r="R367">
        <v>1170908</v>
      </c>
      <c r="S367">
        <v>1171125</v>
      </c>
      <c r="T367">
        <v>1170730</v>
      </c>
      <c r="U367">
        <v>1169721</v>
      </c>
      <c r="V367">
        <v>1168094</v>
      </c>
      <c r="W367">
        <v>1165852</v>
      </c>
      <c r="X367">
        <v>1163001</v>
      </c>
      <c r="Y367">
        <v>1159549</v>
      </c>
      <c r="Z367">
        <v>1155509</v>
      </c>
      <c r="AA367">
        <v>1150895</v>
      </c>
      <c r="AB367">
        <v>1145727</v>
      </c>
      <c r="AC367">
        <v>1140027</v>
      </c>
      <c r="AD367">
        <v>1133820</v>
      </c>
      <c r="AE367">
        <v>1127135</v>
      </c>
      <c r="AF367">
        <v>1120005</v>
      </c>
      <c r="AG367">
        <v>1112466</v>
      </c>
      <c r="AH367">
        <v>1104556</v>
      </c>
      <c r="AI367">
        <v>1096317</v>
      </c>
      <c r="AJ367">
        <v>1087796</v>
      </c>
      <c r="AK367">
        <v>1079041</v>
      </c>
      <c r="AL367">
        <v>1070106</v>
      </c>
      <c r="AM367">
        <v>1061045</v>
      </c>
      <c r="AN367">
        <v>1051919</v>
      </c>
      <c r="AO367">
        <v>1042789</v>
      </c>
      <c r="AP367">
        <v>1033722</v>
      </c>
      <c r="AQ367">
        <v>1024786</v>
      </c>
      <c r="AR367">
        <v>1016055</v>
      </c>
      <c r="AS367">
        <v>1007605</v>
      </c>
      <c r="AT367">
        <v>999515</v>
      </c>
      <c r="AU367">
        <v>991868</v>
      </c>
      <c r="AV367">
        <v>984749</v>
      </c>
    </row>
    <row r="368" spans="1:48" x14ac:dyDescent="0.15">
      <c r="A368" t="s">
        <v>415</v>
      </c>
      <c r="B368" t="s">
        <v>766</v>
      </c>
      <c r="C368" t="s">
        <v>427</v>
      </c>
      <c r="D368" s="5">
        <v>636403.32845898101</v>
      </c>
      <c r="E368" s="5">
        <v>640560.78439658997</v>
      </c>
      <c r="F368" s="5">
        <v>644415.43939171603</v>
      </c>
      <c r="G368" s="5">
        <v>664171</v>
      </c>
      <c r="H368">
        <v>668567</v>
      </c>
      <c r="I368">
        <v>672974</v>
      </c>
      <c r="J368">
        <v>677354</v>
      </c>
      <c r="K368">
        <v>681670</v>
      </c>
      <c r="L368">
        <v>685889</v>
      </c>
      <c r="M368">
        <v>689979</v>
      </c>
      <c r="N368">
        <v>693912</v>
      </c>
      <c r="O368">
        <v>697659</v>
      </c>
      <c r="P368">
        <v>701196</v>
      </c>
      <c r="Q368">
        <v>704501</v>
      </c>
      <c r="R368">
        <v>707552</v>
      </c>
      <c r="S368">
        <v>710332</v>
      </c>
      <c r="T368">
        <v>712823</v>
      </c>
      <c r="U368">
        <v>715012</v>
      </c>
      <c r="V368">
        <v>716887</v>
      </c>
      <c r="W368">
        <v>718439</v>
      </c>
      <c r="X368">
        <v>719659</v>
      </c>
      <c r="Y368">
        <v>720542</v>
      </c>
      <c r="Z368">
        <v>721085</v>
      </c>
      <c r="AA368">
        <v>721287</v>
      </c>
      <c r="AB368">
        <v>721149</v>
      </c>
      <c r="AC368">
        <v>720675</v>
      </c>
      <c r="AD368">
        <v>719870</v>
      </c>
      <c r="AE368">
        <v>718741</v>
      </c>
      <c r="AF368">
        <v>717299</v>
      </c>
      <c r="AG368">
        <v>715555</v>
      </c>
      <c r="AH368">
        <v>713524</v>
      </c>
      <c r="AI368">
        <v>711221</v>
      </c>
      <c r="AJ368">
        <v>708667</v>
      </c>
      <c r="AK368">
        <v>705881</v>
      </c>
      <c r="AL368">
        <v>702885</v>
      </c>
      <c r="AM368">
        <v>699706</v>
      </c>
      <c r="AN368">
        <v>696371</v>
      </c>
      <c r="AO368">
        <v>692908</v>
      </c>
      <c r="AP368">
        <v>689350</v>
      </c>
      <c r="AQ368">
        <v>685731</v>
      </c>
      <c r="AR368">
        <v>682085</v>
      </c>
      <c r="AS368">
        <v>678452</v>
      </c>
      <c r="AT368">
        <v>674871</v>
      </c>
      <c r="AU368">
        <v>671385</v>
      </c>
      <c r="AV368">
        <v>668040</v>
      </c>
    </row>
    <row r="369" spans="1:48" x14ac:dyDescent="0.15">
      <c r="A369" t="s">
        <v>416</v>
      </c>
      <c r="B369" t="s">
        <v>767</v>
      </c>
      <c r="C369" t="s">
        <v>427</v>
      </c>
      <c r="D369" s="5">
        <v>400999.19481488498</v>
      </c>
      <c r="E369" s="5">
        <v>403618.817322983</v>
      </c>
      <c r="F369" s="5">
        <v>406047.64426371799</v>
      </c>
      <c r="G369" s="5">
        <v>687179</v>
      </c>
      <c r="H369">
        <v>691006</v>
      </c>
      <c r="I369">
        <v>694248</v>
      </c>
      <c r="J369">
        <v>696921</v>
      </c>
      <c r="K369">
        <v>699044</v>
      </c>
      <c r="L369">
        <v>700633</v>
      </c>
      <c r="M369">
        <v>701706</v>
      </c>
      <c r="N369">
        <v>702282</v>
      </c>
      <c r="O369">
        <v>702378</v>
      </c>
      <c r="P369">
        <v>702012</v>
      </c>
      <c r="Q369">
        <v>701204</v>
      </c>
      <c r="R369">
        <v>699971</v>
      </c>
      <c r="S369">
        <v>698333</v>
      </c>
      <c r="T369">
        <v>696307</v>
      </c>
      <c r="U369">
        <v>693914</v>
      </c>
      <c r="V369">
        <v>691173</v>
      </c>
      <c r="W369">
        <v>688103</v>
      </c>
      <c r="X369">
        <v>684723</v>
      </c>
      <c r="Y369">
        <v>681053</v>
      </c>
      <c r="Z369">
        <v>677114</v>
      </c>
      <c r="AA369">
        <v>672926</v>
      </c>
      <c r="AB369">
        <v>668508</v>
      </c>
      <c r="AC369">
        <v>663881</v>
      </c>
      <c r="AD369">
        <v>659066</v>
      </c>
      <c r="AE369">
        <v>654084</v>
      </c>
      <c r="AF369">
        <v>648955</v>
      </c>
      <c r="AG369">
        <v>643701</v>
      </c>
      <c r="AH369">
        <v>638342</v>
      </c>
      <c r="AI369">
        <v>632902</v>
      </c>
      <c r="AJ369">
        <v>627400</v>
      </c>
      <c r="AK369">
        <v>621860</v>
      </c>
      <c r="AL369">
        <v>616302</v>
      </c>
      <c r="AM369">
        <v>610750</v>
      </c>
      <c r="AN369">
        <v>605225</v>
      </c>
      <c r="AO369">
        <v>599750</v>
      </c>
      <c r="AP369">
        <v>594347</v>
      </c>
      <c r="AQ369">
        <v>589041</v>
      </c>
      <c r="AR369">
        <v>583852</v>
      </c>
      <c r="AS369">
        <v>578805</v>
      </c>
      <c r="AT369">
        <v>573924</v>
      </c>
      <c r="AU369">
        <v>569231</v>
      </c>
      <c r="AV369">
        <v>564750</v>
      </c>
    </row>
    <row r="370" spans="1:48" x14ac:dyDescent="0.15">
      <c r="A370" t="s">
        <v>417</v>
      </c>
      <c r="B370" t="s">
        <v>768</v>
      </c>
      <c r="C370" t="s">
        <v>427</v>
      </c>
      <c r="D370" s="5">
        <v>167299.77982079101</v>
      </c>
      <c r="E370" s="5">
        <v>168392.70537896</v>
      </c>
      <c r="F370" s="5">
        <v>169406.029639113</v>
      </c>
      <c r="G370" s="5">
        <v>405412</v>
      </c>
      <c r="H370">
        <v>408970</v>
      </c>
      <c r="I370">
        <v>412242</v>
      </c>
      <c r="J370">
        <v>415226</v>
      </c>
      <c r="K370">
        <v>417918</v>
      </c>
      <c r="L370">
        <v>420319</v>
      </c>
      <c r="M370">
        <v>422427</v>
      </c>
      <c r="N370">
        <v>424242</v>
      </c>
      <c r="O370">
        <v>425766</v>
      </c>
      <c r="P370">
        <v>427001</v>
      </c>
      <c r="Q370">
        <v>427949</v>
      </c>
      <c r="R370">
        <v>428614</v>
      </c>
      <c r="S370">
        <v>429000</v>
      </c>
      <c r="T370">
        <v>429111</v>
      </c>
      <c r="U370">
        <v>428954</v>
      </c>
      <c r="V370">
        <v>428536</v>
      </c>
      <c r="W370">
        <v>427863</v>
      </c>
      <c r="X370">
        <v>426944</v>
      </c>
      <c r="Y370">
        <v>425788</v>
      </c>
      <c r="Z370">
        <v>424404</v>
      </c>
      <c r="AA370">
        <v>422803</v>
      </c>
      <c r="AB370">
        <v>420997</v>
      </c>
      <c r="AC370">
        <v>418998</v>
      </c>
      <c r="AD370">
        <v>416817</v>
      </c>
      <c r="AE370">
        <v>414470</v>
      </c>
      <c r="AF370">
        <v>411970</v>
      </c>
      <c r="AG370">
        <v>409334</v>
      </c>
      <c r="AH370">
        <v>406576</v>
      </c>
      <c r="AI370">
        <v>403714</v>
      </c>
      <c r="AJ370">
        <v>400765</v>
      </c>
      <c r="AK370">
        <v>397749</v>
      </c>
      <c r="AL370">
        <v>394683</v>
      </c>
      <c r="AM370">
        <v>391589</v>
      </c>
      <c r="AN370">
        <v>388486</v>
      </c>
      <c r="AO370">
        <v>385397</v>
      </c>
      <c r="AP370">
        <v>382343</v>
      </c>
      <c r="AQ370">
        <v>379349</v>
      </c>
      <c r="AR370">
        <v>376438</v>
      </c>
      <c r="AS370">
        <v>373634</v>
      </c>
      <c r="AT370">
        <v>370964</v>
      </c>
      <c r="AU370">
        <v>368453</v>
      </c>
      <c r="AV370">
        <v>366129</v>
      </c>
    </row>
    <row r="371" spans="1:48" x14ac:dyDescent="0.15">
      <c r="A371" t="s">
        <v>418</v>
      </c>
      <c r="B371" t="s">
        <v>769</v>
      </c>
      <c r="C371" t="s">
        <v>427</v>
      </c>
      <c r="D371" s="5">
        <v>150429.81658852901</v>
      </c>
      <c r="E371" s="5">
        <v>151412.53510397699</v>
      </c>
      <c r="F371" s="5">
        <v>152323.67905624499</v>
      </c>
      <c r="G371" s="5">
        <v>267871</v>
      </c>
      <c r="H371">
        <v>270128</v>
      </c>
      <c r="I371">
        <v>272540</v>
      </c>
      <c r="J371">
        <v>275071</v>
      </c>
      <c r="K371">
        <v>277686</v>
      </c>
      <c r="L371">
        <v>280352</v>
      </c>
      <c r="M371">
        <v>283039</v>
      </c>
      <c r="N371">
        <v>285718</v>
      </c>
      <c r="O371">
        <v>288363</v>
      </c>
      <c r="P371">
        <v>290949</v>
      </c>
      <c r="Q371">
        <v>293453</v>
      </c>
      <c r="R371">
        <v>295856</v>
      </c>
      <c r="S371">
        <v>298138</v>
      </c>
      <c r="T371">
        <v>300284</v>
      </c>
      <c r="U371">
        <v>302278</v>
      </c>
      <c r="V371">
        <v>304109</v>
      </c>
      <c r="W371">
        <v>305766</v>
      </c>
      <c r="X371">
        <v>307240</v>
      </c>
      <c r="Y371">
        <v>308527</v>
      </c>
      <c r="Z371">
        <v>309620</v>
      </c>
      <c r="AA371">
        <v>310518</v>
      </c>
      <c r="AB371">
        <v>311221</v>
      </c>
      <c r="AC371">
        <v>311731</v>
      </c>
      <c r="AD371">
        <v>312051</v>
      </c>
      <c r="AE371">
        <v>312187</v>
      </c>
      <c r="AF371">
        <v>312148</v>
      </c>
      <c r="AG371">
        <v>311942</v>
      </c>
      <c r="AH371">
        <v>311583</v>
      </c>
      <c r="AI371">
        <v>311084</v>
      </c>
      <c r="AJ371">
        <v>310460</v>
      </c>
      <c r="AK371">
        <v>309731</v>
      </c>
      <c r="AL371">
        <v>308916</v>
      </c>
      <c r="AM371">
        <v>308037</v>
      </c>
      <c r="AN371">
        <v>307119</v>
      </c>
      <c r="AO371">
        <v>306186</v>
      </c>
      <c r="AP371">
        <v>305269</v>
      </c>
      <c r="AQ371">
        <v>304396</v>
      </c>
      <c r="AR371">
        <v>303601</v>
      </c>
      <c r="AS371">
        <v>302916</v>
      </c>
      <c r="AT371">
        <v>302379</v>
      </c>
      <c r="AU371">
        <v>302029</v>
      </c>
      <c r="AV371">
        <v>301904</v>
      </c>
    </row>
    <row r="372" spans="1:48" x14ac:dyDescent="0.15">
      <c r="A372" t="s">
        <v>419</v>
      </c>
      <c r="B372" t="s">
        <v>770</v>
      </c>
      <c r="C372" t="s">
        <v>427</v>
      </c>
      <c r="D372" s="5">
        <v>94941.013688316307</v>
      </c>
      <c r="E372" s="5">
        <v>95561.238415985295</v>
      </c>
      <c r="F372" s="5">
        <v>96136.290173715999</v>
      </c>
      <c r="G372" s="5">
        <v>369396</v>
      </c>
      <c r="H372">
        <v>371213</v>
      </c>
      <c r="I372">
        <v>372845</v>
      </c>
      <c r="J372">
        <v>374285</v>
      </c>
      <c r="K372">
        <v>375523</v>
      </c>
      <c r="L372">
        <v>376553</v>
      </c>
      <c r="M372">
        <v>377369</v>
      </c>
      <c r="N372">
        <v>377967</v>
      </c>
      <c r="O372">
        <v>378341</v>
      </c>
      <c r="P372">
        <v>378491</v>
      </c>
      <c r="Q372">
        <v>378413</v>
      </c>
      <c r="R372">
        <v>378108</v>
      </c>
      <c r="S372">
        <v>377576</v>
      </c>
      <c r="T372">
        <v>376818</v>
      </c>
      <c r="U372">
        <v>375837</v>
      </c>
      <c r="V372">
        <v>374637</v>
      </c>
      <c r="W372">
        <v>373223</v>
      </c>
      <c r="X372">
        <v>371600</v>
      </c>
      <c r="Y372">
        <v>369775</v>
      </c>
      <c r="Z372">
        <v>367756</v>
      </c>
      <c r="AA372">
        <v>365553</v>
      </c>
      <c r="AB372">
        <v>363174</v>
      </c>
      <c r="AC372">
        <v>360632</v>
      </c>
      <c r="AD372">
        <v>357939</v>
      </c>
      <c r="AE372">
        <v>355107</v>
      </c>
      <c r="AF372">
        <v>352151</v>
      </c>
      <c r="AG372">
        <v>349087</v>
      </c>
      <c r="AH372">
        <v>345931</v>
      </c>
      <c r="AI372">
        <v>342700</v>
      </c>
      <c r="AJ372">
        <v>339414</v>
      </c>
      <c r="AK372">
        <v>336091</v>
      </c>
      <c r="AL372">
        <v>332753</v>
      </c>
      <c r="AM372">
        <v>329420</v>
      </c>
      <c r="AN372">
        <v>326117</v>
      </c>
      <c r="AO372">
        <v>322867</v>
      </c>
      <c r="AP372">
        <v>319695</v>
      </c>
      <c r="AQ372">
        <v>316626</v>
      </c>
      <c r="AR372">
        <v>313689</v>
      </c>
      <c r="AS372">
        <v>310911</v>
      </c>
      <c r="AT372">
        <v>308322</v>
      </c>
      <c r="AU372">
        <v>305951</v>
      </c>
      <c r="AV372">
        <v>303830</v>
      </c>
    </row>
    <row r="373" spans="1:48" x14ac:dyDescent="0.15">
      <c r="A373" t="s">
        <v>420</v>
      </c>
      <c r="B373" t="s">
        <v>771</v>
      </c>
      <c r="C373" t="s">
        <v>427</v>
      </c>
      <c r="D373" s="5">
        <v>80488.881604650407</v>
      </c>
      <c r="E373" s="5">
        <v>81014.694345996395</v>
      </c>
      <c r="F373" s="5">
        <v>81502.210447272504</v>
      </c>
      <c r="G373" s="5">
        <v>110754</v>
      </c>
      <c r="H373">
        <v>111128</v>
      </c>
      <c r="I373">
        <v>111460</v>
      </c>
      <c r="J373">
        <v>111748</v>
      </c>
      <c r="K373">
        <v>111988</v>
      </c>
      <c r="L373">
        <v>112176</v>
      </c>
      <c r="M373">
        <v>112311</v>
      </c>
      <c r="N373">
        <v>112389</v>
      </c>
      <c r="O373">
        <v>112410</v>
      </c>
      <c r="P373">
        <v>112371</v>
      </c>
      <c r="Q373">
        <v>112271</v>
      </c>
      <c r="R373">
        <v>112110</v>
      </c>
      <c r="S373">
        <v>111886</v>
      </c>
      <c r="T373">
        <v>111600</v>
      </c>
      <c r="U373">
        <v>111252</v>
      </c>
      <c r="V373">
        <v>110842</v>
      </c>
      <c r="W373">
        <v>110371</v>
      </c>
      <c r="X373">
        <v>109840</v>
      </c>
      <c r="Y373">
        <v>109252</v>
      </c>
      <c r="Z373">
        <v>108607</v>
      </c>
      <c r="AA373">
        <v>107908</v>
      </c>
      <c r="AB373">
        <v>107158</v>
      </c>
      <c r="AC373">
        <v>106359</v>
      </c>
      <c r="AD373">
        <v>105516</v>
      </c>
      <c r="AE373">
        <v>104630</v>
      </c>
      <c r="AF373">
        <v>103708</v>
      </c>
      <c r="AG373">
        <v>102752</v>
      </c>
      <c r="AH373">
        <v>101768</v>
      </c>
      <c r="AI373">
        <v>100761</v>
      </c>
      <c r="AJ373">
        <v>99735</v>
      </c>
      <c r="AK373">
        <v>98697</v>
      </c>
      <c r="AL373">
        <v>97654</v>
      </c>
      <c r="AM373">
        <v>96610</v>
      </c>
      <c r="AN373">
        <v>95574</v>
      </c>
      <c r="AO373">
        <v>94552</v>
      </c>
      <c r="AP373">
        <v>93551</v>
      </c>
      <c r="AQ373">
        <v>92580</v>
      </c>
      <c r="AR373">
        <v>91647</v>
      </c>
      <c r="AS373">
        <v>90760</v>
      </c>
      <c r="AT373">
        <v>89928</v>
      </c>
      <c r="AU373">
        <v>89161</v>
      </c>
      <c r="AV373">
        <v>88467</v>
      </c>
    </row>
    <row r="374" spans="1:48" x14ac:dyDescent="0.15">
      <c r="A374" t="s">
        <v>421</v>
      </c>
      <c r="B374" t="s">
        <v>772</v>
      </c>
      <c r="C374" t="s">
        <v>427</v>
      </c>
      <c r="D374" s="5">
        <v>52745.007604620201</v>
      </c>
      <c r="E374" s="5">
        <v>53089.576897769599</v>
      </c>
      <c r="F374" s="5">
        <v>53409.050096508901</v>
      </c>
      <c r="G374" s="5">
        <v>230981</v>
      </c>
      <c r="H374">
        <v>231547</v>
      </c>
      <c r="I374">
        <v>231959</v>
      </c>
      <c r="J374">
        <v>232219</v>
      </c>
      <c r="K374">
        <v>232327</v>
      </c>
      <c r="L374">
        <v>232283</v>
      </c>
      <c r="M374">
        <v>232089</v>
      </c>
      <c r="N374">
        <v>231747</v>
      </c>
      <c r="O374">
        <v>231259</v>
      </c>
      <c r="P374">
        <v>230626</v>
      </c>
      <c r="Q374">
        <v>229853</v>
      </c>
      <c r="R374">
        <v>228941</v>
      </c>
      <c r="S374">
        <v>227895</v>
      </c>
      <c r="T374">
        <v>226718</v>
      </c>
      <c r="U374">
        <v>225415</v>
      </c>
      <c r="V374">
        <v>223990</v>
      </c>
      <c r="W374">
        <v>222449</v>
      </c>
      <c r="X374">
        <v>220797</v>
      </c>
      <c r="Y374">
        <v>219040</v>
      </c>
      <c r="Z374">
        <v>217184</v>
      </c>
      <c r="AA374">
        <v>215236</v>
      </c>
      <c r="AB374">
        <v>213203</v>
      </c>
      <c r="AC374">
        <v>211091</v>
      </c>
      <c r="AD374">
        <v>208910</v>
      </c>
      <c r="AE374">
        <v>206667</v>
      </c>
      <c r="AF374">
        <v>204370</v>
      </c>
      <c r="AG374">
        <v>202028</v>
      </c>
      <c r="AH374">
        <v>199652</v>
      </c>
      <c r="AI374">
        <v>197250</v>
      </c>
      <c r="AJ374">
        <v>194832</v>
      </c>
      <c r="AK374">
        <v>192410</v>
      </c>
      <c r="AL374">
        <v>189993</v>
      </c>
      <c r="AM374">
        <v>187594</v>
      </c>
      <c r="AN374">
        <v>185223</v>
      </c>
      <c r="AO374">
        <v>182893</v>
      </c>
      <c r="AP374">
        <v>180616</v>
      </c>
      <c r="AQ374">
        <v>178404</v>
      </c>
      <c r="AR374">
        <v>176272</v>
      </c>
      <c r="AS374">
        <v>174232</v>
      </c>
      <c r="AT374">
        <v>172298</v>
      </c>
      <c r="AU374">
        <v>170485</v>
      </c>
      <c r="AV374">
        <v>168807</v>
      </c>
    </row>
    <row r="375" spans="1:48" x14ac:dyDescent="0.15">
      <c r="A375" t="s">
        <v>422</v>
      </c>
      <c r="B375" t="s">
        <v>773</v>
      </c>
      <c r="C375" t="s">
        <v>427</v>
      </c>
      <c r="D375" s="5">
        <v>56753.628182571301</v>
      </c>
      <c r="E375" s="5">
        <v>57124.384742000097</v>
      </c>
      <c r="F375" s="5">
        <v>57468.137903843599</v>
      </c>
      <c r="G375" s="5">
        <v>132388</v>
      </c>
      <c r="H375">
        <v>133171</v>
      </c>
      <c r="I375">
        <v>133896</v>
      </c>
      <c r="J375">
        <v>134560</v>
      </c>
      <c r="K375">
        <v>135156</v>
      </c>
      <c r="L375">
        <v>135680</v>
      </c>
      <c r="M375">
        <v>136128</v>
      </c>
      <c r="N375">
        <v>136496</v>
      </c>
      <c r="O375">
        <v>136782</v>
      </c>
      <c r="P375">
        <v>136984</v>
      </c>
      <c r="Q375">
        <v>137098</v>
      </c>
      <c r="R375">
        <v>137124</v>
      </c>
      <c r="S375">
        <v>137062</v>
      </c>
      <c r="T375">
        <v>136909</v>
      </c>
      <c r="U375">
        <v>136667</v>
      </c>
      <c r="V375">
        <v>136337</v>
      </c>
      <c r="W375">
        <v>135919</v>
      </c>
      <c r="X375">
        <v>135415</v>
      </c>
      <c r="Y375">
        <v>134827</v>
      </c>
      <c r="Z375">
        <v>134158</v>
      </c>
      <c r="AA375">
        <v>133411</v>
      </c>
      <c r="AB375">
        <v>132590</v>
      </c>
      <c r="AC375">
        <v>131699</v>
      </c>
      <c r="AD375">
        <v>130743</v>
      </c>
      <c r="AE375">
        <v>129727</v>
      </c>
      <c r="AF375">
        <v>128657</v>
      </c>
      <c r="AG375">
        <v>127539</v>
      </c>
      <c r="AH375">
        <v>126380</v>
      </c>
      <c r="AI375">
        <v>125188</v>
      </c>
      <c r="AJ375">
        <v>123969</v>
      </c>
      <c r="AK375">
        <v>122734</v>
      </c>
      <c r="AL375">
        <v>121489</v>
      </c>
      <c r="AM375">
        <v>120246</v>
      </c>
      <c r="AN375">
        <v>119013</v>
      </c>
      <c r="AO375">
        <v>117801</v>
      </c>
      <c r="AP375">
        <v>116622</v>
      </c>
      <c r="AQ375">
        <v>115486</v>
      </c>
      <c r="AR375">
        <v>114405</v>
      </c>
      <c r="AS375">
        <v>113392</v>
      </c>
      <c r="AT375">
        <v>112461</v>
      </c>
      <c r="AU375">
        <v>111624</v>
      </c>
      <c r="AV375">
        <v>110895</v>
      </c>
    </row>
    <row r="376" spans="1:48" x14ac:dyDescent="0.15">
      <c r="A376" t="s">
        <v>423</v>
      </c>
      <c r="B376" t="s">
        <v>774</v>
      </c>
      <c r="C376" t="s">
        <v>427</v>
      </c>
      <c r="D376" s="5">
        <v>79117.511406930294</v>
      </c>
      <c r="E376" s="5">
        <v>79634.365346654406</v>
      </c>
      <c r="F376" s="5">
        <v>80113.575144763294</v>
      </c>
      <c r="G376" s="5">
        <v>255927</v>
      </c>
      <c r="H376">
        <v>256541</v>
      </c>
      <c r="I376">
        <v>257115</v>
      </c>
      <c r="J376">
        <v>257634</v>
      </c>
      <c r="K376">
        <v>258086</v>
      </c>
      <c r="L376">
        <v>258458</v>
      </c>
      <c r="M376">
        <v>258740</v>
      </c>
      <c r="N376">
        <v>258922</v>
      </c>
      <c r="O376">
        <v>258996</v>
      </c>
      <c r="P376">
        <v>258953</v>
      </c>
      <c r="Q376">
        <v>258787</v>
      </c>
      <c r="R376">
        <v>258493</v>
      </c>
      <c r="S376">
        <v>258067</v>
      </c>
      <c r="T376">
        <v>257503</v>
      </c>
      <c r="U376">
        <v>256801</v>
      </c>
      <c r="V376">
        <v>255959</v>
      </c>
      <c r="W376">
        <v>254976</v>
      </c>
      <c r="X376">
        <v>253854</v>
      </c>
      <c r="Y376">
        <v>252593</v>
      </c>
      <c r="Z376">
        <v>251198</v>
      </c>
      <c r="AA376">
        <v>249671</v>
      </c>
      <c r="AB376">
        <v>248018</v>
      </c>
      <c r="AC376">
        <v>246244</v>
      </c>
      <c r="AD376">
        <v>244357</v>
      </c>
      <c r="AE376">
        <v>242365</v>
      </c>
      <c r="AF376">
        <v>240277</v>
      </c>
      <c r="AG376">
        <v>238103</v>
      </c>
      <c r="AH376">
        <v>235854</v>
      </c>
      <c r="AI376">
        <v>233542</v>
      </c>
      <c r="AJ376">
        <v>231181</v>
      </c>
      <c r="AK376">
        <v>228786</v>
      </c>
      <c r="AL376">
        <v>226371</v>
      </c>
      <c r="AM376">
        <v>223953</v>
      </c>
      <c r="AN376">
        <v>221549</v>
      </c>
      <c r="AO376">
        <v>219179</v>
      </c>
      <c r="AP376">
        <v>216861</v>
      </c>
      <c r="AQ376">
        <v>214617</v>
      </c>
      <c r="AR376">
        <v>212468</v>
      </c>
      <c r="AS376">
        <v>210436</v>
      </c>
      <c r="AT376">
        <v>208546</v>
      </c>
      <c r="AU376">
        <v>206822</v>
      </c>
      <c r="AV376">
        <v>205291</v>
      </c>
    </row>
    <row r="377" spans="1:48" x14ac:dyDescent="0.15">
      <c r="A377" t="s">
        <v>424</v>
      </c>
      <c r="B377" t="s">
        <v>775</v>
      </c>
      <c r="C377" t="s">
        <v>427</v>
      </c>
      <c r="D377" s="5">
        <v>50107.757224389199</v>
      </c>
      <c r="E377" s="5">
        <v>50435.098052881098</v>
      </c>
      <c r="F377" s="5">
        <v>50738.5975916834</v>
      </c>
      <c r="G377" s="5">
        <v>72333</v>
      </c>
      <c r="H377">
        <v>73023</v>
      </c>
      <c r="I377">
        <v>73769</v>
      </c>
      <c r="J377">
        <v>74561</v>
      </c>
      <c r="K377">
        <v>75388</v>
      </c>
      <c r="L377">
        <v>76240</v>
      </c>
      <c r="M377">
        <v>77107</v>
      </c>
      <c r="N377">
        <v>77982</v>
      </c>
      <c r="O377">
        <v>78855</v>
      </c>
      <c r="P377">
        <v>79720</v>
      </c>
      <c r="Q377">
        <v>80569</v>
      </c>
      <c r="R377">
        <v>81395</v>
      </c>
      <c r="S377">
        <v>82194</v>
      </c>
      <c r="T377">
        <v>82960</v>
      </c>
      <c r="U377">
        <v>83688</v>
      </c>
      <c r="V377">
        <v>84373</v>
      </c>
      <c r="W377">
        <v>85013</v>
      </c>
      <c r="X377">
        <v>85604</v>
      </c>
      <c r="Y377">
        <v>86145</v>
      </c>
      <c r="Z377">
        <v>86632</v>
      </c>
      <c r="AA377">
        <v>87066</v>
      </c>
      <c r="AB377">
        <v>87445</v>
      </c>
      <c r="AC377">
        <v>87769</v>
      </c>
      <c r="AD377">
        <v>88038</v>
      </c>
      <c r="AE377">
        <v>88255</v>
      </c>
      <c r="AF377">
        <v>88419</v>
      </c>
      <c r="AG377">
        <v>88535</v>
      </c>
      <c r="AH377">
        <v>88604</v>
      </c>
      <c r="AI377">
        <v>88629</v>
      </c>
      <c r="AJ377">
        <v>88616</v>
      </c>
      <c r="AK377">
        <v>88567</v>
      </c>
      <c r="AL377">
        <v>88489</v>
      </c>
      <c r="AM377">
        <v>88387</v>
      </c>
      <c r="AN377">
        <v>88268</v>
      </c>
      <c r="AO377">
        <v>88137</v>
      </c>
      <c r="AP377">
        <v>88003</v>
      </c>
      <c r="AQ377">
        <v>87874</v>
      </c>
      <c r="AR377">
        <v>87757</v>
      </c>
      <c r="AS377">
        <v>87663</v>
      </c>
      <c r="AT377">
        <v>87600</v>
      </c>
      <c r="AU377">
        <v>87580</v>
      </c>
      <c r="AV377">
        <v>87613</v>
      </c>
    </row>
    <row r="378" spans="1:48" x14ac:dyDescent="0.15">
      <c r="A378" t="s">
        <v>425</v>
      </c>
      <c r="B378" t="s">
        <v>776</v>
      </c>
      <c r="C378" t="s">
        <v>427</v>
      </c>
      <c r="D378" s="5">
        <v>84392.012167392299</v>
      </c>
      <c r="E378" s="5">
        <v>84943.323036431393</v>
      </c>
      <c r="F378" s="5">
        <v>85454.480154414196</v>
      </c>
      <c r="G378" s="5">
        <v>247189</v>
      </c>
      <c r="H378">
        <v>248110</v>
      </c>
      <c r="I378">
        <v>248922</v>
      </c>
      <c r="J378">
        <v>249616</v>
      </c>
      <c r="K378">
        <v>250186</v>
      </c>
      <c r="L378">
        <v>250624</v>
      </c>
      <c r="M378">
        <v>250926</v>
      </c>
      <c r="N378">
        <v>251084</v>
      </c>
      <c r="O378">
        <v>251097</v>
      </c>
      <c r="P378">
        <v>250960</v>
      </c>
      <c r="Q378">
        <v>250671</v>
      </c>
      <c r="R378">
        <v>250228</v>
      </c>
      <c r="S378">
        <v>249630</v>
      </c>
      <c r="T378">
        <v>248878</v>
      </c>
      <c r="U378">
        <v>247972</v>
      </c>
      <c r="V378">
        <v>246914</v>
      </c>
      <c r="W378">
        <v>245707</v>
      </c>
      <c r="X378">
        <v>244354</v>
      </c>
      <c r="Y378">
        <v>242859</v>
      </c>
      <c r="Z378">
        <v>241228</v>
      </c>
      <c r="AA378">
        <v>239465</v>
      </c>
      <c r="AB378">
        <v>237579</v>
      </c>
      <c r="AC378">
        <v>235577</v>
      </c>
      <c r="AD378">
        <v>233467</v>
      </c>
      <c r="AE378">
        <v>231258</v>
      </c>
      <c r="AF378">
        <v>228960</v>
      </c>
      <c r="AG378">
        <v>226586</v>
      </c>
      <c r="AH378">
        <v>224145</v>
      </c>
      <c r="AI378">
        <v>221651</v>
      </c>
      <c r="AJ378">
        <v>219118</v>
      </c>
      <c r="AK378">
        <v>216559</v>
      </c>
      <c r="AL378">
        <v>213991</v>
      </c>
      <c r="AM378">
        <v>211428</v>
      </c>
      <c r="AN378">
        <v>208888</v>
      </c>
      <c r="AO378">
        <v>206389</v>
      </c>
      <c r="AP378">
        <v>203948</v>
      </c>
      <c r="AQ378">
        <v>201586</v>
      </c>
      <c r="AR378">
        <v>199322</v>
      </c>
      <c r="AS378">
        <v>197178</v>
      </c>
      <c r="AT378">
        <v>195175</v>
      </c>
      <c r="AU378">
        <v>193336</v>
      </c>
      <c r="AV378">
        <v>191685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E544-C06B-49B0-A96A-15BD07B7274C}">
  <dimension ref="A2:AT86"/>
  <sheetViews>
    <sheetView workbookViewId="0"/>
  </sheetViews>
  <sheetFormatPr defaultRowHeight="13.5" x14ac:dyDescent="0.15"/>
  <cols>
    <col min="1" max="1" width="36.625" style="2" customWidth="1"/>
    <col min="2" max="15" width="13.875" style="2" customWidth="1"/>
    <col min="16" max="46" width="14.375" bestFit="1" customWidth="1"/>
  </cols>
  <sheetData>
    <row r="2" spans="1:44" ht="15" x14ac:dyDescent="0.15">
      <c r="A2" s="36" t="s">
        <v>935</v>
      </c>
      <c r="B2" s="7"/>
    </row>
    <row r="3" spans="1:44" s="19" customFormat="1" x14ac:dyDescent="0.15">
      <c r="A3" s="35"/>
      <c r="B3" s="35">
        <v>2018</v>
      </c>
      <c r="C3" s="35">
        <v>2019</v>
      </c>
      <c r="D3" s="35">
        <v>2020</v>
      </c>
      <c r="E3" s="35">
        <v>2021</v>
      </c>
      <c r="F3" s="35">
        <v>2022</v>
      </c>
      <c r="G3" s="35">
        <v>2023</v>
      </c>
      <c r="H3" s="35">
        <v>2024</v>
      </c>
      <c r="I3" s="35">
        <v>2025</v>
      </c>
      <c r="J3" s="35">
        <v>2026</v>
      </c>
      <c r="K3" s="35">
        <v>2027</v>
      </c>
      <c r="L3" s="35">
        <v>2028</v>
      </c>
      <c r="M3" s="35">
        <v>2029</v>
      </c>
      <c r="N3" s="35">
        <v>2030</v>
      </c>
      <c r="O3" s="35">
        <v>2031</v>
      </c>
      <c r="P3" s="35">
        <v>2032</v>
      </c>
      <c r="Q3" s="35">
        <v>2033</v>
      </c>
      <c r="R3" s="35">
        <v>2034</v>
      </c>
      <c r="S3" s="35">
        <v>2035</v>
      </c>
      <c r="T3" s="35">
        <v>2036</v>
      </c>
      <c r="U3" s="35">
        <v>2037</v>
      </c>
      <c r="V3" s="35">
        <v>2038</v>
      </c>
      <c r="W3" s="35">
        <v>2039</v>
      </c>
      <c r="X3" s="35">
        <v>2040</v>
      </c>
      <c r="Y3" s="35">
        <v>2041</v>
      </c>
      <c r="Z3" s="35">
        <v>2042</v>
      </c>
      <c r="AA3" s="35">
        <v>2043</v>
      </c>
      <c r="AB3" s="35">
        <v>2044</v>
      </c>
      <c r="AC3" s="35">
        <v>2045</v>
      </c>
      <c r="AD3" s="35">
        <v>2046</v>
      </c>
      <c r="AE3" s="35">
        <v>2047</v>
      </c>
      <c r="AF3" s="35">
        <v>2048</v>
      </c>
      <c r="AG3" s="35">
        <v>2049</v>
      </c>
      <c r="AH3" s="35">
        <v>2050</v>
      </c>
      <c r="AI3" s="35">
        <v>2051</v>
      </c>
      <c r="AJ3" s="35">
        <v>2052</v>
      </c>
      <c r="AK3" s="35">
        <v>2053</v>
      </c>
      <c r="AL3" s="35">
        <v>2054</v>
      </c>
      <c r="AM3" s="35">
        <v>2055</v>
      </c>
      <c r="AN3" s="35">
        <v>2056</v>
      </c>
      <c r="AO3" s="35">
        <v>2057</v>
      </c>
      <c r="AP3" s="35">
        <v>2058</v>
      </c>
      <c r="AQ3" s="35">
        <v>2059</v>
      </c>
      <c r="AR3" s="35">
        <v>2060</v>
      </c>
    </row>
    <row r="4" spans="1:44" s="15" customFormat="1" x14ac:dyDescent="0.15">
      <c r="A4" s="37" t="s">
        <v>829</v>
      </c>
      <c r="B4" s="33">
        <f>D44*人口变化预测!D4/10000</f>
        <v>2968187.2744899672</v>
      </c>
      <c r="C4" s="33">
        <f>E44*人口变化预测!E4/10000</f>
        <v>3046751.3095908724</v>
      </c>
      <c r="D4" s="33">
        <f>F44*人口变化预测!F4/10000</f>
        <v>3149052.1379644037</v>
      </c>
      <c r="E4" s="33">
        <f>G44*人口变化预测!G4/10000</f>
        <v>3203579.067225988</v>
      </c>
      <c r="F4" s="33">
        <f>H44*人口变化预测!H4/10000</f>
        <v>3256894.8894539522</v>
      </c>
      <c r="G4" s="33">
        <f>I44*人口变化预测!I4/10000</f>
        <v>3308972.6358117661</v>
      </c>
      <c r="H4" s="33">
        <f>J44*人口变化预测!J4/10000</f>
        <v>3359787.8891825117</v>
      </c>
      <c r="I4" s="33">
        <f>K44*人口变化预测!K4/10000</f>
        <v>3409319.1731288736</v>
      </c>
      <c r="J4" s="33">
        <f>L44*人口变化预测!L4/10000</f>
        <v>3457547.768770549</v>
      </c>
      <c r="K4" s="33">
        <f>M44*人口变化预测!M4/10000</f>
        <v>3504458.2670138967</v>
      </c>
      <c r="L4" s="33">
        <f>N44*人口变化预测!N4/10000</f>
        <v>3550038.3956122724</v>
      </c>
      <c r="M4" s="33">
        <f>O44*人口变化预测!O4/10000</f>
        <v>3594279.3940810491</v>
      </c>
      <c r="N4" s="33">
        <f>P44*人口变化预测!P4/10000</f>
        <v>3637176.1466027559</v>
      </c>
      <c r="O4" s="33">
        <f>Q44*人口变化预测!Q4/10000</f>
        <v>3678727.2823275612</v>
      </c>
      <c r="P4" s="33">
        <f>R44*人口变化预测!R4/10000</f>
        <v>3718935.5851902128</v>
      </c>
      <c r="Q4" s="33">
        <f>S44*人口变化预测!S4/10000</f>
        <v>3757807.8934452375</v>
      </c>
      <c r="R4" s="33">
        <f>T44*人口变化预测!T4/10000</f>
        <v>3795355.5581306838</v>
      </c>
      <c r="S4" s="33">
        <f>U44*人口变化预测!U4/10000</f>
        <v>3831594.4925569571</v>
      </c>
      <c r="T4" s="33">
        <f>V44*人口变化预测!V4/10000</f>
        <v>3866545.4557318236</v>
      </c>
      <c r="U4" s="33">
        <f>W44*人口变化预测!W4/10000</f>
        <v>3900234.3333352678</v>
      </c>
      <c r="V4" s="33">
        <f>X44*人口变化预测!X4/10000</f>
        <v>3932692.1589505752</v>
      </c>
      <c r="W4" s="33">
        <f>Y44*人口变化预测!Y4/10000</f>
        <v>3963955.5627719141</v>
      </c>
      <c r="X4" s="33">
        <f>Z44*人口变化预测!Z4/10000</f>
        <v>3994066.9459102852</v>
      </c>
      <c r="Y4" s="33">
        <f>AA44*人口变化预测!AA4/10000</f>
        <v>4023074.746561551</v>
      </c>
      <c r="Z4" s="33">
        <f>AB44*人口变化预测!AB4/10000</f>
        <v>4051033.5792316473</v>
      </c>
      <c r="AA4" s="33">
        <f>AC44*人口变化预测!AC4/10000</f>
        <v>4078004.5903291903</v>
      </c>
      <c r="AB4" s="33">
        <f>AD44*人口变化预测!AD4/10000</f>
        <v>4104055.8561789193</v>
      </c>
      <c r="AC4" s="33">
        <f>AE44*人口变化预测!AE4/10000</f>
        <v>4129262.4128735266</v>
      </c>
      <c r="AD4" s="33">
        <f>AF44*人口变化预测!AF4/10000</f>
        <v>4153706.6072505531</v>
      </c>
      <c r="AE4" s="33">
        <f>AG44*人口变化预测!AG4/10000</f>
        <v>4177478.6623939918</v>
      </c>
      <c r="AF4" s="33">
        <f>AH44*人口变化预测!AH4/10000</f>
        <v>4200676.575059467</v>
      </c>
      <c r="AG4" s="33">
        <f>AI44*人口变化预测!AI4/10000</f>
        <v>4223406.6448768592</v>
      </c>
      <c r="AH4" s="33">
        <f>AJ44*人口变化预测!AJ4/10000</f>
        <v>4245783.8884477085</v>
      </c>
      <c r="AI4" s="33">
        <f>AK44*人口变化预测!AK4/10000</f>
        <v>4267932.0435191551</v>
      </c>
      <c r="AJ4" s="33">
        <f>AL44*人口变化预测!AL4/10000</f>
        <v>4289984.3603342995</v>
      </c>
      <c r="AK4" s="33">
        <f>AM44*人口变化预测!AM4/10000</f>
        <v>4312083.4213467762</v>
      </c>
      <c r="AL4" s="33">
        <f>AN44*人口变化预测!AN4/10000</f>
        <v>4334382.0181293339</v>
      </c>
      <c r="AM4" s="33">
        <f>AO44*人口变化预测!AO4/10000</f>
        <v>4357043.1918563601</v>
      </c>
      <c r="AN4" s="33">
        <f>AP44*人口变化预测!AP4/10000</f>
        <v>4380240.6744001862</v>
      </c>
      <c r="AO4" s="33">
        <f>AQ44*人口变化预测!AQ4/10000</f>
        <v>4404159.291006254</v>
      </c>
      <c r="AP4" s="33">
        <f>AR44*人口变化预测!AR4/10000</f>
        <v>4428995.3744241968</v>
      </c>
      <c r="AQ4" s="33">
        <f>AS44*人口变化预测!AS4/10000</f>
        <v>4454957.2886464754</v>
      </c>
      <c r="AR4" s="33">
        <f>AT44*人口变化预测!AT4/10000</f>
        <v>4482265.5513553005</v>
      </c>
    </row>
    <row r="5" spans="1:44" s="15" customFormat="1" x14ac:dyDescent="0.15">
      <c r="A5" s="37" t="s">
        <v>957</v>
      </c>
      <c r="B5" s="33">
        <f>$B4*0.71%</f>
        <v>21074.129648878767</v>
      </c>
      <c r="C5" s="33">
        <f t="shared" ref="C5:AR5" si="0">$B4*0.71%</f>
        <v>21074.129648878767</v>
      </c>
      <c r="D5" s="33">
        <f t="shared" si="0"/>
        <v>21074.129648878767</v>
      </c>
      <c r="E5" s="33">
        <f t="shared" si="0"/>
        <v>21074.129648878767</v>
      </c>
      <c r="F5" s="33">
        <f t="shared" si="0"/>
        <v>21074.129648878767</v>
      </c>
      <c r="G5" s="33">
        <f t="shared" si="0"/>
        <v>21074.129648878767</v>
      </c>
      <c r="H5" s="33">
        <f t="shared" si="0"/>
        <v>21074.129648878767</v>
      </c>
      <c r="I5" s="33">
        <f t="shared" si="0"/>
        <v>21074.129648878767</v>
      </c>
      <c r="J5" s="33">
        <f t="shared" si="0"/>
        <v>21074.129648878767</v>
      </c>
      <c r="K5" s="33">
        <f t="shared" si="0"/>
        <v>21074.129648878767</v>
      </c>
      <c r="L5" s="33">
        <f t="shared" si="0"/>
        <v>21074.129648878767</v>
      </c>
      <c r="M5" s="33">
        <f t="shared" si="0"/>
        <v>21074.129648878767</v>
      </c>
      <c r="N5" s="33">
        <f t="shared" si="0"/>
        <v>21074.129648878767</v>
      </c>
      <c r="O5" s="33">
        <f t="shared" si="0"/>
        <v>21074.129648878767</v>
      </c>
      <c r="P5" s="33">
        <f t="shared" si="0"/>
        <v>21074.129648878767</v>
      </c>
      <c r="Q5" s="33">
        <f t="shared" si="0"/>
        <v>21074.129648878767</v>
      </c>
      <c r="R5" s="33">
        <f t="shared" si="0"/>
        <v>21074.129648878767</v>
      </c>
      <c r="S5" s="33">
        <f t="shared" si="0"/>
        <v>21074.129648878767</v>
      </c>
      <c r="T5" s="33">
        <f t="shared" si="0"/>
        <v>21074.129648878767</v>
      </c>
      <c r="U5" s="33">
        <f t="shared" si="0"/>
        <v>21074.129648878767</v>
      </c>
      <c r="V5" s="33">
        <f t="shared" si="0"/>
        <v>21074.129648878767</v>
      </c>
      <c r="W5" s="33">
        <f t="shared" si="0"/>
        <v>21074.129648878767</v>
      </c>
      <c r="X5" s="33">
        <f t="shared" si="0"/>
        <v>21074.129648878767</v>
      </c>
      <c r="Y5" s="33">
        <f t="shared" si="0"/>
        <v>21074.129648878767</v>
      </c>
      <c r="Z5" s="33">
        <f t="shared" si="0"/>
        <v>21074.129648878767</v>
      </c>
      <c r="AA5" s="33">
        <f t="shared" si="0"/>
        <v>21074.129648878767</v>
      </c>
      <c r="AB5" s="33">
        <f t="shared" si="0"/>
        <v>21074.129648878767</v>
      </c>
      <c r="AC5" s="33">
        <f t="shared" si="0"/>
        <v>21074.129648878767</v>
      </c>
      <c r="AD5" s="33">
        <f t="shared" si="0"/>
        <v>21074.129648878767</v>
      </c>
      <c r="AE5" s="33">
        <f t="shared" si="0"/>
        <v>21074.129648878767</v>
      </c>
      <c r="AF5" s="33">
        <f t="shared" si="0"/>
        <v>21074.129648878767</v>
      </c>
      <c r="AG5" s="33">
        <f t="shared" si="0"/>
        <v>21074.129648878767</v>
      </c>
      <c r="AH5" s="33">
        <f t="shared" si="0"/>
        <v>21074.129648878767</v>
      </c>
      <c r="AI5" s="33">
        <f t="shared" si="0"/>
        <v>21074.129648878767</v>
      </c>
      <c r="AJ5" s="33">
        <f t="shared" si="0"/>
        <v>21074.129648878767</v>
      </c>
      <c r="AK5" s="33">
        <f t="shared" si="0"/>
        <v>21074.129648878767</v>
      </c>
      <c r="AL5" s="33">
        <f t="shared" si="0"/>
        <v>21074.129648878767</v>
      </c>
      <c r="AM5" s="33">
        <f t="shared" si="0"/>
        <v>21074.129648878767</v>
      </c>
      <c r="AN5" s="33">
        <f t="shared" si="0"/>
        <v>21074.129648878767</v>
      </c>
      <c r="AO5" s="33">
        <f t="shared" si="0"/>
        <v>21074.129648878767</v>
      </c>
      <c r="AP5" s="33">
        <f t="shared" si="0"/>
        <v>21074.129648878767</v>
      </c>
      <c r="AQ5" s="33">
        <f t="shared" si="0"/>
        <v>21074.129648878767</v>
      </c>
      <c r="AR5" s="33">
        <f t="shared" si="0"/>
        <v>21074.129648878767</v>
      </c>
    </row>
    <row r="6" spans="1:44" s="15" customFormat="1" x14ac:dyDescent="0.15">
      <c r="A6" s="37" t="s">
        <v>963</v>
      </c>
      <c r="B6" s="33"/>
      <c r="C6" s="33">
        <f>IF(B4-C4-B5&gt;0,B4-C4-B5,0)</f>
        <v>0</v>
      </c>
      <c r="D6" s="33">
        <f>IF(C4-D4-C5&gt;0,C4-D4-C5,0)</f>
        <v>0</v>
      </c>
      <c r="E6" s="33">
        <f t="shared" ref="E6:AR6" si="1">IF(D4-E4-D5&gt;0,D4-E4-D5,0)</f>
        <v>0</v>
      </c>
      <c r="F6" s="33">
        <f t="shared" si="1"/>
        <v>0</v>
      </c>
      <c r="G6" s="33">
        <f t="shared" si="1"/>
        <v>0</v>
      </c>
      <c r="H6" s="33">
        <f t="shared" si="1"/>
        <v>0</v>
      </c>
      <c r="I6" s="33">
        <f t="shared" si="1"/>
        <v>0</v>
      </c>
      <c r="J6" s="33">
        <f t="shared" si="1"/>
        <v>0</v>
      </c>
      <c r="K6" s="33">
        <f t="shared" si="1"/>
        <v>0</v>
      </c>
      <c r="L6" s="33">
        <f t="shared" si="1"/>
        <v>0</v>
      </c>
      <c r="M6" s="33">
        <f t="shared" si="1"/>
        <v>0</v>
      </c>
      <c r="N6" s="33">
        <f t="shared" si="1"/>
        <v>0</v>
      </c>
      <c r="O6" s="33">
        <f t="shared" si="1"/>
        <v>0</v>
      </c>
      <c r="P6" s="33">
        <f t="shared" si="1"/>
        <v>0</v>
      </c>
      <c r="Q6" s="33">
        <f t="shared" si="1"/>
        <v>0</v>
      </c>
      <c r="R6" s="33">
        <f t="shared" si="1"/>
        <v>0</v>
      </c>
      <c r="S6" s="33">
        <f t="shared" si="1"/>
        <v>0</v>
      </c>
      <c r="T6" s="33">
        <f t="shared" si="1"/>
        <v>0</v>
      </c>
      <c r="U6" s="33">
        <f t="shared" si="1"/>
        <v>0</v>
      </c>
      <c r="V6" s="33">
        <f t="shared" si="1"/>
        <v>0</v>
      </c>
      <c r="W6" s="33">
        <f t="shared" si="1"/>
        <v>0</v>
      </c>
      <c r="X6" s="33">
        <f t="shared" si="1"/>
        <v>0</v>
      </c>
      <c r="Y6" s="33">
        <f t="shared" si="1"/>
        <v>0</v>
      </c>
      <c r="Z6" s="33">
        <f t="shared" si="1"/>
        <v>0</v>
      </c>
      <c r="AA6" s="33">
        <f t="shared" si="1"/>
        <v>0</v>
      </c>
      <c r="AB6" s="33">
        <f t="shared" si="1"/>
        <v>0</v>
      </c>
      <c r="AC6" s="33">
        <f t="shared" si="1"/>
        <v>0</v>
      </c>
      <c r="AD6" s="33">
        <f t="shared" si="1"/>
        <v>0</v>
      </c>
      <c r="AE6" s="33">
        <f t="shared" si="1"/>
        <v>0</v>
      </c>
      <c r="AF6" s="33">
        <f t="shared" si="1"/>
        <v>0</v>
      </c>
      <c r="AG6" s="33">
        <f t="shared" si="1"/>
        <v>0</v>
      </c>
      <c r="AH6" s="33">
        <f t="shared" si="1"/>
        <v>0</v>
      </c>
      <c r="AI6" s="33">
        <f t="shared" si="1"/>
        <v>0</v>
      </c>
      <c r="AJ6" s="33">
        <f t="shared" si="1"/>
        <v>0</v>
      </c>
      <c r="AK6" s="33">
        <f t="shared" si="1"/>
        <v>0</v>
      </c>
      <c r="AL6" s="33">
        <f t="shared" si="1"/>
        <v>0</v>
      </c>
      <c r="AM6" s="33">
        <f t="shared" si="1"/>
        <v>0</v>
      </c>
      <c r="AN6" s="33">
        <f t="shared" si="1"/>
        <v>0</v>
      </c>
      <c r="AO6" s="33">
        <f t="shared" si="1"/>
        <v>0</v>
      </c>
      <c r="AP6" s="33">
        <f t="shared" si="1"/>
        <v>0</v>
      </c>
      <c r="AQ6" s="33">
        <f t="shared" si="1"/>
        <v>0</v>
      </c>
      <c r="AR6" s="33">
        <f t="shared" si="1"/>
        <v>0</v>
      </c>
    </row>
    <row r="7" spans="1:44" s="15" customFormat="1" x14ac:dyDescent="0.15">
      <c r="A7" s="37" t="s">
        <v>889</v>
      </c>
      <c r="B7" s="33"/>
      <c r="C7" s="33">
        <f t="shared" ref="C7:AR7" si="2">IF(C4-B4+B5&gt;0,C4-B4+B5,0)</f>
        <v>99638.164749783988</v>
      </c>
      <c r="D7" s="33">
        <f t="shared" si="2"/>
        <v>123374.95802241011</v>
      </c>
      <c r="E7" s="33">
        <f t="shared" si="2"/>
        <v>75601.058910463064</v>
      </c>
      <c r="F7" s="33">
        <f t="shared" si="2"/>
        <v>74389.951876842941</v>
      </c>
      <c r="G7" s="33">
        <f t="shared" si="2"/>
        <v>73151.876006692706</v>
      </c>
      <c r="H7" s="33">
        <f t="shared" si="2"/>
        <v>71889.383019624336</v>
      </c>
      <c r="I7" s="33">
        <f t="shared" si="2"/>
        <v>70605.413595240621</v>
      </c>
      <c r="J7" s="33">
        <f t="shared" si="2"/>
        <v>69302.725290554168</v>
      </c>
      <c r="K7" s="33">
        <f t="shared" si="2"/>
        <v>67984.627892226505</v>
      </c>
      <c r="L7" s="33">
        <f t="shared" si="2"/>
        <v>66654.258247254475</v>
      </c>
      <c r="M7" s="33">
        <f t="shared" si="2"/>
        <v>65315.128117655462</v>
      </c>
      <c r="N7" s="33">
        <f t="shared" si="2"/>
        <v>63970.882170585508</v>
      </c>
      <c r="O7" s="33">
        <f t="shared" si="2"/>
        <v>62625.265373684058</v>
      </c>
      <c r="P7" s="33">
        <f t="shared" si="2"/>
        <v>61282.432511530409</v>
      </c>
      <c r="Q7" s="33">
        <f t="shared" si="2"/>
        <v>59946.437903903483</v>
      </c>
      <c r="R7" s="33">
        <f t="shared" si="2"/>
        <v>58621.794334325066</v>
      </c>
      <c r="S7" s="33">
        <f t="shared" si="2"/>
        <v>57313.064075151982</v>
      </c>
      <c r="T7" s="33">
        <f t="shared" si="2"/>
        <v>56025.092823745275</v>
      </c>
      <c r="U7" s="33">
        <f t="shared" si="2"/>
        <v>54763.007252323034</v>
      </c>
      <c r="V7" s="33">
        <f t="shared" si="2"/>
        <v>53531.955264186079</v>
      </c>
      <c r="W7" s="33">
        <f t="shared" si="2"/>
        <v>52337.533470217662</v>
      </c>
      <c r="X7" s="33">
        <f t="shared" si="2"/>
        <v>51185.512787249929</v>
      </c>
      <c r="Y7" s="33">
        <f t="shared" si="2"/>
        <v>50081.930300144537</v>
      </c>
      <c r="Z7" s="33">
        <f t="shared" si="2"/>
        <v>49032.962318975071</v>
      </c>
      <c r="AA7" s="33">
        <f t="shared" si="2"/>
        <v>48045.140746421705</v>
      </c>
      <c r="AB7" s="33">
        <f t="shared" si="2"/>
        <v>47125.395498607832</v>
      </c>
      <c r="AC7" s="33">
        <f t="shared" si="2"/>
        <v>46280.686343486013</v>
      </c>
      <c r="AD7" s="33">
        <f t="shared" si="2"/>
        <v>45518.324025905284</v>
      </c>
      <c r="AE7" s="33">
        <f t="shared" si="2"/>
        <v>44846.184792317508</v>
      </c>
      <c r="AF7" s="33">
        <f t="shared" si="2"/>
        <v>44272.042314353923</v>
      </c>
      <c r="AG7" s="33">
        <f t="shared" si="2"/>
        <v>43804.199466270918</v>
      </c>
      <c r="AH7" s="33">
        <f t="shared" si="2"/>
        <v>43451.373219728062</v>
      </c>
      <c r="AI7" s="33">
        <f t="shared" si="2"/>
        <v>43222.284720325435</v>
      </c>
      <c r="AJ7" s="33">
        <f t="shared" si="2"/>
        <v>43126.446464023145</v>
      </c>
      <c r="AK7" s="33">
        <f t="shared" si="2"/>
        <v>43173.190661355446</v>
      </c>
      <c r="AL7" s="33">
        <f t="shared" si="2"/>
        <v>43372.726431436429</v>
      </c>
      <c r="AM7" s="33">
        <f t="shared" si="2"/>
        <v>43735.303375904972</v>
      </c>
      <c r="AN7" s="33">
        <f t="shared" si="2"/>
        <v>44271.612192704866</v>
      </c>
      <c r="AO7" s="33">
        <f t="shared" si="2"/>
        <v>44992.746254946629</v>
      </c>
      <c r="AP7" s="33">
        <f t="shared" si="2"/>
        <v>45910.21306682151</v>
      </c>
      <c r="AQ7" s="33">
        <f t="shared" si="2"/>
        <v>47036.043871157395</v>
      </c>
      <c r="AR7" s="33">
        <f t="shared" si="2"/>
        <v>48382.392357703822</v>
      </c>
    </row>
    <row r="8" spans="1:44" s="15" customFormat="1" x14ac:dyDescent="0.15">
      <c r="A8" s="37" t="s">
        <v>832</v>
      </c>
      <c r="B8" s="33">
        <v>0</v>
      </c>
      <c r="C8" s="33">
        <f>SUM($C7:C7)</f>
        <v>99638.164749783988</v>
      </c>
      <c r="D8" s="33">
        <f>SUM($C7:D7)</f>
        <v>223013.1227721941</v>
      </c>
      <c r="E8" s="33">
        <f>SUM($C7:E7)</f>
        <v>298614.18168265716</v>
      </c>
      <c r="F8" s="33">
        <f>SUM($C7:F7)</f>
        <v>373004.1335595001</v>
      </c>
      <c r="G8" s="33">
        <f>SUM($C7:G7)</f>
        <v>446156.00956619281</v>
      </c>
      <c r="H8" s="33">
        <f>SUM($C7:H7)</f>
        <v>518045.39258581714</v>
      </c>
      <c r="I8" s="33">
        <f>SUM($C7:I7)</f>
        <v>588650.80618105782</v>
      </c>
      <c r="J8" s="33">
        <f>SUM($C7:J7)</f>
        <v>657953.53147161193</v>
      </c>
      <c r="K8" s="33">
        <f>SUM($C7:K7)</f>
        <v>725938.15936383838</v>
      </c>
      <c r="L8" s="33">
        <f>SUM($C7:L7)</f>
        <v>792592.41761109279</v>
      </c>
      <c r="M8" s="33">
        <f>SUM($C7:M7)</f>
        <v>857907.5457287482</v>
      </c>
      <c r="N8" s="33">
        <f>SUM($C7:N7)</f>
        <v>921878.42789933365</v>
      </c>
      <c r="O8" s="33">
        <f>SUM($C7:O7)</f>
        <v>984503.69327301765</v>
      </c>
      <c r="P8" s="33">
        <f>SUM($C7:P7)</f>
        <v>1045786.125784548</v>
      </c>
      <c r="Q8" s="33">
        <f>SUM($C7:Q7)</f>
        <v>1105732.5636884514</v>
      </c>
      <c r="R8" s="33">
        <f>SUM($C7:R7)</f>
        <v>1164354.3580227764</v>
      </c>
      <c r="S8" s="33">
        <f>SUM($C7:S7)</f>
        <v>1221667.4220979284</v>
      </c>
      <c r="T8" s="33">
        <f>SUM($C7:T7)</f>
        <v>1277692.5149216736</v>
      </c>
      <c r="U8" s="33">
        <f>SUM($C7:U7)</f>
        <v>1332455.5221739965</v>
      </c>
      <c r="V8" s="33">
        <f>SUM($C7:V7)</f>
        <v>1385987.4774381826</v>
      </c>
      <c r="W8" s="33">
        <f>SUM($C7:W7)</f>
        <v>1438325.0109084002</v>
      </c>
      <c r="X8" s="33">
        <f>SUM($C7:X7)</f>
        <v>1489510.52369565</v>
      </c>
      <c r="Y8" s="33">
        <f>SUM($C7:Y7)</f>
        <v>1539592.4539957945</v>
      </c>
      <c r="Z8" s="33">
        <f>SUM($C7:Z7)</f>
        <v>1588625.4163147695</v>
      </c>
      <c r="AA8" s="33">
        <f>SUM($C7:AA7)</f>
        <v>1636670.5570611912</v>
      </c>
      <c r="AB8" s="33">
        <f>SUM($C7:AB7)</f>
        <v>1683795.952559799</v>
      </c>
      <c r="AC8" s="33">
        <f>SUM($C7:AC7)</f>
        <v>1730076.6389032849</v>
      </c>
      <c r="AD8" s="33">
        <f>SUM($C7:AD7)</f>
        <v>1775594.9629291901</v>
      </c>
      <c r="AE8" s="33">
        <f>SUM($C7:AE7)</f>
        <v>1820441.1477215076</v>
      </c>
      <c r="AF8" s="33">
        <f>SUM($C7:AF7)</f>
        <v>1864713.1900358615</v>
      </c>
      <c r="AG8" s="33">
        <f>SUM($C7:AG7)</f>
        <v>1908517.3895021323</v>
      </c>
      <c r="AH8" s="33">
        <f>SUM($C7:AH7)</f>
        <v>1951968.7627218603</v>
      </c>
      <c r="AI8" s="33">
        <f>SUM($C7:AI7)</f>
        <v>1995191.0474421857</v>
      </c>
      <c r="AJ8" s="33">
        <f>SUM($C7:AJ7)</f>
        <v>2038317.4939062088</v>
      </c>
      <c r="AK8" s="33">
        <f>SUM($C7:AK7)</f>
        <v>2081490.6845675642</v>
      </c>
      <c r="AL8" s="33">
        <f>SUM($C7:AL7)</f>
        <v>2124863.4109990005</v>
      </c>
      <c r="AM8" s="33">
        <f>SUM($C7:AM7)</f>
        <v>2168598.7143749055</v>
      </c>
      <c r="AN8" s="33">
        <f>SUM($C7:AN7)</f>
        <v>2212870.3265676103</v>
      </c>
      <c r="AO8" s="33">
        <f>SUM($C7:AO7)</f>
        <v>2257863.0728225568</v>
      </c>
      <c r="AP8" s="33">
        <f>SUM($C7:AP7)</f>
        <v>2303773.2858893783</v>
      </c>
      <c r="AQ8" s="33">
        <f>SUM($C7:AQ7)</f>
        <v>2350809.3297605356</v>
      </c>
      <c r="AR8" s="33">
        <f>SUM($C7:AR7)</f>
        <v>2399191.7221182394</v>
      </c>
    </row>
    <row r="9" spans="1:44" s="15" customFormat="1" x14ac:dyDescent="0.15">
      <c r="A9" s="37" t="s">
        <v>833</v>
      </c>
      <c r="B9" s="33">
        <f>B4</f>
        <v>2968187.2744899672</v>
      </c>
      <c r="C9" s="33">
        <f>$B4-SUM($B5:B5)-SUM($B6:B6)</f>
        <v>2947113.1448410884</v>
      </c>
      <c r="D9" s="33">
        <f>$B4-SUM($B5:C5)-SUM($B6:C6)</f>
        <v>2926039.0151922097</v>
      </c>
      <c r="E9" s="33">
        <f>$B4-SUM($B5:D5)-SUM($B6:D6)</f>
        <v>2904964.885543331</v>
      </c>
      <c r="F9" s="33">
        <f>$B4-SUM($B5:E5)-SUM($B6:E6)</f>
        <v>2883890.7558944519</v>
      </c>
      <c r="G9" s="33">
        <f>$B4-SUM($B5:F5)-SUM($B6:F6)</f>
        <v>2862816.6262455732</v>
      </c>
      <c r="H9" s="33">
        <f>$B4-SUM($B5:G5)-SUM($B6:G6)</f>
        <v>2841742.4965966945</v>
      </c>
      <c r="I9" s="33">
        <f>$B4-SUM($B5:H5)-SUM($B6:H6)</f>
        <v>2820668.3669478158</v>
      </c>
      <c r="J9" s="33">
        <f>$B4-SUM($B5:I5)-SUM($B6:I6)</f>
        <v>2799594.237298937</v>
      </c>
      <c r="K9" s="33">
        <f>$B4-SUM($B5:J5)-SUM($B6:J6)</f>
        <v>2778520.1076500583</v>
      </c>
      <c r="L9" s="33">
        <f>$B4-SUM($B5:K5)-SUM($B6:K6)</f>
        <v>2757445.9780011796</v>
      </c>
      <c r="M9" s="33">
        <f>$B4-SUM($B5:L5)-SUM($B6:L6)</f>
        <v>2736371.8483523009</v>
      </c>
      <c r="N9" s="33">
        <f>$B4-SUM($B5:M5)-SUM($B6:M6)</f>
        <v>2715297.7187034218</v>
      </c>
      <c r="O9" s="33">
        <f>$B4-SUM($B5:N5)-SUM($B6:N6)</f>
        <v>2694223.5890545431</v>
      </c>
      <c r="P9" s="33">
        <f>$B4-SUM($B5:O5)-SUM($B6:O6)</f>
        <v>2673149.4594056644</v>
      </c>
      <c r="Q9" s="33">
        <f>$B4-SUM($B5:P5)-SUM($B6:P6)</f>
        <v>2652075.3297567856</v>
      </c>
      <c r="R9" s="33">
        <f>$B4-SUM($B5:Q5)-SUM($B6:Q6)</f>
        <v>2631001.2001079069</v>
      </c>
      <c r="S9" s="33">
        <f>$B4-SUM($B5:R5)-SUM($B6:R6)</f>
        <v>2609927.0704590282</v>
      </c>
      <c r="T9" s="33">
        <f>$B4-SUM($B5:S5)-SUM($B6:S6)</f>
        <v>2588852.9408101495</v>
      </c>
      <c r="U9" s="33">
        <f>$B4-SUM($B5:T5)-SUM($B6:T6)</f>
        <v>2567778.8111612704</v>
      </c>
      <c r="V9" s="33">
        <f>$B4-SUM($B5:U5)-SUM($B6:U6)</f>
        <v>2546704.6815123917</v>
      </c>
      <c r="W9" s="33">
        <f>$B4-SUM($B5:V5)-SUM($B6:V6)</f>
        <v>2525630.551863513</v>
      </c>
      <c r="X9" s="33">
        <f>$B4-SUM($B5:W5)-SUM($B6:W6)</f>
        <v>2504556.4222146343</v>
      </c>
      <c r="Y9" s="33">
        <f>$B4-SUM($B5:X5)-SUM($B6:X6)</f>
        <v>2483482.2925657555</v>
      </c>
      <c r="Z9" s="33">
        <f>$B4-SUM($B5:Y5)-SUM($B6:Y6)</f>
        <v>2462408.1629168768</v>
      </c>
      <c r="AA9" s="33">
        <f>$B4-SUM($B5:Z5)-SUM($B6:Z6)</f>
        <v>2441334.0332679981</v>
      </c>
      <c r="AB9" s="33">
        <f>$B4-SUM($B5:AA5)-SUM($B6:AA6)</f>
        <v>2420259.903619119</v>
      </c>
      <c r="AC9" s="33">
        <f>$B4-SUM($B5:AB5)-SUM($B6:AB6)</f>
        <v>2399185.7739702403</v>
      </c>
      <c r="AD9" s="33">
        <f>$B4-SUM($B5:AC5)-SUM($B6:AC6)</f>
        <v>2378111.6443213616</v>
      </c>
      <c r="AE9" s="33">
        <f>$B4-SUM($B5:AD5)-SUM($B6:AD6)</f>
        <v>2357037.5146724829</v>
      </c>
      <c r="AF9" s="33">
        <f>$B4-SUM($B5:AE5)-SUM($B6:AE6)</f>
        <v>2335963.3850236041</v>
      </c>
      <c r="AG9" s="33">
        <f>$B4-SUM($B5:AF5)-SUM($B6:AF6)</f>
        <v>2314889.255374725</v>
      </c>
      <c r="AH9" s="33">
        <f>$B4-SUM($B5:AG5)-SUM($B6:AG6)</f>
        <v>2293815.1257258463</v>
      </c>
      <c r="AI9" s="33">
        <f>$B4-SUM($B5:AH5)-SUM($B6:AH6)</f>
        <v>2272740.9960769676</v>
      </c>
      <c r="AJ9" s="33">
        <f>$B4-SUM($B5:AI5)-SUM($B6:AI6)</f>
        <v>2251666.8664280884</v>
      </c>
      <c r="AK9" s="33">
        <f>$B4-SUM($B5:AJ5)-SUM($B6:AJ6)</f>
        <v>2230592.7367792097</v>
      </c>
      <c r="AL9" s="33">
        <f>$B4-SUM($B5:AK5)-SUM($B6:AK6)</f>
        <v>2209518.607130331</v>
      </c>
      <c r="AM9" s="33">
        <f>$B4-SUM($B5:AL5)-SUM($B6:AL6)</f>
        <v>2188444.4774814523</v>
      </c>
      <c r="AN9" s="33">
        <f>$B4-SUM($B5:AM5)-SUM($B6:AM6)</f>
        <v>2167370.3478325736</v>
      </c>
      <c r="AO9" s="33">
        <f>$B4-SUM($B5:AN5)-SUM($B6:AN6)</f>
        <v>2146296.2181836944</v>
      </c>
      <c r="AP9" s="33">
        <f>$B4-SUM($B5:AO5)-SUM($B6:AO6)</f>
        <v>2125222.0885348157</v>
      </c>
      <c r="AQ9" s="33">
        <f>$B4-SUM($B5:AP5)-SUM($B6:AP6)</f>
        <v>2104147.958885937</v>
      </c>
      <c r="AR9" s="33">
        <f>$B4-SUM($B5:AQ5)-SUM($B6:AQ6)</f>
        <v>2083073.8292370581</v>
      </c>
    </row>
    <row r="10" spans="1:44" s="15" customFormat="1" x14ac:dyDescent="0.1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</row>
    <row r="11" spans="1:44" s="19" customFormat="1" x14ac:dyDescent="0.15">
      <c r="A11" s="37"/>
      <c r="B11" s="35">
        <v>2018</v>
      </c>
      <c r="C11" s="35">
        <v>2019</v>
      </c>
      <c r="D11" s="35">
        <v>2020</v>
      </c>
      <c r="E11" s="35">
        <v>2021</v>
      </c>
      <c r="F11" s="35">
        <v>2022</v>
      </c>
      <c r="G11" s="35">
        <v>2023</v>
      </c>
      <c r="H11" s="35">
        <v>2024</v>
      </c>
      <c r="I11" s="35">
        <v>2025</v>
      </c>
      <c r="J11" s="35">
        <v>2026</v>
      </c>
      <c r="K11" s="35">
        <v>2027</v>
      </c>
      <c r="L11" s="35">
        <v>2028</v>
      </c>
      <c r="M11" s="35">
        <v>2029</v>
      </c>
      <c r="N11" s="35">
        <v>2030</v>
      </c>
      <c r="O11" s="35">
        <v>2031</v>
      </c>
      <c r="P11" s="35">
        <v>2032</v>
      </c>
      <c r="Q11" s="35">
        <v>2033</v>
      </c>
      <c r="R11" s="35">
        <v>2034</v>
      </c>
      <c r="S11" s="35">
        <v>2035</v>
      </c>
      <c r="T11" s="35">
        <v>2036</v>
      </c>
      <c r="U11" s="35">
        <v>2037</v>
      </c>
      <c r="V11" s="35">
        <v>2038</v>
      </c>
      <c r="W11" s="35">
        <v>2039</v>
      </c>
      <c r="X11" s="35">
        <v>2040</v>
      </c>
      <c r="Y11" s="35">
        <v>2041</v>
      </c>
      <c r="Z11" s="35">
        <v>2042</v>
      </c>
      <c r="AA11" s="35">
        <v>2043</v>
      </c>
      <c r="AB11" s="35">
        <v>2044</v>
      </c>
      <c r="AC11" s="35">
        <v>2045</v>
      </c>
      <c r="AD11" s="35">
        <v>2046</v>
      </c>
      <c r="AE11" s="35">
        <v>2047</v>
      </c>
      <c r="AF11" s="35">
        <v>2048</v>
      </c>
      <c r="AG11" s="35">
        <v>2049</v>
      </c>
      <c r="AH11" s="35">
        <v>2050</v>
      </c>
      <c r="AI11" s="35">
        <v>2051</v>
      </c>
      <c r="AJ11" s="35">
        <v>2052</v>
      </c>
      <c r="AK11" s="35">
        <v>2053</v>
      </c>
      <c r="AL11" s="35">
        <v>2054</v>
      </c>
      <c r="AM11" s="35">
        <v>2055</v>
      </c>
      <c r="AN11" s="35">
        <v>2056</v>
      </c>
      <c r="AO11" s="35">
        <v>2057</v>
      </c>
      <c r="AP11" s="35">
        <v>2058</v>
      </c>
      <c r="AQ11" s="35">
        <v>2059</v>
      </c>
      <c r="AR11" s="35">
        <v>2060</v>
      </c>
    </row>
    <row r="12" spans="1:44" s="15" customFormat="1" x14ac:dyDescent="0.15">
      <c r="A12" s="37" t="s">
        <v>830</v>
      </c>
      <c r="B12" s="33">
        <f>D45*人口变化预测!D5/10000</f>
        <v>2082627.3663288597</v>
      </c>
      <c r="C12" s="33">
        <f>E45*人口变化预测!E5/10000</f>
        <v>2024080.5129151295</v>
      </c>
      <c r="D12" s="33">
        <f>F45*人口变化预测!F5/10000</f>
        <v>1976972.9493052985</v>
      </c>
      <c r="E12" s="33">
        <f>G45*人口变化预测!G5/10000</f>
        <v>1979995.4099819793</v>
      </c>
      <c r="F12" s="33">
        <f>H45*人口变化预测!H5/10000</f>
        <v>1981396.468072969</v>
      </c>
      <c r="G12" s="33">
        <f>I45*人口变化预测!I5/10000</f>
        <v>1981202.8915639373</v>
      </c>
      <c r="H12" s="33">
        <f>J45*人口变化预测!J5/10000</f>
        <v>1979443.5321156739</v>
      </c>
      <c r="I12" s="33">
        <f>K45*人口变化预测!K5/10000</f>
        <v>1976149.4186074501</v>
      </c>
      <c r="J12" s="33">
        <f>L45*人口变化预测!L5/10000</f>
        <v>1971353.5045670867</v>
      </c>
      <c r="K12" s="33">
        <f>M45*人口变化预测!M5/10000</f>
        <v>1965090.840744247</v>
      </c>
      <c r="L12" s="33">
        <f>N45*人口变化预测!N5/10000</f>
        <v>1957398.3190856189</v>
      </c>
      <c r="M12" s="33">
        <f>O45*人口变化预测!O5/10000</f>
        <v>1948314.726025539</v>
      </c>
      <c r="N12" s="33">
        <f>P45*人口变化预测!P5/10000</f>
        <v>1937880.6485106044</v>
      </c>
      <c r="O12" s="33">
        <f>Q45*人口变化预测!Q5/10000</f>
        <v>1926138.358378347</v>
      </c>
      <c r="P12" s="33">
        <f>R45*人口变化预测!R5/10000</f>
        <v>1913131.8532854016</v>
      </c>
      <c r="Q12" s="33">
        <f>S45*人口变化预测!S5/10000</f>
        <v>1898906.620261908</v>
      </c>
      <c r="R12" s="33">
        <f>T45*人口变化预测!T5/10000</f>
        <v>1883509.6852550087</v>
      </c>
      <c r="S12" s="33">
        <f>U45*人口变化预测!U5/10000</f>
        <v>1866989.4416576787</v>
      </c>
      <c r="T12" s="33">
        <f>V45*人口变化预测!V5/10000</f>
        <v>1849395.5914135189</v>
      </c>
      <c r="U12" s="33">
        <f>W45*人口变化预测!W5/10000</f>
        <v>1830779.073163593</v>
      </c>
      <c r="V12" s="33">
        <f>X45*人口变化预测!X5/10000</f>
        <v>1811191.859344122</v>
      </c>
      <c r="W12" s="33">
        <f>Y45*人口变化预测!Y5/10000</f>
        <v>1790686.9489375697</v>
      </c>
      <c r="X12" s="33">
        <f>Z45*人口变化预测!Z5/10000</f>
        <v>1769318.2187277328</v>
      </c>
      <c r="Y12" s="33">
        <f>AA45*人口变化预测!AA5/10000</f>
        <v>1747140.3092578591</v>
      </c>
      <c r="Z12" s="33">
        <f>AB45*人口变化预测!AB5/10000</f>
        <v>1724208.4469229027</v>
      </c>
      <c r="AA12" s="33">
        <f>AC45*人口变化预测!AC5/10000</f>
        <v>1700578.3532290603</v>
      </c>
      <c r="AB12" s="33">
        <f>AD45*人口变化预测!AD5/10000</f>
        <v>1676306.1572913367</v>
      </c>
      <c r="AC12" s="33">
        <f>AE45*人口变化预测!AE5/10000</f>
        <v>1651448.1451362693</v>
      </c>
      <c r="AD12" s="33">
        <f>AF45*人口变化预测!AF5/10000</f>
        <v>1626060.6378036418</v>
      </c>
      <c r="AE12" s="33">
        <f>AG45*人口变化预测!AG5/10000</f>
        <v>1600199.9384588127</v>
      </c>
      <c r="AF12" s="33">
        <f>AH45*人口变化预测!AH5/10000</f>
        <v>1573922.0055361048</v>
      </c>
      <c r="AG12" s="33">
        <f>AI45*人口变化预测!AI5/10000</f>
        <v>1547282.3675476867</v>
      </c>
      <c r="AH12" s="33">
        <f>AJ45*人口变化预测!AJ5/10000</f>
        <v>1520335.9753379978</v>
      </c>
      <c r="AI12" s="33">
        <f>AK45*人口变化预测!AK5/10000</f>
        <v>1493136.8957226265</v>
      </c>
      <c r="AJ12" s="33">
        <f>AL45*人口变化预测!AL5/10000</f>
        <v>1465738.2793362769</v>
      </c>
      <c r="AK12" s="33">
        <f>AM45*人口变化预测!AM5/10000</f>
        <v>1438191.9711621774</v>
      </c>
      <c r="AL12" s="33">
        <f>AN45*人口变化预测!AN5/10000</f>
        <v>1410548.4797232398</v>
      </c>
      <c r="AM12" s="33">
        <f>AO45*人口变化预测!AO5/10000</f>
        <v>1382856.6441196492</v>
      </c>
      <c r="AN12" s="33">
        <f>AP45*人口变化预测!AP5/10000</f>
        <v>1355163.4292418899</v>
      </c>
      <c r="AO12" s="33">
        <f>AQ45*人口变化预测!AQ5/10000</f>
        <v>1327513.6944615983</v>
      </c>
      <c r="AP12" s="33">
        <f>AR45*人口变化预测!AR5/10000</f>
        <v>1299949.952898453</v>
      </c>
      <c r="AQ12" s="33">
        <f>AS45*人口变化预测!AS5/10000</f>
        <v>1272512.1489574253</v>
      </c>
      <c r="AR12" s="33">
        <f>AT45*人口变化预测!AT5/10000</f>
        <v>1245237.3064927459</v>
      </c>
    </row>
    <row r="13" spans="1:44" s="15" customFormat="1" x14ac:dyDescent="0.15">
      <c r="A13" s="37" t="s">
        <v>957</v>
      </c>
      <c r="B13" s="33">
        <f>$B12*0.71%</f>
        <v>14786.654300934902</v>
      </c>
      <c r="C13" s="33">
        <f t="shared" ref="C13:AR13" si="3">$B12*0.71%</f>
        <v>14786.654300934902</v>
      </c>
      <c r="D13" s="33">
        <f t="shared" si="3"/>
        <v>14786.654300934902</v>
      </c>
      <c r="E13" s="33">
        <f t="shared" si="3"/>
        <v>14786.654300934902</v>
      </c>
      <c r="F13" s="33">
        <f t="shared" si="3"/>
        <v>14786.654300934902</v>
      </c>
      <c r="G13" s="33">
        <f t="shared" si="3"/>
        <v>14786.654300934902</v>
      </c>
      <c r="H13" s="33">
        <f t="shared" si="3"/>
        <v>14786.654300934902</v>
      </c>
      <c r="I13" s="33">
        <f t="shared" si="3"/>
        <v>14786.654300934902</v>
      </c>
      <c r="J13" s="33">
        <f t="shared" si="3"/>
        <v>14786.654300934902</v>
      </c>
      <c r="K13" s="33">
        <f t="shared" si="3"/>
        <v>14786.654300934902</v>
      </c>
      <c r="L13" s="33">
        <f t="shared" si="3"/>
        <v>14786.654300934902</v>
      </c>
      <c r="M13" s="33">
        <f t="shared" si="3"/>
        <v>14786.654300934902</v>
      </c>
      <c r="N13" s="33">
        <f t="shared" si="3"/>
        <v>14786.654300934902</v>
      </c>
      <c r="O13" s="33">
        <f t="shared" si="3"/>
        <v>14786.654300934902</v>
      </c>
      <c r="P13" s="33">
        <f t="shared" si="3"/>
        <v>14786.654300934902</v>
      </c>
      <c r="Q13" s="33">
        <f t="shared" si="3"/>
        <v>14786.654300934902</v>
      </c>
      <c r="R13" s="33">
        <f t="shared" si="3"/>
        <v>14786.654300934902</v>
      </c>
      <c r="S13" s="33">
        <f t="shared" si="3"/>
        <v>14786.654300934902</v>
      </c>
      <c r="T13" s="33">
        <f t="shared" si="3"/>
        <v>14786.654300934902</v>
      </c>
      <c r="U13" s="33">
        <f t="shared" si="3"/>
        <v>14786.654300934902</v>
      </c>
      <c r="V13" s="33">
        <f t="shared" si="3"/>
        <v>14786.654300934902</v>
      </c>
      <c r="W13" s="33">
        <f t="shared" si="3"/>
        <v>14786.654300934902</v>
      </c>
      <c r="X13" s="33">
        <f t="shared" si="3"/>
        <v>14786.654300934902</v>
      </c>
      <c r="Y13" s="33">
        <f t="shared" si="3"/>
        <v>14786.654300934902</v>
      </c>
      <c r="Z13" s="33">
        <f t="shared" si="3"/>
        <v>14786.654300934902</v>
      </c>
      <c r="AA13" s="33">
        <f t="shared" si="3"/>
        <v>14786.654300934902</v>
      </c>
      <c r="AB13" s="33">
        <f t="shared" si="3"/>
        <v>14786.654300934902</v>
      </c>
      <c r="AC13" s="33">
        <f t="shared" si="3"/>
        <v>14786.654300934902</v>
      </c>
      <c r="AD13" s="33">
        <f t="shared" si="3"/>
        <v>14786.654300934902</v>
      </c>
      <c r="AE13" s="33">
        <f t="shared" si="3"/>
        <v>14786.654300934902</v>
      </c>
      <c r="AF13" s="33">
        <f t="shared" si="3"/>
        <v>14786.654300934902</v>
      </c>
      <c r="AG13" s="33">
        <f t="shared" si="3"/>
        <v>14786.654300934902</v>
      </c>
      <c r="AH13" s="33">
        <f t="shared" si="3"/>
        <v>14786.654300934902</v>
      </c>
      <c r="AI13" s="33">
        <f t="shared" si="3"/>
        <v>14786.654300934902</v>
      </c>
      <c r="AJ13" s="33">
        <f t="shared" si="3"/>
        <v>14786.654300934902</v>
      </c>
      <c r="AK13" s="33">
        <f t="shared" si="3"/>
        <v>14786.654300934902</v>
      </c>
      <c r="AL13" s="33">
        <f t="shared" si="3"/>
        <v>14786.654300934902</v>
      </c>
      <c r="AM13" s="33">
        <f t="shared" si="3"/>
        <v>14786.654300934902</v>
      </c>
      <c r="AN13" s="33">
        <f t="shared" si="3"/>
        <v>14786.654300934902</v>
      </c>
      <c r="AO13" s="33">
        <f t="shared" si="3"/>
        <v>14786.654300934902</v>
      </c>
      <c r="AP13" s="33">
        <f t="shared" si="3"/>
        <v>14786.654300934902</v>
      </c>
      <c r="AQ13" s="33">
        <f t="shared" si="3"/>
        <v>14786.654300934902</v>
      </c>
      <c r="AR13" s="33">
        <f t="shared" si="3"/>
        <v>14786.654300934902</v>
      </c>
    </row>
    <row r="14" spans="1:44" s="15" customFormat="1" x14ac:dyDescent="0.15">
      <c r="A14" s="37" t="s">
        <v>963</v>
      </c>
      <c r="B14" s="33"/>
      <c r="C14" s="33">
        <f>IF(B12-C12-B13&gt;0,B12-C12-B13,0)</f>
        <v>43760.199112795257</v>
      </c>
      <c r="D14" s="33">
        <f>IF(C12-D12-C13&gt;0,C12-D12-C13,0)</f>
        <v>32320.909308896131</v>
      </c>
      <c r="E14" s="33">
        <f t="shared" ref="E14:AR14" si="4">IF(D12-E12-D13&gt;0,D12-E12-D13,0)</f>
        <v>0</v>
      </c>
      <c r="F14" s="33">
        <f t="shared" si="4"/>
        <v>0</v>
      </c>
      <c r="G14" s="33">
        <f t="shared" si="4"/>
        <v>0</v>
      </c>
      <c r="H14" s="33">
        <f t="shared" si="4"/>
        <v>0</v>
      </c>
      <c r="I14" s="33">
        <f t="shared" si="4"/>
        <v>0</v>
      </c>
      <c r="J14" s="33">
        <f t="shared" si="4"/>
        <v>0</v>
      </c>
      <c r="K14" s="33">
        <f t="shared" si="4"/>
        <v>0</v>
      </c>
      <c r="L14" s="33">
        <f t="shared" si="4"/>
        <v>0</v>
      </c>
      <c r="M14" s="33">
        <f t="shared" si="4"/>
        <v>0</v>
      </c>
      <c r="N14" s="33">
        <f t="shared" si="4"/>
        <v>0</v>
      </c>
      <c r="O14" s="33">
        <f t="shared" si="4"/>
        <v>0</v>
      </c>
      <c r="P14" s="33">
        <f t="shared" si="4"/>
        <v>0</v>
      </c>
      <c r="Q14" s="33">
        <f t="shared" si="4"/>
        <v>0</v>
      </c>
      <c r="R14" s="33">
        <f t="shared" si="4"/>
        <v>610.28070596439102</v>
      </c>
      <c r="S14" s="33">
        <f t="shared" si="4"/>
        <v>1733.5892963951574</v>
      </c>
      <c r="T14" s="33">
        <f t="shared" si="4"/>
        <v>2807.1959432249078</v>
      </c>
      <c r="U14" s="33">
        <f t="shared" si="4"/>
        <v>3829.863948991022</v>
      </c>
      <c r="V14" s="33">
        <f t="shared" si="4"/>
        <v>4800.5595185360526</v>
      </c>
      <c r="W14" s="33">
        <f t="shared" si="4"/>
        <v>5718.2561056173527</v>
      </c>
      <c r="X14" s="33">
        <f t="shared" si="4"/>
        <v>6582.0759089020667</v>
      </c>
      <c r="Y14" s="33">
        <f t="shared" si="4"/>
        <v>7391.2551689387419</v>
      </c>
      <c r="Z14" s="33">
        <f t="shared" si="4"/>
        <v>8145.2080340215125</v>
      </c>
      <c r="AA14" s="33">
        <f t="shared" si="4"/>
        <v>8843.4393929075104</v>
      </c>
      <c r="AB14" s="33">
        <f t="shared" si="4"/>
        <v>9485.5416367887174</v>
      </c>
      <c r="AC14" s="33">
        <f t="shared" si="4"/>
        <v>10071.357854132506</v>
      </c>
      <c r="AD14" s="33">
        <f t="shared" si="4"/>
        <v>10600.853031692526</v>
      </c>
      <c r="AE14" s="33">
        <f t="shared" si="4"/>
        <v>11074.045043894288</v>
      </c>
      <c r="AF14" s="33">
        <f t="shared" si="4"/>
        <v>11491.278621772968</v>
      </c>
      <c r="AG14" s="33">
        <f t="shared" si="4"/>
        <v>11852.983687483205</v>
      </c>
      <c r="AH14" s="33">
        <f t="shared" si="4"/>
        <v>12159.737908753998</v>
      </c>
      <c r="AI14" s="33">
        <f t="shared" si="4"/>
        <v>12412.425314436399</v>
      </c>
      <c r="AJ14" s="33">
        <f t="shared" si="4"/>
        <v>12611.962085414643</v>
      </c>
      <c r="AK14" s="33">
        <f t="shared" si="4"/>
        <v>12759.653873164638</v>
      </c>
      <c r="AL14" s="33">
        <f t="shared" si="4"/>
        <v>12856.837138002704</v>
      </c>
      <c r="AM14" s="33">
        <f t="shared" si="4"/>
        <v>12905.181302655687</v>
      </c>
      <c r="AN14" s="33">
        <f t="shared" si="4"/>
        <v>12906.560576824437</v>
      </c>
      <c r="AO14" s="33">
        <f t="shared" si="4"/>
        <v>12863.080479356659</v>
      </c>
      <c r="AP14" s="33">
        <f t="shared" si="4"/>
        <v>12777.087262210402</v>
      </c>
      <c r="AQ14" s="33">
        <f t="shared" si="4"/>
        <v>12651.149640092824</v>
      </c>
      <c r="AR14" s="33">
        <f t="shared" si="4"/>
        <v>12488.188163744484</v>
      </c>
    </row>
    <row r="15" spans="1:44" s="15" customFormat="1" x14ac:dyDescent="0.15">
      <c r="A15" s="37" t="s">
        <v>889</v>
      </c>
      <c r="B15" s="33"/>
      <c r="C15" s="33">
        <f t="shared" ref="C15:AR15" si="5">IF(C12-B12+B13&gt;0,C12-B12+B13,0)</f>
        <v>0</v>
      </c>
      <c r="D15" s="33">
        <f t="shared" si="5"/>
        <v>0</v>
      </c>
      <c r="E15" s="33">
        <f t="shared" si="5"/>
        <v>17809.114977615689</v>
      </c>
      <c r="F15" s="33">
        <f t="shared" si="5"/>
        <v>16187.712391924613</v>
      </c>
      <c r="G15" s="33">
        <f t="shared" si="5"/>
        <v>14593.077791903203</v>
      </c>
      <c r="H15" s="33">
        <f t="shared" si="5"/>
        <v>13027.294852671481</v>
      </c>
      <c r="I15" s="33">
        <f t="shared" si="5"/>
        <v>11492.540792711114</v>
      </c>
      <c r="J15" s="33">
        <f t="shared" si="5"/>
        <v>9990.7402605715088</v>
      </c>
      <c r="K15" s="33">
        <f t="shared" si="5"/>
        <v>8523.9904780951674</v>
      </c>
      <c r="L15" s="33">
        <f t="shared" si="5"/>
        <v>7094.1326423068876</v>
      </c>
      <c r="M15" s="33">
        <f t="shared" si="5"/>
        <v>5703.0612408549405</v>
      </c>
      <c r="N15" s="33">
        <f t="shared" si="5"/>
        <v>4352.5767860003161</v>
      </c>
      <c r="O15" s="33">
        <f t="shared" si="5"/>
        <v>3044.3641686775136</v>
      </c>
      <c r="P15" s="33">
        <f t="shared" si="5"/>
        <v>1780.149207989487</v>
      </c>
      <c r="Q15" s="33">
        <f t="shared" si="5"/>
        <v>561.42127744135178</v>
      </c>
      <c r="R15" s="33">
        <f t="shared" si="5"/>
        <v>0</v>
      </c>
      <c r="S15" s="33">
        <f t="shared" si="5"/>
        <v>0</v>
      </c>
      <c r="T15" s="33">
        <f t="shared" si="5"/>
        <v>0</v>
      </c>
      <c r="U15" s="33">
        <f t="shared" si="5"/>
        <v>0</v>
      </c>
      <c r="V15" s="33">
        <f t="shared" si="5"/>
        <v>0</v>
      </c>
      <c r="W15" s="33">
        <f t="shared" si="5"/>
        <v>0</v>
      </c>
      <c r="X15" s="33">
        <f t="shared" si="5"/>
        <v>0</v>
      </c>
      <c r="Y15" s="33">
        <f t="shared" si="5"/>
        <v>0</v>
      </c>
      <c r="Z15" s="33">
        <f t="shared" si="5"/>
        <v>0</v>
      </c>
      <c r="AA15" s="33">
        <f t="shared" si="5"/>
        <v>0</v>
      </c>
      <c r="AB15" s="33">
        <f t="shared" si="5"/>
        <v>0</v>
      </c>
      <c r="AC15" s="33">
        <f t="shared" si="5"/>
        <v>0</v>
      </c>
      <c r="AD15" s="33">
        <f t="shared" si="5"/>
        <v>0</v>
      </c>
      <c r="AE15" s="33">
        <f t="shared" si="5"/>
        <v>0</v>
      </c>
      <c r="AF15" s="33">
        <f t="shared" si="5"/>
        <v>0</v>
      </c>
      <c r="AG15" s="33">
        <f t="shared" si="5"/>
        <v>0</v>
      </c>
      <c r="AH15" s="33">
        <f t="shared" si="5"/>
        <v>0</v>
      </c>
      <c r="AI15" s="33">
        <f t="shared" si="5"/>
        <v>0</v>
      </c>
      <c r="AJ15" s="33">
        <f t="shared" si="5"/>
        <v>0</v>
      </c>
      <c r="AK15" s="33">
        <f t="shared" si="5"/>
        <v>0</v>
      </c>
      <c r="AL15" s="33">
        <f t="shared" si="5"/>
        <v>0</v>
      </c>
      <c r="AM15" s="33">
        <f t="shared" si="5"/>
        <v>0</v>
      </c>
      <c r="AN15" s="33">
        <f t="shared" si="5"/>
        <v>0</v>
      </c>
      <c r="AO15" s="33">
        <f t="shared" si="5"/>
        <v>0</v>
      </c>
      <c r="AP15" s="33">
        <f t="shared" si="5"/>
        <v>0</v>
      </c>
      <c r="AQ15" s="33">
        <f t="shared" si="5"/>
        <v>0</v>
      </c>
      <c r="AR15" s="33">
        <f t="shared" si="5"/>
        <v>0</v>
      </c>
    </row>
    <row r="16" spans="1:44" s="15" customFormat="1" x14ac:dyDescent="0.15">
      <c r="A16" s="37" t="s">
        <v>832</v>
      </c>
      <c r="B16" s="33">
        <v>0</v>
      </c>
      <c r="C16" s="33">
        <f>SUM($C15:C15)</f>
        <v>0</v>
      </c>
      <c r="D16" s="33">
        <f>SUM($C15:D15)</f>
        <v>0</v>
      </c>
      <c r="E16" s="33">
        <f>SUM($C15:E15)</f>
        <v>17809.114977615689</v>
      </c>
      <c r="F16" s="33">
        <f>SUM($C15:F15)</f>
        <v>33996.827369540304</v>
      </c>
      <c r="G16" s="33">
        <f>SUM($C15:G15)</f>
        <v>48589.905161443508</v>
      </c>
      <c r="H16" s="33">
        <f>SUM($C15:H15)</f>
        <v>61617.200014114991</v>
      </c>
      <c r="I16" s="33">
        <f>SUM($C15:I15)</f>
        <v>73109.740806826099</v>
      </c>
      <c r="J16" s="33">
        <f>SUM($C15:J15)</f>
        <v>83100.481067397603</v>
      </c>
      <c r="K16" s="33">
        <f>SUM($C15:K15)</f>
        <v>91624.471545492765</v>
      </c>
      <c r="L16" s="33">
        <f>SUM($C15:L15)</f>
        <v>98718.604187799647</v>
      </c>
      <c r="M16" s="33">
        <f>SUM($C15:M15)</f>
        <v>104421.66542865458</v>
      </c>
      <c r="N16" s="33">
        <f>SUM($C15:N15)</f>
        <v>108774.24221465489</v>
      </c>
      <c r="O16" s="33">
        <f>SUM($C15:O15)</f>
        <v>111818.6063833324</v>
      </c>
      <c r="P16" s="33">
        <f>SUM($C15:P15)</f>
        <v>113598.75559132188</v>
      </c>
      <c r="Q16" s="33">
        <f>SUM($C15:Q15)</f>
        <v>114160.17686876323</v>
      </c>
      <c r="R16" s="33">
        <f>SUM($C15:R15)</f>
        <v>114160.17686876323</v>
      </c>
      <c r="S16" s="33">
        <f>SUM($C15:S15)</f>
        <v>114160.17686876323</v>
      </c>
      <c r="T16" s="33">
        <f>SUM($C15:T15)</f>
        <v>114160.17686876323</v>
      </c>
      <c r="U16" s="33">
        <f>SUM($C15:U15)</f>
        <v>114160.17686876323</v>
      </c>
      <c r="V16" s="33">
        <f>SUM($C15:V15)</f>
        <v>114160.17686876323</v>
      </c>
      <c r="W16" s="33">
        <f>SUM($C15:W15)</f>
        <v>114160.17686876323</v>
      </c>
      <c r="X16" s="33">
        <f>SUM($C15:X15)</f>
        <v>114160.17686876323</v>
      </c>
      <c r="Y16" s="33">
        <f>SUM($C15:Y15)</f>
        <v>114160.17686876323</v>
      </c>
      <c r="Z16" s="33">
        <f>SUM($C15:Z15)</f>
        <v>114160.17686876323</v>
      </c>
      <c r="AA16" s="33">
        <f>SUM($C15:AA15)</f>
        <v>114160.17686876323</v>
      </c>
      <c r="AB16" s="33">
        <f>SUM($C15:AB15)</f>
        <v>114160.17686876323</v>
      </c>
      <c r="AC16" s="33">
        <f>SUM($C15:AC15)</f>
        <v>114160.17686876323</v>
      </c>
      <c r="AD16" s="33">
        <f>SUM($C15:AD15)</f>
        <v>114160.17686876323</v>
      </c>
      <c r="AE16" s="33">
        <f>SUM($C15:AE15)</f>
        <v>114160.17686876323</v>
      </c>
      <c r="AF16" s="33">
        <f>SUM($C15:AF15)</f>
        <v>114160.17686876323</v>
      </c>
      <c r="AG16" s="33">
        <f>SUM($C15:AG15)</f>
        <v>114160.17686876323</v>
      </c>
      <c r="AH16" s="33">
        <f>SUM($C15:AH15)</f>
        <v>114160.17686876323</v>
      </c>
      <c r="AI16" s="33">
        <f>SUM($C15:AI15)</f>
        <v>114160.17686876323</v>
      </c>
      <c r="AJ16" s="33">
        <f>SUM($C15:AJ15)</f>
        <v>114160.17686876323</v>
      </c>
      <c r="AK16" s="33">
        <f>SUM($C15:AK15)</f>
        <v>114160.17686876323</v>
      </c>
      <c r="AL16" s="33">
        <f>SUM($C15:AL15)</f>
        <v>114160.17686876323</v>
      </c>
      <c r="AM16" s="33">
        <f>SUM($C15:AM15)</f>
        <v>114160.17686876323</v>
      </c>
      <c r="AN16" s="33">
        <f>SUM($C15:AN15)</f>
        <v>114160.17686876323</v>
      </c>
      <c r="AO16" s="33">
        <f>SUM($C15:AO15)</f>
        <v>114160.17686876323</v>
      </c>
      <c r="AP16" s="33">
        <f>SUM($C15:AP15)</f>
        <v>114160.17686876323</v>
      </c>
      <c r="AQ16" s="33">
        <f>SUM($C15:AQ15)</f>
        <v>114160.17686876323</v>
      </c>
      <c r="AR16" s="33">
        <f>SUM($C15:AR15)</f>
        <v>114160.17686876323</v>
      </c>
    </row>
    <row r="17" spans="1:44" s="15" customFormat="1" x14ac:dyDescent="0.15">
      <c r="A17" s="37" t="s">
        <v>833</v>
      </c>
      <c r="B17" s="33">
        <f>B12</f>
        <v>2082627.3663288597</v>
      </c>
      <c r="C17" s="33">
        <f>$B12-SUM($B13:B13)-SUM($B14:B14)</f>
        <v>2067840.7120279248</v>
      </c>
      <c r="D17" s="33">
        <f>$B12-SUM($B13:C13)-SUM($B14:C14)</f>
        <v>2009293.8586141947</v>
      </c>
      <c r="E17" s="33">
        <f>$B12-SUM($B13:D13)-SUM($B14:D14)</f>
        <v>1962186.2950043636</v>
      </c>
      <c r="F17" s="33">
        <f>$B12-SUM($B13:E13)-SUM($B14:E14)</f>
        <v>1947399.6407034285</v>
      </c>
      <c r="G17" s="33">
        <f>$B12-SUM($B13:F13)-SUM($B14:F14)</f>
        <v>1932612.9864024937</v>
      </c>
      <c r="H17" s="33">
        <f>$B12-SUM($B13:G13)-SUM($B14:G14)</f>
        <v>1917826.3321015588</v>
      </c>
      <c r="I17" s="33">
        <f>$B12-SUM($B13:H13)-SUM($B14:H14)</f>
        <v>1903039.6778006239</v>
      </c>
      <c r="J17" s="33">
        <f>$B12-SUM($B13:I13)-SUM($B14:I14)</f>
        <v>1888253.0234996891</v>
      </c>
      <c r="K17" s="33">
        <f>$B12-SUM($B13:J13)-SUM($B14:J14)</f>
        <v>1873466.3691987542</v>
      </c>
      <c r="L17" s="33">
        <f>$B12-SUM($B13:K13)-SUM($B14:K14)</f>
        <v>1858679.7148978193</v>
      </c>
      <c r="M17" s="33">
        <f>$B12-SUM($B13:L13)-SUM($B14:L14)</f>
        <v>1843893.0605968845</v>
      </c>
      <c r="N17" s="33">
        <f>$B12-SUM($B13:M13)-SUM($B14:M14)</f>
        <v>1829106.4062959494</v>
      </c>
      <c r="O17" s="33">
        <f>$B12-SUM($B13:N13)-SUM($B14:N14)</f>
        <v>1814319.7519950145</v>
      </c>
      <c r="P17" s="33">
        <f>$B12-SUM($B13:O13)-SUM($B14:O14)</f>
        <v>1799533.0976940796</v>
      </c>
      <c r="Q17" s="33">
        <f>$B12-SUM($B13:P13)-SUM($B14:P14)</f>
        <v>1784746.4433931448</v>
      </c>
      <c r="R17" s="33">
        <f>$B12-SUM($B13:Q13)-SUM($B14:Q14)</f>
        <v>1769959.7890922099</v>
      </c>
      <c r="S17" s="33">
        <f>$B12-SUM($B13:R13)-SUM($B14:R14)</f>
        <v>1754562.8540853106</v>
      </c>
      <c r="T17" s="33">
        <f>$B12-SUM($B13:S13)-SUM($B14:S14)</f>
        <v>1738042.6104879808</v>
      </c>
      <c r="U17" s="33">
        <f>$B12-SUM($B13:T13)-SUM($B14:T14)</f>
        <v>1720448.7602438207</v>
      </c>
      <c r="V17" s="33">
        <f>$B12-SUM($B13:U13)-SUM($B14:U14)</f>
        <v>1701832.2419938948</v>
      </c>
      <c r="W17" s="33">
        <f>$B12-SUM($B13:V13)-SUM($B14:V14)</f>
        <v>1682245.0281744238</v>
      </c>
      <c r="X17" s="33">
        <f>$B12-SUM($B13:W13)-SUM($B14:W14)</f>
        <v>1661740.1177678714</v>
      </c>
      <c r="Y17" s="33">
        <f>$B12-SUM($B13:X13)-SUM($B14:X14)</f>
        <v>1640371.3875580344</v>
      </c>
      <c r="Z17" s="33">
        <f>$B12-SUM($B13:Y13)-SUM($B14:Y14)</f>
        <v>1618193.4780881607</v>
      </c>
      <c r="AA17" s="33">
        <f>$B12-SUM($B13:Z13)-SUM($B14:Z14)</f>
        <v>1595261.6157532043</v>
      </c>
      <c r="AB17" s="33">
        <f>$B12-SUM($B13:AA13)-SUM($B14:AA14)</f>
        <v>1571631.5220593621</v>
      </c>
      <c r="AC17" s="33">
        <f>$B12-SUM($B13:AB13)-SUM($B14:AB14)</f>
        <v>1547359.3261216383</v>
      </c>
      <c r="AD17" s="33">
        <f>$B12-SUM($B13:AC13)-SUM($B14:AC14)</f>
        <v>1522501.3139665709</v>
      </c>
      <c r="AE17" s="33">
        <f>$B12-SUM($B13:AD13)-SUM($B14:AD14)</f>
        <v>1497113.8066339435</v>
      </c>
      <c r="AF17" s="33">
        <f>$B12-SUM($B13:AE13)-SUM($B14:AE14)</f>
        <v>1471253.107289114</v>
      </c>
      <c r="AG17" s="33">
        <f>$B12-SUM($B13:AF13)-SUM($B14:AF14)</f>
        <v>1444975.1743664062</v>
      </c>
      <c r="AH17" s="33">
        <f>$B12-SUM($B13:AG13)-SUM($B14:AG14)</f>
        <v>1418335.5363779881</v>
      </c>
      <c r="AI17" s="33">
        <f>$B12-SUM($B13:AH13)-SUM($B14:AH14)</f>
        <v>1391389.1441682992</v>
      </c>
      <c r="AJ17" s="33">
        <f>$B12-SUM($B13:AI13)-SUM($B14:AI14)</f>
        <v>1364190.0645529281</v>
      </c>
      <c r="AK17" s="33">
        <f>$B12-SUM($B13:AJ13)-SUM($B14:AJ14)</f>
        <v>1336791.4481665783</v>
      </c>
      <c r="AL17" s="33">
        <f>$B12-SUM($B13:AK13)-SUM($B14:AK14)</f>
        <v>1309245.1399924788</v>
      </c>
      <c r="AM17" s="33">
        <f>$B12-SUM($B13:AL13)-SUM($B14:AL14)</f>
        <v>1281601.6485535412</v>
      </c>
      <c r="AN17" s="33">
        <f>$B12-SUM($B13:AM13)-SUM($B14:AM14)</f>
        <v>1253909.8129499506</v>
      </c>
      <c r="AO17" s="33">
        <f>$B12-SUM($B13:AN13)-SUM($B14:AN14)</f>
        <v>1226216.5980721912</v>
      </c>
      <c r="AP17" s="33">
        <f>$B12-SUM($B13:AO13)-SUM($B14:AO14)</f>
        <v>1198566.8632918999</v>
      </c>
      <c r="AQ17" s="33">
        <f>$B12-SUM($B13:AP13)-SUM($B14:AP14)</f>
        <v>1171003.1217287546</v>
      </c>
      <c r="AR17" s="33">
        <f>$B12-SUM($B13:AQ13)-SUM($B14:AQ14)</f>
        <v>1143565.3177877269</v>
      </c>
    </row>
    <row r="18" spans="1:44" s="15" customFormat="1" x14ac:dyDescent="0.15">
      <c r="A18" s="38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</row>
    <row r="19" spans="1:44" s="19" customFormat="1" x14ac:dyDescent="0.15">
      <c r="A19" s="37"/>
      <c r="B19" s="35">
        <v>2018</v>
      </c>
      <c r="C19" s="35">
        <v>2019</v>
      </c>
      <c r="D19" s="35">
        <v>2020</v>
      </c>
      <c r="E19" s="35">
        <v>2021</v>
      </c>
      <c r="F19" s="35">
        <v>2022</v>
      </c>
      <c r="G19" s="35">
        <v>2023</v>
      </c>
      <c r="H19" s="35">
        <v>2024</v>
      </c>
      <c r="I19" s="35">
        <v>2025</v>
      </c>
      <c r="J19" s="35">
        <v>2026</v>
      </c>
      <c r="K19" s="35">
        <v>2027</v>
      </c>
      <c r="L19" s="35">
        <v>2028</v>
      </c>
      <c r="M19" s="35">
        <v>2029</v>
      </c>
      <c r="N19" s="35">
        <v>2030</v>
      </c>
      <c r="O19" s="35">
        <v>2031</v>
      </c>
      <c r="P19" s="35">
        <v>2032</v>
      </c>
      <c r="Q19" s="35">
        <v>2033</v>
      </c>
      <c r="R19" s="35">
        <v>2034</v>
      </c>
      <c r="S19" s="35">
        <v>2035</v>
      </c>
      <c r="T19" s="35">
        <v>2036</v>
      </c>
      <c r="U19" s="35">
        <v>2037</v>
      </c>
      <c r="V19" s="35">
        <v>2038</v>
      </c>
      <c r="W19" s="35">
        <v>2039</v>
      </c>
      <c r="X19" s="35">
        <v>2040</v>
      </c>
      <c r="Y19" s="35">
        <v>2041</v>
      </c>
      <c r="Z19" s="35">
        <v>2042</v>
      </c>
      <c r="AA19" s="35">
        <v>2043</v>
      </c>
      <c r="AB19" s="35">
        <v>2044</v>
      </c>
      <c r="AC19" s="35">
        <v>2045</v>
      </c>
      <c r="AD19" s="35">
        <v>2046</v>
      </c>
      <c r="AE19" s="35">
        <v>2047</v>
      </c>
      <c r="AF19" s="35">
        <v>2048</v>
      </c>
      <c r="AG19" s="35">
        <v>2049</v>
      </c>
      <c r="AH19" s="35">
        <v>2050</v>
      </c>
      <c r="AI19" s="35">
        <v>2051</v>
      </c>
      <c r="AJ19" s="35">
        <v>2052</v>
      </c>
      <c r="AK19" s="35">
        <v>2053</v>
      </c>
      <c r="AL19" s="35">
        <v>2054</v>
      </c>
      <c r="AM19" s="35">
        <v>2055</v>
      </c>
      <c r="AN19" s="35">
        <v>2056</v>
      </c>
      <c r="AO19" s="35">
        <v>2057</v>
      </c>
      <c r="AP19" s="35">
        <v>2058</v>
      </c>
      <c r="AQ19" s="35">
        <v>2059</v>
      </c>
      <c r="AR19" s="35">
        <v>2060</v>
      </c>
    </row>
    <row r="20" spans="1:44" s="15" customFormat="1" x14ac:dyDescent="0.15">
      <c r="A20" s="37" t="s">
        <v>831</v>
      </c>
      <c r="B20" s="33">
        <f>D46*人口变化预测!D4/10000</f>
        <v>1223992.8394921592</v>
      </c>
      <c r="C20" s="33">
        <f>E46*人口变化预测!E4/10000</f>
        <v>1256390.3291086603</v>
      </c>
      <c r="D20" s="33">
        <f>F46*人口变化预测!F4/10000</f>
        <v>1298576.1717876182</v>
      </c>
      <c r="E20" s="33">
        <f>G46*人口变化预测!G4/10000</f>
        <v>1321061.4683015123</v>
      </c>
      <c r="F20" s="33">
        <f>H46*人口变化预测!H4/10000</f>
        <v>1343047.3400150412</v>
      </c>
      <c r="G20" s="33">
        <f>I46*人口变化预测!I4/10000</f>
        <v>1364522.6657758816</v>
      </c>
      <c r="H20" s="33">
        <f>J46*人口变化预测!J4/10000</f>
        <v>1385477.3766855767</v>
      </c>
      <c r="I20" s="33">
        <f>K46*人口变化预测!K4/10000</f>
        <v>1405902.6164951562</v>
      </c>
      <c r="J20" s="33">
        <f>L46*人口变化预测!L4/10000</f>
        <v>1425790.6660907858</v>
      </c>
      <c r="K20" s="33">
        <f>M46*人口变化预测!M4/10000</f>
        <v>1445135.1712169773</v>
      </c>
      <c r="L20" s="33">
        <f>N46*人口变化预测!N4/10000</f>
        <v>1463931.0711613735</v>
      </c>
      <c r="M20" s="33">
        <f>O46*人口变化预测!O4/10000</f>
        <v>1482174.7533586402</v>
      </c>
      <c r="N20" s="33">
        <f>P46*人口变化预测!P4/10000</f>
        <v>1499864.1081966225</v>
      </c>
      <c r="O20" s="33">
        <f>Q46*人口变化预测!Q4/10000</f>
        <v>1516998.5703773038</v>
      </c>
      <c r="P20" s="33">
        <f>R46*人口变化预测!R4/10000</f>
        <v>1533579.2879132198</v>
      </c>
      <c r="Q20" s="33">
        <f>S46*人口变化预测!S4/10000</f>
        <v>1549609.0806987367</v>
      </c>
      <c r="R20" s="33">
        <f>T46*人口变化预测!T4/10000</f>
        <v>1565092.6295669714</v>
      </c>
      <c r="S20" s="33">
        <f>U46*人口变化预测!U4/10000</f>
        <v>1580036.4966975276</v>
      </c>
      <c r="T20" s="33">
        <f>V46*人口变化预测!V4/10000</f>
        <v>1594449.2424925989</v>
      </c>
      <c r="U20" s="33">
        <f>W46*人口变化预测!W4/10000</f>
        <v>1608341.5414427144</v>
      </c>
      <c r="V20" s="33">
        <f>X46*人口变化预测!X4/10000</f>
        <v>1621726.1908818062</v>
      </c>
      <c r="W20" s="33">
        <f>Y46*人口变化预测!Y4/10000</f>
        <v>1634618.2960209763</v>
      </c>
      <c r="X20" s="33">
        <f>Z46*人口变化预测!Z4/10000</f>
        <v>1647035.3418271251</v>
      </c>
      <c r="Y20" s="33">
        <f>AA46*人口变化预测!AA4/10000</f>
        <v>1658997.3027827954</v>
      </c>
      <c r="Z20" s="33">
        <f>AB46*人口变化预测!AB4/10000</f>
        <v>1670526.7002985356</v>
      </c>
      <c r="AA20" s="33">
        <f>AC46*人口变化预测!AC4/10000</f>
        <v>1681648.7493488027</v>
      </c>
      <c r="AB20" s="33">
        <f>AD46*人口变化预测!AD4/10000</f>
        <v>1692391.522600957</v>
      </c>
      <c r="AC20" s="33">
        <f>AE46*人口变化预测!AE4/10000</f>
        <v>1702785.9627252764</v>
      </c>
      <c r="AD20" s="33">
        <f>AF46*人口变化预测!AF4/10000</f>
        <v>1712866.0271274718</v>
      </c>
      <c r="AE20" s="33">
        <f>AG46*人口变化预测!AG4/10000</f>
        <v>1722668.9211448585</v>
      </c>
      <c r="AF20" s="33">
        <f>AH46*人口变化预测!AH4/10000</f>
        <v>1732235.05574753</v>
      </c>
      <c r="AG20" s="33">
        <f>AI46*人口变化预测!AI4/10000</f>
        <v>1741608.2657658986</v>
      </c>
      <c r="AH20" s="33">
        <f>AJ46*人口变化预测!AJ4/10000</f>
        <v>1750835.9806522506</v>
      </c>
      <c r="AI20" s="33">
        <f>AK46*人口变化预测!AK4/10000</f>
        <v>1759969.2262019508</v>
      </c>
      <c r="AJ20" s="33">
        <f>AL46*人口变化预测!AL4/10000</f>
        <v>1769062.9508829811</v>
      </c>
      <c r="AK20" s="33">
        <f>AM46*人口变化预测!AM4/10000</f>
        <v>1778175.9514915489</v>
      </c>
      <c r="AL20" s="33">
        <f>AN46*人口变化预测!AN4/10000</f>
        <v>1787371.234763311</v>
      </c>
      <c r="AM20" s="33">
        <f>AO46*人口变化预测!AO4/10000</f>
        <v>1796716.0340671665</v>
      </c>
      <c r="AN20" s="33">
        <f>AP46*人口变化预测!AP4/10000</f>
        <v>1806281.9913003629</v>
      </c>
      <c r="AO20" s="33">
        <f>AQ46*人口变化预测!AQ4/10000</f>
        <v>1816145.3229398453</v>
      </c>
      <c r="AP20" s="33">
        <f>AR46*人口变化预测!AR4/10000</f>
        <v>1826386.9908176963</v>
      </c>
      <c r="AQ20" s="33">
        <f>AS46*人口变化预测!AS4/10000</f>
        <v>1837092.9180954965</v>
      </c>
      <c r="AR20" s="33">
        <f>AT46*人口变化预测!AT4/10000</f>
        <v>1848354.0397578136</v>
      </c>
    </row>
    <row r="21" spans="1:44" s="15" customFormat="1" x14ac:dyDescent="0.15">
      <c r="A21" s="37" t="s">
        <v>957</v>
      </c>
      <c r="B21" s="33">
        <f>$B20*0.71%</f>
        <v>8690.3491603943294</v>
      </c>
      <c r="C21" s="33">
        <f t="shared" ref="C21:AR21" si="6">$B20*0.71%</f>
        <v>8690.3491603943294</v>
      </c>
      <c r="D21" s="33">
        <f t="shared" si="6"/>
        <v>8690.3491603943294</v>
      </c>
      <c r="E21" s="33">
        <f t="shared" si="6"/>
        <v>8690.3491603943294</v>
      </c>
      <c r="F21" s="33">
        <f t="shared" si="6"/>
        <v>8690.3491603943294</v>
      </c>
      <c r="G21" s="33">
        <f t="shared" si="6"/>
        <v>8690.3491603943294</v>
      </c>
      <c r="H21" s="33">
        <f t="shared" si="6"/>
        <v>8690.3491603943294</v>
      </c>
      <c r="I21" s="33">
        <f t="shared" si="6"/>
        <v>8690.3491603943294</v>
      </c>
      <c r="J21" s="33">
        <f t="shared" si="6"/>
        <v>8690.3491603943294</v>
      </c>
      <c r="K21" s="33">
        <f t="shared" si="6"/>
        <v>8690.3491603943294</v>
      </c>
      <c r="L21" s="33">
        <f t="shared" si="6"/>
        <v>8690.3491603943294</v>
      </c>
      <c r="M21" s="33">
        <f t="shared" si="6"/>
        <v>8690.3491603943294</v>
      </c>
      <c r="N21" s="33">
        <f t="shared" si="6"/>
        <v>8690.3491603943294</v>
      </c>
      <c r="O21" s="33">
        <f t="shared" si="6"/>
        <v>8690.3491603943294</v>
      </c>
      <c r="P21" s="33">
        <f t="shared" si="6"/>
        <v>8690.3491603943294</v>
      </c>
      <c r="Q21" s="33">
        <f t="shared" si="6"/>
        <v>8690.3491603943294</v>
      </c>
      <c r="R21" s="33">
        <f t="shared" si="6"/>
        <v>8690.3491603943294</v>
      </c>
      <c r="S21" s="33">
        <f t="shared" si="6"/>
        <v>8690.3491603943294</v>
      </c>
      <c r="T21" s="33">
        <f t="shared" si="6"/>
        <v>8690.3491603943294</v>
      </c>
      <c r="U21" s="33">
        <f t="shared" si="6"/>
        <v>8690.3491603943294</v>
      </c>
      <c r="V21" s="33">
        <f t="shared" si="6"/>
        <v>8690.3491603943294</v>
      </c>
      <c r="W21" s="33">
        <f t="shared" si="6"/>
        <v>8690.3491603943294</v>
      </c>
      <c r="X21" s="33">
        <f t="shared" si="6"/>
        <v>8690.3491603943294</v>
      </c>
      <c r="Y21" s="33">
        <f t="shared" si="6"/>
        <v>8690.3491603943294</v>
      </c>
      <c r="Z21" s="33">
        <f t="shared" si="6"/>
        <v>8690.3491603943294</v>
      </c>
      <c r="AA21" s="33">
        <f t="shared" si="6"/>
        <v>8690.3491603943294</v>
      </c>
      <c r="AB21" s="33">
        <f t="shared" si="6"/>
        <v>8690.3491603943294</v>
      </c>
      <c r="AC21" s="33">
        <f t="shared" si="6"/>
        <v>8690.3491603943294</v>
      </c>
      <c r="AD21" s="33">
        <f t="shared" si="6"/>
        <v>8690.3491603943294</v>
      </c>
      <c r="AE21" s="33">
        <f t="shared" si="6"/>
        <v>8690.3491603943294</v>
      </c>
      <c r="AF21" s="33">
        <f t="shared" si="6"/>
        <v>8690.3491603943294</v>
      </c>
      <c r="AG21" s="33">
        <f t="shared" si="6"/>
        <v>8690.3491603943294</v>
      </c>
      <c r="AH21" s="33">
        <f t="shared" si="6"/>
        <v>8690.3491603943294</v>
      </c>
      <c r="AI21" s="33">
        <f t="shared" si="6"/>
        <v>8690.3491603943294</v>
      </c>
      <c r="AJ21" s="33">
        <f t="shared" si="6"/>
        <v>8690.3491603943294</v>
      </c>
      <c r="AK21" s="33">
        <f t="shared" si="6"/>
        <v>8690.3491603943294</v>
      </c>
      <c r="AL21" s="33">
        <f t="shared" si="6"/>
        <v>8690.3491603943294</v>
      </c>
      <c r="AM21" s="33">
        <f t="shared" si="6"/>
        <v>8690.3491603943294</v>
      </c>
      <c r="AN21" s="33">
        <f t="shared" si="6"/>
        <v>8690.3491603943294</v>
      </c>
      <c r="AO21" s="33">
        <f t="shared" si="6"/>
        <v>8690.3491603943294</v>
      </c>
      <c r="AP21" s="33">
        <f t="shared" si="6"/>
        <v>8690.3491603943294</v>
      </c>
      <c r="AQ21" s="33">
        <f t="shared" si="6"/>
        <v>8690.3491603943294</v>
      </c>
      <c r="AR21" s="33">
        <f t="shared" si="6"/>
        <v>8690.3491603943294</v>
      </c>
    </row>
    <row r="22" spans="1:44" s="15" customFormat="1" x14ac:dyDescent="0.15">
      <c r="A22" s="37" t="s">
        <v>963</v>
      </c>
      <c r="B22" s="33"/>
      <c r="C22" s="33">
        <f>IF(B20-C20-B21&gt;0,B20-C20-B21,0)</f>
        <v>0</v>
      </c>
      <c r="D22" s="33">
        <f>IF(C20-D20-C21&gt;0,C20-D20-C21,0)</f>
        <v>0</v>
      </c>
      <c r="E22" s="33">
        <f t="shared" ref="E22:AR22" si="7">IF(D20-E20-D21&gt;0,D20-E20-D21,0)</f>
        <v>0</v>
      </c>
      <c r="F22" s="33">
        <f t="shared" si="7"/>
        <v>0</v>
      </c>
      <c r="G22" s="33">
        <f t="shared" si="7"/>
        <v>0</v>
      </c>
      <c r="H22" s="33">
        <f t="shared" si="7"/>
        <v>0</v>
      </c>
      <c r="I22" s="33">
        <f t="shared" si="7"/>
        <v>0</v>
      </c>
      <c r="J22" s="33">
        <f t="shared" si="7"/>
        <v>0</v>
      </c>
      <c r="K22" s="33">
        <f t="shared" si="7"/>
        <v>0</v>
      </c>
      <c r="L22" s="33">
        <f t="shared" si="7"/>
        <v>0</v>
      </c>
      <c r="M22" s="33">
        <f t="shared" si="7"/>
        <v>0</v>
      </c>
      <c r="N22" s="33">
        <f t="shared" si="7"/>
        <v>0</v>
      </c>
      <c r="O22" s="33">
        <f t="shared" si="7"/>
        <v>0</v>
      </c>
      <c r="P22" s="33">
        <f t="shared" si="7"/>
        <v>0</v>
      </c>
      <c r="Q22" s="33">
        <f t="shared" si="7"/>
        <v>0</v>
      </c>
      <c r="R22" s="33">
        <f t="shared" si="7"/>
        <v>0</v>
      </c>
      <c r="S22" s="33">
        <f t="shared" si="7"/>
        <v>0</v>
      </c>
      <c r="T22" s="33">
        <f t="shared" si="7"/>
        <v>0</v>
      </c>
      <c r="U22" s="33">
        <f t="shared" si="7"/>
        <v>0</v>
      </c>
      <c r="V22" s="33">
        <f t="shared" si="7"/>
        <v>0</v>
      </c>
      <c r="W22" s="33">
        <f t="shared" si="7"/>
        <v>0</v>
      </c>
      <c r="X22" s="33">
        <f t="shared" si="7"/>
        <v>0</v>
      </c>
      <c r="Y22" s="33">
        <f t="shared" si="7"/>
        <v>0</v>
      </c>
      <c r="Z22" s="33">
        <f t="shared" si="7"/>
        <v>0</v>
      </c>
      <c r="AA22" s="33">
        <f t="shared" si="7"/>
        <v>0</v>
      </c>
      <c r="AB22" s="33">
        <f t="shared" si="7"/>
        <v>0</v>
      </c>
      <c r="AC22" s="33">
        <f t="shared" si="7"/>
        <v>0</v>
      </c>
      <c r="AD22" s="33">
        <f t="shared" si="7"/>
        <v>0</v>
      </c>
      <c r="AE22" s="33">
        <f t="shared" si="7"/>
        <v>0</v>
      </c>
      <c r="AF22" s="33">
        <f t="shared" si="7"/>
        <v>0</v>
      </c>
      <c r="AG22" s="33">
        <f t="shared" si="7"/>
        <v>0</v>
      </c>
      <c r="AH22" s="33">
        <f t="shared" si="7"/>
        <v>0</v>
      </c>
      <c r="AI22" s="33">
        <f t="shared" si="7"/>
        <v>0</v>
      </c>
      <c r="AJ22" s="33">
        <f t="shared" si="7"/>
        <v>0</v>
      </c>
      <c r="AK22" s="33">
        <f t="shared" si="7"/>
        <v>0</v>
      </c>
      <c r="AL22" s="33">
        <f t="shared" si="7"/>
        <v>0</v>
      </c>
      <c r="AM22" s="33">
        <f t="shared" si="7"/>
        <v>0</v>
      </c>
      <c r="AN22" s="33">
        <f t="shared" si="7"/>
        <v>0</v>
      </c>
      <c r="AO22" s="33">
        <f t="shared" si="7"/>
        <v>0</v>
      </c>
      <c r="AP22" s="33">
        <f t="shared" si="7"/>
        <v>0</v>
      </c>
      <c r="AQ22" s="33">
        <f t="shared" si="7"/>
        <v>0</v>
      </c>
      <c r="AR22" s="33">
        <f t="shared" si="7"/>
        <v>0</v>
      </c>
    </row>
    <row r="23" spans="1:44" s="15" customFormat="1" x14ac:dyDescent="0.15">
      <c r="A23" s="37" t="s">
        <v>889</v>
      </c>
      <c r="B23" s="33"/>
      <c r="C23" s="33">
        <f t="shared" ref="C23:AR23" si="8">IF(C20-B20+B21&gt;0,C20-B20+B21,0)</f>
        <v>41087.838776895471</v>
      </c>
      <c r="D23" s="33">
        <f t="shared" si="8"/>
        <v>50876.191839352177</v>
      </c>
      <c r="E23" s="33">
        <f t="shared" si="8"/>
        <v>31175.645674288437</v>
      </c>
      <c r="F23" s="33">
        <f t="shared" si="8"/>
        <v>30676.220873923205</v>
      </c>
      <c r="G23" s="33">
        <f t="shared" si="8"/>
        <v>30165.674921234768</v>
      </c>
      <c r="H23" s="33">
        <f t="shared" si="8"/>
        <v>29645.060070089461</v>
      </c>
      <c r="I23" s="33">
        <f t="shared" si="8"/>
        <v>29115.588969973778</v>
      </c>
      <c r="J23" s="33">
        <f t="shared" si="8"/>
        <v>28578.398756023893</v>
      </c>
      <c r="K23" s="33">
        <f t="shared" si="8"/>
        <v>28034.854286585865</v>
      </c>
      <c r="L23" s="33">
        <f t="shared" si="8"/>
        <v>27486.249104790553</v>
      </c>
      <c r="M23" s="33">
        <f t="shared" si="8"/>
        <v>26934.031357661053</v>
      </c>
      <c r="N23" s="33">
        <f t="shared" si="8"/>
        <v>26379.703998376546</v>
      </c>
      <c r="O23" s="33">
        <f t="shared" si="8"/>
        <v>25824.811341075623</v>
      </c>
      <c r="P23" s="33">
        <f t="shared" si="8"/>
        <v>25271.066696310347</v>
      </c>
      <c r="Q23" s="33">
        <f t="shared" si="8"/>
        <v>24720.141945911269</v>
      </c>
      <c r="R23" s="33">
        <f t="shared" si="8"/>
        <v>24173.898028629064</v>
      </c>
      <c r="S23" s="33">
        <f t="shared" si="8"/>
        <v>23634.216290950473</v>
      </c>
      <c r="T23" s="33">
        <f t="shared" si="8"/>
        <v>23103.094955465687</v>
      </c>
      <c r="U23" s="33">
        <f t="shared" si="8"/>
        <v>22582.648110509781</v>
      </c>
      <c r="V23" s="33">
        <f t="shared" si="8"/>
        <v>22074.998599486124</v>
      </c>
      <c r="W23" s="33">
        <f t="shared" si="8"/>
        <v>21582.454299564404</v>
      </c>
      <c r="X23" s="33">
        <f t="shared" si="8"/>
        <v>21107.394966543117</v>
      </c>
      <c r="Y23" s="33">
        <f t="shared" si="8"/>
        <v>20652.310116064666</v>
      </c>
      <c r="Z23" s="33">
        <f t="shared" si="8"/>
        <v>20219.746676134575</v>
      </c>
      <c r="AA23" s="33">
        <f t="shared" si="8"/>
        <v>19812.398210661417</v>
      </c>
      <c r="AB23" s="33">
        <f t="shared" si="8"/>
        <v>19433.122412548564</v>
      </c>
      <c r="AC23" s="33">
        <f t="shared" si="8"/>
        <v>19084.78928471373</v>
      </c>
      <c r="AD23" s="33">
        <f t="shared" si="8"/>
        <v>18770.413562589722</v>
      </c>
      <c r="AE23" s="33">
        <f t="shared" si="8"/>
        <v>18493.243177781045</v>
      </c>
      <c r="AF23" s="33">
        <f t="shared" si="8"/>
        <v>18256.483763065818</v>
      </c>
      <c r="AG23" s="33">
        <f t="shared" si="8"/>
        <v>18063.559178763</v>
      </c>
      <c r="AH23" s="33">
        <f t="shared" si="8"/>
        <v>17918.064046746284</v>
      </c>
      <c r="AI23" s="33">
        <f t="shared" si="8"/>
        <v>17823.594710094552</v>
      </c>
      <c r="AJ23" s="33">
        <f t="shared" si="8"/>
        <v>17784.07384142459</v>
      </c>
      <c r="AK23" s="33">
        <f t="shared" si="8"/>
        <v>17803.349768962176</v>
      </c>
      <c r="AL23" s="33">
        <f t="shared" si="8"/>
        <v>17885.632432156406</v>
      </c>
      <c r="AM23" s="33">
        <f t="shared" si="8"/>
        <v>18035.148464249844</v>
      </c>
      <c r="AN23" s="33">
        <f t="shared" si="8"/>
        <v>18256.306393590687</v>
      </c>
      <c r="AO23" s="33">
        <f t="shared" si="8"/>
        <v>18553.680799876736</v>
      </c>
      <c r="AP23" s="33">
        <f t="shared" si="8"/>
        <v>18932.017038245383</v>
      </c>
      <c r="AQ23" s="33">
        <f t="shared" si="8"/>
        <v>19396.276438194491</v>
      </c>
      <c r="AR23" s="33">
        <f t="shared" si="8"/>
        <v>19951.470822711406</v>
      </c>
    </row>
    <row r="24" spans="1:44" s="15" customFormat="1" x14ac:dyDescent="0.15">
      <c r="A24" s="37" t="s">
        <v>832</v>
      </c>
      <c r="B24" s="33">
        <v>0</v>
      </c>
      <c r="C24" s="33">
        <f>SUM($C23:C23)</f>
        <v>41087.838776895471</v>
      </c>
      <c r="D24" s="33">
        <f>SUM($C23:D23)</f>
        <v>91964.030616247648</v>
      </c>
      <c r="E24" s="33">
        <f>SUM($C23:E23)</f>
        <v>123139.67629053608</v>
      </c>
      <c r="F24" s="33">
        <f>SUM($C23:F23)</f>
        <v>153815.89716445928</v>
      </c>
      <c r="G24" s="33">
        <f>SUM($C23:G23)</f>
        <v>183981.57208569406</v>
      </c>
      <c r="H24" s="33">
        <f>SUM($C23:H23)</f>
        <v>213626.63215578353</v>
      </c>
      <c r="I24" s="33">
        <f>SUM($C23:I23)</f>
        <v>242742.22112575732</v>
      </c>
      <c r="J24" s="33">
        <f>SUM($C23:J23)</f>
        <v>271320.61988178123</v>
      </c>
      <c r="K24" s="33">
        <f>SUM($C23:K23)</f>
        <v>299355.4741683671</v>
      </c>
      <c r="L24" s="33">
        <f>SUM($C23:L23)</f>
        <v>326841.72327315767</v>
      </c>
      <c r="M24" s="33">
        <f>SUM($C23:M23)</f>
        <v>353775.75463081873</v>
      </c>
      <c r="N24" s="33">
        <f>SUM($C23:N23)</f>
        <v>380155.45862919529</v>
      </c>
      <c r="O24" s="33">
        <f>SUM($C23:O23)</f>
        <v>405980.26997027092</v>
      </c>
      <c r="P24" s="33">
        <f>SUM($C23:P23)</f>
        <v>431251.33666658128</v>
      </c>
      <c r="Q24" s="33">
        <f>SUM($C23:Q23)</f>
        <v>455971.47861249256</v>
      </c>
      <c r="R24" s="33">
        <f>SUM($C23:R23)</f>
        <v>480145.37664112163</v>
      </c>
      <c r="S24" s="33">
        <f>SUM($C23:S23)</f>
        <v>503779.59293207212</v>
      </c>
      <c r="T24" s="33">
        <f>SUM($C23:T23)</f>
        <v>526882.68788753776</v>
      </c>
      <c r="U24" s="33">
        <f>SUM($C23:U23)</f>
        <v>549465.33599804749</v>
      </c>
      <c r="V24" s="33">
        <f>SUM($C23:V23)</f>
        <v>571540.33459753357</v>
      </c>
      <c r="W24" s="33">
        <f>SUM($C23:W23)</f>
        <v>593122.78889709793</v>
      </c>
      <c r="X24" s="33">
        <f>SUM($C23:X23)</f>
        <v>614230.183863641</v>
      </c>
      <c r="Y24" s="33">
        <f>SUM($C23:Y23)</f>
        <v>634882.49397970561</v>
      </c>
      <c r="Z24" s="33">
        <f>SUM($C23:Z23)</f>
        <v>655102.24065584014</v>
      </c>
      <c r="AA24" s="33">
        <f>SUM($C23:AA23)</f>
        <v>674914.63886650151</v>
      </c>
      <c r="AB24" s="33">
        <f>SUM($C23:AB23)</f>
        <v>694347.76127905003</v>
      </c>
      <c r="AC24" s="33">
        <f>SUM($C23:AC23)</f>
        <v>713432.55056376371</v>
      </c>
      <c r="AD24" s="33">
        <f>SUM($C23:AD23)</f>
        <v>732202.96412635338</v>
      </c>
      <c r="AE24" s="33">
        <f>SUM($C23:AE23)</f>
        <v>750696.20730413438</v>
      </c>
      <c r="AF24" s="33">
        <f>SUM($C23:AF23)</f>
        <v>768952.69106720015</v>
      </c>
      <c r="AG24" s="33">
        <f>SUM($C23:AG23)</f>
        <v>787016.25024596311</v>
      </c>
      <c r="AH24" s="33">
        <f>SUM($C23:AH23)</f>
        <v>804934.31429270934</v>
      </c>
      <c r="AI24" s="33">
        <f>SUM($C23:AI23)</f>
        <v>822757.90900280385</v>
      </c>
      <c r="AJ24" s="33">
        <f>SUM($C23:AJ23)</f>
        <v>840541.98284422839</v>
      </c>
      <c r="AK24" s="33">
        <f>SUM($C23:AK23)</f>
        <v>858345.33261319052</v>
      </c>
      <c r="AL24" s="33">
        <f>SUM($C23:AL23)</f>
        <v>876230.96504534688</v>
      </c>
      <c r="AM24" s="33">
        <f>SUM($C23:AM23)</f>
        <v>894266.11350959667</v>
      </c>
      <c r="AN24" s="33">
        <f>SUM($C23:AN23)</f>
        <v>912522.41990318731</v>
      </c>
      <c r="AO24" s="33">
        <f>SUM($C23:AO23)</f>
        <v>931076.100703064</v>
      </c>
      <c r="AP24" s="33">
        <f>SUM($C23:AP23)</f>
        <v>950008.11774130934</v>
      </c>
      <c r="AQ24" s="33">
        <f>SUM($C23:AQ23)</f>
        <v>969404.39417950378</v>
      </c>
      <c r="AR24" s="33">
        <f>SUM($C23:AR23)</f>
        <v>989355.86500221514</v>
      </c>
    </row>
    <row r="25" spans="1:44" s="15" customFormat="1" x14ac:dyDescent="0.15">
      <c r="A25" s="37" t="s">
        <v>833</v>
      </c>
      <c r="B25" s="33">
        <f>B20</f>
        <v>1223992.8394921592</v>
      </c>
      <c r="C25" s="33">
        <f>$B20-SUM($B21:B21)-SUM($B22:B22)</f>
        <v>1215302.4903317648</v>
      </c>
      <c r="D25" s="33">
        <f>$B20-SUM($B21:C21)-SUM($B22:C22)</f>
        <v>1206612.1411713706</v>
      </c>
      <c r="E25" s="33">
        <f>$B20-SUM($B21:D21)-SUM($B22:D22)</f>
        <v>1197921.7920109762</v>
      </c>
      <c r="F25" s="33">
        <f>$B20-SUM($B21:E21)-SUM($B22:E22)</f>
        <v>1189231.4428505818</v>
      </c>
      <c r="G25" s="33">
        <f>$B20-SUM($B21:F21)-SUM($B22:F22)</f>
        <v>1180541.0936901877</v>
      </c>
      <c r="H25" s="33">
        <f>$B20-SUM($B21:G21)-SUM($B22:G22)</f>
        <v>1171850.7445297933</v>
      </c>
      <c r="I25" s="33">
        <f>$B20-SUM($B21:H21)-SUM($B22:H22)</f>
        <v>1163160.3953693989</v>
      </c>
      <c r="J25" s="33">
        <f>$B20-SUM($B21:I21)-SUM($B22:I22)</f>
        <v>1154470.0462090045</v>
      </c>
      <c r="K25" s="33">
        <f>$B20-SUM($B21:J21)-SUM($B22:J22)</f>
        <v>1145779.6970486103</v>
      </c>
      <c r="L25" s="33">
        <f>$B20-SUM($B21:K21)-SUM($B22:K22)</f>
        <v>1137089.3478882159</v>
      </c>
      <c r="M25" s="33">
        <f>$B20-SUM($B21:L21)-SUM($B22:L22)</f>
        <v>1128398.9987278215</v>
      </c>
      <c r="N25" s="33">
        <f>$B20-SUM($B21:M21)-SUM($B22:M22)</f>
        <v>1119708.6495674273</v>
      </c>
      <c r="O25" s="33">
        <f>$B20-SUM($B21:N21)-SUM($B22:N22)</f>
        <v>1111018.3004070329</v>
      </c>
      <c r="P25" s="33">
        <f>$B20-SUM($B21:O21)-SUM($B22:O22)</f>
        <v>1102327.9512466385</v>
      </c>
      <c r="Q25" s="33">
        <f>$B20-SUM($B21:P21)-SUM($B22:P22)</f>
        <v>1093637.6020862444</v>
      </c>
      <c r="R25" s="33">
        <f>$B20-SUM($B21:Q21)-SUM($B22:Q22)</f>
        <v>1084947.25292585</v>
      </c>
      <c r="S25" s="33">
        <f>$B20-SUM($B21:R21)-SUM($B22:R22)</f>
        <v>1076256.9037654556</v>
      </c>
      <c r="T25" s="33">
        <f>$B20-SUM($B21:S21)-SUM($B22:S22)</f>
        <v>1067566.5546050612</v>
      </c>
      <c r="U25" s="33">
        <f>$B20-SUM($B21:T21)-SUM($B22:T22)</f>
        <v>1058876.205444667</v>
      </c>
      <c r="V25" s="33">
        <f>$B20-SUM($B21:U21)-SUM($B22:U22)</f>
        <v>1050185.8562842726</v>
      </c>
      <c r="W25" s="33">
        <f>$B20-SUM($B21:V21)-SUM($B22:V22)</f>
        <v>1041495.5071238782</v>
      </c>
      <c r="X25" s="33">
        <f>$B20-SUM($B21:W21)-SUM($B22:W22)</f>
        <v>1032805.1579634839</v>
      </c>
      <c r="Y25" s="33">
        <f>$B20-SUM($B21:X21)-SUM($B22:X22)</f>
        <v>1024114.8088030895</v>
      </c>
      <c r="Z25" s="33">
        <f>$B20-SUM($B21:Y21)-SUM($B22:Y22)</f>
        <v>1015424.4596426953</v>
      </c>
      <c r="AA25" s="33">
        <f>$B20-SUM($B21:Z21)-SUM($B22:Z22)</f>
        <v>1006734.1104823009</v>
      </c>
      <c r="AB25" s="33">
        <f>$B20-SUM($B21:AA21)-SUM($B22:AA22)</f>
        <v>998043.76132190658</v>
      </c>
      <c r="AC25" s="33">
        <f>$B20-SUM($B21:AB21)-SUM($B22:AB22)</f>
        <v>989353.41216151218</v>
      </c>
      <c r="AD25" s="33">
        <f>$B20-SUM($B21:AC21)-SUM($B22:AC22)</f>
        <v>980663.0630011179</v>
      </c>
      <c r="AE25" s="33">
        <f>$B20-SUM($B21:AD21)-SUM($B22:AD22)</f>
        <v>971972.7138407235</v>
      </c>
      <c r="AF25" s="33">
        <f>$B20-SUM($B21:AE21)-SUM($B22:AE22)</f>
        <v>963282.36468032922</v>
      </c>
      <c r="AG25" s="33">
        <f>$B20-SUM($B21:AF21)-SUM($B22:AF22)</f>
        <v>954592.01551993494</v>
      </c>
      <c r="AH25" s="33">
        <f>$B20-SUM($B21:AG21)-SUM($B22:AG22)</f>
        <v>945901.66635954054</v>
      </c>
      <c r="AI25" s="33">
        <f>$B20-SUM($B21:AH21)-SUM($B22:AH22)</f>
        <v>937211.31719914614</v>
      </c>
      <c r="AJ25" s="33">
        <f>$B20-SUM($B21:AI21)-SUM($B22:AI22)</f>
        <v>928520.96803875186</v>
      </c>
      <c r="AK25" s="33">
        <f>$B20-SUM($B21:AJ21)-SUM($B22:AJ22)</f>
        <v>919830.61887835758</v>
      </c>
      <c r="AL25" s="33">
        <f>$B20-SUM($B21:AK21)-SUM($B22:AK22)</f>
        <v>911140.26971796318</v>
      </c>
      <c r="AM25" s="33">
        <f>$B20-SUM($B21:AL21)-SUM($B22:AL22)</f>
        <v>902449.92055756878</v>
      </c>
      <c r="AN25" s="33">
        <f>$B20-SUM($B21:AM21)-SUM($B22:AM22)</f>
        <v>893759.5713971745</v>
      </c>
      <c r="AO25" s="33">
        <f>$B20-SUM($B21:AN21)-SUM($B22:AN22)</f>
        <v>885069.22223678022</v>
      </c>
      <c r="AP25" s="33">
        <f>$B20-SUM($B21:AO21)-SUM($B22:AO22)</f>
        <v>876378.87307638582</v>
      </c>
      <c r="AQ25" s="33">
        <f>$B20-SUM($B21:AP21)-SUM($B22:AP22)</f>
        <v>867688.52391599142</v>
      </c>
      <c r="AR25" s="33">
        <f>$B20-SUM($B21:AQ21)-SUM($B22:AQ22)</f>
        <v>858998.17475559714</v>
      </c>
    </row>
    <row r="26" spans="1:44" s="15" customFormat="1" x14ac:dyDescent="0.15">
      <c r="A26" s="38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</row>
    <row r="27" spans="1:44" s="19" customFormat="1" x14ac:dyDescent="0.15">
      <c r="A27" s="37"/>
      <c r="B27" s="35">
        <v>2018</v>
      </c>
      <c r="C27" s="35">
        <v>2019</v>
      </c>
      <c r="D27" s="35">
        <v>2020</v>
      </c>
      <c r="E27" s="35">
        <v>2021</v>
      </c>
      <c r="F27" s="35">
        <v>2022</v>
      </c>
      <c r="G27" s="35">
        <v>2023</v>
      </c>
      <c r="H27" s="35">
        <v>2024</v>
      </c>
      <c r="I27" s="35">
        <v>2025</v>
      </c>
      <c r="J27" s="35">
        <v>2026</v>
      </c>
      <c r="K27" s="35">
        <v>2027</v>
      </c>
      <c r="L27" s="35">
        <v>2028</v>
      </c>
      <c r="M27" s="35">
        <v>2029</v>
      </c>
      <c r="N27" s="35">
        <v>2030</v>
      </c>
      <c r="O27" s="35">
        <v>2031</v>
      </c>
      <c r="P27" s="35">
        <v>2032</v>
      </c>
      <c r="Q27" s="35">
        <v>2033</v>
      </c>
      <c r="R27" s="35">
        <v>2034</v>
      </c>
      <c r="S27" s="35">
        <v>2035</v>
      </c>
      <c r="T27" s="35">
        <v>2036</v>
      </c>
      <c r="U27" s="35">
        <v>2037</v>
      </c>
      <c r="V27" s="35">
        <v>2038</v>
      </c>
      <c r="W27" s="35">
        <v>2039</v>
      </c>
      <c r="X27" s="35">
        <v>2040</v>
      </c>
      <c r="Y27" s="35">
        <v>2041</v>
      </c>
      <c r="Z27" s="35">
        <v>2042</v>
      </c>
      <c r="AA27" s="35">
        <v>2043</v>
      </c>
      <c r="AB27" s="35">
        <v>2044</v>
      </c>
      <c r="AC27" s="35">
        <v>2045</v>
      </c>
      <c r="AD27" s="35">
        <v>2046</v>
      </c>
      <c r="AE27" s="35">
        <v>2047</v>
      </c>
      <c r="AF27" s="35">
        <v>2048</v>
      </c>
      <c r="AG27" s="35">
        <v>2049</v>
      </c>
      <c r="AH27" s="35">
        <v>2050</v>
      </c>
      <c r="AI27" s="35">
        <v>2051</v>
      </c>
      <c r="AJ27" s="35">
        <v>2052</v>
      </c>
      <c r="AK27" s="35">
        <v>2053</v>
      </c>
      <c r="AL27" s="35">
        <v>2054</v>
      </c>
      <c r="AM27" s="35">
        <v>2055</v>
      </c>
      <c r="AN27" s="35">
        <v>2056</v>
      </c>
      <c r="AO27" s="35">
        <v>2057</v>
      </c>
      <c r="AP27" s="35">
        <v>2058</v>
      </c>
      <c r="AQ27" s="35">
        <v>2059</v>
      </c>
      <c r="AR27" s="35">
        <v>2060</v>
      </c>
    </row>
    <row r="28" spans="1:44" s="15" customFormat="1" x14ac:dyDescent="0.15">
      <c r="A28" s="37" t="s">
        <v>885</v>
      </c>
      <c r="B28" s="33">
        <f>D44*人口变化预测!D7/10000</f>
        <v>1256822.9574044296</v>
      </c>
      <c r="C28" s="33">
        <f>E44*人口变化预测!E7/10000</f>
        <v>1246529.7993484763</v>
      </c>
      <c r="D28" s="33">
        <f>F44*人口变化预测!F7/10000</f>
        <v>1288214.2207470108</v>
      </c>
      <c r="E28" s="33">
        <f>G44*人口变化预测!G7/10000</f>
        <v>1310261.540033242</v>
      </c>
      <c r="F28" s="33">
        <f>H44*人口变化预测!H7/10000</f>
        <v>1331729.8459648006</v>
      </c>
      <c r="G28" s="33">
        <f>I44*人口变化预测!I7/10000</f>
        <v>1352615.6001121111</v>
      </c>
      <c r="H28" s="33">
        <f>J44*人口变化预测!J7/10000</f>
        <v>1372916.1524705449</v>
      </c>
      <c r="I28" s="33">
        <f>K44*人口变化预测!K7/10000</f>
        <v>1392629.9799080265</v>
      </c>
      <c r="J28" s="33">
        <f>L44*人口变化预测!L7/10000</f>
        <v>1411756.5055155212</v>
      </c>
      <c r="K28" s="33">
        <f>M44*人口变化预测!M7/10000</f>
        <v>1430296.2939620232</v>
      </c>
      <c r="L28" s="33">
        <f>N44*人口变化预测!N7/10000</f>
        <v>1448251.0561812632</v>
      </c>
      <c r="M28" s="33">
        <f>O44*人口变化预测!O7/10000</f>
        <v>1465623.6918117695</v>
      </c>
      <c r="N28" s="33">
        <f>P44*人口变化预测!P7/10000</f>
        <v>1482418.3523913152</v>
      </c>
      <c r="O28" s="33">
        <f>Q44*人口变化预测!Q7/10000</f>
        <v>1498640.4866722282</v>
      </c>
      <c r="P28" s="33">
        <f>R44*人口变化预测!R7/10000</f>
        <v>1514296.9528005058</v>
      </c>
      <c r="Q28" s="33">
        <f>S44*人口变化预测!S7/10000</f>
        <v>1529395.9640487351</v>
      </c>
      <c r="R28" s="33">
        <f>T44*人口变化预测!T7/10000</f>
        <v>1543947.2774798865</v>
      </c>
      <c r="S28" s="33">
        <f>U44*人口变化预测!U7/10000</f>
        <v>1557962.1937923445</v>
      </c>
      <c r="T28" s="33">
        <f>V44*人口变化预测!V7/10000</f>
        <v>1571453.5839328023</v>
      </c>
      <c r="U28" s="33">
        <f>W44*人口变化预测!W7/10000</f>
        <v>1584436.040754131</v>
      </c>
      <c r="V28" s="33">
        <f>X44*人口变化预测!X7/10000</f>
        <v>1596925.8571042409</v>
      </c>
      <c r="W28" s="33">
        <f>Y44*人口变化预测!Y7/10000</f>
        <v>1608941.1501555764</v>
      </c>
      <c r="X28" s="33">
        <f>Z44*人口变化预测!Z7/10000</f>
        <v>1620501.9388299447</v>
      </c>
      <c r="Y28" s="33">
        <f>AA44*人口变化预测!AA7/10000</f>
        <v>1631630.2263566027</v>
      </c>
      <c r="Z28" s="33">
        <f>AB44*人口变化预测!AB7/10000</f>
        <v>1642349.9754982912</v>
      </c>
      <c r="AA28" s="33">
        <f>AC44*人口变化预测!AC7/10000</f>
        <v>1652687.3072621664</v>
      </c>
      <c r="AB28" s="33">
        <f>AD44*人口变化预测!AD7/10000</f>
        <v>1662670.5282509974</v>
      </c>
      <c r="AC28" s="33">
        <f>AE44*人口变化预测!AE7/10000</f>
        <v>1672330.2294911097</v>
      </c>
      <c r="AD28" s="33">
        <f>AF44*人口变化预测!AF7/10000</f>
        <v>1681699.2680173789</v>
      </c>
      <c r="AE28" s="33">
        <f>AG44*人口变化预测!AG7/10000</f>
        <v>1690813.085906208</v>
      </c>
      <c r="AF28" s="33">
        <f>AH44*人口变化预测!AH7/10000</f>
        <v>1699709.5450915257</v>
      </c>
      <c r="AG28" s="33">
        <f>AI44*人口变化预测!AI7/10000</f>
        <v>1708429.1730388999</v>
      </c>
      <c r="AH28" s="33">
        <f>AJ44*人口变化预测!AJ7/10000</f>
        <v>1717015.2276560045</v>
      </c>
      <c r="AI28" s="33">
        <f>AK44*人口变化预测!AK7/10000</f>
        <v>1725513.6604646523</v>
      </c>
      <c r="AJ28" s="33">
        <f>AL44*人口变化预测!AL7/10000</f>
        <v>1733973.5156301765</v>
      </c>
      <c r="AK28" s="33">
        <f>AM44*人口变化预测!AM7/10000</f>
        <v>1742446.682770018</v>
      </c>
      <c r="AL28" s="33">
        <f>AN44*人口变化预测!AN7/10000</f>
        <v>1750988.2475726609</v>
      </c>
      <c r="AM28" s="33">
        <f>AO44*人口变化预测!AO7/10000</f>
        <v>1759656.5183035168</v>
      </c>
      <c r="AN28" s="33">
        <f>AP44*人口变化预测!AP7/10000</f>
        <v>1768513.0432877815</v>
      </c>
      <c r="AO28" s="33">
        <f>AQ44*人口变化预测!AQ7/10000</f>
        <v>1777622.8929990742</v>
      </c>
      <c r="AP28" s="33">
        <f>AR44*人口变化预测!AR7/10000</f>
        <v>1787054.6254638843</v>
      </c>
      <c r="AQ28" s="33">
        <f>AS44*人口变化预测!AS7/10000</f>
        <v>1796880.5925538284</v>
      </c>
      <c r="AR28" s="33">
        <f>AT44*人口变化预测!AT7/10000</f>
        <v>1807176.8009747833</v>
      </c>
    </row>
    <row r="29" spans="1:44" s="15" customFormat="1" x14ac:dyDescent="0.15">
      <c r="A29" s="37" t="s">
        <v>957</v>
      </c>
      <c r="B29" s="33">
        <f t="shared" ref="B29:AI29" si="9">$B28*0.71%</f>
        <v>8923.4429975714502</v>
      </c>
      <c r="C29" s="33">
        <f t="shared" si="9"/>
        <v>8923.4429975714502</v>
      </c>
      <c r="D29" s="33">
        <f t="shared" si="9"/>
        <v>8923.4429975714502</v>
      </c>
      <c r="E29" s="33">
        <f t="shared" si="9"/>
        <v>8923.4429975714502</v>
      </c>
      <c r="F29" s="33">
        <f t="shared" si="9"/>
        <v>8923.4429975714502</v>
      </c>
      <c r="G29" s="33">
        <f t="shared" si="9"/>
        <v>8923.4429975714502</v>
      </c>
      <c r="H29" s="33">
        <f t="shared" si="9"/>
        <v>8923.4429975714502</v>
      </c>
      <c r="I29" s="33">
        <f t="shared" si="9"/>
        <v>8923.4429975714502</v>
      </c>
      <c r="J29" s="33">
        <f t="shared" si="9"/>
        <v>8923.4429975714502</v>
      </c>
      <c r="K29" s="33">
        <f t="shared" si="9"/>
        <v>8923.4429975714502</v>
      </c>
      <c r="L29" s="33">
        <f t="shared" si="9"/>
        <v>8923.4429975714502</v>
      </c>
      <c r="M29" s="33">
        <f t="shared" si="9"/>
        <v>8923.4429975714502</v>
      </c>
      <c r="N29" s="33">
        <f t="shared" si="9"/>
        <v>8923.4429975714502</v>
      </c>
      <c r="O29" s="33">
        <f t="shared" si="9"/>
        <v>8923.4429975714502</v>
      </c>
      <c r="P29" s="33">
        <f t="shared" si="9"/>
        <v>8923.4429975714502</v>
      </c>
      <c r="Q29" s="33">
        <f t="shared" si="9"/>
        <v>8923.4429975714502</v>
      </c>
      <c r="R29" s="33">
        <f t="shared" si="9"/>
        <v>8923.4429975714502</v>
      </c>
      <c r="S29" s="33">
        <f t="shared" si="9"/>
        <v>8923.4429975714502</v>
      </c>
      <c r="T29" s="33">
        <f t="shared" si="9"/>
        <v>8923.4429975714502</v>
      </c>
      <c r="U29" s="33">
        <f t="shared" si="9"/>
        <v>8923.4429975714502</v>
      </c>
      <c r="V29" s="33">
        <f t="shared" si="9"/>
        <v>8923.4429975714502</v>
      </c>
      <c r="W29" s="33">
        <f t="shared" si="9"/>
        <v>8923.4429975714502</v>
      </c>
      <c r="X29" s="33">
        <f t="shared" si="9"/>
        <v>8923.4429975714502</v>
      </c>
      <c r="Y29" s="33">
        <f t="shared" si="9"/>
        <v>8923.4429975714502</v>
      </c>
      <c r="Z29" s="33">
        <f t="shared" si="9"/>
        <v>8923.4429975714502</v>
      </c>
      <c r="AA29" s="33">
        <f t="shared" si="9"/>
        <v>8923.4429975714502</v>
      </c>
      <c r="AB29" s="33">
        <f t="shared" si="9"/>
        <v>8923.4429975714502</v>
      </c>
      <c r="AC29" s="33">
        <f t="shared" si="9"/>
        <v>8923.4429975714502</v>
      </c>
      <c r="AD29" s="33">
        <f t="shared" si="9"/>
        <v>8923.4429975714502</v>
      </c>
      <c r="AE29" s="33">
        <f t="shared" si="9"/>
        <v>8923.4429975714502</v>
      </c>
      <c r="AF29" s="33">
        <f t="shared" si="9"/>
        <v>8923.4429975714502</v>
      </c>
      <c r="AG29" s="33">
        <f t="shared" si="9"/>
        <v>8923.4429975714502</v>
      </c>
      <c r="AH29" s="33">
        <f t="shared" si="9"/>
        <v>8923.4429975714502</v>
      </c>
      <c r="AI29" s="33">
        <f t="shared" si="9"/>
        <v>8923.4429975714502</v>
      </c>
      <c r="AJ29" s="33">
        <f>$B28*0.71%</f>
        <v>8923.4429975714502</v>
      </c>
      <c r="AK29" s="33">
        <f t="shared" ref="AK29:AR29" si="10">$B28*0.71%</f>
        <v>8923.4429975714502</v>
      </c>
      <c r="AL29" s="33">
        <f t="shared" si="10"/>
        <v>8923.4429975714502</v>
      </c>
      <c r="AM29" s="33">
        <f t="shared" si="10"/>
        <v>8923.4429975714502</v>
      </c>
      <c r="AN29" s="33">
        <f t="shared" si="10"/>
        <v>8923.4429975714502</v>
      </c>
      <c r="AO29" s="33">
        <f t="shared" si="10"/>
        <v>8923.4429975714502</v>
      </c>
      <c r="AP29" s="33">
        <f t="shared" si="10"/>
        <v>8923.4429975714502</v>
      </c>
      <c r="AQ29" s="33">
        <f t="shared" si="10"/>
        <v>8923.4429975714502</v>
      </c>
      <c r="AR29" s="33">
        <f t="shared" si="10"/>
        <v>8923.4429975714502</v>
      </c>
    </row>
    <row r="30" spans="1:44" s="15" customFormat="1" x14ac:dyDescent="0.15">
      <c r="A30" s="37" t="s">
        <v>958</v>
      </c>
      <c r="B30" s="33"/>
      <c r="C30" s="33">
        <f>IF(B28-C28-B29&gt;0,B28-C28-B29,0)</f>
        <v>1369.7150583817656</v>
      </c>
      <c r="D30" s="33">
        <f>IF(C28-D28-C29&gt;0,C28-D28-C29,0)</f>
        <v>0</v>
      </c>
      <c r="E30" s="33">
        <f t="shared" ref="E30:AR30" si="11">IF(D28-E28-D29&gt;0,D28-E28-D29,0)</f>
        <v>0</v>
      </c>
      <c r="F30" s="33">
        <f t="shared" si="11"/>
        <v>0</v>
      </c>
      <c r="G30" s="33">
        <f t="shared" si="11"/>
        <v>0</v>
      </c>
      <c r="H30" s="33">
        <f t="shared" si="11"/>
        <v>0</v>
      </c>
      <c r="I30" s="33">
        <f t="shared" si="11"/>
        <v>0</v>
      </c>
      <c r="J30" s="33">
        <f t="shared" si="11"/>
        <v>0</v>
      </c>
      <c r="K30" s="33">
        <f t="shared" si="11"/>
        <v>0</v>
      </c>
      <c r="L30" s="33">
        <f t="shared" si="11"/>
        <v>0</v>
      </c>
      <c r="M30" s="33">
        <f t="shared" si="11"/>
        <v>0</v>
      </c>
      <c r="N30" s="33">
        <f t="shared" si="11"/>
        <v>0</v>
      </c>
      <c r="O30" s="33">
        <f t="shared" si="11"/>
        <v>0</v>
      </c>
      <c r="P30" s="33">
        <f t="shared" si="11"/>
        <v>0</v>
      </c>
      <c r="Q30" s="33">
        <f t="shared" si="11"/>
        <v>0</v>
      </c>
      <c r="R30" s="33">
        <f t="shared" si="11"/>
        <v>0</v>
      </c>
      <c r="S30" s="33">
        <f t="shared" si="11"/>
        <v>0</v>
      </c>
      <c r="T30" s="33">
        <f t="shared" si="11"/>
        <v>0</v>
      </c>
      <c r="U30" s="33">
        <f t="shared" si="11"/>
        <v>0</v>
      </c>
      <c r="V30" s="33">
        <f t="shared" si="11"/>
        <v>0</v>
      </c>
      <c r="W30" s="33">
        <f t="shared" si="11"/>
        <v>0</v>
      </c>
      <c r="X30" s="33">
        <f t="shared" si="11"/>
        <v>0</v>
      </c>
      <c r="Y30" s="33">
        <f t="shared" si="11"/>
        <v>0</v>
      </c>
      <c r="Z30" s="33">
        <f t="shared" si="11"/>
        <v>0</v>
      </c>
      <c r="AA30" s="33">
        <f t="shared" si="11"/>
        <v>0</v>
      </c>
      <c r="AB30" s="33">
        <f t="shared" si="11"/>
        <v>0</v>
      </c>
      <c r="AC30" s="33">
        <f t="shared" si="11"/>
        <v>0</v>
      </c>
      <c r="AD30" s="33">
        <f t="shared" si="11"/>
        <v>0</v>
      </c>
      <c r="AE30" s="33">
        <f t="shared" si="11"/>
        <v>0</v>
      </c>
      <c r="AF30" s="33">
        <f t="shared" si="11"/>
        <v>0</v>
      </c>
      <c r="AG30" s="33">
        <f t="shared" si="11"/>
        <v>0</v>
      </c>
      <c r="AH30" s="33">
        <f t="shared" si="11"/>
        <v>0</v>
      </c>
      <c r="AI30" s="33">
        <f t="shared" si="11"/>
        <v>0</v>
      </c>
      <c r="AJ30" s="33">
        <f t="shared" si="11"/>
        <v>0</v>
      </c>
      <c r="AK30" s="33">
        <f t="shared" si="11"/>
        <v>0</v>
      </c>
      <c r="AL30" s="33">
        <f t="shared" si="11"/>
        <v>0</v>
      </c>
      <c r="AM30" s="33">
        <f t="shared" si="11"/>
        <v>0</v>
      </c>
      <c r="AN30" s="33">
        <f t="shared" si="11"/>
        <v>0</v>
      </c>
      <c r="AO30" s="33">
        <f t="shared" si="11"/>
        <v>0</v>
      </c>
      <c r="AP30" s="33">
        <f t="shared" si="11"/>
        <v>0</v>
      </c>
      <c r="AQ30" s="33">
        <f t="shared" si="11"/>
        <v>0</v>
      </c>
      <c r="AR30" s="33">
        <f t="shared" si="11"/>
        <v>0</v>
      </c>
    </row>
    <row r="31" spans="1:44" s="15" customFormat="1" x14ac:dyDescent="0.15">
      <c r="A31" s="37" t="s">
        <v>889</v>
      </c>
      <c r="B31" s="33"/>
      <c r="C31" s="33">
        <f t="shared" ref="C31:AR31" si="12">IF(C28-B28+B29&gt;0,C28-B28+B29,0)</f>
        <v>0</v>
      </c>
      <c r="D31" s="33">
        <f t="shared" si="12"/>
        <v>50607.864396105892</v>
      </c>
      <c r="E31" s="33">
        <f t="shared" si="12"/>
        <v>30970.762283802636</v>
      </c>
      <c r="F31" s="33">
        <f t="shared" si="12"/>
        <v>30391.748929130052</v>
      </c>
      <c r="G31" s="33">
        <f t="shared" si="12"/>
        <v>29809.19714488196</v>
      </c>
      <c r="H31" s="33">
        <f t="shared" si="12"/>
        <v>29223.995356005289</v>
      </c>
      <c r="I31" s="33">
        <f t="shared" si="12"/>
        <v>28637.270435053062</v>
      </c>
      <c r="J31" s="33">
        <f t="shared" si="12"/>
        <v>28049.968605066089</v>
      </c>
      <c r="K31" s="33">
        <f t="shared" si="12"/>
        <v>27463.231444073514</v>
      </c>
      <c r="L31" s="33">
        <f t="shared" si="12"/>
        <v>26878.20521681141</v>
      </c>
      <c r="M31" s="33">
        <f t="shared" si="12"/>
        <v>26296.078628077776</v>
      </c>
      <c r="N31" s="33">
        <f t="shared" si="12"/>
        <v>25718.103577117108</v>
      </c>
      <c r="O31" s="33">
        <f t="shared" si="12"/>
        <v>25145.577278484496</v>
      </c>
      <c r="P31" s="33">
        <f t="shared" si="12"/>
        <v>24579.909125849044</v>
      </c>
      <c r="Q31" s="33">
        <f t="shared" si="12"/>
        <v>24022.454245800756</v>
      </c>
      <c r="R31" s="33">
        <f t="shared" si="12"/>
        <v>23474.756428722896</v>
      </c>
      <c r="S31" s="33">
        <f t="shared" si="12"/>
        <v>22938.359310029446</v>
      </c>
      <c r="T31" s="33">
        <f t="shared" si="12"/>
        <v>22414.833138029229</v>
      </c>
      <c r="U31" s="33">
        <f t="shared" si="12"/>
        <v>21905.89981890018</v>
      </c>
      <c r="V31" s="33">
        <f t="shared" si="12"/>
        <v>21413.259347681327</v>
      </c>
      <c r="W31" s="33">
        <f t="shared" si="12"/>
        <v>20938.736048906947</v>
      </c>
      <c r="X31" s="33">
        <f t="shared" si="12"/>
        <v>20484.231671939742</v>
      </c>
      <c r="Y31" s="33">
        <f t="shared" si="12"/>
        <v>20051.73052422949</v>
      </c>
      <c r="Z31" s="33">
        <f t="shared" si="12"/>
        <v>19643.192139259911</v>
      </c>
      <c r="AA31" s="33">
        <f t="shared" si="12"/>
        <v>19260.774761446657</v>
      </c>
      <c r="AB31" s="33">
        <f t="shared" si="12"/>
        <v>18906.663986402469</v>
      </c>
      <c r="AC31" s="33">
        <f t="shared" si="12"/>
        <v>18583.144237683759</v>
      </c>
      <c r="AD31" s="33">
        <f t="shared" si="12"/>
        <v>18292.481523840594</v>
      </c>
      <c r="AE31" s="33">
        <f t="shared" si="12"/>
        <v>18037.260886400611</v>
      </c>
      <c r="AF31" s="33">
        <f t="shared" si="12"/>
        <v>17819.902182889076</v>
      </c>
      <c r="AG31" s="33">
        <f t="shared" si="12"/>
        <v>17643.070944945699</v>
      </c>
      <c r="AH31" s="33">
        <f t="shared" si="12"/>
        <v>17509.497614676038</v>
      </c>
      <c r="AI31" s="33">
        <f t="shared" si="12"/>
        <v>17421.875806219316</v>
      </c>
      <c r="AJ31" s="33">
        <f t="shared" si="12"/>
        <v>17383.298163095627</v>
      </c>
      <c r="AK31" s="33">
        <f t="shared" si="12"/>
        <v>17396.610137412928</v>
      </c>
      <c r="AL31" s="33">
        <f t="shared" si="12"/>
        <v>17465.007800214364</v>
      </c>
      <c r="AM31" s="33">
        <f t="shared" si="12"/>
        <v>17591.713728427327</v>
      </c>
      <c r="AN31" s="33">
        <f t="shared" si="12"/>
        <v>17779.967981836198</v>
      </c>
      <c r="AO31" s="33">
        <f t="shared" si="12"/>
        <v>18033.292708864108</v>
      </c>
      <c r="AP31" s="33">
        <f t="shared" si="12"/>
        <v>18355.175462381587</v>
      </c>
      <c r="AQ31" s="33">
        <f t="shared" si="12"/>
        <v>18749.410087515505</v>
      </c>
      <c r="AR31" s="33">
        <f t="shared" si="12"/>
        <v>19219.65141852633</v>
      </c>
    </row>
    <row r="32" spans="1:44" s="15" customFormat="1" x14ac:dyDescent="0.15">
      <c r="A32" s="37" t="s">
        <v>832</v>
      </c>
      <c r="B32" s="33">
        <v>0</v>
      </c>
      <c r="C32" s="33">
        <f>SUM($C31:C31)</f>
        <v>0</v>
      </c>
      <c r="D32" s="33">
        <f>SUM($C31:D31)</f>
        <v>50607.864396105892</v>
      </c>
      <c r="E32" s="33">
        <f>SUM($C31:E31)</f>
        <v>81578.626679908528</v>
      </c>
      <c r="F32" s="33">
        <f>SUM($C31:F31)</f>
        <v>111970.37560903857</v>
      </c>
      <c r="G32" s="33">
        <f>SUM($C31:G31)</f>
        <v>141779.57275392054</v>
      </c>
      <c r="H32" s="33">
        <f>SUM($C31:H31)</f>
        <v>171003.56810992584</v>
      </c>
      <c r="I32" s="33">
        <f>SUM($C31:I31)</f>
        <v>199640.83854497891</v>
      </c>
      <c r="J32" s="33">
        <f>SUM($C31:J31)</f>
        <v>227690.807150045</v>
      </c>
      <c r="K32" s="33">
        <f>SUM($C31:K31)</f>
        <v>255154.03859411852</v>
      </c>
      <c r="L32" s="33">
        <f>SUM($C31:L31)</f>
        <v>282032.24381092994</v>
      </c>
      <c r="M32" s="33">
        <f>SUM($C31:M31)</f>
        <v>308328.32243900769</v>
      </c>
      <c r="N32" s="33">
        <f>SUM($C31:N31)</f>
        <v>334046.42601612478</v>
      </c>
      <c r="O32" s="33">
        <f>SUM($C31:O31)</f>
        <v>359192.00329460925</v>
      </c>
      <c r="P32" s="33">
        <f>SUM($C31:P31)</f>
        <v>383771.91242045828</v>
      </c>
      <c r="Q32" s="33">
        <f>SUM($C31:Q31)</f>
        <v>407794.36666625901</v>
      </c>
      <c r="R32" s="33">
        <f>SUM($C31:R31)</f>
        <v>431269.12309498189</v>
      </c>
      <c r="S32" s="33">
        <f>SUM($C31:S31)</f>
        <v>454207.48240501131</v>
      </c>
      <c r="T32" s="33">
        <f>SUM($C31:T31)</f>
        <v>476622.31554304052</v>
      </c>
      <c r="U32" s="33">
        <f>SUM($C31:U31)</f>
        <v>498528.21536194067</v>
      </c>
      <c r="V32" s="33">
        <f>SUM($C31:V31)</f>
        <v>519941.47470962198</v>
      </c>
      <c r="W32" s="33">
        <f>SUM($C31:W31)</f>
        <v>540880.2107585289</v>
      </c>
      <c r="X32" s="33">
        <f>SUM($C31:X31)</f>
        <v>561364.44243046863</v>
      </c>
      <c r="Y32" s="33">
        <f>SUM($C31:Y31)</f>
        <v>581416.17295469809</v>
      </c>
      <c r="Z32" s="33">
        <f>SUM($C31:Z31)</f>
        <v>601059.36509395798</v>
      </c>
      <c r="AA32" s="33">
        <f>SUM($C31:AA31)</f>
        <v>620320.13985540462</v>
      </c>
      <c r="AB32" s="33">
        <f>SUM($C31:AB31)</f>
        <v>639226.80384180706</v>
      </c>
      <c r="AC32" s="33">
        <f>SUM($C31:AC31)</f>
        <v>657809.9480794908</v>
      </c>
      <c r="AD32" s="33">
        <f>SUM($C31:AD31)</f>
        <v>676102.42960333137</v>
      </c>
      <c r="AE32" s="33">
        <f>SUM($C31:AE31)</f>
        <v>694139.69048973196</v>
      </c>
      <c r="AF32" s="33">
        <f>SUM($C31:AF31)</f>
        <v>711959.59267262102</v>
      </c>
      <c r="AG32" s="33">
        <f>SUM($C31:AG31)</f>
        <v>729602.66361756669</v>
      </c>
      <c r="AH32" s="33">
        <f>SUM($C31:AH31)</f>
        <v>747112.16123224271</v>
      </c>
      <c r="AI32" s="33">
        <f>SUM($C31:AI31)</f>
        <v>764534.037038462</v>
      </c>
      <c r="AJ32" s="33">
        <f>SUM($C31:AJ31)</f>
        <v>781917.33520155761</v>
      </c>
      <c r="AK32" s="33">
        <f>SUM($C31:AK31)</f>
        <v>799313.94533897052</v>
      </c>
      <c r="AL32" s="33">
        <f>SUM($C31:AL31)</f>
        <v>816778.95313918486</v>
      </c>
      <c r="AM32" s="33">
        <f>SUM($C31:AM31)</f>
        <v>834370.66686761216</v>
      </c>
      <c r="AN32" s="33">
        <f>SUM($C31:AN31)</f>
        <v>852150.63484944834</v>
      </c>
      <c r="AO32" s="33">
        <f>SUM($C31:AO31)</f>
        <v>870183.92755831243</v>
      </c>
      <c r="AP32" s="33">
        <f>SUM($C31:AP31)</f>
        <v>888539.10302069399</v>
      </c>
      <c r="AQ32" s="33">
        <f>SUM($C31:AQ31)</f>
        <v>907288.51310820947</v>
      </c>
      <c r="AR32" s="33">
        <f>SUM($C31:AR31)</f>
        <v>926508.16452673578</v>
      </c>
    </row>
    <row r="33" spans="1:46" s="15" customFormat="1" x14ac:dyDescent="0.15">
      <c r="A33" s="37" t="s">
        <v>833</v>
      </c>
      <c r="B33" s="33">
        <f>B28</f>
        <v>1256822.9574044296</v>
      </c>
      <c r="C33" s="33">
        <f>$B28-SUM($B29:B29)-SUM($B30:B30)</f>
        <v>1247899.514406858</v>
      </c>
      <c r="D33" s="33">
        <f>$B28-SUM($B29:C29)-SUM($B30:C30)</f>
        <v>1237606.356350905</v>
      </c>
      <c r="E33" s="33">
        <f>$B28-SUM($B29:D29)-SUM($B30:D30)</f>
        <v>1228682.9133533335</v>
      </c>
      <c r="F33" s="33">
        <f>$B28-SUM($B29:E29)-SUM($B30:E30)</f>
        <v>1219759.4703557622</v>
      </c>
      <c r="G33" s="33">
        <f>$B28-SUM($B29:F29)-SUM($B30:F30)</f>
        <v>1210836.0273581906</v>
      </c>
      <c r="H33" s="33">
        <f>$B28-SUM($B29:G29)-SUM($B30:G30)</f>
        <v>1201912.5843606191</v>
      </c>
      <c r="I33" s="33">
        <f>$B28-SUM($B29:H29)-SUM($B30:H30)</f>
        <v>1192989.1413630478</v>
      </c>
      <c r="J33" s="33">
        <f>$B28-SUM($B29:I29)-SUM($B30:I30)</f>
        <v>1184065.6983654762</v>
      </c>
      <c r="K33" s="33">
        <f>$B28-SUM($B29:J29)-SUM($B30:J30)</f>
        <v>1175142.2553679049</v>
      </c>
      <c r="L33" s="33">
        <f>$B28-SUM($B29:K29)-SUM($B30:K30)</f>
        <v>1166218.8123703334</v>
      </c>
      <c r="M33" s="33">
        <f>$B28-SUM($B29:L29)-SUM($B30:L30)</f>
        <v>1157295.369372762</v>
      </c>
      <c r="N33" s="33">
        <f>$B28-SUM($B29:M29)-SUM($B30:M30)</f>
        <v>1148371.9263751905</v>
      </c>
      <c r="O33" s="33">
        <f>$B28-SUM($B29:N29)-SUM($B30:N30)</f>
        <v>1139448.4833776192</v>
      </c>
      <c r="P33" s="33">
        <f>$B28-SUM($B29:O29)-SUM($B30:O30)</f>
        <v>1130525.0403800476</v>
      </c>
      <c r="Q33" s="33">
        <f>$B28-SUM($B29:P29)-SUM($B30:P30)</f>
        <v>1121601.5973824761</v>
      </c>
      <c r="R33" s="33">
        <f>$B28-SUM($B29:Q29)-SUM($B30:Q30)</f>
        <v>1112678.1543849048</v>
      </c>
      <c r="S33" s="33">
        <f>$B28-SUM($B29:R29)-SUM($B30:R30)</f>
        <v>1103754.7113873332</v>
      </c>
      <c r="T33" s="33">
        <f>$B28-SUM($B29:S29)-SUM($B30:S30)</f>
        <v>1094831.2683897619</v>
      </c>
      <c r="U33" s="33">
        <f>$B28-SUM($B29:T29)-SUM($B30:T30)</f>
        <v>1085907.8253921904</v>
      </c>
      <c r="V33" s="33">
        <f>$B28-SUM($B29:U29)-SUM($B30:U30)</f>
        <v>1076984.3823946188</v>
      </c>
      <c r="W33" s="33">
        <f>$B28-SUM($B29:V29)-SUM($B30:V30)</f>
        <v>1068060.9393970475</v>
      </c>
      <c r="X33" s="33">
        <f>$B28-SUM($B29:W29)-SUM($B30:W30)</f>
        <v>1059137.496399476</v>
      </c>
      <c r="Y33" s="33">
        <f>$B28-SUM($B29:X29)-SUM($B30:X30)</f>
        <v>1050214.0534019044</v>
      </c>
      <c r="Z33" s="33">
        <f>$B28-SUM($B29:Y29)-SUM($B30:Y30)</f>
        <v>1041290.610404333</v>
      </c>
      <c r="AA33" s="33">
        <f>$B28-SUM($B29:Z29)-SUM($B30:Z30)</f>
        <v>1032367.1674067614</v>
      </c>
      <c r="AB33" s="33">
        <f>$B28-SUM($B29:AA29)-SUM($B30:AA30)</f>
        <v>1023443.72440919</v>
      </c>
      <c r="AC33" s="33">
        <f>$B28-SUM($B29:AB29)-SUM($B30:AB30)</f>
        <v>1014520.2814116186</v>
      </c>
      <c r="AD33" s="33">
        <f>$B28-SUM($B29:AC29)-SUM($B30:AC30)</f>
        <v>1005596.838414047</v>
      </c>
      <c r="AE33" s="33">
        <f>$B28-SUM($B29:AD29)-SUM($B30:AD30)</f>
        <v>996673.3954164756</v>
      </c>
      <c r="AF33" s="33">
        <f>$B28-SUM($B29:AE29)-SUM($B30:AE30)</f>
        <v>987749.95241890417</v>
      </c>
      <c r="AG33" s="33">
        <f>$B28-SUM($B29:AF29)-SUM($B30:AF30)</f>
        <v>978826.50942133274</v>
      </c>
      <c r="AH33" s="33">
        <f>$B28-SUM($B29:AG29)-SUM($B30:AG30)</f>
        <v>969903.06642376131</v>
      </c>
      <c r="AI33" s="33">
        <f>$B28-SUM($B29:AH29)-SUM($B30:AH30)</f>
        <v>960979.62342618988</v>
      </c>
      <c r="AJ33" s="33">
        <f>$B28-SUM($B29:AI29)-SUM($B30:AI30)</f>
        <v>952056.18042861845</v>
      </c>
      <c r="AK33" s="33">
        <f>$B28-SUM($B29:AJ29)-SUM($B30:AJ30)</f>
        <v>943132.73743104702</v>
      </c>
      <c r="AL33" s="33">
        <f>$B28-SUM($B29:AK29)-SUM($B30:AK30)</f>
        <v>934209.29443347559</v>
      </c>
      <c r="AM33" s="33">
        <f>$B28-SUM($B29:AL29)-SUM($B30:AL30)</f>
        <v>925285.85143590416</v>
      </c>
      <c r="AN33" s="33">
        <f>$B28-SUM($B29:AM29)-SUM($B30:AM30)</f>
        <v>916362.40843833273</v>
      </c>
      <c r="AO33" s="33">
        <f>$B28-SUM($B29:AN29)-SUM($B30:AN30)</f>
        <v>907438.9654407613</v>
      </c>
      <c r="AP33" s="33">
        <f>$B28-SUM($B29:AO29)-SUM($B30:AO30)</f>
        <v>898515.52244318987</v>
      </c>
      <c r="AQ33" s="33">
        <f>$B28-SUM($B29:AP29)-SUM($B30:AP30)</f>
        <v>889592.07944561844</v>
      </c>
      <c r="AR33" s="33">
        <f>$B28-SUM($B29:AQ29)-SUM($B30:AQ30)</f>
        <v>880668.63644804701</v>
      </c>
    </row>
    <row r="34" spans="1:46" s="15" customFormat="1" x14ac:dyDescent="0.15">
      <c r="A34" s="38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</row>
    <row r="35" spans="1:46" s="19" customFormat="1" x14ac:dyDescent="0.15">
      <c r="A35" s="37"/>
      <c r="B35" s="35">
        <v>2018</v>
      </c>
      <c r="C35" s="35">
        <v>2019</v>
      </c>
      <c r="D35" s="35">
        <v>2020</v>
      </c>
      <c r="E35" s="35">
        <v>2021</v>
      </c>
      <c r="F35" s="35">
        <v>2022</v>
      </c>
      <c r="G35" s="35">
        <v>2023</v>
      </c>
      <c r="H35" s="35">
        <v>2024</v>
      </c>
      <c r="I35" s="35">
        <v>2025</v>
      </c>
      <c r="J35" s="35">
        <v>2026</v>
      </c>
      <c r="K35" s="35">
        <v>2027</v>
      </c>
      <c r="L35" s="35">
        <v>2028</v>
      </c>
      <c r="M35" s="35">
        <v>2029</v>
      </c>
      <c r="N35" s="35">
        <v>2030</v>
      </c>
      <c r="O35" s="35">
        <v>2031</v>
      </c>
      <c r="P35" s="35">
        <v>2032</v>
      </c>
      <c r="Q35" s="35">
        <v>2033</v>
      </c>
      <c r="R35" s="35">
        <v>2034</v>
      </c>
      <c r="S35" s="35">
        <v>2035</v>
      </c>
      <c r="T35" s="35">
        <v>2036</v>
      </c>
      <c r="U35" s="35">
        <v>2037</v>
      </c>
      <c r="V35" s="35">
        <v>2038</v>
      </c>
      <c r="W35" s="35">
        <v>2039</v>
      </c>
      <c r="X35" s="35">
        <v>2040</v>
      </c>
      <c r="Y35" s="35">
        <v>2041</v>
      </c>
      <c r="Z35" s="35">
        <v>2042</v>
      </c>
      <c r="AA35" s="35">
        <v>2043</v>
      </c>
      <c r="AB35" s="35">
        <v>2044</v>
      </c>
      <c r="AC35" s="35">
        <v>2045</v>
      </c>
      <c r="AD35" s="35">
        <v>2046</v>
      </c>
      <c r="AE35" s="35">
        <v>2047</v>
      </c>
      <c r="AF35" s="35">
        <v>2048</v>
      </c>
      <c r="AG35" s="35">
        <v>2049</v>
      </c>
      <c r="AH35" s="35">
        <v>2050</v>
      </c>
      <c r="AI35" s="35">
        <v>2051</v>
      </c>
      <c r="AJ35" s="35">
        <v>2052</v>
      </c>
      <c r="AK35" s="35">
        <v>2053</v>
      </c>
      <c r="AL35" s="35">
        <v>2054</v>
      </c>
      <c r="AM35" s="35">
        <v>2055</v>
      </c>
      <c r="AN35" s="35">
        <v>2056</v>
      </c>
      <c r="AO35" s="35">
        <v>2057</v>
      </c>
      <c r="AP35" s="35">
        <v>2058</v>
      </c>
      <c r="AQ35" s="35">
        <v>2059</v>
      </c>
      <c r="AR35" s="35">
        <v>2060</v>
      </c>
    </row>
    <row r="36" spans="1:46" s="15" customFormat="1" x14ac:dyDescent="0.15">
      <c r="A36" s="37" t="s">
        <v>886</v>
      </c>
      <c r="B36" s="33">
        <f>D46*人口变化预测!D7/10000</f>
        <v>518276.69823721593</v>
      </c>
      <c r="C36" s="33">
        <f>E46*人口变化预测!E7/10000</f>
        <v>514032.10361054685</v>
      </c>
      <c r="D36" s="33">
        <f>F46*人口变化预测!F7/10000</f>
        <v>531221.52886975557</v>
      </c>
      <c r="E36" s="33">
        <f>G46*人口变化预测!G7/10000</f>
        <v>540313.19271734136</v>
      </c>
      <c r="F36" s="33">
        <f>H46*人口变化预测!H7/10000</f>
        <v>549166.08854439773</v>
      </c>
      <c r="G36" s="33">
        <f>I46*人口变化预测!I7/10000</f>
        <v>557778.7572069891</v>
      </c>
      <c r="H36" s="33">
        <f>J46*人口变化预测!J7/10000</f>
        <v>566150.10592140898</v>
      </c>
      <c r="I36" s="33">
        <f>K46*人口变化预测!K7/10000</f>
        <v>574279.50659293751</v>
      </c>
      <c r="J36" s="33">
        <f>L46*人口变化预测!L7/10000</f>
        <v>582166.72132131399</v>
      </c>
      <c r="K36" s="33">
        <f>M46*人口变化预测!M7/10000</f>
        <v>589811.9829593678</v>
      </c>
      <c r="L36" s="33">
        <f>N46*人口变化预测!N7/10000</f>
        <v>597215.99704567925</v>
      </c>
      <c r="M36" s="33">
        <f>O46*人口变化预测!O7/10000</f>
        <v>604379.95930560783</v>
      </c>
      <c r="N36" s="33">
        <f>P46*人口变化预测!P7/10000</f>
        <v>611305.58171081729</v>
      </c>
      <c r="O36" s="33">
        <f>Q46*人口变化预测!Q7/10000</f>
        <v>617995.11116597243</v>
      </c>
      <c r="P36" s="33">
        <f>R46*人口变化预测!R7/10000</f>
        <v>624451.37576809619</v>
      </c>
      <c r="Q36" s="33">
        <f>S46*人口变化预测!S7/10000</f>
        <v>630677.76242842572</v>
      </c>
      <c r="R36" s="33">
        <f>T46*人口变化预测!T7/10000</f>
        <v>636678.29467179487</v>
      </c>
      <c r="S36" s="33">
        <f>U46*人口变化预测!U7/10000</f>
        <v>642457.63257272926</v>
      </c>
      <c r="T36" s="33">
        <f>V46*人口变化预测!V7/10000</f>
        <v>648021.0837298173</v>
      </c>
      <c r="U36" s="33">
        <f>W46*人口变化预测!W7/10000</f>
        <v>653374.66580494179</v>
      </c>
      <c r="V36" s="33">
        <f>X46*人口变化预测!X7/10000</f>
        <v>658525.09748777212</v>
      </c>
      <c r="W36" s="33">
        <f>Y46*人口变化预测!Y7/10000</f>
        <v>663479.8497655784</v>
      </c>
      <c r="X36" s="33">
        <f>Z46*人口变化预测!Z7/10000</f>
        <v>668247.17785094667</v>
      </c>
      <c r="Y36" s="33">
        <f>AA46*人口变化预测!AA7/10000</f>
        <v>672836.15522629779</v>
      </c>
      <c r="Z36" s="33">
        <f>AB46*人口变化预测!AB7/10000</f>
        <v>677256.66342783393</v>
      </c>
      <c r="AA36" s="33">
        <f>AC46*人口变化预测!AC7/10000</f>
        <v>681519.47398806468</v>
      </c>
      <c r="AB36" s="33">
        <f>AD46*人口变化预测!AD7/10000</f>
        <v>685636.25971463113</v>
      </c>
      <c r="AC36" s="33">
        <f>AE46*人口变化预测!AE7/10000</f>
        <v>689619.63544403587</v>
      </c>
      <c r="AD36" s="33">
        <f>AF46*人口变化预测!AF7/10000</f>
        <v>693483.1504478358</v>
      </c>
      <c r="AE36" s="33">
        <f>AG46*人口变化预测!AG7/10000</f>
        <v>697241.41999242816</v>
      </c>
      <c r="AF36" s="33">
        <f>AH46*人口变化预测!AH7/10000</f>
        <v>700910.05722204316</v>
      </c>
      <c r="AG36" s="33">
        <f>AI46*人口变化预测!AI7/10000</f>
        <v>704505.77446749748</v>
      </c>
      <c r="AH36" s="33">
        <f>AJ46*人口变化预测!AJ7/10000</f>
        <v>708046.41001335613</v>
      </c>
      <c r="AI36" s="33">
        <f>AK46*人口变化预测!AK7/10000</f>
        <v>711550.91291116527</v>
      </c>
      <c r="AJ36" s="33">
        <f>AL46*人口变化预测!AL7/10000</f>
        <v>715039.50752739329</v>
      </c>
      <c r="AK36" s="33">
        <f>AM46*人口变化预测!AM7/10000</f>
        <v>718533.59160898766</v>
      </c>
      <c r="AL36" s="33">
        <f>AN46*人口变化预测!AN7/10000</f>
        <v>722055.88086827635</v>
      </c>
      <c r="AM36" s="33">
        <f>AO46*人口变化预测!AO7/10000</f>
        <v>725630.4199132123</v>
      </c>
      <c r="AN36" s="33">
        <f>AP46*人口变化预测!AP7/10000</f>
        <v>729282.58945678885</v>
      </c>
      <c r="AO36" s="33">
        <f>AQ46*人口变化预测!AQ7/10000</f>
        <v>733039.22264206794</v>
      </c>
      <c r="AP36" s="33">
        <f>AR46*人口变化预测!AR7/10000</f>
        <v>736928.59077599645</v>
      </c>
      <c r="AQ36" s="33">
        <f>AS46*人口变化预测!AS7/10000</f>
        <v>740980.52963529353</v>
      </c>
      <c r="AR36" s="33">
        <f>AT46*人口变化预测!AT7/10000</f>
        <v>745226.38214247185</v>
      </c>
    </row>
    <row r="37" spans="1:46" s="15" customFormat="1" x14ac:dyDescent="0.15">
      <c r="A37" s="37" t="s">
        <v>957</v>
      </c>
      <c r="B37" s="33">
        <f>$B36*0.71%</f>
        <v>3679.7645574842327</v>
      </c>
      <c r="C37" s="33">
        <f t="shared" ref="C37:AR37" si="13">$B36*0.71%</f>
        <v>3679.7645574842327</v>
      </c>
      <c r="D37" s="33">
        <f t="shared" si="13"/>
        <v>3679.7645574842327</v>
      </c>
      <c r="E37" s="33">
        <f t="shared" si="13"/>
        <v>3679.7645574842327</v>
      </c>
      <c r="F37" s="33">
        <f t="shared" si="13"/>
        <v>3679.7645574842327</v>
      </c>
      <c r="G37" s="33">
        <f t="shared" si="13"/>
        <v>3679.7645574842327</v>
      </c>
      <c r="H37" s="33">
        <f t="shared" si="13"/>
        <v>3679.7645574842327</v>
      </c>
      <c r="I37" s="33">
        <f t="shared" si="13"/>
        <v>3679.7645574842327</v>
      </c>
      <c r="J37" s="33">
        <f t="shared" si="13"/>
        <v>3679.7645574842327</v>
      </c>
      <c r="K37" s="33">
        <f t="shared" si="13"/>
        <v>3679.7645574842327</v>
      </c>
      <c r="L37" s="33">
        <f t="shared" si="13"/>
        <v>3679.7645574842327</v>
      </c>
      <c r="M37" s="33">
        <f t="shared" si="13"/>
        <v>3679.7645574842327</v>
      </c>
      <c r="N37" s="33">
        <f t="shared" si="13"/>
        <v>3679.7645574842327</v>
      </c>
      <c r="O37" s="33">
        <f t="shared" si="13"/>
        <v>3679.7645574842327</v>
      </c>
      <c r="P37" s="33">
        <f t="shared" si="13"/>
        <v>3679.7645574842327</v>
      </c>
      <c r="Q37" s="33">
        <f t="shared" si="13"/>
        <v>3679.7645574842327</v>
      </c>
      <c r="R37" s="33">
        <f t="shared" si="13"/>
        <v>3679.7645574842327</v>
      </c>
      <c r="S37" s="33">
        <f t="shared" si="13"/>
        <v>3679.7645574842327</v>
      </c>
      <c r="T37" s="33">
        <f t="shared" si="13"/>
        <v>3679.7645574842327</v>
      </c>
      <c r="U37" s="33">
        <f t="shared" si="13"/>
        <v>3679.7645574842327</v>
      </c>
      <c r="V37" s="33">
        <f t="shared" si="13"/>
        <v>3679.7645574842327</v>
      </c>
      <c r="W37" s="33">
        <f t="shared" si="13"/>
        <v>3679.7645574842327</v>
      </c>
      <c r="X37" s="33">
        <f t="shared" si="13"/>
        <v>3679.7645574842327</v>
      </c>
      <c r="Y37" s="33">
        <f t="shared" si="13"/>
        <v>3679.7645574842327</v>
      </c>
      <c r="Z37" s="33">
        <f t="shared" si="13"/>
        <v>3679.7645574842327</v>
      </c>
      <c r="AA37" s="33">
        <f t="shared" si="13"/>
        <v>3679.7645574842327</v>
      </c>
      <c r="AB37" s="33">
        <f t="shared" si="13"/>
        <v>3679.7645574842327</v>
      </c>
      <c r="AC37" s="33">
        <f t="shared" si="13"/>
        <v>3679.7645574842327</v>
      </c>
      <c r="AD37" s="33">
        <f t="shared" si="13"/>
        <v>3679.7645574842327</v>
      </c>
      <c r="AE37" s="33">
        <f t="shared" si="13"/>
        <v>3679.7645574842327</v>
      </c>
      <c r="AF37" s="33">
        <f t="shared" si="13"/>
        <v>3679.7645574842327</v>
      </c>
      <c r="AG37" s="33">
        <f t="shared" si="13"/>
        <v>3679.7645574842327</v>
      </c>
      <c r="AH37" s="33">
        <f t="shared" si="13"/>
        <v>3679.7645574842327</v>
      </c>
      <c r="AI37" s="33">
        <f t="shared" si="13"/>
        <v>3679.7645574842327</v>
      </c>
      <c r="AJ37" s="33">
        <f t="shared" si="13"/>
        <v>3679.7645574842327</v>
      </c>
      <c r="AK37" s="33">
        <f t="shared" si="13"/>
        <v>3679.7645574842327</v>
      </c>
      <c r="AL37" s="33">
        <f t="shared" si="13"/>
        <v>3679.7645574842327</v>
      </c>
      <c r="AM37" s="33">
        <f t="shared" si="13"/>
        <v>3679.7645574842327</v>
      </c>
      <c r="AN37" s="33">
        <f t="shared" si="13"/>
        <v>3679.7645574842327</v>
      </c>
      <c r="AO37" s="33">
        <f t="shared" si="13"/>
        <v>3679.7645574842327</v>
      </c>
      <c r="AP37" s="33">
        <f t="shared" si="13"/>
        <v>3679.7645574842327</v>
      </c>
      <c r="AQ37" s="33">
        <f t="shared" si="13"/>
        <v>3679.7645574842327</v>
      </c>
      <c r="AR37" s="33">
        <f t="shared" si="13"/>
        <v>3679.7645574842327</v>
      </c>
    </row>
    <row r="38" spans="1:46" s="15" customFormat="1" x14ac:dyDescent="0.15">
      <c r="A38" s="37" t="s">
        <v>958</v>
      </c>
      <c r="B38" s="33"/>
      <c r="C38" s="33">
        <f>IF(B36-C36-B37&gt;0,B36-C36-B37,0)</f>
        <v>564.8300691848408</v>
      </c>
      <c r="D38" s="33">
        <f>IF(C36-D36-C37&gt;0,C36-D36-C37,0)</f>
        <v>0</v>
      </c>
      <c r="E38" s="33">
        <f t="shared" ref="E38:AR38" si="14">IF(D36-E36-D37&gt;0,D36-E36-D37,0)</f>
        <v>0</v>
      </c>
      <c r="F38" s="33">
        <f t="shared" si="14"/>
        <v>0</v>
      </c>
      <c r="G38" s="33">
        <f t="shared" si="14"/>
        <v>0</v>
      </c>
      <c r="H38" s="33">
        <f t="shared" si="14"/>
        <v>0</v>
      </c>
      <c r="I38" s="33">
        <f t="shared" si="14"/>
        <v>0</v>
      </c>
      <c r="J38" s="33">
        <f t="shared" si="14"/>
        <v>0</v>
      </c>
      <c r="K38" s="33">
        <f t="shared" si="14"/>
        <v>0</v>
      </c>
      <c r="L38" s="33">
        <f t="shared" si="14"/>
        <v>0</v>
      </c>
      <c r="M38" s="33">
        <f t="shared" si="14"/>
        <v>0</v>
      </c>
      <c r="N38" s="33">
        <f t="shared" si="14"/>
        <v>0</v>
      </c>
      <c r="O38" s="33">
        <f t="shared" si="14"/>
        <v>0</v>
      </c>
      <c r="P38" s="33">
        <f t="shared" si="14"/>
        <v>0</v>
      </c>
      <c r="Q38" s="33">
        <f t="shared" si="14"/>
        <v>0</v>
      </c>
      <c r="R38" s="33">
        <f t="shared" si="14"/>
        <v>0</v>
      </c>
      <c r="S38" s="33">
        <f t="shared" si="14"/>
        <v>0</v>
      </c>
      <c r="T38" s="33">
        <f t="shared" si="14"/>
        <v>0</v>
      </c>
      <c r="U38" s="33">
        <f t="shared" si="14"/>
        <v>0</v>
      </c>
      <c r="V38" s="33">
        <f t="shared" si="14"/>
        <v>0</v>
      </c>
      <c r="W38" s="33">
        <f t="shared" si="14"/>
        <v>0</v>
      </c>
      <c r="X38" s="33">
        <f t="shared" si="14"/>
        <v>0</v>
      </c>
      <c r="Y38" s="33">
        <f t="shared" si="14"/>
        <v>0</v>
      </c>
      <c r="Z38" s="33">
        <f t="shared" si="14"/>
        <v>0</v>
      </c>
      <c r="AA38" s="33">
        <f t="shared" si="14"/>
        <v>0</v>
      </c>
      <c r="AB38" s="33">
        <f t="shared" si="14"/>
        <v>0</v>
      </c>
      <c r="AC38" s="33">
        <f t="shared" si="14"/>
        <v>0</v>
      </c>
      <c r="AD38" s="33">
        <f t="shared" si="14"/>
        <v>0</v>
      </c>
      <c r="AE38" s="33">
        <f t="shared" si="14"/>
        <v>0</v>
      </c>
      <c r="AF38" s="33">
        <f t="shared" si="14"/>
        <v>0</v>
      </c>
      <c r="AG38" s="33">
        <f t="shared" si="14"/>
        <v>0</v>
      </c>
      <c r="AH38" s="33">
        <f t="shared" si="14"/>
        <v>0</v>
      </c>
      <c r="AI38" s="33">
        <f t="shared" si="14"/>
        <v>0</v>
      </c>
      <c r="AJ38" s="33">
        <f t="shared" si="14"/>
        <v>0</v>
      </c>
      <c r="AK38" s="33">
        <f t="shared" si="14"/>
        <v>0</v>
      </c>
      <c r="AL38" s="33">
        <f t="shared" si="14"/>
        <v>0</v>
      </c>
      <c r="AM38" s="33">
        <f t="shared" si="14"/>
        <v>0</v>
      </c>
      <c r="AN38" s="33">
        <f t="shared" si="14"/>
        <v>0</v>
      </c>
      <c r="AO38" s="33">
        <f t="shared" si="14"/>
        <v>0</v>
      </c>
      <c r="AP38" s="33">
        <f t="shared" si="14"/>
        <v>0</v>
      </c>
      <c r="AQ38" s="33">
        <f t="shared" si="14"/>
        <v>0</v>
      </c>
      <c r="AR38" s="33">
        <f t="shared" si="14"/>
        <v>0</v>
      </c>
    </row>
    <row r="39" spans="1:46" s="15" customFormat="1" x14ac:dyDescent="0.15">
      <c r="A39" s="37" t="s">
        <v>889</v>
      </c>
      <c r="B39" s="33"/>
      <c r="C39" s="33">
        <f t="shared" ref="C39:AR39" si="15">IF(C36-B36+B37&gt;0,C36-B36+B37,0)</f>
        <v>0</v>
      </c>
      <c r="D39" s="33">
        <f t="shared" si="15"/>
        <v>20869.189816692946</v>
      </c>
      <c r="E39" s="33">
        <f t="shared" si="15"/>
        <v>12771.428405070023</v>
      </c>
      <c r="F39" s="33">
        <f t="shared" si="15"/>
        <v>12532.660384540606</v>
      </c>
      <c r="G39" s="33">
        <f t="shared" si="15"/>
        <v>12292.433220075603</v>
      </c>
      <c r="H39" s="33">
        <f t="shared" si="15"/>
        <v>12051.113271904105</v>
      </c>
      <c r="I39" s="33">
        <f t="shared" si="15"/>
        <v>11809.165229012768</v>
      </c>
      <c r="J39" s="33">
        <f t="shared" si="15"/>
        <v>11566.979285860711</v>
      </c>
      <c r="K39" s="33">
        <f t="shared" si="15"/>
        <v>11325.026195538041</v>
      </c>
      <c r="L39" s="33">
        <f t="shared" si="15"/>
        <v>11083.778643795682</v>
      </c>
      <c r="M39" s="33">
        <f t="shared" si="15"/>
        <v>10843.726817412811</v>
      </c>
      <c r="N39" s="33">
        <f t="shared" si="15"/>
        <v>10605.386962693694</v>
      </c>
      <c r="O39" s="33">
        <f t="shared" si="15"/>
        <v>10369.294012639366</v>
      </c>
      <c r="P39" s="33">
        <f t="shared" si="15"/>
        <v>10136.029159607991</v>
      </c>
      <c r="Q39" s="33">
        <f t="shared" si="15"/>
        <v>9906.1512178137637</v>
      </c>
      <c r="R39" s="33">
        <f t="shared" si="15"/>
        <v>9680.296800853379</v>
      </c>
      <c r="S39" s="33">
        <f t="shared" si="15"/>
        <v>9459.1024584186234</v>
      </c>
      <c r="T39" s="33">
        <f t="shared" si="15"/>
        <v>9243.215714572274</v>
      </c>
      <c r="U39" s="33">
        <f t="shared" si="15"/>
        <v>9033.3466326087218</v>
      </c>
      <c r="V39" s="33">
        <f t="shared" si="15"/>
        <v>8830.196240314559</v>
      </c>
      <c r="W39" s="33">
        <f t="shared" si="15"/>
        <v>8634.5168352905166</v>
      </c>
      <c r="X39" s="33">
        <f t="shared" si="15"/>
        <v>8447.0926428524981</v>
      </c>
      <c r="Y39" s="33">
        <f t="shared" si="15"/>
        <v>8268.7419328353571</v>
      </c>
      <c r="Z39" s="33">
        <f t="shared" si="15"/>
        <v>8100.2727590203731</v>
      </c>
      <c r="AA39" s="33">
        <f t="shared" si="15"/>
        <v>7942.5751177149805</v>
      </c>
      <c r="AB39" s="33">
        <f t="shared" si="15"/>
        <v>7796.5502840506824</v>
      </c>
      <c r="AC39" s="33">
        <f t="shared" si="15"/>
        <v>7663.1402868889718</v>
      </c>
      <c r="AD39" s="33">
        <f t="shared" si="15"/>
        <v>7543.2795612841592</v>
      </c>
      <c r="AE39" s="33">
        <f t="shared" si="15"/>
        <v>7438.0341020765927</v>
      </c>
      <c r="AF39" s="33">
        <f t="shared" si="15"/>
        <v>7348.4017870992402</v>
      </c>
      <c r="AG39" s="33">
        <f t="shared" si="15"/>
        <v>7275.4818029385506</v>
      </c>
      <c r="AH39" s="33">
        <f t="shared" si="15"/>
        <v>7220.4001033428804</v>
      </c>
      <c r="AI39" s="33">
        <f t="shared" si="15"/>
        <v>7184.2674552933759</v>
      </c>
      <c r="AJ39" s="33">
        <f t="shared" si="15"/>
        <v>7168.3591737122488</v>
      </c>
      <c r="AK39" s="33">
        <f t="shared" si="15"/>
        <v>7173.8486390785993</v>
      </c>
      <c r="AL39" s="33">
        <f t="shared" si="15"/>
        <v>7202.0538167729255</v>
      </c>
      <c r="AM39" s="33">
        <f t="shared" si="15"/>
        <v>7254.3036024201874</v>
      </c>
      <c r="AN39" s="33">
        <f t="shared" si="15"/>
        <v>7331.9341010607759</v>
      </c>
      <c r="AO39" s="33">
        <f t="shared" si="15"/>
        <v>7436.3977427633226</v>
      </c>
      <c r="AP39" s="33">
        <f t="shared" si="15"/>
        <v>7569.132691412743</v>
      </c>
      <c r="AQ39" s="33">
        <f t="shared" si="15"/>
        <v>7731.7034167813117</v>
      </c>
      <c r="AR39" s="33">
        <f t="shared" si="15"/>
        <v>7925.6170646625551</v>
      </c>
    </row>
    <row r="40" spans="1:46" s="15" customFormat="1" x14ac:dyDescent="0.15">
      <c r="A40" s="37" t="s">
        <v>832</v>
      </c>
      <c r="B40" s="33">
        <v>0</v>
      </c>
      <c r="C40" s="33">
        <f>SUM($C39:C39)</f>
        <v>0</v>
      </c>
      <c r="D40" s="33">
        <f>SUM($C39:D39)</f>
        <v>20869.189816692946</v>
      </c>
      <c r="E40" s="33">
        <f>SUM($C39:E39)</f>
        <v>33640.618221762968</v>
      </c>
      <c r="F40" s="33">
        <f>SUM($C39:F39)</f>
        <v>46173.278606303575</v>
      </c>
      <c r="G40" s="33">
        <f>SUM($C39:G39)</f>
        <v>58465.711826379178</v>
      </c>
      <c r="H40" s="33">
        <f>SUM($C39:H39)</f>
        <v>70516.825098283283</v>
      </c>
      <c r="I40" s="33">
        <f>SUM($C39:I39)</f>
        <v>82325.990327296051</v>
      </c>
      <c r="J40" s="33">
        <f>SUM($C39:J39)</f>
        <v>93892.969613156762</v>
      </c>
      <c r="K40" s="33">
        <f>SUM($C39:K39)</f>
        <v>105217.9958086948</v>
      </c>
      <c r="L40" s="33">
        <f>SUM($C39:L39)</f>
        <v>116301.77445249048</v>
      </c>
      <c r="M40" s="33">
        <f>SUM($C39:M39)</f>
        <v>127145.5012699033</v>
      </c>
      <c r="N40" s="33">
        <f>SUM($C39:N39)</f>
        <v>137750.88823259698</v>
      </c>
      <c r="O40" s="33">
        <f>SUM($C39:O39)</f>
        <v>148120.18224523636</v>
      </c>
      <c r="P40" s="33">
        <f>SUM($C39:P39)</f>
        <v>158256.21140484436</v>
      </c>
      <c r="Q40" s="33">
        <f>SUM($C39:Q39)</f>
        <v>168162.36262265814</v>
      </c>
      <c r="R40" s="33">
        <f>SUM($C39:R39)</f>
        <v>177842.65942351153</v>
      </c>
      <c r="S40" s="33">
        <f>SUM($C39:S39)</f>
        <v>187301.76188193017</v>
      </c>
      <c r="T40" s="33">
        <f>SUM($C39:T39)</f>
        <v>196544.97759650246</v>
      </c>
      <c r="U40" s="33">
        <f>SUM($C39:U39)</f>
        <v>205578.3242291112</v>
      </c>
      <c r="V40" s="33">
        <f>SUM($C39:V39)</f>
        <v>214408.52046942577</v>
      </c>
      <c r="W40" s="33">
        <f>SUM($C39:W39)</f>
        <v>223043.0373047163</v>
      </c>
      <c r="X40" s="33">
        <f>SUM($C39:X39)</f>
        <v>231490.12994756881</v>
      </c>
      <c r="Y40" s="33">
        <f>SUM($C39:Y39)</f>
        <v>239758.87188040419</v>
      </c>
      <c r="Z40" s="33">
        <f>SUM($C39:Z39)</f>
        <v>247859.14463942457</v>
      </c>
      <c r="AA40" s="33">
        <f>SUM($C39:AA39)</f>
        <v>255801.71975713957</v>
      </c>
      <c r="AB40" s="33">
        <f>SUM($C39:AB39)</f>
        <v>263598.27004119026</v>
      </c>
      <c r="AC40" s="33">
        <f>SUM($C39:AC39)</f>
        <v>271261.41032807925</v>
      </c>
      <c r="AD40" s="33">
        <f>SUM($C39:AD39)</f>
        <v>278804.68988936342</v>
      </c>
      <c r="AE40" s="33">
        <f>SUM($C39:AE39)</f>
        <v>286242.72399144003</v>
      </c>
      <c r="AF40" s="33">
        <f>SUM($C39:AF39)</f>
        <v>293591.12577853928</v>
      </c>
      <c r="AG40" s="33">
        <f>SUM($C39:AG39)</f>
        <v>300866.60758147785</v>
      </c>
      <c r="AH40" s="33">
        <f>SUM($C39:AH39)</f>
        <v>308087.00768482074</v>
      </c>
      <c r="AI40" s="33">
        <f>SUM($C39:AI39)</f>
        <v>315271.27514011413</v>
      </c>
      <c r="AJ40" s="33">
        <f>SUM($C39:AJ39)</f>
        <v>322439.63431382639</v>
      </c>
      <c r="AK40" s="33">
        <f>SUM($C39:AK39)</f>
        <v>329613.482952905</v>
      </c>
      <c r="AL40" s="33">
        <f>SUM($C39:AL39)</f>
        <v>336815.53676967794</v>
      </c>
      <c r="AM40" s="33">
        <f>SUM($C39:AM39)</f>
        <v>344069.84037209814</v>
      </c>
      <c r="AN40" s="33">
        <f>SUM($C39:AN39)</f>
        <v>351401.77447315893</v>
      </c>
      <c r="AO40" s="33">
        <f>SUM($C39:AO39)</f>
        <v>358838.17221592227</v>
      </c>
      <c r="AP40" s="33">
        <f>SUM($C39:AP39)</f>
        <v>366407.30490733503</v>
      </c>
      <c r="AQ40" s="33">
        <f>SUM($C39:AQ39)</f>
        <v>374139.00832411635</v>
      </c>
      <c r="AR40" s="33">
        <f>SUM($C39:AR39)</f>
        <v>382064.62538877892</v>
      </c>
    </row>
    <row r="41" spans="1:46" s="15" customFormat="1" x14ac:dyDescent="0.15">
      <c r="A41" s="37" t="s">
        <v>833</v>
      </c>
      <c r="B41" s="33">
        <f>B36</f>
        <v>518276.69823721593</v>
      </c>
      <c r="C41" s="33">
        <f>$B36-SUM($B37:B37)-SUM($B38:B38)</f>
        <v>514596.93367973168</v>
      </c>
      <c r="D41" s="33">
        <f>$B36-SUM($B37:C37)-SUM($B38:C38)</f>
        <v>510352.33905306261</v>
      </c>
      <c r="E41" s="33">
        <f>$B36-SUM($B37:D37)-SUM($B38:D38)</f>
        <v>506672.57449557842</v>
      </c>
      <c r="F41" s="33">
        <f>$B36-SUM($B37:E37)-SUM($B38:E38)</f>
        <v>502992.80993809417</v>
      </c>
      <c r="G41" s="33">
        <f>$B36-SUM($B37:F37)-SUM($B38:F38)</f>
        <v>499313.04538060992</v>
      </c>
      <c r="H41" s="33">
        <f>$B36-SUM($B37:G37)-SUM($B38:G38)</f>
        <v>495633.28082312568</v>
      </c>
      <c r="I41" s="33">
        <f>$B36-SUM($B37:H37)-SUM($B38:H38)</f>
        <v>491953.51626564149</v>
      </c>
      <c r="J41" s="33">
        <f>$B36-SUM($B37:I37)-SUM($B38:I38)</f>
        <v>488273.75170815724</v>
      </c>
      <c r="K41" s="33">
        <f>$B36-SUM($B37:J37)-SUM($B38:J38)</f>
        <v>484593.987150673</v>
      </c>
      <c r="L41" s="33">
        <f>$B36-SUM($B37:K37)-SUM($B38:K38)</f>
        <v>480914.22259318875</v>
      </c>
      <c r="M41" s="33">
        <f>$B36-SUM($B37:L37)-SUM($B38:L38)</f>
        <v>477234.45803570456</v>
      </c>
      <c r="N41" s="33">
        <f>$B36-SUM($B37:M37)-SUM($B38:M38)</f>
        <v>473554.69347822032</v>
      </c>
      <c r="O41" s="33">
        <f>$B36-SUM($B37:N37)-SUM($B38:N38)</f>
        <v>469874.92892073607</v>
      </c>
      <c r="P41" s="33">
        <f>$B36-SUM($B37:O37)-SUM($B38:O38)</f>
        <v>466195.16436325182</v>
      </c>
      <c r="Q41" s="33">
        <f>$B36-SUM($B37:P37)-SUM($B38:P38)</f>
        <v>462515.39980576764</v>
      </c>
      <c r="R41" s="33">
        <f>$B36-SUM($B37:Q37)-SUM($B38:Q38)</f>
        <v>458835.63524828339</v>
      </c>
      <c r="S41" s="33">
        <f>$B36-SUM($B37:R37)-SUM($B38:R38)</f>
        <v>455155.87069079914</v>
      </c>
      <c r="T41" s="33">
        <f>$B36-SUM($B37:S37)-SUM($B38:S38)</f>
        <v>451476.1061333149</v>
      </c>
      <c r="U41" s="33">
        <f>$B36-SUM($B37:T37)-SUM($B38:T38)</f>
        <v>447796.34157583065</v>
      </c>
      <c r="V41" s="33">
        <f>$B36-SUM($B37:U37)-SUM($B38:U38)</f>
        <v>444116.57701834646</v>
      </c>
      <c r="W41" s="33">
        <f>$B36-SUM($B37:V37)-SUM($B38:V38)</f>
        <v>440436.81246086222</v>
      </c>
      <c r="X41" s="33">
        <f>$B36-SUM($B37:W37)-SUM($B38:W38)</f>
        <v>436757.04790337797</v>
      </c>
      <c r="Y41" s="33">
        <f>$B36-SUM($B37:X37)-SUM($B38:X38)</f>
        <v>433077.28334589378</v>
      </c>
      <c r="Z41" s="33">
        <f>$B36-SUM($B37:Y37)-SUM($B38:Y38)</f>
        <v>429397.51878840954</v>
      </c>
      <c r="AA41" s="33">
        <f>$B36-SUM($B37:Z37)-SUM($B38:Z38)</f>
        <v>425717.75423092529</v>
      </c>
      <c r="AB41" s="33">
        <f>$B36-SUM($B37:AA37)-SUM($B38:AA38)</f>
        <v>422037.98967344104</v>
      </c>
      <c r="AC41" s="33">
        <f>$B36-SUM($B37:AB37)-SUM($B38:AB38)</f>
        <v>418358.2251159568</v>
      </c>
      <c r="AD41" s="33">
        <f>$B36-SUM($B37:AC37)-SUM($B38:AC38)</f>
        <v>414678.46055847261</v>
      </c>
      <c r="AE41" s="33">
        <f>$B36-SUM($B37:AD37)-SUM($B38:AD38)</f>
        <v>410998.69600098836</v>
      </c>
      <c r="AF41" s="33">
        <f>$B36-SUM($B37:AE37)-SUM($B38:AE38)</f>
        <v>407318.93144350412</v>
      </c>
      <c r="AG41" s="33">
        <f>$B36-SUM($B37:AF37)-SUM($B38:AF38)</f>
        <v>403639.16688601993</v>
      </c>
      <c r="AH41" s="33">
        <f>$B36-SUM($B37:AG37)-SUM($B38:AG38)</f>
        <v>399959.40232853568</v>
      </c>
      <c r="AI41" s="33">
        <f>$B36-SUM($B37:AH37)-SUM($B38:AH38)</f>
        <v>396279.63777105144</v>
      </c>
      <c r="AJ41" s="33">
        <f>$B36-SUM($B37:AI37)-SUM($B38:AI38)</f>
        <v>392599.87321356719</v>
      </c>
      <c r="AK41" s="33">
        <f>$B36-SUM($B37:AJ37)-SUM($B38:AJ38)</f>
        <v>388920.10865608294</v>
      </c>
      <c r="AL41" s="33">
        <f>$B36-SUM($B37:AK37)-SUM($B38:AK38)</f>
        <v>385240.34409859875</v>
      </c>
      <c r="AM41" s="33">
        <f>$B36-SUM($B37:AL37)-SUM($B38:AL38)</f>
        <v>381560.57954111445</v>
      </c>
      <c r="AN41" s="33">
        <f>$B36-SUM($B37:AM37)-SUM($B38:AM38)</f>
        <v>377880.81498363026</v>
      </c>
      <c r="AO41" s="33">
        <f>$B36-SUM($B37:AN37)-SUM($B38:AN38)</f>
        <v>374201.05042614596</v>
      </c>
      <c r="AP41" s="33">
        <f>$B36-SUM($B37:AO37)-SUM($B38:AO38)</f>
        <v>370521.28586866177</v>
      </c>
      <c r="AQ41" s="33">
        <f>$B36-SUM($B37:AP37)-SUM($B38:AP38)</f>
        <v>366841.52131117746</v>
      </c>
      <c r="AR41" s="33">
        <f>$B36-SUM($B37:AQ37)-SUM($B38:AQ38)</f>
        <v>363161.75675369328</v>
      </c>
    </row>
    <row r="42" spans="1:46" s="15" customFormat="1" x14ac:dyDescent="0.1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1:46" s="19" customFormat="1" x14ac:dyDescent="0.15">
      <c r="A43" s="35"/>
      <c r="B43" s="35">
        <v>2016</v>
      </c>
      <c r="C43" s="35">
        <v>2017</v>
      </c>
      <c r="D43" s="35">
        <v>2018</v>
      </c>
      <c r="E43" s="35">
        <v>2019</v>
      </c>
      <c r="F43" s="35">
        <v>2020</v>
      </c>
      <c r="G43" s="35">
        <v>2021</v>
      </c>
      <c r="H43" s="35">
        <v>2022</v>
      </c>
      <c r="I43" s="35">
        <v>2023</v>
      </c>
      <c r="J43" s="35">
        <v>2024</v>
      </c>
      <c r="K43" s="35">
        <v>2025</v>
      </c>
      <c r="L43" s="35">
        <v>2026</v>
      </c>
      <c r="M43" s="35">
        <v>2027</v>
      </c>
      <c r="N43" s="35">
        <v>2028</v>
      </c>
      <c r="O43" s="35">
        <v>2029</v>
      </c>
      <c r="P43" s="35">
        <v>2030</v>
      </c>
      <c r="Q43" s="35">
        <v>2031</v>
      </c>
      <c r="R43" s="35">
        <v>2032</v>
      </c>
      <c r="S43" s="35">
        <v>2033</v>
      </c>
      <c r="T43" s="35">
        <v>2034</v>
      </c>
      <c r="U43" s="35">
        <v>2035</v>
      </c>
      <c r="V43" s="35">
        <v>2036</v>
      </c>
      <c r="W43" s="35">
        <v>2037</v>
      </c>
      <c r="X43" s="35">
        <v>2038</v>
      </c>
      <c r="Y43" s="35">
        <v>2039</v>
      </c>
      <c r="Z43" s="35">
        <v>2040</v>
      </c>
      <c r="AA43" s="35">
        <v>2041</v>
      </c>
      <c r="AB43" s="35">
        <v>2042</v>
      </c>
      <c r="AC43" s="35">
        <v>2043</v>
      </c>
      <c r="AD43" s="35">
        <v>2044</v>
      </c>
      <c r="AE43" s="35">
        <v>2045</v>
      </c>
      <c r="AF43" s="35">
        <v>2046</v>
      </c>
      <c r="AG43" s="35">
        <v>2047</v>
      </c>
      <c r="AH43" s="35">
        <v>2048</v>
      </c>
      <c r="AI43" s="35">
        <v>2049</v>
      </c>
      <c r="AJ43" s="35">
        <v>2050</v>
      </c>
      <c r="AK43" s="35">
        <v>2051</v>
      </c>
      <c r="AL43" s="35">
        <v>2052</v>
      </c>
      <c r="AM43" s="35">
        <v>2053</v>
      </c>
      <c r="AN43" s="35">
        <v>2054</v>
      </c>
      <c r="AO43" s="35">
        <v>2055</v>
      </c>
      <c r="AP43" s="35">
        <v>2056</v>
      </c>
      <c r="AQ43" s="35">
        <v>2057</v>
      </c>
      <c r="AR43" s="35">
        <v>2058</v>
      </c>
      <c r="AS43" s="35">
        <v>2059</v>
      </c>
      <c r="AT43" s="35">
        <v>2060</v>
      </c>
    </row>
    <row r="44" spans="1:46" s="15" customFormat="1" x14ac:dyDescent="0.15">
      <c r="A44" s="35" t="s">
        <v>826</v>
      </c>
      <c r="B44" s="34">
        <f>E55*10000/人口变化预测!B4</f>
        <v>34.236932088227704</v>
      </c>
      <c r="C44" s="34">
        <f t="shared" ref="C44:L46" si="16">$B44*(1+$B$49)^(C$43-$B$43)</f>
        <v>34.408116748668839</v>
      </c>
      <c r="D44" s="34">
        <f t="shared" si="16"/>
        <v>34.580157332412178</v>
      </c>
      <c r="E44" s="34">
        <f t="shared" si="16"/>
        <v>34.753058119074232</v>
      </c>
      <c r="F44" s="34">
        <f t="shared" si="16"/>
        <v>34.926823409669595</v>
      </c>
      <c r="G44" s="34">
        <f t="shared" si="16"/>
        <v>35.101457526717937</v>
      </c>
      <c r="H44" s="34">
        <f t="shared" si="16"/>
        <v>35.276964814351523</v>
      </c>
      <c r="I44" s="34">
        <f t="shared" si="16"/>
        <v>35.453349638423276</v>
      </c>
      <c r="J44" s="34">
        <f t="shared" si="16"/>
        <v>35.630616386615387</v>
      </c>
      <c r="K44" s="34">
        <f t="shared" si="16"/>
        <v>35.808769468548462</v>
      </c>
      <c r="L44" s="34">
        <f t="shared" si="16"/>
        <v>35.987813315891202</v>
      </c>
      <c r="M44" s="34">
        <f t="shared" ref="M44:V46" si="17">$B44*(1+$B$49)^(M$43-$B$43)</f>
        <v>36.167752382470653</v>
      </c>
      <c r="N44" s="34">
        <f t="shared" si="17"/>
        <v>36.348591144382993</v>
      </c>
      <c r="O44" s="34">
        <f t="shared" si="17"/>
        <v>36.530334100104902</v>
      </c>
      <c r="P44" s="34">
        <f t="shared" si="17"/>
        <v>36.712985770605421</v>
      </c>
      <c r="Q44" s="34">
        <f t="shared" si="17"/>
        <v>36.896550699458444</v>
      </c>
      <c r="R44" s="34">
        <f t="shared" si="17"/>
        <v>37.08103345295573</v>
      </c>
      <c r="S44" s="34">
        <f t="shared" si="17"/>
        <v>37.266438620220505</v>
      </c>
      <c r="T44" s="34">
        <f t="shared" si="17"/>
        <v>37.4527708133216</v>
      </c>
      <c r="U44" s="34">
        <f t="shared" si="17"/>
        <v>37.6400346673882</v>
      </c>
      <c r="V44" s="34">
        <f t="shared" si="17"/>
        <v>37.828234840725138</v>
      </c>
      <c r="W44" s="34">
        <f t="shared" ref="W44:AF46" si="18">$B44*(1+$B$49)^(W$43-$B$43)</f>
        <v>38.017376014928757</v>
      </c>
      <c r="X44" s="34">
        <f t="shared" si="18"/>
        <v>38.207462895003395</v>
      </c>
      <c r="Y44" s="34">
        <f t="shared" si="18"/>
        <v>38.398500209478399</v>
      </c>
      <c r="Z44" s="34">
        <f t="shared" si="18"/>
        <v>38.590492710525801</v>
      </c>
      <c r="AA44" s="34">
        <f t="shared" si="18"/>
        <v>38.783445174078416</v>
      </c>
      <c r="AB44" s="34">
        <f t="shared" si="18"/>
        <v>38.977362399948809</v>
      </c>
      <c r="AC44" s="34">
        <f t="shared" si="18"/>
        <v>39.172249211948547</v>
      </c>
      <c r="AD44" s="34">
        <f t="shared" si="18"/>
        <v>39.368110458008282</v>
      </c>
      <c r="AE44" s="34">
        <f t="shared" si="18"/>
        <v>39.564951010298316</v>
      </c>
      <c r="AF44" s="34">
        <f t="shared" si="18"/>
        <v>39.762775765349801</v>
      </c>
      <c r="AG44" s="34">
        <f t="shared" ref="AG44:AT46" si="19">$B44*(1+$B$49)^(AG$43-$B$43)</f>
        <v>39.961589644176534</v>
      </c>
      <c r="AH44" s="34">
        <f t="shared" si="19"/>
        <v>40.161397592397414</v>
      </c>
      <c r="AI44" s="34">
        <f t="shared" si="19"/>
        <v>40.362204580359396</v>
      </c>
      <c r="AJ44" s="34">
        <f t="shared" si="19"/>
        <v>40.56401560326119</v>
      </c>
      <c r="AK44" s="34">
        <f t="shared" si="19"/>
        <v>40.766835681277492</v>
      </c>
      <c r="AL44" s="34">
        <f t="shared" si="19"/>
        <v>40.970669859683866</v>
      </c>
      <c r="AM44" s="34">
        <f t="shared" si="19"/>
        <v>41.175523208982277</v>
      </c>
      <c r="AN44" s="34">
        <f t="shared" si="19"/>
        <v>41.381400825027185</v>
      </c>
      <c r="AO44" s="34">
        <f t="shared" si="19"/>
        <v>41.58830782915232</v>
      </c>
      <c r="AP44" s="34">
        <f t="shared" si="19"/>
        <v>41.796249368298078</v>
      </c>
      <c r="AQ44" s="34">
        <f t="shared" si="19"/>
        <v>42.00523061513956</v>
      </c>
      <c r="AR44" s="34">
        <f t="shared" si="19"/>
        <v>42.215256768215248</v>
      </c>
      <c r="AS44" s="34">
        <f t="shared" si="19"/>
        <v>42.426333052056322</v>
      </c>
      <c r="AT44" s="34">
        <f t="shared" si="19"/>
        <v>42.638464717316594</v>
      </c>
    </row>
    <row r="45" spans="1:46" s="15" customFormat="1" x14ac:dyDescent="0.15">
      <c r="A45" s="35" t="s">
        <v>827</v>
      </c>
      <c r="B45" s="34">
        <f>G55*10000/人口变化预测!B5</f>
        <v>38.046032398262327</v>
      </c>
      <c r="C45" s="34">
        <f t="shared" si="16"/>
        <v>38.236262560253635</v>
      </c>
      <c r="D45" s="34">
        <f t="shared" si="16"/>
        <v>38.427443873054898</v>
      </c>
      <c r="E45" s="34">
        <f t="shared" si="16"/>
        <v>38.619581092420169</v>
      </c>
      <c r="F45" s="34">
        <f t="shared" si="16"/>
        <v>38.812678997882259</v>
      </c>
      <c r="G45" s="34">
        <f t="shared" si="16"/>
        <v>39.006742392871658</v>
      </c>
      <c r="H45" s="34">
        <f t="shared" si="16"/>
        <v>39.201776104836014</v>
      </c>
      <c r="I45" s="34">
        <f t="shared" si="16"/>
        <v>39.39778498536019</v>
      </c>
      <c r="J45" s="34">
        <f t="shared" si="16"/>
        <v>39.594773910286989</v>
      </c>
      <c r="K45" s="34">
        <f t="shared" si="16"/>
        <v>39.792747779838422</v>
      </c>
      <c r="L45" s="34">
        <f t="shared" si="16"/>
        <v>39.991711518737603</v>
      </c>
      <c r="M45" s="34">
        <f t="shared" si="17"/>
        <v>40.191670076331292</v>
      </c>
      <c r="N45" s="34">
        <f t="shared" si="17"/>
        <v>40.392628426712932</v>
      </c>
      <c r="O45" s="34">
        <f t="shared" si="17"/>
        <v>40.594591568846489</v>
      </c>
      <c r="P45" s="34">
        <f t="shared" si="17"/>
        <v>40.797564526690721</v>
      </c>
      <c r="Q45" s="34">
        <f t="shared" si="17"/>
        <v>41.001552349324164</v>
      </c>
      <c r="R45" s="34">
        <f t="shared" si="17"/>
        <v>41.206560111070779</v>
      </c>
      <c r="S45" s="34">
        <f t="shared" si="17"/>
        <v>41.412592911626135</v>
      </c>
      <c r="T45" s="34">
        <f t="shared" si="17"/>
        <v>41.619655876184247</v>
      </c>
      <c r="U45" s="34">
        <f t="shared" si="17"/>
        <v>41.827754155565167</v>
      </c>
      <c r="V45" s="34">
        <f t="shared" si="17"/>
        <v>42.036892926342986</v>
      </c>
      <c r="W45" s="34">
        <f t="shared" si="18"/>
        <v>42.247077390974688</v>
      </c>
      <c r="X45" s="34">
        <f t="shared" si="18"/>
        <v>42.458312777929557</v>
      </c>
      <c r="Y45" s="34">
        <f t="shared" si="18"/>
        <v>42.6706043418192</v>
      </c>
      <c r="Z45" s="34">
        <f t="shared" si="18"/>
        <v>42.883957363528296</v>
      </c>
      <c r="AA45" s="34">
        <f t="shared" si="18"/>
        <v>43.098377150345932</v>
      </c>
      <c r="AB45" s="34">
        <f t="shared" si="18"/>
        <v>43.313869036097657</v>
      </c>
      <c r="AC45" s="34">
        <f t="shared" si="18"/>
        <v>43.530438381278138</v>
      </c>
      <c r="AD45" s="34">
        <f t="shared" si="18"/>
        <v>43.74809057318452</v>
      </c>
      <c r="AE45" s="34">
        <f t="shared" si="18"/>
        <v>43.966831026050436</v>
      </c>
      <c r="AF45" s="34">
        <f t="shared" si="18"/>
        <v>44.186665181180679</v>
      </c>
      <c r="AG45" s="34">
        <f t="shared" si="19"/>
        <v>44.407598507086568</v>
      </c>
      <c r="AH45" s="34">
        <f t="shared" si="19"/>
        <v>44.629636499621995</v>
      </c>
      <c r="AI45" s="34">
        <f t="shared" si="19"/>
        <v>44.852784682120102</v>
      </c>
      <c r="AJ45" s="34">
        <f t="shared" si="19"/>
        <v>45.077048605530699</v>
      </c>
      <c r="AK45" s="34">
        <f t="shared" si="19"/>
        <v>45.302433848558344</v>
      </c>
      <c r="AL45" s="34">
        <f t="shared" si="19"/>
        <v>45.528946017801125</v>
      </c>
      <c r="AM45" s="34">
        <f t="shared" si="19"/>
        <v>45.756590747890115</v>
      </c>
      <c r="AN45" s="34">
        <f t="shared" si="19"/>
        <v>45.98537370162957</v>
      </c>
      <c r="AO45" s="34">
        <f t="shared" si="19"/>
        <v>46.215300570137707</v>
      </c>
      <c r="AP45" s="34">
        <f t="shared" si="19"/>
        <v>46.446377072988398</v>
      </c>
      <c r="AQ45" s="34">
        <f t="shared" si="19"/>
        <v>46.67860895835333</v>
      </c>
      <c r="AR45" s="34">
        <f t="shared" si="19"/>
        <v>46.912002003145084</v>
      </c>
      <c r="AS45" s="34">
        <f t="shared" si="19"/>
        <v>47.146562013160811</v>
      </c>
      <c r="AT45" s="34">
        <f t="shared" si="19"/>
        <v>47.382294823226601</v>
      </c>
    </row>
    <row r="46" spans="1:46" s="15" customFormat="1" x14ac:dyDescent="0.15">
      <c r="A46" s="35" t="s">
        <v>828</v>
      </c>
      <c r="B46" s="34">
        <f>D55*10000/人口变化预测!B4</f>
        <v>14.118300446312253</v>
      </c>
      <c r="C46" s="34">
        <f t="shared" si="16"/>
        <v>14.188891948543812</v>
      </c>
      <c r="D46" s="34">
        <f t="shared" si="16"/>
        <v>14.25983640828653</v>
      </c>
      <c r="E46" s="34">
        <f t="shared" si="16"/>
        <v>14.33113559032796</v>
      </c>
      <c r="F46" s="34">
        <f t="shared" si="16"/>
        <v>14.402791268279596</v>
      </c>
      <c r="G46" s="34">
        <f t="shared" si="16"/>
        <v>14.474805224620992</v>
      </c>
      <c r="H46" s="34">
        <f t="shared" si="16"/>
        <v>14.547179250744094</v>
      </c>
      <c r="I46" s="34">
        <f t="shared" si="16"/>
        <v>14.619915146997814</v>
      </c>
      <c r="J46" s="34">
        <f t="shared" si="16"/>
        <v>14.693014722732801</v>
      </c>
      <c r="K46" s="34">
        <f t="shared" si="16"/>
        <v>14.766479796346465</v>
      </c>
      <c r="L46" s="34">
        <f t="shared" si="16"/>
        <v>14.840312195328194</v>
      </c>
      <c r="M46" s="34">
        <f t="shared" si="17"/>
        <v>14.914513756304833</v>
      </c>
      <c r="N46" s="34">
        <f t="shared" si="17"/>
        <v>14.989086325086353</v>
      </c>
      <c r="O46" s="34">
        <f t="shared" si="17"/>
        <v>15.064031756711783</v>
      </c>
      <c r="P46" s="34">
        <f t="shared" si="17"/>
        <v>15.13935191549534</v>
      </c>
      <c r="Q46" s="34">
        <f t="shared" si="17"/>
        <v>15.215048675072811</v>
      </c>
      <c r="R46" s="34">
        <f t="shared" si="17"/>
        <v>15.291123918448175</v>
      </c>
      <c r="S46" s="34">
        <f t="shared" si="17"/>
        <v>15.367579538040415</v>
      </c>
      <c r="T46" s="34">
        <f t="shared" si="17"/>
        <v>15.444417435730612</v>
      </c>
      <c r="U46" s="34">
        <f t="shared" si="17"/>
        <v>15.521639522909265</v>
      </c>
      <c r="V46" s="34">
        <f t="shared" si="17"/>
        <v>15.599247720523808</v>
      </c>
      <c r="W46" s="34">
        <f t="shared" si="18"/>
        <v>15.677243959126423</v>
      </c>
      <c r="X46" s="34">
        <f t="shared" si="18"/>
        <v>15.755630178922052</v>
      </c>
      <c r="Y46" s="34">
        <f t="shared" si="18"/>
        <v>15.834408329816661</v>
      </c>
      <c r="Z46" s="34">
        <f t="shared" si="18"/>
        <v>15.913580371465745</v>
      </c>
      <c r="AA46" s="34">
        <f t="shared" si="18"/>
        <v>15.993148273323071</v>
      </c>
      <c r="AB46" s="34">
        <f t="shared" si="18"/>
        <v>16.073114014689683</v>
      </c>
      <c r="AC46" s="34">
        <f t="shared" si="18"/>
        <v>16.153479584763129</v>
      </c>
      <c r="AD46" s="34">
        <f t="shared" si="18"/>
        <v>16.23424698268694</v>
      </c>
      <c r="AE46" s="34">
        <f t="shared" si="18"/>
        <v>16.315418217600374</v>
      </c>
      <c r="AF46" s="34">
        <f t="shared" si="18"/>
        <v>16.396995308688375</v>
      </c>
      <c r="AG46" s="34">
        <f t="shared" si="19"/>
        <v>16.47898028523181</v>
      </c>
      <c r="AH46" s="34">
        <f t="shared" si="19"/>
        <v>16.561375186657969</v>
      </c>
      <c r="AI46" s="34">
        <f t="shared" si="19"/>
        <v>16.644182062591256</v>
      </c>
      <c r="AJ46" s="34">
        <f t="shared" si="19"/>
        <v>16.727402972904208</v>
      </c>
      <c r="AK46" s="34">
        <f t="shared" si="19"/>
        <v>16.81103998776873</v>
      </c>
      <c r="AL46" s="34">
        <f t="shared" si="19"/>
        <v>16.895095187707568</v>
      </c>
      <c r="AM46" s="34">
        <f t="shared" si="19"/>
        <v>16.979570663646101</v>
      </c>
      <c r="AN46" s="34">
        <f t="shared" si="19"/>
        <v>17.064468516964332</v>
      </c>
      <c r="AO46" s="34">
        <f t="shared" si="19"/>
        <v>17.14979085954915</v>
      </c>
      <c r="AP46" s="34">
        <f t="shared" si="19"/>
        <v>17.235539813846895</v>
      </c>
      <c r="AQ46" s="34">
        <f t="shared" si="19"/>
        <v>17.321717512916127</v>
      </c>
      <c r="AR46" s="34">
        <f t="shared" si="19"/>
        <v>17.408326100480704</v>
      </c>
      <c r="AS46" s="34">
        <f t="shared" si="19"/>
        <v>17.495367730983109</v>
      </c>
      <c r="AT46" s="34">
        <f t="shared" si="19"/>
        <v>17.58284456963802</v>
      </c>
    </row>
    <row r="49" spans="1:15" x14ac:dyDescent="0.15">
      <c r="A49" s="2" t="s">
        <v>825</v>
      </c>
      <c r="B49" s="7">
        <v>5.0000000000000001E-3</v>
      </c>
    </row>
    <row r="51" spans="1:15" x14ac:dyDescent="0.15">
      <c r="A51" s="2" t="s">
        <v>816</v>
      </c>
    </row>
    <row r="52" spans="1:15" x14ac:dyDescent="0.15">
      <c r="B52" s="2" t="s">
        <v>781</v>
      </c>
      <c r="C52" s="2" t="s">
        <v>782</v>
      </c>
    </row>
    <row r="53" spans="1:15" ht="40.5" x14ac:dyDescent="0.15">
      <c r="C53" s="2" t="s">
        <v>783</v>
      </c>
      <c r="D53" s="2" t="s">
        <v>822</v>
      </c>
      <c r="E53" s="2" t="s">
        <v>784</v>
      </c>
      <c r="F53" s="2" t="s">
        <v>785</v>
      </c>
      <c r="G53" s="2" t="s">
        <v>817</v>
      </c>
      <c r="H53" s="2" t="s">
        <v>803</v>
      </c>
      <c r="I53" s="2" t="s">
        <v>820</v>
      </c>
      <c r="J53" s="2" t="s">
        <v>821</v>
      </c>
      <c r="K53" s="2" t="s">
        <v>804</v>
      </c>
      <c r="L53" s="2" t="s">
        <v>823</v>
      </c>
      <c r="N53" s="2" t="s">
        <v>952</v>
      </c>
      <c r="O53" s="2" t="s">
        <v>805</v>
      </c>
    </row>
    <row r="54" spans="1:15" x14ac:dyDescent="0.15">
      <c r="C54" s="2" t="s">
        <v>806</v>
      </c>
      <c r="D54" s="2" t="s">
        <v>806</v>
      </c>
      <c r="E54" s="2" t="s">
        <v>806</v>
      </c>
      <c r="F54" s="2" t="s">
        <v>806</v>
      </c>
      <c r="G54" s="2" t="s">
        <v>806</v>
      </c>
      <c r="H54" s="2" t="s">
        <v>807</v>
      </c>
    </row>
    <row r="55" spans="1:15" x14ac:dyDescent="0.15">
      <c r="A55" s="2" t="s">
        <v>818</v>
      </c>
      <c r="B55" s="2" t="s">
        <v>819</v>
      </c>
      <c r="C55" s="2">
        <f>SUM(C56:C86)</f>
        <v>6353041.8927445216</v>
      </c>
      <c r="D55" s="2">
        <f t="shared" ref="D55:H55" si="20">SUM(D56:D86)</f>
        <v>1150598.29</v>
      </c>
      <c r="E55" s="2">
        <f t="shared" si="20"/>
        <v>2790205.2138188132</v>
      </c>
      <c r="F55" s="2">
        <f t="shared" si="20"/>
        <v>239684.44892570798</v>
      </c>
      <c r="G55" s="2">
        <f t="shared" si="20"/>
        <v>2172553.9400000004</v>
      </c>
      <c r="H55" s="2">
        <f t="shared" si="20"/>
        <v>1368999.4000000004</v>
      </c>
      <c r="I55" s="6">
        <f>J55/(D55+F55)</f>
        <v>25.601484258470961</v>
      </c>
      <c r="J55" s="2">
        <f t="shared" ref="J55" si="21">SUM(J56:J86)</f>
        <v>35593301.655430406</v>
      </c>
      <c r="K55" s="2">
        <f>L55/E55</f>
        <v>16.038441104920874</v>
      </c>
      <c r="L55" s="2">
        <f t="shared" ref="L55" si="22">SUM(L56:L86)</f>
        <v>44750541.992476195</v>
      </c>
    </row>
    <row r="56" spans="1:15" x14ac:dyDescent="0.15">
      <c r="A56" s="2" t="s">
        <v>32</v>
      </c>
      <c r="B56" s="2" t="s">
        <v>430</v>
      </c>
      <c r="C56" s="2">
        <v>111047.87</v>
      </c>
      <c r="D56" s="2">
        <v>40418.28</v>
      </c>
      <c r="E56" s="2">
        <v>57986.05</v>
      </c>
      <c r="F56" s="2">
        <v>2985.12</v>
      </c>
      <c r="G56" s="2">
        <f t="shared" ref="G56:G85" si="23">C56-D56-E56-F56</f>
        <v>9658.4199999999946</v>
      </c>
      <c r="H56" s="2">
        <v>95419.199999999997</v>
      </c>
      <c r="I56" s="6">
        <v>40.399541989416669</v>
      </c>
      <c r="J56" s="6">
        <f>I56*(F56+D56)</f>
        <v>1753477.4807834474</v>
      </c>
      <c r="K56" s="6">
        <v>12.216041616906132</v>
      </c>
      <c r="L56" s="6">
        <f>K56*E56</f>
        <v>708359.99999999988</v>
      </c>
      <c r="M56" s="6">
        <f>IF(O56=0,0,1)</f>
        <v>1</v>
      </c>
      <c r="N56" s="6">
        <f>E55+D55</f>
        <v>3940803.5038188132</v>
      </c>
      <c r="O56" s="6">
        <v>13.46</v>
      </c>
    </row>
    <row r="57" spans="1:15" x14ac:dyDescent="0.15">
      <c r="A57" s="2" t="s">
        <v>33</v>
      </c>
      <c r="B57" s="2" t="s">
        <v>431</v>
      </c>
      <c r="C57" s="2">
        <v>65607.89</v>
      </c>
      <c r="D57" s="2">
        <v>20611.98</v>
      </c>
      <c r="E57" s="2">
        <v>35777.65</v>
      </c>
      <c r="F57" s="2">
        <v>1453.71</v>
      </c>
      <c r="G57" s="2">
        <f t="shared" si="23"/>
        <v>7764.550000000002</v>
      </c>
      <c r="H57" s="2">
        <v>54935.9</v>
      </c>
      <c r="I57" s="6">
        <v>27.59075062172581</v>
      </c>
      <c r="J57" s="6">
        <f t="shared" ref="J57:J86" si="24">I57*(F57+D57)</f>
        <v>608808.95008630899</v>
      </c>
      <c r="K57" s="6">
        <v>20.3</v>
      </c>
      <c r="L57" s="6">
        <f t="shared" ref="L57:L86" si="25">K57*E57</f>
        <v>726286.29500000004</v>
      </c>
      <c r="M57" s="6">
        <f t="shared" ref="M57:M86" si="26">IF(O57=0,0,1)</f>
        <v>1</v>
      </c>
      <c r="N57" s="6">
        <f t="shared" ref="N57:N86" si="27">E56+D56</f>
        <v>98404.33</v>
      </c>
      <c r="O57" s="6">
        <v>12.78</v>
      </c>
    </row>
    <row r="58" spans="1:15" x14ac:dyDescent="0.15">
      <c r="A58" s="2" t="s">
        <v>34</v>
      </c>
      <c r="B58" s="2" t="s">
        <v>786</v>
      </c>
      <c r="C58" s="2">
        <v>308351.68</v>
      </c>
      <c r="D58" s="2">
        <v>45800.11</v>
      </c>
      <c r="E58" s="2">
        <v>126933.93</v>
      </c>
      <c r="F58" s="2">
        <v>9347.8799999999992</v>
      </c>
      <c r="G58" s="2">
        <f t="shared" si="23"/>
        <v>126269.76000000001</v>
      </c>
      <c r="H58" s="2">
        <v>163386.20000000001</v>
      </c>
      <c r="I58" s="6">
        <v>26.319369101951938</v>
      </c>
      <c r="J58" s="6">
        <f t="shared" si="24"/>
        <v>1451460.3040407544</v>
      </c>
      <c r="K58" s="6">
        <v>12.94</v>
      </c>
      <c r="L58" s="6">
        <f t="shared" si="25"/>
        <v>1642525.0541999999</v>
      </c>
      <c r="M58" s="6">
        <f t="shared" si="26"/>
        <v>1</v>
      </c>
      <c r="N58" s="6">
        <f t="shared" si="27"/>
        <v>56389.630000000005</v>
      </c>
      <c r="O58" s="6">
        <v>13.58</v>
      </c>
    </row>
    <row r="59" spans="1:15" x14ac:dyDescent="0.15">
      <c r="A59" s="2" t="s">
        <v>46</v>
      </c>
      <c r="B59" s="2" t="s">
        <v>787</v>
      </c>
      <c r="C59" s="2">
        <v>140087.6</v>
      </c>
      <c r="D59" s="2">
        <v>20968.560000000001</v>
      </c>
      <c r="E59" s="2">
        <v>65484.29</v>
      </c>
      <c r="F59" s="2">
        <v>6549.72</v>
      </c>
      <c r="G59" s="2">
        <f t="shared" si="23"/>
        <v>47085.030000000006</v>
      </c>
      <c r="H59" s="2">
        <v>79903.100000000006</v>
      </c>
      <c r="I59" s="6">
        <v>24.996470906919694</v>
      </c>
      <c r="J59" s="6">
        <f t="shared" si="24"/>
        <v>687859.88542847009</v>
      </c>
      <c r="K59" s="6">
        <v>16.41</v>
      </c>
      <c r="L59" s="6">
        <f t="shared" si="25"/>
        <v>1074597.1989</v>
      </c>
      <c r="M59" s="6">
        <f t="shared" si="26"/>
        <v>1</v>
      </c>
      <c r="N59" s="6">
        <f t="shared" si="27"/>
        <v>172734.03999999998</v>
      </c>
      <c r="O59" s="6">
        <v>14.71</v>
      </c>
    </row>
    <row r="60" spans="1:15" x14ac:dyDescent="0.15">
      <c r="A60" s="2" t="s">
        <v>58</v>
      </c>
      <c r="B60" s="2" t="s">
        <v>788</v>
      </c>
      <c r="C60" s="2">
        <v>96496.49</v>
      </c>
      <c r="D60" s="2">
        <v>22606.81</v>
      </c>
      <c r="E60" s="2">
        <v>47363.839999999997</v>
      </c>
      <c r="F60" s="2">
        <v>3808.41</v>
      </c>
      <c r="G60" s="2">
        <f t="shared" si="23"/>
        <v>22717.430000000011</v>
      </c>
      <c r="H60" s="2">
        <v>66162.2</v>
      </c>
      <c r="I60" s="6">
        <v>16.193792932306678</v>
      </c>
      <c r="J60" s="6">
        <f t="shared" si="24"/>
        <v>427762.60294132604</v>
      </c>
      <c r="K60" s="6">
        <v>18.82</v>
      </c>
      <c r="L60" s="6">
        <f t="shared" si="25"/>
        <v>891387.46879999992</v>
      </c>
      <c r="M60" s="6">
        <f t="shared" si="26"/>
        <v>1</v>
      </c>
      <c r="N60" s="6">
        <f t="shared" si="27"/>
        <v>86452.85</v>
      </c>
      <c r="O60" s="6">
        <v>20.329999999999998</v>
      </c>
    </row>
    <row r="61" spans="1:15" x14ac:dyDescent="0.15">
      <c r="A61" s="2" t="s">
        <v>71</v>
      </c>
      <c r="B61" s="2" t="s">
        <v>789</v>
      </c>
      <c r="C61" s="2">
        <v>179539.03</v>
      </c>
      <c r="D61" s="2">
        <v>40152.97</v>
      </c>
      <c r="E61" s="2">
        <v>94629.85</v>
      </c>
      <c r="F61" s="2">
        <v>5725.2</v>
      </c>
      <c r="G61" s="2">
        <f t="shared" si="23"/>
        <v>39031.009999999995</v>
      </c>
      <c r="H61" s="2">
        <v>129057.60000000001</v>
      </c>
      <c r="I61" s="6">
        <v>21.522691845709044</v>
      </c>
      <c r="J61" s="6">
        <f t="shared" si="24"/>
        <v>987421.71535505331</v>
      </c>
      <c r="K61" s="6">
        <v>17.16</v>
      </c>
      <c r="L61" s="6">
        <f t="shared" si="25"/>
        <v>1623848.226</v>
      </c>
      <c r="M61" s="6">
        <f t="shared" si="26"/>
        <v>1</v>
      </c>
      <c r="N61" s="6">
        <f t="shared" si="27"/>
        <v>69970.649999999994</v>
      </c>
      <c r="O61" s="6">
        <v>15.84</v>
      </c>
    </row>
    <row r="62" spans="1:15" x14ac:dyDescent="0.15">
      <c r="A62" s="2" t="s">
        <v>86</v>
      </c>
      <c r="B62" s="2" t="s">
        <v>481</v>
      </c>
      <c r="C62" s="2">
        <v>94474.08</v>
      </c>
      <c r="D62" s="2">
        <v>19746.71</v>
      </c>
      <c r="E62" s="2">
        <v>41826.129999999997</v>
      </c>
      <c r="F62" s="2">
        <v>2458.0700000000002</v>
      </c>
      <c r="G62" s="2">
        <f t="shared" si="23"/>
        <v>30443.17</v>
      </c>
      <c r="H62" s="2">
        <v>59114.8</v>
      </c>
      <c r="I62" s="6">
        <v>17.968056450922713</v>
      </c>
      <c r="J62" s="6">
        <f t="shared" si="24"/>
        <v>398976.74052031961</v>
      </c>
      <c r="K62" s="6">
        <v>17.78</v>
      </c>
      <c r="L62" s="6">
        <f t="shared" si="25"/>
        <v>743668.59140000003</v>
      </c>
      <c r="M62" s="6">
        <f t="shared" si="26"/>
        <v>1</v>
      </c>
      <c r="N62" s="6">
        <f t="shared" si="27"/>
        <v>134782.82</v>
      </c>
      <c r="O62" s="6">
        <v>18.91</v>
      </c>
    </row>
    <row r="63" spans="1:15" x14ac:dyDescent="0.15">
      <c r="A63" s="2" t="s">
        <v>96</v>
      </c>
      <c r="B63" s="2" t="s">
        <v>790</v>
      </c>
      <c r="C63" s="2">
        <v>126301.1</v>
      </c>
      <c r="D63" s="2">
        <v>26204.41</v>
      </c>
      <c r="E63" s="2">
        <v>58987.18</v>
      </c>
      <c r="F63" s="2">
        <v>5103.3100000000004</v>
      </c>
      <c r="G63" s="2">
        <f t="shared" si="23"/>
        <v>36006.200000000004</v>
      </c>
      <c r="H63" s="2">
        <v>80088.3</v>
      </c>
      <c r="I63" s="6">
        <v>13.73013168394175</v>
      </c>
      <c r="J63" s="6">
        <f t="shared" si="24"/>
        <v>429859.11832397681</v>
      </c>
      <c r="K63" s="6">
        <v>17.829999999999998</v>
      </c>
      <c r="L63" s="6">
        <f t="shared" si="25"/>
        <v>1051741.4194</v>
      </c>
      <c r="M63" s="6">
        <f t="shared" si="26"/>
        <v>1</v>
      </c>
      <c r="N63" s="6">
        <f t="shared" si="27"/>
        <v>61572.84</v>
      </c>
      <c r="O63" s="6">
        <v>21.08</v>
      </c>
    </row>
    <row r="64" spans="1:15" x14ac:dyDescent="0.15">
      <c r="A64" s="2" t="s">
        <v>110</v>
      </c>
      <c r="B64" s="2" t="s">
        <v>502</v>
      </c>
      <c r="C64" s="2">
        <v>123095.59</v>
      </c>
      <c r="D64" s="2">
        <v>39268.019999999997</v>
      </c>
      <c r="E64" s="2">
        <v>65493</v>
      </c>
      <c r="F64" s="2">
        <v>5443.02</v>
      </c>
      <c r="G64" s="2">
        <f t="shared" si="23"/>
        <v>12891.550000000007</v>
      </c>
      <c r="I64" s="6">
        <v>42.511438060793495</v>
      </c>
      <c r="J64" s="6">
        <f t="shared" si="24"/>
        <v>1900730.60759366</v>
      </c>
      <c r="K64" s="6">
        <v>33.26</v>
      </c>
      <c r="L64" s="6">
        <f t="shared" si="25"/>
        <v>2178297.1799999997</v>
      </c>
      <c r="M64" s="6">
        <f t="shared" si="26"/>
        <v>0</v>
      </c>
      <c r="N64" s="6">
        <f t="shared" si="27"/>
        <v>85191.59</v>
      </c>
      <c r="O64" s="6"/>
    </row>
    <row r="65" spans="1:15" x14ac:dyDescent="0.15">
      <c r="A65" s="2" t="s">
        <v>111</v>
      </c>
      <c r="B65" s="2" t="s">
        <v>791</v>
      </c>
      <c r="C65" s="2">
        <v>454607.2</v>
      </c>
      <c r="D65" s="2">
        <v>100827.38</v>
      </c>
      <c r="E65" s="2">
        <v>207983.34</v>
      </c>
      <c r="F65" s="2">
        <v>20733.04</v>
      </c>
      <c r="G65" s="2">
        <f t="shared" si="23"/>
        <v>125063.44</v>
      </c>
      <c r="I65" s="6">
        <v>22.898740401664707</v>
      </c>
      <c r="J65" s="6">
        <f t="shared" si="24"/>
        <v>2783580.5006973306</v>
      </c>
      <c r="K65" s="6">
        <v>14.84</v>
      </c>
      <c r="L65" s="6">
        <f t="shared" si="25"/>
        <v>3086472.7656</v>
      </c>
      <c r="M65" s="6">
        <f t="shared" si="26"/>
        <v>0</v>
      </c>
      <c r="N65" s="6">
        <f t="shared" si="27"/>
        <v>104761.01999999999</v>
      </c>
      <c r="O65" s="6"/>
    </row>
    <row r="66" spans="1:15" x14ac:dyDescent="0.15">
      <c r="A66" s="2" t="s">
        <v>125</v>
      </c>
      <c r="B66" s="2" t="s">
        <v>792</v>
      </c>
      <c r="C66" s="2">
        <v>343012.03</v>
      </c>
      <c r="D66" s="2">
        <v>73053.83</v>
      </c>
      <c r="E66" s="2">
        <v>144621.9</v>
      </c>
      <c r="F66" s="2">
        <v>12869.19</v>
      </c>
      <c r="G66" s="2">
        <f t="shared" si="23"/>
        <v>112467.11000000002</v>
      </c>
      <c r="I66" s="6">
        <v>28.58508581959358</v>
      </c>
      <c r="J66" s="6">
        <f t="shared" si="24"/>
        <v>2456116.9005786558</v>
      </c>
      <c r="K66" s="6">
        <v>19.5</v>
      </c>
      <c r="L66" s="6">
        <f t="shared" si="25"/>
        <v>2820127.05</v>
      </c>
      <c r="M66" s="6">
        <f t="shared" si="26"/>
        <v>0</v>
      </c>
      <c r="N66" s="6">
        <f t="shared" si="27"/>
        <v>308810.71999999997</v>
      </c>
      <c r="O66" s="6"/>
    </row>
    <row r="67" spans="1:15" x14ac:dyDescent="0.15">
      <c r="A67" s="2" t="s">
        <v>137</v>
      </c>
      <c r="B67" s="2" t="s">
        <v>793</v>
      </c>
      <c r="C67" s="2">
        <v>275919.32</v>
      </c>
      <c r="D67" s="2">
        <v>43058</v>
      </c>
      <c r="E67" s="2">
        <v>113247.46</v>
      </c>
      <c r="F67" s="2">
        <v>9848.56</v>
      </c>
      <c r="G67" s="2">
        <f t="shared" si="23"/>
        <v>109765.3</v>
      </c>
      <c r="I67" s="6">
        <v>23.567513586325422</v>
      </c>
      <c r="J67" s="6">
        <f t="shared" si="24"/>
        <v>1246876.071605741</v>
      </c>
      <c r="K67" s="6">
        <v>11.86</v>
      </c>
      <c r="L67" s="6">
        <f t="shared" si="25"/>
        <v>1343114.8755999999</v>
      </c>
      <c r="M67" s="6">
        <f t="shared" si="26"/>
        <v>0</v>
      </c>
      <c r="N67" s="6">
        <f t="shared" si="27"/>
        <v>217675.72999999998</v>
      </c>
      <c r="O67" s="6"/>
    </row>
    <row r="68" spans="1:15" x14ac:dyDescent="0.15">
      <c r="A68" s="2" t="s">
        <v>154</v>
      </c>
      <c r="B68" s="2" t="s">
        <v>794</v>
      </c>
      <c r="C68" s="2">
        <v>216879.42</v>
      </c>
      <c r="D68" s="2">
        <v>35067.83</v>
      </c>
      <c r="E68" s="2">
        <v>100234.09</v>
      </c>
      <c r="F68" s="2">
        <v>10334.030000000001</v>
      </c>
      <c r="G68" s="2">
        <f t="shared" si="23"/>
        <v>71243.47000000003</v>
      </c>
      <c r="I68" s="6">
        <v>26.833140231374454</v>
      </c>
      <c r="J68" s="6">
        <f t="shared" si="24"/>
        <v>1218274.4761452307</v>
      </c>
      <c r="K68" s="6">
        <v>19.2</v>
      </c>
      <c r="L68" s="6">
        <f t="shared" si="25"/>
        <v>1924494.5279999999</v>
      </c>
      <c r="M68" s="6">
        <f t="shared" si="26"/>
        <v>0</v>
      </c>
      <c r="N68" s="6">
        <f t="shared" si="27"/>
        <v>156305.46000000002</v>
      </c>
      <c r="O68" s="6"/>
    </row>
    <row r="69" spans="1:15" x14ac:dyDescent="0.15">
      <c r="A69" s="2" t="s">
        <v>164</v>
      </c>
      <c r="B69" s="2" t="s">
        <v>795</v>
      </c>
      <c r="C69" s="2">
        <v>244660.38</v>
      </c>
      <c r="D69" s="2">
        <v>33867.29</v>
      </c>
      <c r="E69" s="2">
        <v>98499.29</v>
      </c>
      <c r="F69" s="2">
        <v>9942.7900000000009</v>
      </c>
      <c r="G69" s="2">
        <f t="shared" si="23"/>
        <v>102351.01000000001</v>
      </c>
      <c r="I69" s="6">
        <v>19.237145930483365</v>
      </c>
      <c r="J69" s="6">
        <f t="shared" si="24"/>
        <v>842780.90218615066</v>
      </c>
      <c r="K69" s="6">
        <v>11.56</v>
      </c>
      <c r="L69" s="6">
        <f t="shared" si="25"/>
        <v>1138651.7923999999</v>
      </c>
      <c r="M69" s="6">
        <f t="shared" si="26"/>
        <v>0</v>
      </c>
      <c r="N69" s="6">
        <f t="shared" si="27"/>
        <v>135301.91999999998</v>
      </c>
      <c r="O69" s="6"/>
    </row>
    <row r="70" spans="1:15" x14ac:dyDescent="0.15">
      <c r="A70" s="2" t="s">
        <v>176</v>
      </c>
      <c r="B70" s="2" t="s">
        <v>796</v>
      </c>
      <c r="C70" s="2">
        <v>477681.37</v>
      </c>
      <c r="D70" s="2">
        <v>93541.11</v>
      </c>
      <c r="E70" s="2">
        <v>209801.82</v>
      </c>
      <c r="F70" s="2">
        <v>27594.39</v>
      </c>
      <c r="G70" s="2">
        <f t="shared" si="23"/>
        <v>146744.04999999999</v>
      </c>
      <c r="H70" s="2">
        <v>275748.5</v>
      </c>
      <c r="I70" s="6">
        <v>14.774038922565703</v>
      </c>
      <c r="J70" s="6">
        <f t="shared" si="24"/>
        <v>1789660.5919044577</v>
      </c>
      <c r="K70" s="6">
        <v>12.39</v>
      </c>
      <c r="L70" s="6">
        <f t="shared" si="25"/>
        <v>2599444.5498000002</v>
      </c>
      <c r="M70" s="6">
        <f t="shared" si="26"/>
        <v>1</v>
      </c>
      <c r="N70" s="6">
        <f t="shared" si="27"/>
        <v>132366.57999999999</v>
      </c>
      <c r="O70" s="6">
        <v>11.13</v>
      </c>
    </row>
    <row r="71" spans="1:15" x14ac:dyDescent="0.15">
      <c r="A71" s="2" t="s">
        <v>193</v>
      </c>
      <c r="B71" s="2" t="s">
        <v>797</v>
      </c>
      <c r="C71" s="2">
        <v>445147.35</v>
      </c>
      <c r="D71" s="2">
        <v>61608.37</v>
      </c>
      <c r="E71" s="2">
        <v>176268.1</v>
      </c>
      <c r="F71" s="2">
        <v>11837.86</v>
      </c>
      <c r="G71" s="2">
        <f t="shared" si="23"/>
        <v>195433.01999999996</v>
      </c>
      <c r="H71" s="2">
        <v>158227</v>
      </c>
      <c r="I71" s="6">
        <v>18.186165288904736</v>
      </c>
      <c r="J71" s="6">
        <f t="shared" si="24"/>
        <v>1335705.2786269139</v>
      </c>
      <c r="K71" s="6">
        <v>11.86</v>
      </c>
      <c r="L71" s="6">
        <f t="shared" si="25"/>
        <v>2090539.666</v>
      </c>
      <c r="M71" s="6">
        <f t="shared" si="26"/>
        <v>1</v>
      </c>
      <c r="N71" s="6">
        <f t="shared" si="27"/>
        <v>303342.93</v>
      </c>
      <c r="O71" s="6">
        <v>10.26</v>
      </c>
    </row>
    <row r="72" spans="1:15" x14ac:dyDescent="0.15">
      <c r="A72" s="2" t="s">
        <v>212</v>
      </c>
      <c r="B72" s="2" t="s">
        <v>798</v>
      </c>
      <c r="C72" s="2">
        <v>321676.32</v>
      </c>
      <c r="D72" s="2">
        <v>54464.51</v>
      </c>
      <c r="E72" s="2">
        <v>144798.89000000001</v>
      </c>
      <c r="F72" s="2">
        <v>10967.35</v>
      </c>
      <c r="G72" s="2">
        <f t="shared" si="23"/>
        <v>111445.56999999998</v>
      </c>
      <c r="I72" s="6">
        <v>28.437050108410045</v>
      </c>
      <c r="J72" s="6">
        <f t="shared" si="24"/>
        <v>1860689.0815064709</v>
      </c>
      <c r="K72" s="6">
        <v>14.7</v>
      </c>
      <c r="L72" s="6">
        <f t="shared" si="25"/>
        <v>2128543.6830000002</v>
      </c>
      <c r="M72" s="6">
        <f t="shared" si="26"/>
        <v>0</v>
      </c>
      <c r="N72" s="6">
        <f t="shared" si="27"/>
        <v>237876.47</v>
      </c>
      <c r="O72" s="6"/>
    </row>
    <row r="73" spans="1:15" x14ac:dyDescent="0.15">
      <c r="A73" s="2" t="s">
        <v>230</v>
      </c>
      <c r="B73" s="2" t="s">
        <v>799</v>
      </c>
      <c r="C73" s="2">
        <v>358248.47</v>
      </c>
      <c r="D73" s="2">
        <v>46777.01</v>
      </c>
      <c r="E73" s="2">
        <v>147425.79999999999</v>
      </c>
      <c r="F73" s="2">
        <v>11312.29</v>
      </c>
      <c r="G73" s="2">
        <f t="shared" si="23"/>
        <v>152733.36999999997</v>
      </c>
      <c r="I73" s="6">
        <v>29.391147488905339</v>
      </c>
      <c r="J73" s="6">
        <f t="shared" si="24"/>
        <v>1707311.1838272691</v>
      </c>
      <c r="K73" s="6">
        <v>12.96</v>
      </c>
      <c r="L73" s="6">
        <f t="shared" si="25"/>
        <v>1910638.368</v>
      </c>
      <c r="M73" s="6">
        <f t="shared" si="26"/>
        <v>0</v>
      </c>
      <c r="N73" s="6">
        <f t="shared" si="27"/>
        <v>199263.40000000002</v>
      </c>
      <c r="O73" s="6"/>
    </row>
    <row r="74" spans="1:15" x14ac:dyDescent="0.15">
      <c r="A74" s="2" t="s">
        <v>245</v>
      </c>
      <c r="B74" s="2" t="s">
        <v>800</v>
      </c>
      <c r="C74" s="2">
        <v>467579.82</v>
      </c>
      <c r="D74" s="2">
        <v>111435.33</v>
      </c>
      <c r="E74" s="2">
        <v>237415.37</v>
      </c>
      <c r="F74" s="2">
        <v>13682.5</v>
      </c>
      <c r="G74" s="2">
        <f t="shared" si="23"/>
        <v>105046.62</v>
      </c>
      <c r="I74" s="6">
        <v>31.96445866853896</v>
      </c>
      <c r="J74" s="6">
        <f t="shared" si="24"/>
        <v>3999323.7057322841</v>
      </c>
      <c r="K74" s="6">
        <v>23.2</v>
      </c>
      <c r="L74" s="6">
        <f t="shared" si="25"/>
        <v>5508036.5839999998</v>
      </c>
      <c r="M74" s="6">
        <f t="shared" si="26"/>
        <v>0</v>
      </c>
      <c r="N74" s="6">
        <f t="shared" si="27"/>
        <v>194202.81</v>
      </c>
      <c r="O74" s="6"/>
    </row>
    <row r="75" spans="1:15" x14ac:dyDescent="0.15">
      <c r="A75" s="2" t="s">
        <v>267</v>
      </c>
      <c r="B75" s="2" t="s">
        <v>801</v>
      </c>
      <c r="C75" s="2">
        <v>211673.08</v>
      </c>
      <c r="D75" s="2">
        <v>28483.37</v>
      </c>
      <c r="E75" s="2">
        <v>81333.09</v>
      </c>
      <c r="F75" s="2">
        <v>8981.42</v>
      </c>
      <c r="G75" s="2">
        <f t="shared" si="23"/>
        <v>92875.199999999997</v>
      </c>
      <c r="I75" s="6">
        <v>20.2251348769475</v>
      </c>
      <c r="J75" s="6">
        <f t="shared" si="24"/>
        <v>757730.4308865139</v>
      </c>
      <c r="K75" s="6">
        <v>18.399999999999999</v>
      </c>
      <c r="L75" s="6">
        <f t="shared" si="25"/>
        <v>1496528.8559999999</v>
      </c>
      <c r="M75" s="6">
        <f t="shared" si="26"/>
        <v>0</v>
      </c>
      <c r="N75" s="6">
        <f t="shared" si="27"/>
        <v>348850.7</v>
      </c>
      <c r="O75" s="6"/>
    </row>
    <row r="76" spans="1:15" x14ac:dyDescent="0.15">
      <c r="A76" s="2" t="s">
        <v>282</v>
      </c>
      <c r="B76" s="2" t="s">
        <v>802</v>
      </c>
      <c r="C76" s="2">
        <v>34844.92</v>
      </c>
      <c r="D76" s="2">
        <v>8584.23</v>
      </c>
      <c r="E76" s="2">
        <v>15278.7</v>
      </c>
      <c r="F76" s="2">
        <v>1475</v>
      </c>
      <c r="G76" s="2">
        <f t="shared" si="23"/>
        <v>9506.989999999998</v>
      </c>
      <c r="I76" s="6">
        <v>35.707337757725504</v>
      </c>
      <c r="J76" s="6">
        <f t="shared" si="24"/>
        <v>359188.3231926451</v>
      </c>
      <c r="K76" s="6">
        <v>17.440000000000001</v>
      </c>
      <c r="L76" s="6">
        <f t="shared" si="25"/>
        <v>266460.52800000005</v>
      </c>
      <c r="M76" s="6">
        <f t="shared" si="26"/>
        <v>0</v>
      </c>
      <c r="N76" s="6">
        <f t="shared" si="27"/>
        <v>109816.45999999999</v>
      </c>
      <c r="O76" s="6"/>
    </row>
    <row r="77" spans="1:15" x14ac:dyDescent="0.15">
      <c r="A77" s="2" t="s">
        <v>302</v>
      </c>
      <c r="B77" s="2" t="s">
        <v>682</v>
      </c>
      <c r="C77" s="2">
        <v>139428.15</v>
      </c>
      <c r="D77" s="2">
        <v>25039.3</v>
      </c>
      <c r="E77" s="2">
        <v>61807.199999999997</v>
      </c>
      <c r="F77" s="2">
        <v>4898.18</v>
      </c>
      <c r="G77" s="2">
        <f t="shared" si="23"/>
        <v>47683.469999999994</v>
      </c>
      <c r="I77" s="6">
        <v>30.320336431130265</v>
      </c>
      <c r="J77" s="6">
        <f t="shared" si="24"/>
        <v>907714.46550023369</v>
      </c>
      <c r="K77" s="6">
        <v>16.8</v>
      </c>
      <c r="L77" s="6">
        <f t="shared" si="25"/>
        <v>1038360.96</v>
      </c>
      <c r="M77" s="6">
        <f t="shared" si="26"/>
        <v>0</v>
      </c>
      <c r="N77" s="6">
        <f t="shared" si="27"/>
        <v>23862.93</v>
      </c>
      <c r="O77" s="6"/>
    </row>
    <row r="78" spans="1:15" x14ac:dyDescent="0.15">
      <c r="A78" s="2" t="s">
        <v>303</v>
      </c>
      <c r="B78" s="2" t="s">
        <v>808</v>
      </c>
      <c r="C78" s="2">
        <v>384761.9</v>
      </c>
      <c r="D78" s="2">
        <v>50687.8</v>
      </c>
      <c r="E78" s="2">
        <v>152446.95000000001</v>
      </c>
      <c r="F78" s="2">
        <v>10447.56</v>
      </c>
      <c r="G78" s="2">
        <f t="shared" si="23"/>
        <v>171179.59000000003</v>
      </c>
      <c r="I78" s="6">
        <v>27.266127154857774</v>
      </c>
      <c r="J78" s="6">
        <f t="shared" si="24"/>
        <v>1666924.4994180058</v>
      </c>
      <c r="K78" s="6">
        <v>15.4</v>
      </c>
      <c r="L78" s="6">
        <f t="shared" si="25"/>
        <v>2347683.0300000003</v>
      </c>
      <c r="M78" s="6">
        <f t="shared" si="26"/>
        <v>0</v>
      </c>
      <c r="N78" s="6">
        <f t="shared" si="27"/>
        <v>86846.5</v>
      </c>
      <c r="O78" s="6"/>
    </row>
    <row r="79" spans="1:15" x14ac:dyDescent="0.15">
      <c r="A79" s="2" t="s">
        <v>325</v>
      </c>
      <c r="B79" s="2" t="s">
        <v>809</v>
      </c>
      <c r="C79" s="2">
        <v>136326.32</v>
      </c>
      <c r="D79" s="2">
        <v>14285.22</v>
      </c>
      <c r="E79" s="2">
        <v>55581.94</v>
      </c>
      <c r="F79" s="2">
        <v>5454.48</v>
      </c>
      <c r="G79" s="2">
        <f t="shared" si="23"/>
        <v>61004.680000000008</v>
      </c>
      <c r="I79" s="6">
        <v>38.888445540215692</v>
      </c>
      <c r="J79" s="6">
        <f t="shared" si="24"/>
        <v>767646.24843019561</v>
      </c>
      <c r="K79" s="6">
        <v>15.43</v>
      </c>
      <c r="L79" s="6">
        <f t="shared" si="25"/>
        <v>857629.33420000004</v>
      </c>
      <c r="M79" s="6">
        <f t="shared" si="26"/>
        <v>0</v>
      </c>
      <c r="N79" s="6">
        <f t="shared" si="27"/>
        <v>203134.75</v>
      </c>
      <c r="O79" s="6"/>
    </row>
    <row r="80" spans="1:15" x14ac:dyDescent="0.15">
      <c r="A80" s="2" t="s">
        <v>335</v>
      </c>
      <c r="B80" s="2" t="s">
        <v>810</v>
      </c>
      <c r="C80" s="2">
        <v>206397.21</v>
      </c>
      <c r="D80" s="2">
        <v>28213.74</v>
      </c>
      <c r="E80" s="2">
        <v>85966.95</v>
      </c>
      <c r="F80" s="2">
        <v>7843.42</v>
      </c>
      <c r="G80" s="2">
        <f t="shared" si="23"/>
        <v>84373.1</v>
      </c>
      <c r="I80" s="6">
        <v>27.017687126910502</v>
      </c>
      <c r="J80" s="6">
        <f t="shared" si="24"/>
        <v>974181.06756495242</v>
      </c>
      <c r="K80" s="6">
        <v>11.28</v>
      </c>
      <c r="L80" s="6">
        <f t="shared" si="25"/>
        <v>969707.19599999988</v>
      </c>
      <c r="M80" s="6">
        <f t="shared" si="26"/>
        <v>0</v>
      </c>
      <c r="N80" s="6">
        <f t="shared" si="27"/>
        <v>69867.16</v>
      </c>
      <c r="O80" s="6"/>
    </row>
    <row r="81" spans="1:15" x14ac:dyDescent="0.15">
      <c r="A81" s="2" t="s">
        <v>360</v>
      </c>
      <c r="B81" s="2" t="s">
        <v>811</v>
      </c>
      <c r="C81" s="2">
        <v>160506.4</v>
      </c>
      <c r="D81" s="2">
        <v>26539.45</v>
      </c>
      <c r="E81" s="2">
        <v>65538.19</v>
      </c>
      <c r="F81" s="2">
        <v>5784.5</v>
      </c>
      <c r="G81" s="2">
        <f t="shared" si="23"/>
        <v>62644.25999999998</v>
      </c>
      <c r="H81" s="2">
        <v>86293.1</v>
      </c>
      <c r="I81" s="6">
        <v>25.146715549870095</v>
      </c>
      <c r="J81" s="6">
        <f t="shared" si="24"/>
        <v>812841.17609822343</v>
      </c>
      <c r="K81" s="6">
        <v>18.23</v>
      </c>
      <c r="L81" s="6">
        <f t="shared" si="25"/>
        <v>1194761.2037</v>
      </c>
      <c r="M81" s="6">
        <f t="shared" si="26"/>
        <v>1</v>
      </c>
      <c r="N81" s="6">
        <f t="shared" si="27"/>
        <v>114180.69</v>
      </c>
      <c r="O81" s="6">
        <v>13.62</v>
      </c>
    </row>
    <row r="82" spans="1:15" x14ac:dyDescent="0.15">
      <c r="A82" s="2" t="s">
        <v>371</v>
      </c>
      <c r="B82" s="2" t="s">
        <v>812</v>
      </c>
      <c r="C82" s="2">
        <v>88655.16</v>
      </c>
      <c r="D82" s="2">
        <v>13757.99</v>
      </c>
      <c r="E82" s="2">
        <v>37438.870000000003</v>
      </c>
      <c r="F82" s="2">
        <v>6565.6</v>
      </c>
      <c r="G82" s="2">
        <f t="shared" si="23"/>
        <v>30892.699999999997</v>
      </c>
      <c r="H82" s="2">
        <v>44631.3</v>
      </c>
      <c r="I82" s="6">
        <v>27.206735867666712</v>
      </c>
      <c r="J82" s="6">
        <f t="shared" si="24"/>
        <v>552938.54501275253</v>
      </c>
      <c r="K82" s="6">
        <v>12.6</v>
      </c>
      <c r="L82" s="6">
        <f t="shared" si="25"/>
        <v>471729.76200000005</v>
      </c>
      <c r="M82" s="6">
        <f t="shared" si="26"/>
        <v>1</v>
      </c>
      <c r="N82" s="6">
        <f t="shared" si="27"/>
        <v>92077.64</v>
      </c>
      <c r="O82" s="6">
        <v>15.68</v>
      </c>
    </row>
    <row r="83" spans="1:15" x14ac:dyDescent="0.15">
      <c r="A83" s="2" t="s">
        <v>386</v>
      </c>
      <c r="B83" s="2" t="s">
        <v>813</v>
      </c>
      <c r="C83" s="2">
        <v>22953.05</v>
      </c>
      <c r="D83" s="2">
        <v>4072.72</v>
      </c>
      <c r="E83" s="2">
        <v>10290.969999999999</v>
      </c>
      <c r="F83" s="2">
        <v>1070.3</v>
      </c>
      <c r="G83" s="2">
        <f t="shared" si="23"/>
        <v>7519.0599999999986</v>
      </c>
      <c r="H83" s="2">
        <v>13293.4</v>
      </c>
      <c r="I83" s="6">
        <v>41.559449213302166</v>
      </c>
      <c r="J83" s="6">
        <f t="shared" si="24"/>
        <v>213741.07849299727</v>
      </c>
      <c r="K83" s="6">
        <v>17.04</v>
      </c>
      <c r="L83" s="6">
        <f t="shared" si="25"/>
        <v>175358.12879999998</v>
      </c>
      <c r="M83" s="6">
        <f t="shared" si="26"/>
        <v>1</v>
      </c>
      <c r="N83" s="6">
        <f t="shared" si="27"/>
        <v>51196.86</v>
      </c>
      <c r="O83" s="6">
        <v>17.72</v>
      </c>
    </row>
    <row r="84" spans="1:15" x14ac:dyDescent="0.15">
      <c r="A84" s="2" t="s">
        <v>395</v>
      </c>
      <c r="B84" s="2" t="s">
        <v>814</v>
      </c>
      <c r="C84" s="2">
        <v>24900.99</v>
      </c>
      <c r="D84" s="2">
        <v>5038.47</v>
      </c>
      <c r="E84" s="2">
        <v>11334.9</v>
      </c>
      <c r="F84" s="2">
        <v>1030.6500000000001</v>
      </c>
      <c r="G84" s="2">
        <f t="shared" si="23"/>
        <v>7496.9700000000012</v>
      </c>
      <c r="H84" s="2">
        <v>15342.7</v>
      </c>
      <c r="I84" s="6">
        <v>26.355222914892821</v>
      </c>
      <c r="J84" s="6">
        <f t="shared" si="24"/>
        <v>159953.01049723433</v>
      </c>
      <c r="K84" s="6">
        <v>14.08</v>
      </c>
      <c r="L84" s="6">
        <f t="shared" si="25"/>
        <v>159595.39199999999</v>
      </c>
      <c r="M84" s="6">
        <f t="shared" si="26"/>
        <v>1</v>
      </c>
      <c r="N84" s="6">
        <f t="shared" si="27"/>
        <v>14363.689999999999</v>
      </c>
      <c r="O84" s="6">
        <v>15.88</v>
      </c>
    </row>
    <row r="85" spans="1:15" x14ac:dyDescent="0.15">
      <c r="A85" s="2" t="s">
        <v>401</v>
      </c>
      <c r="B85" s="2" t="s">
        <v>815</v>
      </c>
      <c r="C85" s="2">
        <v>87816.49</v>
      </c>
      <c r="D85" s="2">
        <v>16417.490000000002</v>
      </c>
      <c r="E85" s="2">
        <v>34579.870000000003</v>
      </c>
      <c r="F85" s="2">
        <v>3601.29</v>
      </c>
      <c r="G85" s="2">
        <f t="shared" si="23"/>
        <v>33217.839999999997</v>
      </c>
      <c r="H85" s="2">
        <v>47396.1</v>
      </c>
      <c r="I85" s="6">
        <v>25.949155443371666</v>
      </c>
      <c r="J85" s="6">
        <f t="shared" si="24"/>
        <v>519470.4340066599</v>
      </c>
      <c r="K85" s="6">
        <v>15.58</v>
      </c>
      <c r="L85" s="6">
        <f t="shared" si="25"/>
        <v>538754.3746000001</v>
      </c>
      <c r="M85" s="6">
        <f t="shared" si="26"/>
        <v>1</v>
      </c>
      <c r="N85" s="6">
        <f t="shared" si="27"/>
        <v>16373.369999999999</v>
      </c>
      <c r="O85" s="6">
        <v>18.489999999999998</v>
      </c>
    </row>
    <row r="86" spans="1:15" x14ac:dyDescent="0.15">
      <c r="A86" s="2" t="s">
        <v>352</v>
      </c>
      <c r="B86" s="2" t="s">
        <v>352</v>
      </c>
      <c r="C86" s="2">
        <f>SUM(E86:F86)</f>
        <v>4365.2127445198912</v>
      </c>
      <c r="E86" s="2">
        <v>3829.6038188119287</v>
      </c>
      <c r="F86" s="2">
        <v>535.60892570796204</v>
      </c>
      <c r="G86" s="2">
        <v>0</v>
      </c>
      <c r="I86" s="6">
        <v>26.691635930578162</v>
      </c>
      <c r="J86" s="6">
        <f t="shared" si="24"/>
        <v>14296.27844616501</v>
      </c>
      <c r="K86" s="6">
        <v>11.28</v>
      </c>
      <c r="L86" s="6">
        <f t="shared" si="25"/>
        <v>43197.931076198554</v>
      </c>
      <c r="M86" s="6">
        <f t="shared" si="26"/>
        <v>1</v>
      </c>
      <c r="N86" s="6">
        <f t="shared" si="27"/>
        <v>50997.36</v>
      </c>
      <c r="O86" s="6">
        <v>12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0F27-9B4F-4871-B809-1AB85DF3A3C7}">
  <dimension ref="A2:AT91"/>
  <sheetViews>
    <sheetView workbookViewId="0"/>
  </sheetViews>
  <sheetFormatPr defaultRowHeight="13.5" x14ac:dyDescent="0.15"/>
  <cols>
    <col min="1" max="1" width="36.625" style="2" customWidth="1"/>
    <col min="2" max="15" width="13.875" style="2" customWidth="1"/>
    <col min="16" max="46" width="14.375" bestFit="1" customWidth="1"/>
  </cols>
  <sheetData>
    <row r="2" spans="1:44" ht="15" x14ac:dyDescent="0.15">
      <c r="A2" s="36" t="s">
        <v>935</v>
      </c>
      <c r="B2" s="7"/>
    </row>
    <row r="3" spans="1:44" s="19" customFormat="1" x14ac:dyDescent="0.15">
      <c r="A3" s="35"/>
      <c r="B3" s="35">
        <v>2018</v>
      </c>
      <c r="C3" s="35">
        <v>2019</v>
      </c>
      <c r="D3" s="35">
        <v>2020</v>
      </c>
      <c r="E3" s="35">
        <v>2021</v>
      </c>
      <c r="F3" s="35">
        <v>2022</v>
      </c>
      <c r="G3" s="35">
        <v>2023</v>
      </c>
      <c r="H3" s="35">
        <v>2024</v>
      </c>
      <c r="I3" s="35">
        <v>2025</v>
      </c>
      <c r="J3" s="35">
        <v>2026</v>
      </c>
      <c r="K3" s="35">
        <v>2027</v>
      </c>
      <c r="L3" s="35">
        <v>2028</v>
      </c>
      <c r="M3" s="35">
        <v>2029</v>
      </c>
      <c r="N3" s="35">
        <v>2030</v>
      </c>
      <c r="O3" s="35">
        <v>2031</v>
      </c>
      <c r="P3" s="35">
        <v>2032</v>
      </c>
      <c r="Q3" s="35">
        <v>2033</v>
      </c>
      <c r="R3" s="35">
        <v>2034</v>
      </c>
      <c r="S3" s="35">
        <v>2035</v>
      </c>
      <c r="T3" s="35">
        <v>2036</v>
      </c>
      <c r="U3" s="35">
        <v>2037</v>
      </c>
      <c r="V3" s="35">
        <v>2038</v>
      </c>
      <c r="W3" s="35">
        <v>2039</v>
      </c>
      <c r="X3" s="35">
        <v>2040</v>
      </c>
      <c r="Y3" s="35">
        <v>2041</v>
      </c>
      <c r="Z3" s="35">
        <v>2042</v>
      </c>
      <c r="AA3" s="35">
        <v>2043</v>
      </c>
      <c r="AB3" s="35">
        <v>2044</v>
      </c>
      <c r="AC3" s="35">
        <v>2045</v>
      </c>
      <c r="AD3" s="35">
        <v>2046</v>
      </c>
      <c r="AE3" s="35">
        <v>2047</v>
      </c>
      <c r="AF3" s="35">
        <v>2048</v>
      </c>
      <c r="AG3" s="35">
        <v>2049</v>
      </c>
      <c r="AH3" s="35">
        <v>2050</v>
      </c>
      <c r="AI3" s="35">
        <v>2051</v>
      </c>
      <c r="AJ3" s="35">
        <v>2052</v>
      </c>
      <c r="AK3" s="35">
        <v>2053</v>
      </c>
      <c r="AL3" s="35">
        <v>2054</v>
      </c>
      <c r="AM3" s="35">
        <v>2055</v>
      </c>
      <c r="AN3" s="35">
        <v>2056</v>
      </c>
      <c r="AO3" s="35">
        <v>2057</v>
      </c>
      <c r="AP3" s="35">
        <v>2058</v>
      </c>
      <c r="AQ3" s="35">
        <v>2059</v>
      </c>
      <c r="AR3" s="35">
        <v>2060</v>
      </c>
    </row>
    <row r="4" spans="1:44" s="15" customFormat="1" x14ac:dyDescent="0.15">
      <c r="A4" s="37" t="s">
        <v>829</v>
      </c>
      <c r="B4" s="33">
        <f>D49*人口变化预测!D4/10000</f>
        <v>2956385.3487016428</v>
      </c>
      <c r="C4" s="33">
        <f>E49*人口变化预测!E4/10000</f>
        <v>3028597.923651055</v>
      </c>
      <c r="D4" s="33">
        <f>F49*人口变化预测!F4/10000</f>
        <v>3124059.784154979</v>
      </c>
      <c r="E4" s="33">
        <f>G49*人口变化预测!G4/10000</f>
        <v>3171829.2776459688</v>
      </c>
      <c r="F4" s="33">
        <f>H49*人口变化预测!H4/10000</f>
        <v>3218199.5537832552</v>
      </c>
      <c r="G4" s="33">
        <f>I49*人口变化预测!I4/10000</f>
        <v>3263151.778550962</v>
      </c>
      <c r="H4" s="33">
        <f>J49*人口变化预测!J4/10000</f>
        <v>3306669.8109257659</v>
      </c>
      <c r="I4" s="33">
        <f>K49*人口变化预测!K4/10000</f>
        <v>3348740.5589820053</v>
      </c>
      <c r="J4" s="33">
        <f>L49*人口变化预测!L4/10000</f>
        <v>3389353.7707888396</v>
      </c>
      <c r="K4" s="33">
        <f>M49*人口变化预测!M4/10000</f>
        <v>3428502.5470400858</v>
      </c>
      <c r="L4" s="33">
        <f>N49*人口变化预测!N4/10000</f>
        <v>3466183.1393566523</v>
      </c>
      <c r="M4" s="33">
        <f>O49*人口变化预测!O4/10000</f>
        <v>3502395.2846494424</v>
      </c>
      <c r="N4" s="33">
        <f>P49*人口变化预测!P4/10000</f>
        <v>3537142.2999502425</v>
      </c>
      <c r="O4" s="33">
        <f>Q49*人口变化预测!Q4/10000</f>
        <v>3570431.1442593751</v>
      </c>
      <c r="P4" s="33">
        <f>R49*人口变化预测!R4/10000</f>
        <v>3602272.7792495149</v>
      </c>
      <c r="Q4" s="33">
        <f>S49*人口变化预测!S4/10000</f>
        <v>3632682.0321554611</v>
      </c>
      <c r="R4" s="33">
        <f>T49*人口变化预测!T4/10000</f>
        <v>3661677.9993048338</v>
      </c>
      <c r="S4" s="33">
        <f>U49*人口变化预测!U4/10000</f>
        <v>3689284.0508144312</v>
      </c>
      <c r="T4" s="33">
        <f>V49*人口变化预测!V4/10000</f>
        <v>3715528.0597741096</v>
      </c>
      <c r="U4" s="33">
        <f>W49*人口变化预测!W4/10000</f>
        <v>3740442.6260878365</v>
      </c>
      <c r="V4" s="33">
        <f>X49*人口变化预测!X4/10000</f>
        <v>3764065.0487647317</v>
      </c>
      <c r="W4" s="33">
        <f>Y49*人口变化预测!Y4/10000</f>
        <v>3786437.7065889267</v>
      </c>
      <c r="X4" s="33">
        <f>Z49*人口变化预测!Z4/10000</f>
        <v>3807608.1723686457</v>
      </c>
      <c r="Y4" s="33">
        <f>AA49*人口变化预测!AA4/10000</f>
        <v>3827629.4129131255</v>
      </c>
      <c r="Z4" s="33">
        <f>AB49*人口变化预测!AB4/10000</f>
        <v>3846559.8657713416</v>
      </c>
      <c r="AA4" s="33">
        <f>AC49*人口变化预测!AC4/10000</f>
        <v>3864463.71976437</v>
      </c>
      <c r="AB4" s="33">
        <f>AD49*人口变化预测!AD4/10000</f>
        <v>3881411.2319545364</v>
      </c>
      <c r="AC4" s="33">
        <f>AE49*人口变化预测!AE4/10000</f>
        <v>3897478.6929833037</v>
      </c>
      <c r="AD4" s="33">
        <f>AF49*人口变化预测!AF4/10000</f>
        <v>3912748.6949491869</v>
      </c>
      <c r="AE4" s="33">
        <f>AG49*人口变化预测!AG4/10000</f>
        <v>3927310.5973957651</v>
      </c>
      <c r="AF4" s="33">
        <f>AH49*人口变化预测!AH4/10000</f>
        <v>3941260.3605307131</v>
      </c>
      <c r="AG4" s="33">
        <f>AI49*人口变化预测!AI4/10000</f>
        <v>3954700.9716032874</v>
      </c>
      <c r="AH4" s="33">
        <f>AJ49*人口变化预测!AJ4/10000</f>
        <v>3967742.7582173608</v>
      </c>
      <c r="AI4" s="33">
        <f>AK49*人口变化预测!AK4/10000</f>
        <v>3980503.3151542689</v>
      </c>
      <c r="AJ4" s="33">
        <f>AL49*人口变化预测!AL4/10000</f>
        <v>3993108.1643194128</v>
      </c>
      <c r="AK4" s="33">
        <f>AM49*人口变化预测!AM4/10000</f>
        <v>4005690.5037632119</v>
      </c>
      <c r="AL4" s="33">
        <f>AN49*人口变化预测!AN4/10000</f>
        <v>4018391.9393307143</v>
      </c>
      <c r="AM4" s="33">
        <f>AO49*人口变化预测!AO4/10000</f>
        <v>4031362.4331945963</v>
      </c>
      <c r="AN4" s="33">
        <f>AP49*人口变化预测!AP4/10000</f>
        <v>4044760.622413259</v>
      </c>
      <c r="AO4" s="33">
        <f>AQ49*人口变化预测!AQ4/10000</f>
        <v>4058754.0977586647</v>
      </c>
      <c r="AP4" s="33">
        <f>AR49*人口变化预测!AR4/10000</f>
        <v>4073519.6892123246</v>
      </c>
      <c r="AQ4" s="33">
        <f>AS49*人口变化预测!AS4/10000</f>
        <v>4089243.8481051545</v>
      </c>
      <c r="AR4" s="33">
        <f>AT49*人口变化预测!AT4/10000</f>
        <v>4106122.6565029761</v>
      </c>
    </row>
    <row r="5" spans="1:44" s="15" customFormat="1" x14ac:dyDescent="0.15">
      <c r="A5" s="37" t="s">
        <v>957</v>
      </c>
      <c r="B5" s="33">
        <f>$B4*0.71%</f>
        <v>20990.335975781662</v>
      </c>
      <c r="C5" s="33">
        <f t="shared" ref="C5:G5" si="0">$B4*0.71%</f>
        <v>20990.335975781662</v>
      </c>
      <c r="D5" s="33">
        <f t="shared" si="0"/>
        <v>20990.335975781662</v>
      </c>
      <c r="E5" s="33">
        <f t="shared" si="0"/>
        <v>20990.335975781662</v>
      </c>
      <c r="F5" s="33">
        <f t="shared" si="0"/>
        <v>20990.335975781662</v>
      </c>
      <c r="G5" s="33">
        <f t="shared" si="0"/>
        <v>20990.335975781662</v>
      </c>
      <c r="H5" s="33">
        <f>$B4*0.71%</f>
        <v>20990.335975781662</v>
      </c>
      <c r="I5" s="33">
        <f t="shared" ref="I5:AR5" si="1">$B4*0.71%</f>
        <v>20990.335975781662</v>
      </c>
      <c r="J5" s="33">
        <f t="shared" si="1"/>
        <v>20990.335975781662</v>
      </c>
      <c r="K5" s="33">
        <f t="shared" si="1"/>
        <v>20990.335975781662</v>
      </c>
      <c r="L5" s="33">
        <f t="shared" si="1"/>
        <v>20990.335975781662</v>
      </c>
      <c r="M5" s="33">
        <f t="shared" si="1"/>
        <v>20990.335975781662</v>
      </c>
      <c r="N5" s="33">
        <f t="shared" si="1"/>
        <v>20990.335975781662</v>
      </c>
      <c r="O5" s="33">
        <f t="shared" si="1"/>
        <v>20990.335975781662</v>
      </c>
      <c r="P5" s="33">
        <f t="shared" si="1"/>
        <v>20990.335975781662</v>
      </c>
      <c r="Q5" s="33">
        <f t="shared" si="1"/>
        <v>20990.335975781662</v>
      </c>
      <c r="R5" s="33">
        <f t="shared" si="1"/>
        <v>20990.335975781662</v>
      </c>
      <c r="S5" s="33">
        <f t="shared" si="1"/>
        <v>20990.335975781662</v>
      </c>
      <c r="T5" s="33">
        <f t="shared" si="1"/>
        <v>20990.335975781662</v>
      </c>
      <c r="U5" s="33">
        <f t="shared" si="1"/>
        <v>20990.335975781662</v>
      </c>
      <c r="V5" s="33">
        <f t="shared" si="1"/>
        <v>20990.335975781662</v>
      </c>
      <c r="W5" s="33">
        <f t="shared" si="1"/>
        <v>20990.335975781662</v>
      </c>
      <c r="X5" s="33">
        <f t="shared" si="1"/>
        <v>20990.335975781662</v>
      </c>
      <c r="Y5" s="33">
        <f t="shared" si="1"/>
        <v>20990.335975781662</v>
      </c>
      <c r="Z5" s="33">
        <f t="shared" si="1"/>
        <v>20990.335975781662</v>
      </c>
      <c r="AA5" s="33">
        <f t="shared" si="1"/>
        <v>20990.335975781662</v>
      </c>
      <c r="AB5" s="33">
        <f t="shared" si="1"/>
        <v>20990.335975781662</v>
      </c>
      <c r="AC5" s="33">
        <f t="shared" si="1"/>
        <v>20990.335975781662</v>
      </c>
      <c r="AD5" s="33">
        <f t="shared" si="1"/>
        <v>20990.335975781662</v>
      </c>
      <c r="AE5" s="33">
        <f t="shared" si="1"/>
        <v>20990.335975781662</v>
      </c>
      <c r="AF5" s="33">
        <f t="shared" si="1"/>
        <v>20990.335975781662</v>
      </c>
      <c r="AG5" s="33">
        <f t="shared" si="1"/>
        <v>20990.335975781662</v>
      </c>
      <c r="AH5" s="33">
        <f t="shared" si="1"/>
        <v>20990.335975781662</v>
      </c>
      <c r="AI5" s="33">
        <f t="shared" si="1"/>
        <v>20990.335975781662</v>
      </c>
      <c r="AJ5" s="33">
        <f t="shared" si="1"/>
        <v>20990.335975781662</v>
      </c>
      <c r="AK5" s="33">
        <f t="shared" si="1"/>
        <v>20990.335975781662</v>
      </c>
      <c r="AL5" s="33">
        <f t="shared" si="1"/>
        <v>20990.335975781662</v>
      </c>
      <c r="AM5" s="33">
        <f t="shared" si="1"/>
        <v>20990.335975781662</v>
      </c>
      <c r="AN5" s="33">
        <f t="shared" si="1"/>
        <v>20990.335975781662</v>
      </c>
      <c r="AO5" s="33">
        <f t="shared" si="1"/>
        <v>20990.335975781662</v>
      </c>
      <c r="AP5" s="33">
        <f t="shared" si="1"/>
        <v>20990.335975781662</v>
      </c>
      <c r="AQ5" s="33">
        <f t="shared" si="1"/>
        <v>20990.335975781662</v>
      </c>
      <c r="AR5" s="33">
        <f t="shared" si="1"/>
        <v>20990.335975781662</v>
      </c>
    </row>
    <row r="6" spans="1:44" s="15" customFormat="1" x14ac:dyDescent="0.15">
      <c r="A6" s="37" t="s">
        <v>963</v>
      </c>
      <c r="B6" s="33"/>
      <c r="C6" s="33">
        <f>IF(B4-C4-B5&gt;0,B4-C4-B5,0)</f>
        <v>0</v>
      </c>
      <c r="D6" s="33">
        <f>IF(C4-D4-C5&gt;0,C4-D4-C5,0)</f>
        <v>0</v>
      </c>
      <c r="E6" s="33">
        <f t="shared" ref="E6:AR6" si="2">IF(D4-E4-D5&gt;0,D4-E4-D5,0)</f>
        <v>0</v>
      </c>
      <c r="F6" s="33">
        <f t="shared" si="2"/>
        <v>0</v>
      </c>
      <c r="G6" s="33">
        <f t="shared" si="2"/>
        <v>0</v>
      </c>
      <c r="H6" s="33">
        <f t="shared" si="2"/>
        <v>0</v>
      </c>
      <c r="I6" s="33">
        <f t="shared" si="2"/>
        <v>0</v>
      </c>
      <c r="J6" s="33">
        <f t="shared" si="2"/>
        <v>0</v>
      </c>
      <c r="K6" s="33">
        <f t="shared" si="2"/>
        <v>0</v>
      </c>
      <c r="L6" s="33">
        <f t="shared" si="2"/>
        <v>0</v>
      </c>
      <c r="M6" s="33">
        <f t="shared" si="2"/>
        <v>0</v>
      </c>
      <c r="N6" s="33">
        <f t="shared" si="2"/>
        <v>0</v>
      </c>
      <c r="O6" s="33">
        <f t="shared" si="2"/>
        <v>0</v>
      </c>
      <c r="P6" s="33">
        <f t="shared" si="2"/>
        <v>0</v>
      </c>
      <c r="Q6" s="33">
        <f t="shared" si="2"/>
        <v>0</v>
      </c>
      <c r="R6" s="33">
        <f t="shared" si="2"/>
        <v>0</v>
      </c>
      <c r="S6" s="33">
        <f t="shared" si="2"/>
        <v>0</v>
      </c>
      <c r="T6" s="33">
        <f t="shared" si="2"/>
        <v>0</v>
      </c>
      <c r="U6" s="33">
        <f t="shared" si="2"/>
        <v>0</v>
      </c>
      <c r="V6" s="33">
        <f t="shared" si="2"/>
        <v>0</v>
      </c>
      <c r="W6" s="33">
        <f t="shared" si="2"/>
        <v>0</v>
      </c>
      <c r="X6" s="33">
        <f t="shared" si="2"/>
        <v>0</v>
      </c>
      <c r="Y6" s="33">
        <f t="shared" si="2"/>
        <v>0</v>
      </c>
      <c r="Z6" s="33">
        <f t="shared" si="2"/>
        <v>0</v>
      </c>
      <c r="AA6" s="33">
        <f t="shared" si="2"/>
        <v>0</v>
      </c>
      <c r="AB6" s="33">
        <f t="shared" si="2"/>
        <v>0</v>
      </c>
      <c r="AC6" s="33">
        <f t="shared" si="2"/>
        <v>0</v>
      </c>
      <c r="AD6" s="33">
        <f t="shared" si="2"/>
        <v>0</v>
      </c>
      <c r="AE6" s="33">
        <f t="shared" si="2"/>
        <v>0</v>
      </c>
      <c r="AF6" s="33">
        <f t="shared" si="2"/>
        <v>0</v>
      </c>
      <c r="AG6" s="33">
        <f t="shared" si="2"/>
        <v>0</v>
      </c>
      <c r="AH6" s="33">
        <f t="shared" si="2"/>
        <v>0</v>
      </c>
      <c r="AI6" s="33">
        <f t="shared" si="2"/>
        <v>0</v>
      </c>
      <c r="AJ6" s="33">
        <f t="shared" si="2"/>
        <v>0</v>
      </c>
      <c r="AK6" s="33">
        <f t="shared" si="2"/>
        <v>0</v>
      </c>
      <c r="AL6" s="33">
        <f t="shared" si="2"/>
        <v>0</v>
      </c>
      <c r="AM6" s="33">
        <f t="shared" si="2"/>
        <v>0</v>
      </c>
      <c r="AN6" s="33">
        <f t="shared" si="2"/>
        <v>0</v>
      </c>
      <c r="AO6" s="33">
        <f t="shared" si="2"/>
        <v>0</v>
      </c>
      <c r="AP6" s="33">
        <f t="shared" si="2"/>
        <v>0</v>
      </c>
      <c r="AQ6" s="33">
        <f t="shared" si="2"/>
        <v>0</v>
      </c>
      <c r="AR6" s="33">
        <f t="shared" si="2"/>
        <v>0</v>
      </c>
    </row>
    <row r="7" spans="1:44" s="15" customFormat="1" x14ac:dyDescent="0.15">
      <c r="A7" s="37" t="s">
        <v>964</v>
      </c>
      <c r="B7" s="33"/>
      <c r="C7" s="33"/>
      <c r="D7" s="33">
        <f>$C$4*0.01</f>
        <v>30285.97923651055</v>
      </c>
      <c r="E7" s="33">
        <f t="shared" ref="E7:AR7" si="3">$C$4*0.01</f>
        <v>30285.97923651055</v>
      </c>
      <c r="F7" s="33">
        <f t="shared" si="3"/>
        <v>30285.97923651055</v>
      </c>
      <c r="G7" s="33">
        <f t="shared" si="3"/>
        <v>30285.97923651055</v>
      </c>
      <c r="H7" s="33">
        <f t="shared" si="3"/>
        <v>30285.97923651055</v>
      </c>
      <c r="I7" s="33">
        <f t="shared" si="3"/>
        <v>30285.97923651055</v>
      </c>
      <c r="J7" s="33">
        <f t="shared" si="3"/>
        <v>30285.97923651055</v>
      </c>
      <c r="K7" s="33">
        <f t="shared" si="3"/>
        <v>30285.97923651055</v>
      </c>
      <c r="L7" s="33">
        <f t="shared" si="3"/>
        <v>30285.97923651055</v>
      </c>
      <c r="M7" s="33">
        <f t="shared" si="3"/>
        <v>30285.97923651055</v>
      </c>
      <c r="N7" s="33">
        <f t="shared" si="3"/>
        <v>30285.97923651055</v>
      </c>
      <c r="O7" s="33">
        <f t="shared" si="3"/>
        <v>30285.97923651055</v>
      </c>
      <c r="P7" s="33">
        <f t="shared" si="3"/>
        <v>30285.97923651055</v>
      </c>
      <c r="Q7" s="33">
        <f t="shared" si="3"/>
        <v>30285.97923651055</v>
      </c>
      <c r="R7" s="33">
        <f t="shared" si="3"/>
        <v>30285.97923651055</v>
      </c>
      <c r="S7" s="33">
        <f t="shared" si="3"/>
        <v>30285.97923651055</v>
      </c>
      <c r="T7" s="33">
        <f t="shared" si="3"/>
        <v>30285.97923651055</v>
      </c>
      <c r="U7" s="33">
        <f t="shared" si="3"/>
        <v>30285.97923651055</v>
      </c>
      <c r="V7" s="33">
        <f t="shared" si="3"/>
        <v>30285.97923651055</v>
      </c>
      <c r="W7" s="33">
        <f t="shared" si="3"/>
        <v>30285.97923651055</v>
      </c>
      <c r="X7" s="33">
        <f t="shared" si="3"/>
        <v>30285.97923651055</v>
      </c>
      <c r="Y7" s="33">
        <f t="shared" si="3"/>
        <v>30285.97923651055</v>
      </c>
      <c r="Z7" s="33">
        <f t="shared" si="3"/>
        <v>30285.97923651055</v>
      </c>
      <c r="AA7" s="33">
        <f t="shared" si="3"/>
        <v>30285.97923651055</v>
      </c>
      <c r="AB7" s="33">
        <f t="shared" si="3"/>
        <v>30285.97923651055</v>
      </c>
      <c r="AC7" s="33">
        <f t="shared" si="3"/>
        <v>30285.97923651055</v>
      </c>
      <c r="AD7" s="33">
        <f t="shared" si="3"/>
        <v>30285.97923651055</v>
      </c>
      <c r="AE7" s="33">
        <f t="shared" si="3"/>
        <v>30285.97923651055</v>
      </c>
      <c r="AF7" s="33">
        <f t="shared" si="3"/>
        <v>30285.97923651055</v>
      </c>
      <c r="AG7" s="33">
        <f t="shared" si="3"/>
        <v>30285.97923651055</v>
      </c>
      <c r="AH7" s="33">
        <f t="shared" si="3"/>
        <v>30285.97923651055</v>
      </c>
      <c r="AI7" s="33">
        <f t="shared" si="3"/>
        <v>30285.97923651055</v>
      </c>
      <c r="AJ7" s="33">
        <f t="shared" si="3"/>
        <v>30285.97923651055</v>
      </c>
      <c r="AK7" s="33">
        <f t="shared" si="3"/>
        <v>30285.97923651055</v>
      </c>
      <c r="AL7" s="33">
        <f t="shared" si="3"/>
        <v>30285.97923651055</v>
      </c>
      <c r="AM7" s="33">
        <f t="shared" si="3"/>
        <v>30285.97923651055</v>
      </c>
      <c r="AN7" s="33">
        <f t="shared" si="3"/>
        <v>30285.97923651055</v>
      </c>
      <c r="AO7" s="33">
        <f t="shared" si="3"/>
        <v>30285.97923651055</v>
      </c>
      <c r="AP7" s="33">
        <f t="shared" si="3"/>
        <v>30285.97923651055</v>
      </c>
      <c r="AQ7" s="33">
        <f t="shared" si="3"/>
        <v>30285.97923651055</v>
      </c>
      <c r="AR7" s="33">
        <f t="shared" si="3"/>
        <v>30285.97923651055</v>
      </c>
    </row>
    <row r="8" spans="1:44" s="15" customFormat="1" x14ac:dyDescent="0.15">
      <c r="A8" s="37" t="s">
        <v>889</v>
      </c>
      <c r="B8" s="33"/>
      <c r="C8" s="33">
        <f t="shared" ref="C8:AR8" si="4">IF(C4-B4+B5&gt;0,C4-B4+B5,0)</f>
        <v>93202.910925193806</v>
      </c>
      <c r="D8" s="33">
        <f t="shared" si="4"/>
        <v>116452.19647970574</v>
      </c>
      <c r="E8" s="33">
        <f t="shared" si="4"/>
        <v>68759.829466771451</v>
      </c>
      <c r="F8" s="33">
        <f t="shared" si="4"/>
        <v>67360.612113067997</v>
      </c>
      <c r="G8" s="33">
        <f t="shared" si="4"/>
        <v>65942.560743488488</v>
      </c>
      <c r="H8" s="33">
        <f t="shared" si="4"/>
        <v>64508.368350585573</v>
      </c>
      <c r="I8" s="33">
        <f t="shared" si="4"/>
        <v>63061.084032021114</v>
      </c>
      <c r="J8" s="33">
        <f t="shared" si="4"/>
        <v>61603.547782615875</v>
      </c>
      <c r="K8" s="33">
        <f t="shared" si="4"/>
        <v>60139.112227027887</v>
      </c>
      <c r="L8" s="33">
        <f t="shared" si="4"/>
        <v>58670.928292348166</v>
      </c>
      <c r="M8" s="33">
        <f t="shared" si="4"/>
        <v>57202.481268571806</v>
      </c>
      <c r="N8" s="33">
        <f t="shared" si="4"/>
        <v>55737.351276581758</v>
      </c>
      <c r="O8" s="33">
        <f t="shared" si="4"/>
        <v>54279.180284914211</v>
      </c>
      <c r="P8" s="33">
        <f t="shared" si="4"/>
        <v>52831.97096592153</v>
      </c>
      <c r="Q8" s="33">
        <f t="shared" si="4"/>
        <v>51399.58888172789</v>
      </c>
      <c r="R8" s="33">
        <f t="shared" si="4"/>
        <v>49986.303125154343</v>
      </c>
      <c r="S8" s="33">
        <f t="shared" si="4"/>
        <v>48596.387485379004</v>
      </c>
      <c r="T8" s="33">
        <f t="shared" si="4"/>
        <v>47234.344935460133</v>
      </c>
      <c r="U8" s="33">
        <f t="shared" si="4"/>
        <v>45904.902289508493</v>
      </c>
      <c r="V8" s="33">
        <f t="shared" si="4"/>
        <v>44612.758652676945</v>
      </c>
      <c r="W8" s="33">
        <f t="shared" si="4"/>
        <v>43362.993799976655</v>
      </c>
      <c r="X8" s="33">
        <f t="shared" si="4"/>
        <v>42160.801755500608</v>
      </c>
      <c r="Y8" s="33">
        <f t="shared" si="4"/>
        <v>41011.576520261471</v>
      </c>
      <c r="Z8" s="33">
        <f t="shared" si="4"/>
        <v>39920.788833997794</v>
      </c>
      <c r="AA8" s="33">
        <f t="shared" si="4"/>
        <v>38894.189968810068</v>
      </c>
      <c r="AB8" s="33">
        <f t="shared" si="4"/>
        <v>37937.84816594806</v>
      </c>
      <c r="AC8" s="33">
        <f t="shared" si="4"/>
        <v>37057.797004548949</v>
      </c>
      <c r="AD8" s="33">
        <f t="shared" si="4"/>
        <v>36260.337941664853</v>
      </c>
      <c r="AE8" s="33">
        <f t="shared" si="4"/>
        <v>35552.238422359922</v>
      </c>
      <c r="AF8" s="33">
        <f t="shared" si="4"/>
        <v>34940.099110729643</v>
      </c>
      <c r="AG8" s="33">
        <f t="shared" si="4"/>
        <v>34430.947048355942</v>
      </c>
      <c r="AH8" s="33">
        <f t="shared" si="4"/>
        <v>34032.122589855106</v>
      </c>
      <c r="AI8" s="33">
        <f t="shared" si="4"/>
        <v>33750.892912689713</v>
      </c>
      <c r="AJ8" s="33">
        <f t="shared" si="4"/>
        <v>33595.185140925576</v>
      </c>
      <c r="AK8" s="33">
        <f t="shared" si="4"/>
        <v>33572.675419580773</v>
      </c>
      <c r="AL8" s="33">
        <f t="shared" si="4"/>
        <v>33691.771543284063</v>
      </c>
      <c r="AM8" s="33">
        <f t="shared" si="4"/>
        <v>33960.829839663696</v>
      </c>
      <c r="AN8" s="33">
        <f t="shared" si="4"/>
        <v>34388.525194444344</v>
      </c>
      <c r="AO8" s="33">
        <f t="shared" si="4"/>
        <v>34983.811321187415</v>
      </c>
      <c r="AP8" s="33">
        <f t="shared" si="4"/>
        <v>35755.927429441479</v>
      </c>
      <c r="AQ8" s="33">
        <f t="shared" si="4"/>
        <v>36714.494868611568</v>
      </c>
      <c r="AR8" s="33">
        <f t="shared" si="4"/>
        <v>37869.144373603282</v>
      </c>
    </row>
    <row r="9" spans="1:44" s="15" customFormat="1" x14ac:dyDescent="0.15">
      <c r="A9" s="37" t="s">
        <v>832</v>
      </c>
      <c r="B9" s="33">
        <v>0</v>
      </c>
      <c r="C9" s="33">
        <f>SUM($C8:C8)</f>
        <v>93202.910925193806</v>
      </c>
      <c r="D9" s="33">
        <f>SUM($C8:D8)</f>
        <v>209655.10740489955</v>
      </c>
      <c r="E9" s="33">
        <f>SUM($C8:E8)</f>
        <v>278414.936871671</v>
      </c>
      <c r="F9" s="33">
        <f>SUM($C8:F8)</f>
        <v>345775.548984739</v>
      </c>
      <c r="G9" s="33">
        <f>SUM($C8:G8)</f>
        <v>411718.10972822749</v>
      </c>
      <c r="H9" s="33">
        <f>SUM($C8:H8)</f>
        <v>476226.47807881306</v>
      </c>
      <c r="I9" s="33">
        <f>SUM($C8:I8)</f>
        <v>539287.56211083417</v>
      </c>
      <c r="J9" s="33">
        <f>SUM($C8:J8)</f>
        <v>600891.10989345005</v>
      </c>
      <c r="K9" s="33">
        <f>SUM($C8:K8)</f>
        <v>661030.22212047793</v>
      </c>
      <c r="L9" s="33">
        <f>SUM($C8:L8)</f>
        <v>719701.1504128261</v>
      </c>
      <c r="M9" s="33">
        <f>SUM($C8:M8)</f>
        <v>776903.63168139791</v>
      </c>
      <c r="N9" s="33">
        <f>SUM($C8:N8)</f>
        <v>832640.98295797966</v>
      </c>
      <c r="O9" s="33">
        <f>SUM($C8:O8)</f>
        <v>886920.16324289388</v>
      </c>
      <c r="P9" s="33">
        <f>SUM($C8:P8)</f>
        <v>939752.13420881541</v>
      </c>
      <c r="Q9" s="33">
        <f>SUM($C8:Q8)</f>
        <v>991151.7230905433</v>
      </c>
      <c r="R9" s="33">
        <f>SUM($C8:R8)</f>
        <v>1041138.0262156976</v>
      </c>
      <c r="S9" s="33">
        <f>SUM($C8:S8)</f>
        <v>1089734.4137010765</v>
      </c>
      <c r="T9" s="33">
        <f>SUM($C8:T8)</f>
        <v>1136968.7586365365</v>
      </c>
      <c r="U9" s="33">
        <f>SUM($C8:U8)</f>
        <v>1182873.6609260449</v>
      </c>
      <c r="V9" s="33">
        <f>SUM($C8:V8)</f>
        <v>1227486.4195787217</v>
      </c>
      <c r="W9" s="33">
        <f>SUM($C8:W8)</f>
        <v>1270849.4133786983</v>
      </c>
      <c r="X9" s="33">
        <f>SUM($C8:X8)</f>
        <v>1313010.2151341988</v>
      </c>
      <c r="Y9" s="33">
        <f>SUM($C8:Y8)</f>
        <v>1354021.7916544601</v>
      </c>
      <c r="Z9" s="33">
        <f>SUM($C8:Z8)</f>
        <v>1393942.5804884578</v>
      </c>
      <c r="AA9" s="33">
        <f>SUM($C8:AA8)</f>
        <v>1432836.7704572678</v>
      </c>
      <c r="AB9" s="33">
        <f>SUM($C8:AB8)</f>
        <v>1470774.6186232157</v>
      </c>
      <c r="AC9" s="33">
        <f>SUM($C8:AC8)</f>
        <v>1507832.4156277645</v>
      </c>
      <c r="AD9" s="33">
        <f>SUM($C8:AD8)</f>
        <v>1544092.7535694293</v>
      </c>
      <c r="AE9" s="33">
        <f>SUM($C8:AE8)</f>
        <v>1579644.9919917891</v>
      </c>
      <c r="AF9" s="33">
        <f>SUM($C8:AF8)</f>
        <v>1614585.0911025186</v>
      </c>
      <c r="AG9" s="33">
        <f>SUM($C8:AG8)</f>
        <v>1649016.0381508744</v>
      </c>
      <c r="AH9" s="33">
        <f>SUM($C8:AH8)</f>
        <v>1683048.1607407294</v>
      </c>
      <c r="AI9" s="33">
        <f>SUM($C8:AI8)</f>
        <v>1716799.053653419</v>
      </c>
      <c r="AJ9" s="33">
        <f>SUM($C8:AJ8)</f>
        <v>1750394.2387943445</v>
      </c>
      <c r="AK9" s="33">
        <f>SUM($C8:AK8)</f>
        <v>1783966.9142139251</v>
      </c>
      <c r="AL9" s="33">
        <f>SUM($C8:AL8)</f>
        <v>1817658.6857572091</v>
      </c>
      <c r="AM9" s="33">
        <f>SUM($C8:AM8)</f>
        <v>1851619.5155968727</v>
      </c>
      <c r="AN9" s="33">
        <f>SUM($C8:AN8)</f>
        <v>1886008.0407913169</v>
      </c>
      <c r="AO9" s="33">
        <f>SUM($C8:AO8)</f>
        <v>1920991.8521125042</v>
      </c>
      <c r="AP9" s="33">
        <f>SUM($C8:AP8)</f>
        <v>1956747.7795419456</v>
      </c>
      <c r="AQ9" s="33">
        <f>SUM($C8:AQ8)</f>
        <v>1993462.274410557</v>
      </c>
      <c r="AR9" s="33">
        <f>SUM($C8:AR8)</f>
        <v>2031331.4187841602</v>
      </c>
    </row>
    <row r="10" spans="1:44" s="15" customFormat="1" x14ac:dyDescent="0.15">
      <c r="A10" s="37" t="s">
        <v>833</v>
      </c>
      <c r="B10" s="33">
        <f>$B4-SUM(A5:$B5)-SUM(A6:$B6)-SUM(A7:$B7)</f>
        <v>2935395.0127258613</v>
      </c>
      <c r="C10" s="33">
        <f>$B4-SUM($B5:B5)-SUM($B6:B6)-SUM($B7:B7)</f>
        <v>2935395.0127258613</v>
      </c>
      <c r="D10" s="33">
        <f>$B4-SUM($B5:C5)-SUM($B6:C6)-SUM($B7:C7)</f>
        <v>2914404.6767500797</v>
      </c>
      <c r="E10" s="33">
        <f>$B4-SUM($B5:D5)-SUM($B6:D6)-SUM($B7:D7)</f>
        <v>2863128.3615377871</v>
      </c>
      <c r="F10" s="33">
        <f>$B4-SUM($B5:E5)-SUM($B6:E6)-SUM($B7:E7)</f>
        <v>2811852.046325495</v>
      </c>
      <c r="G10" s="33">
        <f>$B4-SUM($B5:F5)-SUM($B6:F6)-SUM($B7:F7)</f>
        <v>2760575.7311132029</v>
      </c>
      <c r="H10" s="33">
        <f>$B4-SUM($B5:G5)-SUM($B6:G6)-SUM($B7:G7)</f>
        <v>2709299.4159009107</v>
      </c>
      <c r="I10" s="33">
        <f>$B4-SUM($B5:H5)-SUM($B6:H6)-SUM($B7:H7)</f>
        <v>2658023.1006886181</v>
      </c>
      <c r="J10" s="33">
        <f>$B4-SUM($B5:I5)-SUM($B6:I6)-SUM($B7:I7)</f>
        <v>2606746.785476326</v>
      </c>
      <c r="K10" s="33">
        <f>$B4-SUM($B5:J5)-SUM($B6:J6)-SUM($B7:J7)</f>
        <v>2555470.4702640343</v>
      </c>
      <c r="L10" s="33">
        <f>$B4-SUM($B5:K5)-SUM($B6:K6)-SUM($B7:K7)</f>
        <v>2504194.1550517422</v>
      </c>
      <c r="M10" s="33">
        <f>$B4-SUM($B5:L5)-SUM($B6:L6)-SUM($B7:L7)</f>
        <v>2452917.8398394496</v>
      </c>
      <c r="N10" s="33">
        <f>$B4-SUM($B5:M5)-SUM($B6:M6)-SUM($B7:M7)</f>
        <v>2401641.5246271575</v>
      </c>
      <c r="O10" s="33">
        <f>$B4-SUM($B5:N5)-SUM($B6:N6)-SUM($B7:N7)</f>
        <v>2350365.2094148654</v>
      </c>
      <c r="P10" s="33">
        <f>$B4-SUM($B5:O5)-SUM($B6:O6)-SUM($B7:O7)</f>
        <v>2299088.8942025732</v>
      </c>
      <c r="Q10" s="33">
        <f>$B4-SUM($B5:P5)-SUM($B6:P6)-SUM($B7:P7)</f>
        <v>2247812.5789902806</v>
      </c>
      <c r="R10" s="33">
        <f>$B4-SUM($B5:Q5)-SUM($B6:Q6)-SUM($B7:Q7)</f>
        <v>2196536.2637779885</v>
      </c>
      <c r="S10" s="33">
        <f>$B4-SUM($B5:R5)-SUM($B6:R6)-SUM($B7:R7)</f>
        <v>2145259.9485656964</v>
      </c>
      <c r="T10" s="33">
        <f>$B4-SUM($B5:S5)-SUM($B6:S6)-SUM($B7:S7)</f>
        <v>2093983.6333534045</v>
      </c>
      <c r="U10" s="33">
        <f>$B4-SUM($B5:T5)-SUM($B6:T6)-SUM($B7:T7)</f>
        <v>2042707.3181411119</v>
      </c>
      <c r="V10" s="33">
        <f>$B4-SUM($B5:U5)-SUM($B6:U6)-SUM($B7:U7)</f>
        <v>1991431.00292882</v>
      </c>
      <c r="W10" s="33">
        <f>$B4-SUM($B5:V5)-SUM($B6:V6)-SUM($B7:V7)</f>
        <v>1940154.6877165278</v>
      </c>
      <c r="X10" s="33">
        <f>$B4-SUM($B5:W5)-SUM($B6:W6)-SUM($B7:W7)</f>
        <v>1888878.3725042357</v>
      </c>
      <c r="Y10" s="33">
        <f>$B4-SUM($B5:X5)-SUM($B6:X6)-SUM($B7:X7)</f>
        <v>1837602.0572919431</v>
      </c>
      <c r="Z10" s="33">
        <f>$B4-SUM($B5:Y5)-SUM($B6:Y6)-SUM($B7:Y7)</f>
        <v>1786325.742079651</v>
      </c>
      <c r="AA10" s="33">
        <f>$B4-SUM($B5:Z5)-SUM($B6:Z6)-SUM($B7:Z7)</f>
        <v>1735049.4268673589</v>
      </c>
      <c r="AB10" s="33">
        <f>$B4-SUM($B5:AA5)-SUM($B6:AA6)-SUM($B7:AA7)</f>
        <v>1683773.1116550667</v>
      </c>
      <c r="AC10" s="33">
        <f>$B4-SUM($B5:AB5)-SUM($B6:AB6)-SUM($B7:AB7)</f>
        <v>1632496.7964427741</v>
      </c>
      <c r="AD10" s="33">
        <f>$B4-SUM($B5:AC5)-SUM($B6:AC6)-SUM($B7:AC7)</f>
        <v>1581220.481230482</v>
      </c>
      <c r="AE10" s="33">
        <f>$B4-SUM($B5:AD5)-SUM($B6:AD6)-SUM($B7:AD7)</f>
        <v>1529944.1660181899</v>
      </c>
      <c r="AF10" s="33">
        <f>$B4-SUM($B5:AE5)-SUM($B6:AE6)-SUM($B7:AE7)</f>
        <v>1478667.8508058977</v>
      </c>
      <c r="AG10" s="33">
        <f>$B4-SUM($B5:AF5)-SUM($B6:AF6)-SUM($B7:AF7)</f>
        <v>1427391.5355936056</v>
      </c>
      <c r="AH10" s="33">
        <f>$B4-SUM($B5:AG5)-SUM($B6:AG6)-SUM($B7:AG7)</f>
        <v>1376115.220381313</v>
      </c>
      <c r="AI10" s="33">
        <f>$B4-SUM($B5:AH5)-SUM($B6:AH6)-SUM($B7:AH7)</f>
        <v>1324838.9051690209</v>
      </c>
      <c r="AJ10" s="33">
        <f>$B4-SUM($B5:AI5)-SUM($B6:AI6)-SUM($B7:AI7)</f>
        <v>1273562.5899567287</v>
      </c>
      <c r="AK10" s="33">
        <f>$B4-SUM($B5:AJ5)-SUM($B6:AJ6)-SUM($B7:AJ7)</f>
        <v>1222286.2747444361</v>
      </c>
      <c r="AL10" s="33">
        <f>$B4-SUM($B5:AK5)-SUM($B6:AK6)-SUM($B7:AK7)</f>
        <v>1171009.959532144</v>
      </c>
      <c r="AM10" s="33">
        <f>$B4-SUM($B5:AL5)-SUM($B6:AL6)-SUM($B7:AL7)</f>
        <v>1119733.6443198519</v>
      </c>
      <c r="AN10" s="33">
        <f>$B4-SUM($B5:AM5)-SUM($B6:AM6)-SUM($B7:AM7)</f>
        <v>1068457.3291075598</v>
      </c>
      <c r="AO10" s="33">
        <f>$B4-SUM($B5:AN5)-SUM($B6:AN6)-SUM($B7:AN7)</f>
        <v>1017181.0138952676</v>
      </c>
      <c r="AP10" s="33">
        <f>$B4-SUM($B5:AO5)-SUM($B6:AO6)-SUM($B7:AO7)</f>
        <v>965904.69868297502</v>
      </c>
      <c r="AQ10" s="33">
        <f>$B4-SUM($B5:AP5)-SUM($B6:AP6)-SUM($B7:AP7)</f>
        <v>914628.38347068289</v>
      </c>
      <c r="AR10" s="33">
        <f>$B4-SUM($B5:AQ5)-SUM($B6:AQ6)-SUM($B7:AQ7)</f>
        <v>863352.06825839076</v>
      </c>
    </row>
    <row r="11" spans="1:44" s="15" customFormat="1" x14ac:dyDescent="0.1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</row>
    <row r="12" spans="1:44" s="19" customFormat="1" x14ac:dyDescent="0.15">
      <c r="A12" s="37"/>
      <c r="B12" s="35">
        <v>2018</v>
      </c>
      <c r="C12" s="35">
        <v>2019</v>
      </c>
      <c r="D12" s="35">
        <v>2020</v>
      </c>
      <c r="E12" s="35">
        <v>2021</v>
      </c>
      <c r="F12" s="35">
        <v>2022</v>
      </c>
      <c r="G12" s="35">
        <v>2023</v>
      </c>
      <c r="H12" s="35">
        <v>2024</v>
      </c>
      <c r="I12" s="35">
        <v>2025</v>
      </c>
      <c r="J12" s="35">
        <v>2026</v>
      </c>
      <c r="K12" s="35">
        <v>2027</v>
      </c>
      <c r="L12" s="35">
        <v>2028</v>
      </c>
      <c r="M12" s="35">
        <v>2029</v>
      </c>
      <c r="N12" s="35">
        <v>2030</v>
      </c>
      <c r="O12" s="35">
        <v>2031</v>
      </c>
      <c r="P12" s="35">
        <v>2032</v>
      </c>
      <c r="Q12" s="35">
        <v>2033</v>
      </c>
      <c r="R12" s="35">
        <v>2034</v>
      </c>
      <c r="S12" s="35">
        <v>2035</v>
      </c>
      <c r="T12" s="35">
        <v>2036</v>
      </c>
      <c r="U12" s="35">
        <v>2037</v>
      </c>
      <c r="V12" s="35">
        <v>2038</v>
      </c>
      <c r="W12" s="35">
        <v>2039</v>
      </c>
      <c r="X12" s="35">
        <v>2040</v>
      </c>
      <c r="Y12" s="35">
        <v>2041</v>
      </c>
      <c r="Z12" s="35">
        <v>2042</v>
      </c>
      <c r="AA12" s="35">
        <v>2043</v>
      </c>
      <c r="AB12" s="35">
        <v>2044</v>
      </c>
      <c r="AC12" s="35">
        <v>2045</v>
      </c>
      <c r="AD12" s="35">
        <v>2046</v>
      </c>
      <c r="AE12" s="35">
        <v>2047</v>
      </c>
      <c r="AF12" s="35">
        <v>2048</v>
      </c>
      <c r="AG12" s="35">
        <v>2049</v>
      </c>
      <c r="AH12" s="35">
        <v>2050</v>
      </c>
      <c r="AI12" s="35">
        <v>2051</v>
      </c>
      <c r="AJ12" s="35">
        <v>2052</v>
      </c>
      <c r="AK12" s="35">
        <v>2053</v>
      </c>
      <c r="AL12" s="35">
        <v>2054</v>
      </c>
      <c r="AM12" s="35">
        <v>2055</v>
      </c>
      <c r="AN12" s="35">
        <v>2056</v>
      </c>
      <c r="AO12" s="35">
        <v>2057</v>
      </c>
      <c r="AP12" s="35">
        <v>2058</v>
      </c>
      <c r="AQ12" s="35">
        <v>2059</v>
      </c>
      <c r="AR12" s="35">
        <v>2060</v>
      </c>
    </row>
    <row r="13" spans="1:44" s="15" customFormat="1" x14ac:dyDescent="0.15">
      <c r="A13" s="37" t="s">
        <v>830</v>
      </c>
      <c r="B13" s="33">
        <f>D50*人口变化预测!D5/10000</f>
        <v>2074346.5500092865</v>
      </c>
      <c r="C13" s="33">
        <f>E50*人口变化预测!E5/10000</f>
        <v>2012020.4820853905</v>
      </c>
      <c r="D13" s="33">
        <f>F50*人口变化预测!F5/10000</f>
        <v>1961282.7653210347</v>
      </c>
      <c r="E13" s="33">
        <f>G50*人口变化预测!G5/10000</f>
        <v>1960372.2209433629</v>
      </c>
      <c r="F13" s="33">
        <f>H50*人口变化预测!H5/10000</f>
        <v>1957855.3947404884</v>
      </c>
      <c r="G13" s="33">
        <f>I50*人口变化预测!I5/10000</f>
        <v>1953768.2691326244</v>
      </c>
      <c r="H13" s="33">
        <f>J50*人口变化预测!J5/10000</f>
        <v>1948148.6290111465</v>
      </c>
      <c r="I13" s="33">
        <f>K50*人口变化预测!K5/10000</f>
        <v>1941036.1343863914</v>
      </c>
      <c r="J13" s="33">
        <f>L50*人口变化预测!L5/10000</f>
        <v>1932472.0527688125</v>
      </c>
      <c r="K13" s="33">
        <f>M50*人口变化预测!M5/10000</f>
        <v>1922499.4105572768</v>
      </c>
      <c r="L13" s="33">
        <f>N50*人口变化预测!N5/10000</f>
        <v>1911162.724044136</v>
      </c>
      <c r="M13" s="33">
        <f>O50*人口变化预测!O5/10000</f>
        <v>1898508.0349296422</v>
      </c>
      <c r="N13" s="33">
        <f>P50*人口变化预测!P5/10000</f>
        <v>1884582.8021016396</v>
      </c>
      <c r="O13" s="33">
        <f>Q50*人口变化预测!Q5/10000</f>
        <v>1869435.7736014202</v>
      </c>
      <c r="P13" s="33">
        <f>R50*人口变化预测!R5/10000</f>
        <v>1853117.0116657696</v>
      </c>
      <c r="Q13" s="33">
        <f>S50*人口变化预测!S5/10000</f>
        <v>1835677.6492483597</v>
      </c>
      <c r="R13" s="33">
        <f>T50*人口变化预测!T5/10000</f>
        <v>1817169.9252790704</v>
      </c>
      <c r="S13" s="33">
        <f>U50*人口变化预测!U5/10000</f>
        <v>1797647.0066251992</v>
      </c>
      <c r="T13" s="33">
        <f>V50*人口变化预测!V5/10000</f>
        <v>1777162.9202840691</v>
      </c>
      <c r="U13" s="33">
        <f>W50*人口变化预测!W5/10000</f>
        <v>1755772.4738951046</v>
      </c>
      <c r="V13" s="33">
        <f>X50*人口变化预测!X5/10000</f>
        <v>1733531.0517118198</v>
      </c>
      <c r="W13" s="33">
        <f>Y50*人口变化预测!Y5/10000</f>
        <v>1710494.5998467624</v>
      </c>
      <c r="X13" s="33">
        <f>Z50*人口变化预测!Z5/10000</f>
        <v>1686719.4767595609</v>
      </c>
      <c r="Y13" s="33">
        <f>AA50*人口变化预测!AA5/10000</f>
        <v>1662262.3385054227</v>
      </c>
      <c r="Z13" s="33">
        <f>AB50*人口变化预测!AB5/10000</f>
        <v>1637179.964678423</v>
      </c>
      <c r="AA13" s="33">
        <f>AC50*人口变化预测!AC5/10000</f>
        <v>1611529.1690095528</v>
      </c>
      <c r="AB13" s="33">
        <f>AD50*人口变化预测!AD5/10000</f>
        <v>1585366.7140785349</v>
      </c>
      <c r="AC13" s="33">
        <f>AE50*人口变化预测!AE5/10000</f>
        <v>1558749.0729988024</v>
      </c>
      <c r="AD13" s="33">
        <f>AF50*人口变化预测!AF5/10000</f>
        <v>1531732.3152695801</v>
      </c>
      <c r="AE13" s="33">
        <f>AG50*人口变化预测!AG5/10000</f>
        <v>1504372.0588772302</v>
      </c>
      <c r="AF13" s="33">
        <f>AH50*人口变化预测!AH5/10000</f>
        <v>1476723.1659339622</v>
      </c>
      <c r="AG13" s="33">
        <f>AI50*人口变化预测!AI5/10000</f>
        <v>1448839.6682588169</v>
      </c>
      <c r="AH13" s="33">
        <f>AJ50*人口变化预测!AJ5/10000</f>
        <v>1420774.6354254796</v>
      </c>
      <c r="AI13" s="33">
        <f>AK50*人口变化预测!AK5/10000</f>
        <v>1392579.8964930011</v>
      </c>
      <c r="AJ13" s="33">
        <f>AL50*人口变化预测!AL5/10000</f>
        <v>1364306.0203410836</v>
      </c>
      <c r="AK13" s="33">
        <f>AM50*人口变化预测!AM5/10000</f>
        <v>1336001.9643760824</v>
      </c>
      <c r="AL13" s="33">
        <f>AN50*人口变化预测!AN5/10000</f>
        <v>1307715.0600124905</v>
      </c>
      <c r="AM13" s="33">
        <f>AO50*人口变化预测!AO5/10000</f>
        <v>1279490.7188474091</v>
      </c>
      <c r="AN13" s="33">
        <f>AP50*人口变化预测!AP5/10000</f>
        <v>1251372.2607908307</v>
      </c>
      <c r="AO13" s="33">
        <f>AQ50*人口变化预测!AQ5/10000</f>
        <v>1223400.7199125863</v>
      </c>
      <c r="AP13" s="33">
        <f>AR50*人口变化预测!AR5/10000</f>
        <v>1195614.6440570445</v>
      </c>
      <c r="AQ13" s="33">
        <f>AS50*人口变化预测!AS5/10000</f>
        <v>1168049.9137499486</v>
      </c>
      <c r="AR13" s="33">
        <f>AT50*人口变化预测!AT5/10000</f>
        <v>1140739.4448922283</v>
      </c>
    </row>
    <row r="14" spans="1:44" s="15" customFormat="1" x14ac:dyDescent="0.15">
      <c r="A14" s="37" t="s">
        <v>957</v>
      </c>
      <c r="B14" s="33">
        <f>$B13*0.71%</f>
        <v>14727.860505065933</v>
      </c>
      <c r="C14" s="33">
        <f t="shared" ref="C14:AR14" si="5">$B13*0.71%</f>
        <v>14727.860505065933</v>
      </c>
      <c r="D14" s="33">
        <f t="shared" si="5"/>
        <v>14727.860505065933</v>
      </c>
      <c r="E14" s="33">
        <f t="shared" si="5"/>
        <v>14727.860505065933</v>
      </c>
      <c r="F14" s="33">
        <f t="shared" si="5"/>
        <v>14727.860505065933</v>
      </c>
      <c r="G14" s="33">
        <f t="shared" si="5"/>
        <v>14727.860505065933</v>
      </c>
      <c r="H14" s="33">
        <f t="shared" si="5"/>
        <v>14727.860505065933</v>
      </c>
      <c r="I14" s="33">
        <f t="shared" si="5"/>
        <v>14727.860505065933</v>
      </c>
      <c r="J14" s="33">
        <f t="shared" si="5"/>
        <v>14727.860505065933</v>
      </c>
      <c r="K14" s="33">
        <f t="shared" si="5"/>
        <v>14727.860505065933</v>
      </c>
      <c r="L14" s="33">
        <f t="shared" si="5"/>
        <v>14727.860505065933</v>
      </c>
      <c r="M14" s="33">
        <f t="shared" si="5"/>
        <v>14727.860505065933</v>
      </c>
      <c r="N14" s="33">
        <f t="shared" si="5"/>
        <v>14727.860505065933</v>
      </c>
      <c r="O14" s="33">
        <f t="shared" si="5"/>
        <v>14727.860505065933</v>
      </c>
      <c r="P14" s="33">
        <f t="shared" si="5"/>
        <v>14727.860505065933</v>
      </c>
      <c r="Q14" s="33">
        <f t="shared" si="5"/>
        <v>14727.860505065933</v>
      </c>
      <c r="R14" s="33">
        <f t="shared" si="5"/>
        <v>14727.860505065933</v>
      </c>
      <c r="S14" s="33">
        <f t="shared" si="5"/>
        <v>14727.860505065933</v>
      </c>
      <c r="T14" s="33">
        <f t="shared" si="5"/>
        <v>14727.860505065933</v>
      </c>
      <c r="U14" s="33">
        <f t="shared" si="5"/>
        <v>14727.860505065933</v>
      </c>
      <c r="V14" s="33">
        <f t="shared" si="5"/>
        <v>14727.860505065933</v>
      </c>
      <c r="W14" s="33">
        <f t="shared" si="5"/>
        <v>14727.860505065933</v>
      </c>
      <c r="X14" s="33">
        <f t="shared" si="5"/>
        <v>14727.860505065933</v>
      </c>
      <c r="Y14" s="33">
        <f t="shared" si="5"/>
        <v>14727.860505065933</v>
      </c>
      <c r="Z14" s="33">
        <f t="shared" si="5"/>
        <v>14727.860505065933</v>
      </c>
      <c r="AA14" s="33">
        <f t="shared" si="5"/>
        <v>14727.860505065933</v>
      </c>
      <c r="AB14" s="33">
        <f t="shared" si="5"/>
        <v>14727.860505065933</v>
      </c>
      <c r="AC14" s="33">
        <f t="shared" si="5"/>
        <v>14727.860505065933</v>
      </c>
      <c r="AD14" s="33">
        <f t="shared" si="5"/>
        <v>14727.860505065933</v>
      </c>
      <c r="AE14" s="33">
        <f t="shared" si="5"/>
        <v>14727.860505065933</v>
      </c>
      <c r="AF14" s="33">
        <f t="shared" si="5"/>
        <v>14727.860505065933</v>
      </c>
      <c r="AG14" s="33">
        <f t="shared" si="5"/>
        <v>14727.860505065933</v>
      </c>
      <c r="AH14" s="33">
        <f t="shared" si="5"/>
        <v>14727.860505065933</v>
      </c>
      <c r="AI14" s="33">
        <f t="shared" si="5"/>
        <v>14727.860505065933</v>
      </c>
      <c r="AJ14" s="33">
        <f t="shared" si="5"/>
        <v>14727.860505065933</v>
      </c>
      <c r="AK14" s="33">
        <f t="shared" si="5"/>
        <v>14727.860505065933</v>
      </c>
      <c r="AL14" s="33">
        <f t="shared" si="5"/>
        <v>14727.860505065933</v>
      </c>
      <c r="AM14" s="33">
        <f t="shared" si="5"/>
        <v>14727.860505065933</v>
      </c>
      <c r="AN14" s="33">
        <f t="shared" si="5"/>
        <v>14727.860505065933</v>
      </c>
      <c r="AO14" s="33">
        <f t="shared" si="5"/>
        <v>14727.860505065933</v>
      </c>
      <c r="AP14" s="33">
        <f t="shared" si="5"/>
        <v>14727.860505065933</v>
      </c>
      <c r="AQ14" s="33">
        <f t="shared" si="5"/>
        <v>14727.860505065933</v>
      </c>
      <c r="AR14" s="33">
        <f t="shared" si="5"/>
        <v>14727.860505065933</v>
      </c>
    </row>
    <row r="15" spans="1:44" s="15" customFormat="1" x14ac:dyDescent="0.15">
      <c r="A15" s="37" t="s">
        <v>963</v>
      </c>
      <c r="B15" s="33"/>
      <c r="C15" s="33">
        <f>IF(B13-C13-B14&gt;0,B13-C13-B14,0)</f>
        <v>47598.207418830083</v>
      </c>
      <c r="D15" s="33">
        <f>IF(C13-D13-C14&gt;0,C13-D13-C14,0)</f>
        <v>36009.856259289845</v>
      </c>
      <c r="E15" s="33">
        <f t="shared" ref="E15:AR15" si="6">IF(D13-E13-D14&gt;0,D13-E13-D14,0)</f>
        <v>0</v>
      </c>
      <c r="F15" s="33">
        <f t="shared" si="6"/>
        <v>0</v>
      </c>
      <c r="G15" s="33">
        <f t="shared" si="6"/>
        <v>0</v>
      </c>
      <c r="H15" s="33">
        <f t="shared" si="6"/>
        <v>0</v>
      </c>
      <c r="I15" s="33">
        <f t="shared" si="6"/>
        <v>0</v>
      </c>
      <c r="J15" s="33">
        <f t="shared" si="6"/>
        <v>0</v>
      </c>
      <c r="K15" s="33">
        <f t="shared" si="6"/>
        <v>0</v>
      </c>
      <c r="L15" s="33">
        <f t="shared" si="6"/>
        <v>0</v>
      </c>
      <c r="M15" s="33">
        <f t="shared" si="6"/>
        <v>0</v>
      </c>
      <c r="N15" s="33">
        <f t="shared" si="6"/>
        <v>0</v>
      </c>
      <c r="O15" s="33">
        <f t="shared" si="6"/>
        <v>419.1679951534079</v>
      </c>
      <c r="P15" s="33">
        <f t="shared" si="6"/>
        <v>1590.9014305846704</v>
      </c>
      <c r="Q15" s="33">
        <f t="shared" si="6"/>
        <v>2711.5019123439615</v>
      </c>
      <c r="R15" s="33">
        <f t="shared" si="6"/>
        <v>3779.863464223401</v>
      </c>
      <c r="S15" s="33">
        <f t="shared" si="6"/>
        <v>4795.0581488052321</v>
      </c>
      <c r="T15" s="33">
        <f t="shared" si="6"/>
        <v>5756.2258360641481</v>
      </c>
      <c r="U15" s="33">
        <f t="shared" si="6"/>
        <v>6662.5858838986078</v>
      </c>
      <c r="V15" s="33">
        <f t="shared" si="6"/>
        <v>7513.5616782188354</v>
      </c>
      <c r="W15" s="33">
        <f t="shared" si="6"/>
        <v>8308.5913599915275</v>
      </c>
      <c r="X15" s="33">
        <f t="shared" si="6"/>
        <v>9047.2625821355668</v>
      </c>
      <c r="Y15" s="33">
        <f t="shared" si="6"/>
        <v>9729.2777490722419</v>
      </c>
      <c r="Z15" s="33">
        <f t="shared" si="6"/>
        <v>10354.513321933749</v>
      </c>
      <c r="AA15" s="33">
        <f t="shared" si="6"/>
        <v>10922.935163804277</v>
      </c>
      <c r="AB15" s="33">
        <f t="shared" si="6"/>
        <v>11434.594425952009</v>
      </c>
      <c r="AC15" s="33">
        <f t="shared" si="6"/>
        <v>11889.780574666516</v>
      </c>
      <c r="AD15" s="33">
        <f t="shared" si="6"/>
        <v>12288.897224156366</v>
      </c>
      <c r="AE15" s="33">
        <f t="shared" si="6"/>
        <v>12632.395887284021</v>
      </c>
      <c r="AF15" s="33">
        <f t="shared" si="6"/>
        <v>12921.03243820201</v>
      </c>
      <c r="AG15" s="33">
        <f t="shared" si="6"/>
        <v>13155.637170079344</v>
      </c>
      <c r="AH15" s="33">
        <f t="shared" si="6"/>
        <v>13337.172328271385</v>
      </c>
      <c r="AI15" s="33">
        <f t="shared" si="6"/>
        <v>13466.878427412541</v>
      </c>
      <c r="AJ15" s="33">
        <f t="shared" si="6"/>
        <v>13546.015646851569</v>
      </c>
      <c r="AK15" s="33">
        <f t="shared" si="6"/>
        <v>13576.195459935296</v>
      </c>
      <c r="AL15" s="33">
        <f t="shared" si="6"/>
        <v>13559.043858525989</v>
      </c>
      <c r="AM15" s="33">
        <f t="shared" si="6"/>
        <v>13496.480660015432</v>
      </c>
      <c r="AN15" s="33">
        <f t="shared" si="6"/>
        <v>13390.597551512479</v>
      </c>
      <c r="AO15" s="33">
        <f t="shared" si="6"/>
        <v>13243.680373178509</v>
      </c>
      <c r="AP15" s="33">
        <f t="shared" si="6"/>
        <v>13058.215350475808</v>
      </c>
      <c r="AQ15" s="33">
        <f t="shared" si="6"/>
        <v>12836.869802029983</v>
      </c>
      <c r="AR15" s="33">
        <f t="shared" si="6"/>
        <v>12582.608352654328</v>
      </c>
    </row>
    <row r="16" spans="1:44" s="15" customFormat="1" x14ac:dyDescent="0.15">
      <c r="A16" s="37" t="s">
        <v>964</v>
      </c>
      <c r="B16" s="33"/>
      <c r="C16" s="33"/>
      <c r="D16" s="33">
        <f>$C$13*0.01</f>
        <v>20120.204820853905</v>
      </c>
      <c r="E16" s="33">
        <f t="shared" ref="E16:AR16" si="7">$C$13*0.01</f>
        <v>20120.204820853905</v>
      </c>
      <c r="F16" s="33">
        <f t="shared" si="7"/>
        <v>20120.204820853905</v>
      </c>
      <c r="G16" s="33">
        <f t="shared" si="7"/>
        <v>20120.204820853905</v>
      </c>
      <c r="H16" s="33">
        <f t="shared" si="7"/>
        <v>20120.204820853905</v>
      </c>
      <c r="I16" s="33">
        <f t="shared" si="7"/>
        <v>20120.204820853905</v>
      </c>
      <c r="J16" s="33">
        <f t="shared" si="7"/>
        <v>20120.204820853905</v>
      </c>
      <c r="K16" s="33">
        <f t="shared" si="7"/>
        <v>20120.204820853905</v>
      </c>
      <c r="L16" s="33">
        <f t="shared" si="7"/>
        <v>20120.204820853905</v>
      </c>
      <c r="M16" s="33">
        <f t="shared" si="7"/>
        <v>20120.204820853905</v>
      </c>
      <c r="N16" s="33">
        <f t="shared" si="7"/>
        <v>20120.204820853905</v>
      </c>
      <c r="O16" s="33">
        <f t="shared" si="7"/>
        <v>20120.204820853905</v>
      </c>
      <c r="P16" s="33">
        <f t="shared" si="7"/>
        <v>20120.204820853905</v>
      </c>
      <c r="Q16" s="33">
        <f t="shared" si="7"/>
        <v>20120.204820853905</v>
      </c>
      <c r="R16" s="33">
        <f t="shared" si="7"/>
        <v>20120.204820853905</v>
      </c>
      <c r="S16" s="33">
        <f t="shared" si="7"/>
        <v>20120.204820853905</v>
      </c>
      <c r="T16" s="33">
        <f t="shared" si="7"/>
        <v>20120.204820853905</v>
      </c>
      <c r="U16" s="33">
        <f t="shared" si="7"/>
        <v>20120.204820853905</v>
      </c>
      <c r="V16" s="33">
        <f t="shared" si="7"/>
        <v>20120.204820853905</v>
      </c>
      <c r="W16" s="33">
        <f t="shared" si="7"/>
        <v>20120.204820853905</v>
      </c>
      <c r="X16" s="33">
        <f t="shared" si="7"/>
        <v>20120.204820853905</v>
      </c>
      <c r="Y16" s="33">
        <f t="shared" si="7"/>
        <v>20120.204820853905</v>
      </c>
      <c r="Z16" s="33">
        <f t="shared" si="7"/>
        <v>20120.204820853905</v>
      </c>
      <c r="AA16" s="33">
        <f t="shared" si="7"/>
        <v>20120.204820853905</v>
      </c>
      <c r="AB16" s="33">
        <f t="shared" si="7"/>
        <v>20120.204820853905</v>
      </c>
      <c r="AC16" s="33">
        <f t="shared" si="7"/>
        <v>20120.204820853905</v>
      </c>
      <c r="AD16" s="33">
        <f t="shared" si="7"/>
        <v>20120.204820853905</v>
      </c>
      <c r="AE16" s="33">
        <f t="shared" si="7"/>
        <v>20120.204820853905</v>
      </c>
      <c r="AF16" s="33">
        <f t="shared" si="7"/>
        <v>20120.204820853905</v>
      </c>
      <c r="AG16" s="33">
        <f t="shared" si="7"/>
        <v>20120.204820853905</v>
      </c>
      <c r="AH16" s="33">
        <f t="shared" si="7"/>
        <v>20120.204820853905</v>
      </c>
      <c r="AI16" s="33">
        <f t="shared" si="7"/>
        <v>20120.204820853905</v>
      </c>
      <c r="AJ16" s="33">
        <f t="shared" si="7"/>
        <v>20120.204820853905</v>
      </c>
      <c r="AK16" s="33">
        <f t="shared" si="7"/>
        <v>20120.204820853905</v>
      </c>
      <c r="AL16" s="33">
        <f t="shared" si="7"/>
        <v>20120.204820853905</v>
      </c>
      <c r="AM16" s="33">
        <f t="shared" si="7"/>
        <v>20120.204820853905</v>
      </c>
      <c r="AN16" s="33">
        <f t="shared" si="7"/>
        <v>20120.204820853905</v>
      </c>
      <c r="AO16" s="33">
        <f t="shared" si="7"/>
        <v>20120.204820853905</v>
      </c>
      <c r="AP16" s="33">
        <f t="shared" si="7"/>
        <v>20120.204820853905</v>
      </c>
      <c r="AQ16" s="33">
        <f t="shared" si="7"/>
        <v>20120.204820853905</v>
      </c>
      <c r="AR16" s="33">
        <f t="shared" si="7"/>
        <v>20120.204820853905</v>
      </c>
    </row>
    <row r="17" spans="1:44" s="15" customFormat="1" x14ac:dyDescent="0.15">
      <c r="A17" s="37" t="s">
        <v>889</v>
      </c>
      <c r="B17" s="33"/>
      <c r="C17" s="33">
        <f t="shared" ref="C17:AR17" si="8">IF(C13-B13+B14&gt;0,C13-B13+B14,0)</f>
        <v>0</v>
      </c>
      <c r="D17" s="33">
        <f t="shared" si="8"/>
        <v>0</v>
      </c>
      <c r="E17" s="33">
        <f t="shared" si="8"/>
        <v>13817.316127394146</v>
      </c>
      <c r="F17" s="33">
        <f t="shared" si="8"/>
        <v>12211.034302191396</v>
      </c>
      <c r="G17" s="33">
        <f t="shared" si="8"/>
        <v>10640.734897201934</v>
      </c>
      <c r="H17" s="33">
        <f t="shared" si="8"/>
        <v>9108.2203835880446</v>
      </c>
      <c r="I17" s="33">
        <f t="shared" si="8"/>
        <v>7615.365880310821</v>
      </c>
      <c r="J17" s="33">
        <f t="shared" si="8"/>
        <v>6163.7788874870694</v>
      </c>
      <c r="K17" s="33">
        <f t="shared" si="8"/>
        <v>4755.2182935302208</v>
      </c>
      <c r="L17" s="33">
        <f t="shared" si="8"/>
        <v>3391.1739919251359</v>
      </c>
      <c r="M17" s="33">
        <f t="shared" si="8"/>
        <v>2073.1713905721499</v>
      </c>
      <c r="N17" s="33">
        <f t="shared" si="8"/>
        <v>802.62767706327759</v>
      </c>
      <c r="O17" s="33">
        <f t="shared" si="8"/>
        <v>0</v>
      </c>
      <c r="P17" s="33">
        <f t="shared" si="8"/>
        <v>0</v>
      </c>
      <c r="Q17" s="33">
        <f t="shared" si="8"/>
        <v>0</v>
      </c>
      <c r="R17" s="33">
        <f t="shared" si="8"/>
        <v>0</v>
      </c>
      <c r="S17" s="33">
        <f t="shared" si="8"/>
        <v>0</v>
      </c>
      <c r="T17" s="33">
        <f t="shared" si="8"/>
        <v>0</v>
      </c>
      <c r="U17" s="33">
        <f t="shared" si="8"/>
        <v>0</v>
      </c>
      <c r="V17" s="33">
        <f t="shared" si="8"/>
        <v>0</v>
      </c>
      <c r="W17" s="33">
        <f t="shared" si="8"/>
        <v>0</v>
      </c>
      <c r="X17" s="33">
        <f t="shared" si="8"/>
        <v>0</v>
      </c>
      <c r="Y17" s="33">
        <f t="shared" si="8"/>
        <v>0</v>
      </c>
      <c r="Z17" s="33">
        <f t="shared" si="8"/>
        <v>0</v>
      </c>
      <c r="AA17" s="33">
        <f t="shared" si="8"/>
        <v>0</v>
      </c>
      <c r="AB17" s="33">
        <f t="shared" si="8"/>
        <v>0</v>
      </c>
      <c r="AC17" s="33">
        <f t="shared" si="8"/>
        <v>0</v>
      </c>
      <c r="AD17" s="33">
        <f t="shared" si="8"/>
        <v>0</v>
      </c>
      <c r="AE17" s="33">
        <f t="shared" si="8"/>
        <v>0</v>
      </c>
      <c r="AF17" s="33">
        <f t="shared" si="8"/>
        <v>0</v>
      </c>
      <c r="AG17" s="33">
        <f t="shared" si="8"/>
        <v>0</v>
      </c>
      <c r="AH17" s="33">
        <f t="shared" si="8"/>
        <v>0</v>
      </c>
      <c r="AI17" s="33">
        <f t="shared" si="8"/>
        <v>0</v>
      </c>
      <c r="AJ17" s="33">
        <f t="shared" si="8"/>
        <v>0</v>
      </c>
      <c r="AK17" s="33">
        <f t="shared" si="8"/>
        <v>0</v>
      </c>
      <c r="AL17" s="33">
        <f t="shared" si="8"/>
        <v>0</v>
      </c>
      <c r="AM17" s="33">
        <f t="shared" si="8"/>
        <v>0</v>
      </c>
      <c r="AN17" s="33">
        <f t="shared" si="8"/>
        <v>0</v>
      </c>
      <c r="AO17" s="33">
        <f t="shared" si="8"/>
        <v>0</v>
      </c>
      <c r="AP17" s="33">
        <f t="shared" si="8"/>
        <v>0</v>
      </c>
      <c r="AQ17" s="33">
        <f t="shared" si="8"/>
        <v>0</v>
      </c>
      <c r="AR17" s="33">
        <f t="shared" si="8"/>
        <v>0</v>
      </c>
    </row>
    <row r="18" spans="1:44" s="15" customFormat="1" x14ac:dyDescent="0.15">
      <c r="A18" s="37" t="s">
        <v>832</v>
      </c>
      <c r="B18" s="33">
        <v>0</v>
      </c>
      <c r="C18" s="33">
        <f>SUM($C17:C17)</f>
        <v>0</v>
      </c>
      <c r="D18" s="33">
        <f>SUM($C17:D17)</f>
        <v>0</v>
      </c>
      <c r="E18" s="33">
        <f>SUM($C17:E17)</f>
        <v>13817.316127394146</v>
      </c>
      <c r="F18" s="33">
        <f>SUM($C17:F17)</f>
        <v>26028.350429585542</v>
      </c>
      <c r="G18" s="33">
        <f>SUM($C17:G17)</f>
        <v>36669.085326787477</v>
      </c>
      <c r="H18" s="33">
        <f>SUM($C17:H17)</f>
        <v>45777.30571037552</v>
      </c>
      <c r="I18" s="33">
        <f>SUM($C17:I17)</f>
        <v>53392.671590686339</v>
      </c>
      <c r="J18" s="33">
        <f>SUM($C17:J17)</f>
        <v>59556.450478173407</v>
      </c>
      <c r="K18" s="33">
        <f>SUM($C17:K17)</f>
        <v>64311.668771703626</v>
      </c>
      <c r="L18" s="33">
        <f>SUM($C17:L17)</f>
        <v>67702.842763628767</v>
      </c>
      <c r="M18" s="33">
        <f>SUM($C17:M17)</f>
        <v>69776.014154200922</v>
      </c>
      <c r="N18" s="33">
        <f>SUM($C17:N17)</f>
        <v>70578.641831264205</v>
      </c>
      <c r="O18" s="33">
        <f>SUM($C17:O17)</f>
        <v>70578.641831264205</v>
      </c>
      <c r="P18" s="33">
        <f>SUM($C17:P17)</f>
        <v>70578.641831264205</v>
      </c>
      <c r="Q18" s="33">
        <f>SUM($C17:Q17)</f>
        <v>70578.641831264205</v>
      </c>
      <c r="R18" s="33">
        <f>SUM($C17:R17)</f>
        <v>70578.641831264205</v>
      </c>
      <c r="S18" s="33">
        <f>SUM($C17:S17)</f>
        <v>70578.641831264205</v>
      </c>
      <c r="T18" s="33">
        <f>SUM($C17:T17)</f>
        <v>70578.641831264205</v>
      </c>
      <c r="U18" s="33">
        <f>SUM($C17:U17)</f>
        <v>70578.641831264205</v>
      </c>
      <c r="V18" s="33">
        <f>SUM($C17:V17)</f>
        <v>70578.641831264205</v>
      </c>
      <c r="W18" s="33">
        <f>SUM($C17:W17)</f>
        <v>70578.641831264205</v>
      </c>
      <c r="X18" s="33">
        <f>SUM($C17:X17)</f>
        <v>70578.641831264205</v>
      </c>
      <c r="Y18" s="33">
        <f>SUM($C17:Y17)</f>
        <v>70578.641831264205</v>
      </c>
      <c r="Z18" s="33">
        <f>SUM($C17:Z17)</f>
        <v>70578.641831264205</v>
      </c>
      <c r="AA18" s="33">
        <f>SUM($C17:AA17)</f>
        <v>70578.641831264205</v>
      </c>
      <c r="AB18" s="33">
        <f>SUM($C17:AB17)</f>
        <v>70578.641831264205</v>
      </c>
      <c r="AC18" s="33">
        <f>SUM($C17:AC17)</f>
        <v>70578.641831264205</v>
      </c>
      <c r="AD18" s="33">
        <f>SUM($C17:AD17)</f>
        <v>70578.641831264205</v>
      </c>
      <c r="AE18" s="33">
        <f>SUM($C17:AE17)</f>
        <v>70578.641831264205</v>
      </c>
      <c r="AF18" s="33">
        <f>SUM($C17:AF17)</f>
        <v>70578.641831264205</v>
      </c>
      <c r="AG18" s="33">
        <f>SUM($C17:AG17)</f>
        <v>70578.641831264205</v>
      </c>
      <c r="AH18" s="33">
        <f>SUM($C17:AH17)</f>
        <v>70578.641831264205</v>
      </c>
      <c r="AI18" s="33">
        <f>SUM($C17:AI17)</f>
        <v>70578.641831264205</v>
      </c>
      <c r="AJ18" s="33">
        <f>SUM($C17:AJ17)</f>
        <v>70578.641831264205</v>
      </c>
      <c r="AK18" s="33">
        <f>SUM($C17:AK17)</f>
        <v>70578.641831264205</v>
      </c>
      <c r="AL18" s="33">
        <f>SUM($C17:AL17)</f>
        <v>70578.641831264205</v>
      </c>
      <c r="AM18" s="33">
        <f>SUM($C17:AM17)</f>
        <v>70578.641831264205</v>
      </c>
      <c r="AN18" s="33">
        <f>SUM($C17:AN17)</f>
        <v>70578.641831264205</v>
      </c>
      <c r="AO18" s="33">
        <f>SUM($C17:AO17)</f>
        <v>70578.641831264205</v>
      </c>
      <c r="AP18" s="33">
        <f>SUM($C17:AP17)</f>
        <v>70578.641831264205</v>
      </c>
      <c r="AQ18" s="33">
        <f>SUM($C17:AQ17)</f>
        <v>70578.641831264205</v>
      </c>
      <c r="AR18" s="33">
        <f>SUM($C17:AR17)</f>
        <v>70578.641831264205</v>
      </c>
    </row>
    <row r="19" spans="1:44" s="15" customFormat="1" x14ac:dyDescent="0.15">
      <c r="A19" s="37" t="s">
        <v>833</v>
      </c>
      <c r="B19" s="33">
        <f>$B13-SUM(A14:$B14)-SUM(A15:$B15)-SUM(A16:$B16)</f>
        <v>2059618.6895042206</v>
      </c>
      <c r="C19" s="33">
        <f>$B13-SUM($B14:B14)-SUM($B15:B15)-SUM($B16:B16)</f>
        <v>2059618.6895042206</v>
      </c>
      <c r="D19" s="33">
        <f>$B13-SUM($B14:C14)-SUM($B15:C15)-SUM($B16:C16)</f>
        <v>1997292.6215803246</v>
      </c>
      <c r="E19" s="33">
        <f>$B13-SUM($B14:D14)-SUM($B15:D15)-SUM($B16:D16)</f>
        <v>1926434.6999951147</v>
      </c>
      <c r="F19" s="33">
        <f>$B13-SUM($B14:E14)-SUM($B15:E15)-SUM($B16:E16)</f>
        <v>1891586.6346691949</v>
      </c>
      <c r="G19" s="33">
        <f>$B13-SUM($B14:F14)-SUM($B15:F15)-SUM($B16:F16)</f>
        <v>1856738.5693432752</v>
      </c>
      <c r="H19" s="33">
        <f>$B13-SUM($B14:G14)-SUM($B15:G15)-SUM($B16:G16)</f>
        <v>1821890.5040173554</v>
      </c>
      <c r="I19" s="33">
        <f>$B13-SUM($B14:H14)-SUM($B15:H15)-SUM($B16:H16)</f>
        <v>1787042.4386914354</v>
      </c>
      <c r="J19" s="33">
        <f>$B13-SUM($B14:I14)-SUM($B15:I15)-SUM($B16:I16)</f>
        <v>1752194.3733655156</v>
      </c>
      <c r="K19" s="33">
        <f>$B13-SUM($B14:J14)-SUM($B15:J15)-SUM($B16:J16)</f>
        <v>1717346.3080395958</v>
      </c>
      <c r="L19" s="33">
        <f>$B13-SUM($B14:K14)-SUM($B15:K15)-SUM($B16:K16)</f>
        <v>1682498.2427136758</v>
      </c>
      <c r="M19" s="33">
        <f>$B13-SUM($B14:L14)-SUM($B15:L15)-SUM($B16:L16)</f>
        <v>1647650.1773877558</v>
      </c>
      <c r="N19" s="33">
        <f>$B13-SUM($B14:M14)-SUM($B15:M15)-SUM($B16:M16)</f>
        <v>1612802.1120618363</v>
      </c>
      <c r="O19" s="33">
        <f>$B13-SUM($B14:N14)-SUM($B15:N15)-SUM($B16:N16)</f>
        <v>1577954.0467359163</v>
      </c>
      <c r="P19" s="33">
        <f>$B13-SUM($B14:O14)-SUM($B15:O15)-SUM($B16:O16)</f>
        <v>1542686.8134148433</v>
      </c>
      <c r="Q19" s="33">
        <f>$B13-SUM($B14:P14)-SUM($B15:P15)-SUM($B16:P16)</f>
        <v>1506247.8466583388</v>
      </c>
      <c r="R19" s="33">
        <f>$B13-SUM($B14:Q14)-SUM($B15:Q15)-SUM($B16:Q16)</f>
        <v>1468688.279420075</v>
      </c>
      <c r="S19" s="33">
        <f>$B13-SUM($B14:R14)-SUM($B15:R15)-SUM($B16:R16)</f>
        <v>1430060.3506299318</v>
      </c>
      <c r="T19" s="33">
        <f>$B13-SUM($B14:S14)-SUM($B15:S15)-SUM($B16:S16)</f>
        <v>1390417.2271552067</v>
      </c>
      <c r="U19" s="33">
        <f>$B13-SUM($B14:T14)-SUM($B15:T15)-SUM($B16:T16)</f>
        <v>1349812.935993223</v>
      </c>
      <c r="V19" s="33">
        <f>$B13-SUM($B14:U14)-SUM($B15:U15)-SUM($B16:U16)</f>
        <v>1308302.2847834043</v>
      </c>
      <c r="W19" s="33">
        <f>$B13-SUM($B14:V14)-SUM($B15:V15)-SUM($B16:V16)</f>
        <v>1265940.6577792657</v>
      </c>
      <c r="X19" s="33">
        <f>$B13-SUM($B14:W14)-SUM($B15:W15)-SUM($B16:W16)</f>
        <v>1222784.0010933545</v>
      </c>
      <c r="Y19" s="33">
        <f>$B13-SUM($B14:X14)-SUM($B15:X15)-SUM($B16:X16)</f>
        <v>1178888.6731852987</v>
      </c>
      <c r="Z19" s="33">
        <f>$B13-SUM($B14:Y14)-SUM($B15:Y15)-SUM($B16:Y16)</f>
        <v>1134311.3301103069</v>
      </c>
      <c r="AA19" s="33">
        <f>$B13-SUM($B14:Z14)-SUM($B15:Z15)-SUM($B16:Z16)</f>
        <v>1089108.751462453</v>
      </c>
      <c r="AB19" s="33">
        <f>$B13-SUM($B14:AA14)-SUM($B15:AA15)-SUM($B16:AA16)</f>
        <v>1043337.7509727293</v>
      </c>
      <c r="AC19" s="33">
        <f>$B13-SUM($B14:AB14)-SUM($B15:AB15)-SUM($B16:AB16)</f>
        <v>997055.09122085746</v>
      </c>
      <c r="AD19" s="33">
        <f>$B13-SUM($B14:AC14)-SUM($B15:AC15)-SUM($B16:AC16)</f>
        <v>950317.24532027089</v>
      </c>
      <c r="AE19" s="33">
        <f>$B13-SUM($B14:AD14)-SUM($B15:AD15)-SUM($B16:AD16)</f>
        <v>903180.2827701947</v>
      </c>
      <c r="AF19" s="33">
        <f>$B13-SUM($B14:AE14)-SUM($B15:AE15)-SUM($B16:AE16)</f>
        <v>855699.82155699108</v>
      </c>
      <c r="AG19" s="33">
        <f>$B13-SUM($B14:AF14)-SUM($B15:AF15)-SUM($B16:AF16)</f>
        <v>807930.72379286902</v>
      </c>
      <c r="AH19" s="33">
        <f>$B13-SUM($B14:AG14)-SUM($B15:AG15)-SUM($B16:AG16)</f>
        <v>759927.02129686985</v>
      </c>
      <c r="AI19" s="33">
        <f>$B13-SUM($B14:AH14)-SUM($B15:AH15)-SUM($B16:AH16)</f>
        <v>711741.78364267864</v>
      </c>
      <c r="AJ19" s="33">
        <f>$B13-SUM($B14:AI14)-SUM($B15:AI15)-SUM($B16:AI16)</f>
        <v>663426.83988934651</v>
      </c>
      <c r="AK19" s="33">
        <f>$B13-SUM($B14:AJ14)-SUM($B15:AJ15)-SUM($B16:AJ16)</f>
        <v>615032.75891657511</v>
      </c>
      <c r="AL19" s="33">
        <f>$B13-SUM($B14:AK14)-SUM($B15:AK15)-SUM($B16:AK16)</f>
        <v>566608.49813071999</v>
      </c>
      <c r="AM19" s="33">
        <f>$B13-SUM($B14:AL14)-SUM($B15:AL15)-SUM($B16:AL16)</f>
        <v>518201.38894627418</v>
      </c>
      <c r="AN19" s="33">
        <f>$B13-SUM($B14:AM14)-SUM($B15:AM15)-SUM($B16:AM16)</f>
        <v>469856.84296033892</v>
      </c>
      <c r="AO19" s="33">
        <f>$B13-SUM($B14:AN14)-SUM($B15:AN15)-SUM($B16:AN16)</f>
        <v>421618.18008290685</v>
      </c>
      <c r="AP19" s="33">
        <f>$B13-SUM($B14:AO14)-SUM($B15:AO15)-SUM($B16:AO16)</f>
        <v>373526.43438380852</v>
      </c>
      <c r="AQ19" s="33">
        <f>$B13-SUM($B14:AP14)-SUM($B15:AP15)-SUM($B16:AP16)</f>
        <v>325620.15370741289</v>
      </c>
      <c r="AR19" s="33">
        <f>$B13-SUM($B14:AQ14)-SUM($B15:AQ15)-SUM($B16:AQ16)</f>
        <v>277935.21857946308</v>
      </c>
    </row>
    <row r="20" spans="1:44" s="15" customFormat="1" x14ac:dyDescent="0.15">
      <c r="A20" s="38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</row>
    <row r="21" spans="1:44" s="19" customFormat="1" x14ac:dyDescent="0.15">
      <c r="A21" s="37"/>
      <c r="B21" s="35">
        <v>2018</v>
      </c>
      <c r="C21" s="35">
        <v>2019</v>
      </c>
      <c r="D21" s="35">
        <v>2020</v>
      </c>
      <c r="E21" s="35">
        <v>2021</v>
      </c>
      <c r="F21" s="35">
        <v>2022</v>
      </c>
      <c r="G21" s="35">
        <v>2023</v>
      </c>
      <c r="H21" s="35">
        <v>2024</v>
      </c>
      <c r="I21" s="35">
        <v>2025</v>
      </c>
      <c r="J21" s="35">
        <v>2026</v>
      </c>
      <c r="K21" s="35">
        <v>2027</v>
      </c>
      <c r="L21" s="35">
        <v>2028</v>
      </c>
      <c r="M21" s="35">
        <v>2029</v>
      </c>
      <c r="N21" s="35">
        <v>2030</v>
      </c>
      <c r="O21" s="35">
        <v>2031</v>
      </c>
      <c r="P21" s="35">
        <v>2032</v>
      </c>
      <c r="Q21" s="35">
        <v>2033</v>
      </c>
      <c r="R21" s="35">
        <v>2034</v>
      </c>
      <c r="S21" s="35">
        <v>2035</v>
      </c>
      <c r="T21" s="35">
        <v>2036</v>
      </c>
      <c r="U21" s="35">
        <v>2037</v>
      </c>
      <c r="V21" s="35">
        <v>2038</v>
      </c>
      <c r="W21" s="35">
        <v>2039</v>
      </c>
      <c r="X21" s="35">
        <v>2040</v>
      </c>
      <c r="Y21" s="35">
        <v>2041</v>
      </c>
      <c r="Z21" s="35">
        <v>2042</v>
      </c>
      <c r="AA21" s="35">
        <v>2043</v>
      </c>
      <c r="AB21" s="35">
        <v>2044</v>
      </c>
      <c r="AC21" s="35">
        <v>2045</v>
      </c>
      <c r="AD21" s="35">
        <v>2046</v>
      </c>
      <c r="AE21" s="35">
        <v>2047</v>
      </c>
      <c r="AF21" s="35">
        <v>2048</v>
      </c>
      <c r="AG21" s="35">
        <v>2049</v>
      </c>
      <c r="AH21" s="35">
        <v>2050</v>
      </c>
      <c r="AI21" s="35">
        <v>2051</v>
      </c>
      <c r="AJ21" s="35">
        <v>2052</v>
      </c>
      <c r="AK21" s="35">
        <v>2053</v>
      </c>
      <c r="AL21" s="35">
        <v>2054</v>
      </c>
      <c r="AM21" s="35">
        <v>2055</v>
      </c>
      <c r="AN21" s="35">
        <v>2056</v>
      </c>
      <c r="AO21" s="35">
        <v>2057</v>
      </c>
      <c r="AP21" s="35">
        <v>2058</v>
      </c>
      <c r="AQ21" s="35">
        <v>2059</v>
      </c>
      <c r="AR21" s="35">
        <v>2060</v>
      </c>
    </row>
    <row r="22" spans="1:44" s="15" customFormat="1" x14ac:dyDescent="0.15">
      <c r="A22" s="37" t="s">
        <v>831</v>
      </c>
      <c r="B22" s="33">
        <f>D51*人口变化预测!D4/10000</f>
        <v>1219126.0735770576</v>
      </c>
      <c r="C22" s="33">
        <f>E51*人口变化预测!E4/10000</f>
        <v>1248904.4084614557</v>
      </c>
      <c r="D22" s="33">
        <f>F51*人口变化预测!F4/10000</f>
        <v>1288270.062611927</v>
      </c>
      <c r="E22" s="33">
        <f>G51*人口变化预测!G4/10000</f>
        <v>1307968.79202892</v>
      </c>
      <c r="F22" s="33">
        <f>H51*人口变化预测!H4/10000</f>
        <v>1327090.5255007627</v>
      </c>
      <c r="G22" s="33">
        <f>I51*人口变化预测!I4/10000</f>
        <v>1345627.4964351084</v>
      </c>
      <c r="H22" s="33">
        <f>J51*人口变化预测!J4/10000</f>
        <v>1363573.0487502669</v>
      </c>
      <c r="I22" s="33">
        <f>K51*人口变化预测!K4/10000</f>
        <v>1380921.7837224444</v>
      </c>
      <c r="J22" s="33">
        <f>L51*人口变化预测!L4/10000</f>
        <v>1397669.4737579005</v>
      </c>
      <c r="K22" s="33">
        <f>M51*人口变化预测!M4/10000</f>
        <v>1413813.2737863672</v>
      </c>
      <c r="L22" s="33">
        <f>N51*人口变化预测!N4/10000</f>
        <v>1429351.6380869239</v>
      </c>
      <c r="M22" s="33">
        <f>O51*人口变化预测!O4/10000</f>
        <v>1444284.4581693902</v>
      </c>
      <c r="N22" s="33">
        <f>P51*人口变化预测!P4/10000</f>
        <v>1458613.1018797879</v>
      </c>
      <c r="O22" s="33">
        <f>Q51*人口变化预测!Q4/10000</f>
        <v>1472340.4389044871</v>
      </c>
      <c r="P22" s="33">
        <f>R51*人口变化预测!R4/10000</f>
        <v>1485470.9895138154</v>
      </c>
      <c r="Q22" s="33">
        <f>S51*人口变化预测!S4/10000</f>
        <v>1498010.8680218451</v>
      </c>
      <c r="R22" s="33">
        <f>T51*人口变化预测!T4/10000</f>
        <v>1509967.9491905465</v>
      </c>
      <c r="S22" s="33">
        <f>U51*人口变化预测!U4/10000</f>
        <v>1521351.8701664235</v>
      </c>
      <c r="T22" s="33">
        <f>V51*人口变化预测!V4/10000</f>
        <v>1532174.1249891873</v>
      </c>
      <c r="U22" s="33">
        <f>W51*人口变化预测!W4/10000</f>
        <v>1542448.1568971956</v>
      </c>
      <c r="V22" s="33">
        <f>X51*人口变化预测!X4/10000</f>
        <v>1552189.3469010997</v>
      </c>
      <c r="W22" s="33">
        <f>Y51*人口变化预测!Y4/10000</f>
        <v>1561415.1707608586</v>
      </c>
      <c r="X22" s="33">
        <f>Z51*人口变化预测!Z4/10000</f>
        <v>1570145.2460986902</v>
      </c>
      <c r="Y22" s="33">
        <f>AA51*人口变化预测!AA4/10000</f>
        <v>1578401.4148636493</v>
      </c>
      <c r="Z22" s="33">
        <f>AB51*人口变化预测!AB4/10000</f>
        <v>1586207.7749764163</v>
      </c>
      <c r="AA22" s="33">
        <f>AC51*人口变化预测!AC4/10000</f>
        <v>1593590.796012562</v>
      </c>
      <c r="AB22" s="33">
        <f>AD51*人口变化预测!AD4/10000</f>
        <v>1600579.4499112733</v>
      </c>
      <c r="AC22" s="33">
        <f>AE51*人口变化预测!AE4/10000</f>
        <v>1607205.196681719</v>
      </c>
      <c r="AD22" s="33">
        <f>AF51*人口变化预测!AF4/10000</f>
        <v>1613502.094867998</v>
      </c>
      <c r="AE22" s="33">
        <f>AG51*人口变化预测!AG4/10000</f>
        <v>1619506.9937088431</v>
      </c>
      <c r="AF22" s="33">
        <f>AH51*人口变化预测!AH4/10000</f>
        <v>1625259.4643620709</v>
      </c>
      <c r="AG22" s="33">
        <f>AI51*人口变化预测!AI4/10000</f>
        <v>1630801.9757300767</v>
      </c>
      <c r="AH22" s="33">
        <f>AJ51*人口变化预测!AJ4/10000</f>
        <v>1636180.023660881</v>
      </c>
      <c r="AI22" s="33">
        <f>AK51*人口变化预测!AK4/10000</f>
        <v>1641442.1007720332</v>
      </c>
      <c r="AJ22" s="33">
        <f>AL51*人口变化预测!AL4/10000</f>
        <v>1646639.968593115</v>
      </c>
      <c r="AK22" s="33">
        <f>AM51*人口变化预测!AM4/10000</f>
        <v>1651828.5540693854</v>
      </c>
      <c r="AL22" s="33">
        <f>AN51*人口变化预测!AN4/10000</f>
        <v>1657066.2512724926</v>
      </c>
      <c r="AM22" s="33">
        <f>AO51*人口变化预测!AO4/10000</f>
        <v>1662414.900176998</v>
      </c>
      <c r="AN22" s="33">
        <f>AP51*人口变化预测!AP4/10000</f>
        <v>1667939.9180243381</v>
      </c>
      <c r="AO22" s="33">
        <f>AQ51*人口变化预测!AQ4/10000</f>
        <v>1673710.4143031924</v>
      </c>
      <c r="AP22" s="33">
        <f>AR51*人口变化预测!AR4/10000</f>
        <v>1679799.3084796052</v>
      </c>
      <c r="AQ22" s="33">
        <f>AS51*人口变化预测!AS4/10000</f>
        <v>1686283.4875801872</v>
      </c>
      <c r="AR22" s="33">
        <f>AT51*人口变化预测!AT4/10000</f>
        <v>1693243.8100624145</v>
      </c>
    </row>
    <row r="23" spans="1:44" s="15" customFormat="1" x14ac:dyDescent="0.15">
      <c r="A23" s="37" t="s">
        <v>957</v>
      </c>
      <c r="B23" s="33">
        <f>$B22*0.71%</f>
        <v>8655.7951223971086</v>
      </c>
      <c r="C23" s="33">
        <f t="shared" ref="C23:AR23" si="9">$B22*0.71%</f>
        <v>8655.7951223971086</v>
      </c>
      <c r="D23" s="33">
        <f t="shared" si="9"/>
        <v>8655.7951223971086</v>
      </c>
      <c r="E23" s="33">
        <f t="shared" si="9"/>
        <v>8655.7951223971086</v>
      </c>
      <c r="F23" s="33">
        <f t="shared" si="9"/>
        <v>8655.7951223971086</v>
      </c>
      <c r="G23" s="33">
        <f t="shared" si="9"/>
        <v>8655.7951223971086</v>
      </c>
      <c r="H23" s="33">
        <f t="shared" si="9"/>
        <v>8655.7951223971086</v>
      </c>
      <c r="I23" s="33">
        <f t="shared" si="9"/>
        <v>8655.7951223971086</v>
      </c>
      <c r="J23" s="33">
        <f t="shared" si="9"/>
        <v>8655.7951223971086</v>
      </c>
      <c r="K23" s="33">
        <f t="shared" si="9"/>
        <v>8655.7951223971086</v>
      </c>
      <c r="L23" s="33">
        <f t="shared" si="9"/>
        <v>8655.7951223971086</v>
      </c>
      <c r="M23" s="33">
        <f t="shared" si="9"/>
        <v>8655.7951223971086</v>
      </c>
      <c r="N23" s="33">
        <f t="shared" si="9"/>
        <v>8655.7951223971086</v>
      </c>
      <c r="O23" s="33">
        <f t="shared" si="9"/>
        <v>8655.7951223971086</v>
      </c>
      <c r="P23" s="33">
        <f t="shared" si="9"/>
        <v>8655.7951223971086</v>
      </c>
      <c r="Q23" s="33">
        <f t="shared" si="9"/>
        <v>8655.7951223971086</v>
      </c>
      <c r="R23" s="33">
        <f t="shared" si="9"/>
        <v>8655.7951223971086</v>
      </c>
      <c r="S23" s="33">
        <f t="shared" si="9"/>
        <v>8655.7951223971086</v>
      </c>
      <c r="T23" s="33">
        <f t="shared" si="9"/>
        <v>8655.7951223971086</v>
      </c>
      <c r="U23" s="33">
        <f t="shared" si="9"/>
        <v>8655.7951223971086</v>
      </c>
      <c r="V23" s="33">
        <f t="shared" si="9"/>
        <v>8655.7951223971086</v>
      </c>
      <c r="W23" s="33">
        <f t="shared" si="9"/>
        <v>8655.7951223971086</v>
      </c>
      <c r="X23" s="33">
        <f t="shared" si="9"/>
        <v>8655.7951223971086</v>
      </c>
      <c r="Y23" s="33">
        <f t="shared" si="9"/>
        <v>8655.7951223971086</v>
      </c>
      <c r="Z23" s="33">
        <f t="shared" si="9"/>
        <v>8655.7951223971086</v>
      </c>
      <c r="AA23" s="33">
        <f t="shared" si="9"/>
        <v>8655.7951223971086</v>
      </c>
      <c r="AB23" s="33">
        <f t="shared" si="9"/>
        <v>8655.7951223971086</v>
      </c>
      <c r="AC23" s="33">
        <f t="shared" si="9"/>
        <v>8655.7951223971086</v>
      </c>
      <c r="AD23" s="33">
        <f t="shared" si="9"/>
        <v>8655.7951223971086</v>
      </c>
      <c r="AE23" s="33">
        <f t="shared" si="9"/>
        <v>8655.7951223971086</v>
      </c>
      <c r="AF23" s="33">
        <f t="shared" si="9"/>
        <v>8655.7951223971086</v>
      </c>
      <c r="AG23" s="33">
        <f t="shared" si="9"/>
        <v>8655.7951223971086</v>
      </c>
      <c r="AH23" s="33">
        <f t="shared" si="9"/>
        <v>8655.7951223971086</v>
      </c>
      <c r="AI23" s="33">
        <f t="shared" si="9"/>
        <v>8655.7951223971086</v>
      </c>
      <c r="AJ23" s="33">
        <f t="shared" si="9"/>
        <v>8655.7951223971086</v>
      </c>
      <c r="AK23" s="33">
        <f t="shared" si="9"/>
        <v>8655.7951223971086</v>
      </c>
      <c r="AL23" s="33">
        <f t="shared" si="9"/>
        <v>8655.7951223971086</v>
      </c>
      <c r="AM23" s="33">
        <f t="shared" si="9"/>
        <v>8655.7951223971086</v>
      </c>
      <c r="AN23" s="33">
        <f t="shared" si="9"/>
        <v>8655.7951223971086</v>
      </c>
      <c r="AO23" s="33">
        <f t="shared" si="9"/>
        <v>8655.7951223971086</v>
      </c>
      <c r="AP23" s="33">
        <f t="shared" si="9"/>
        <v>8655.7951223971086</v>
      </c>
      <c r="AQ23" s="33">
        <f t="shared" si="9"/>
        <v>8655.7951223971086</v>
      </c>
      <c r="AR23" s="33">
        <f t="shared" si="9"/>
        <v>8655.7951223971086</v>
      </c>
    </row>
    <row r="24" spans="1:44" s="15" customFormat="1" x14ac:dyDescent="0.15">
      <c r="A24" s="37" t="s">
        <v>963</v>
      </c>
      <c r="B24" s="33"/>
      <c r="C24" s="33">
        <f>IF(B22-C22-B23&gt;0,B22-C22-B23,0)</f>
        <v>0</v>
      </c>
      <c r="D24" s="33">
        <f>IF(C22-D22-C23&gt;0,C22-D22-C23,0)</f>
        <v>0</v>
      </c>
      <c r="E24" s="33">
        <f t="shared" ref="E24:AR24" si="10">IF(D22-E22-D23&gt;0,D22-E22-D23,0)</f>
        <v>0</v>
      </c>
      <c r="F24" s="33">
        <f t="shared" si="10"/>
        <v>0</v>
      </c>
      <c r="G24" s="33">
        <f t="shared" si="10"/>
        <v>0</v>
      </c>
      <c r="H24" s="33">
        <f t="shared" si="10"/>
        <v>0</v>
      </c>
      <c r="I24" s="33">
        <f t="shared" si="10"/>
        <v>0</v>
      </c>
      <c r="J24" s="33">
        <f t="shared" si="10"/>
        <v>0</v>
      </c>
      <c r="K24" s="33">
        <f t="shared" si="10"/>
        <v>0</v>
      </c>
      <c r="L24" s="33">
        <f t="shared" si="10"/>
        <v>0</v>
      </c>
      <c r="M24" s="33">
        <f t="shared" si="10"/>
        <v>0</v>
      </c>
      <c r="N24" s="33">
        <f t="shared" si="10"/>
        <v>0</v>
      </c>
      <c r="O24" s="33">
        <f t="shared" si="10"/>
        <v>0</v>
      </c>
      <c r="P24" s="33">
        <f t="shared" si="10"/>
        <v>0</v>
      </c>
      <c r="Q24" s="33">
        <f t="shared" si="10"/>
        <v>0</v>
      </c>
      <c r="R24" s="33">
        <f t="shared" si="10"/>
        <v>0</v>
      </c>
      <c r="S24" s="33">
        <f t="shared" si="10"/>
        <v>0</v>
      </c>
      <c r="T24" s="33">
        <f t="shared" si="10"/>
        <v>0</v>
      </c>
      <c r="U24" s="33">
        <f t="shared" si="10"/>
        <v>0</v>
      </c>
      <c r="V24" s="33">
        <f t="shared" si="10"/>
        <v>0</v>
      </c>
      <c r="W24" s="33">
        <f t="shared" si="10"/>
        <v>0</v>
      </c>
      <c r="X24" s="33">
        <f t="shared" si="10"/>
        <v>0</v>
      </c>
      <c r="Y24" s="33">
        <f t="shared" si="10"/>
        <v>0</v>
      </c>
      <c r="Z24" s="33">
        <f t="shared" si="10"/>
        <v>0</v>
      </c>
      <c r="AA24" s="33">
        <f t="shared" si="10"/>
        <v>0</v>
      </c>
      <c r="AB24" s="33">
        <f t="shared" si="10"/>
        <v>0</v>
      </c>
      <c r="AC24" s="33">
        <f t="shared" si="10"/>
        <v>0</v>
      </c>
      <c r="AD24" s="33">
        <f t="shared" si="10"/>
        <v>0</v>
      </c>
      <c r="AE24" s="33">
        <f t="shared" si="10"/>
        <v>0</v>
      </c>
      <c r="AF24" s="33">
        <f t="shared" si="10"/>
        <v>0</v>
      </c>
      <c r="AG24" s="33">
        <f t="shared" si="10"/>
        <v>0</v>
      </c>
      <c r="AH24" s="33">
        <f t="shared" si="10"/>
        <v>0</v>
      </c>
      <c r="AI24" s="33">
        <f t="shared" si="10"/>
        <v>0</v>
      </c>
      <c r="AJ24" s="33">
        <f t="shared" si="10"/>
        <v>0</v>
      </c>
      <c r="AK24" s="33">
        <f t="shared" si="10"/>
        <v>0</v>
      </c>
      <c r="AL24" s="33">
        <f t="shared" si="10"/>
        <v>0</v>
      </c>
      <c r="AM24" s="33">
        <f t="shared" si="10"/>
        <v>0</v>
      </c>
      <c r="AN24" s="33">
        <f t="shared" si="10"/>
        <v>0</v>
      </c>
      <c r="AO24" s="33">
        <f t="shared" si="10"/>
        <v>0</v>
      </c>
      <c r="AP24" s="33">
        <f t="shared" si="10"/>
        <v>0</v>
      </c>
      <c r="AQ24" s="33">
        <f t="shared" si="10"/>
        <v>0</v>
      </c>
      <c r="AR24" s="33">
        <f t="shared" si="10"/>
        <v>0</v>
      </c>
    </row>
    <row r="25" spans="1:44" s="15" customFormat="1" x14ac:dyDescent="0.15">
      <c r="A25" s="37" t="s">
        <v>964</v>
      </c>
      <c r="B25" s="33"/>
      <c r="C25" s="33"/>
      <c r="D25" s="33">
        <f>$C$22*0.01</f>
        <v>12489.044084614558</v>
      </c>
      <c r="E25" s="33">
        <f t="shared" ref="E25:AR25" si="11">$C$22*0.01</f>
        <v>12489.044084614558</v>
      </c>
      <c r="F25" s="33">
        <f t="shared" si="11"/>
        <v>12489.044084614558</v>
      </c>
      <c r="G25" s="33">
        <f t="shared" si="11"/>
        <v>12489.044084614558</v>
      </c>
      <c r="H25" s="33">
        <f t="shared" si="11"/>
        <v>12489.044084614558</v>
      </c>
      <c r="I25" s="33">
        <f t="shared" si="11"/>
        <v>12489.044084614558</v>
      </c>
      <c r="J25" s="33">
        <f t="shared" si="11"/>
        <v>12489.044084614558</v>
      </c>
      <c r="K25" s="33">
        <f t="shared" si="11"/>
        <v>12489.044084614558</v>
      </c>
      <c r="L25" s="33">
        <f t="shared" si="11"/>
        <v>12489.044084614558</v>
      </c>
      <c r="M25" s="33">
        <f t="shared" si="11"/>
        <v>12489.044084614558</v>
      </c>
      <c r="N25" s="33">
        <f t="shared" si="11"/>
        <v>12489.044084614558</v>
      </c>
      <c r="O25" s="33">
        <f t="shared" si="11"/>
        <v>12489.044084614558</v>
      </c>
      <c r="P25" s="33">
        <f t="shared" si="11"/>
        <v>12489.044084614558</v>
      </c>
      <c r="Q25" s="33">
        <f t="shared" si="11"/>
        <v>12489.044084614558</v>
      </c>
      <c r="R25" s="33">
        <f t="shared" si="11"/>
        <v>12489.044084614558</v>
      </c>
      <c r="S25" s="33">
        <f t="shared" si="11"/>
        <v>12489.044084614558</v>
      </c>
      <c r="T25" s="33">
        <f t="shared" si="11"/>
        <v>12489.044084614558</v>
      </c>
      <c r="U25" s="33">
        <f t="shared" si="11"/>
        <v>12489.044084614558</v>
      </c>
      <c r="V25" s="33">
        <f t="shared" si="11"/>
        <v>12489.044084614558</v>
      </c>
      <c r="W25" s="33">
        <f t="shared" si="11"/>
        <v>12489.044084614558</v>
      </c>
      <c r="X25" s="33">
        <f t="shared" si="11"/>
        <v>12489.044084614558</v>
      </c>
      <c r="Y25" s="33">
        <f t="shared" si="11"/>
        <v>12489.044084614558</v>
      </c>
      <c r="Z25" s="33">
        <f t="shared" si="11"/>
        <v>12489.044084614558</v>
      </c>
      <c r="AA25" s="33">
        <f t="shared" si="11"/>
        <v>12489.044084614558</v>
      </c>
      <c r="AB25" s="33">
        <f t="shared" si="11"/>
        <v>12489.044084614558</v>
      </c>
      <c r="AC25" s="33">
        <f t="shared" si="11"/>
        <v>12489.044084614558</v>
      </c>
      <c r="AD25" s="33">
        <f t="shared" si="11"/>
        <v>12489.044084614558</v>
      </c>
      <c r="AE25" s="33">
        <f t="shared" si="11"/>
        <v>12489.044084614558</v>
      </c>
      <c r="AF25" s="33">
        <f t="shared" si="11"/>
        <v>12489.044084614558</v>
      </c>
      <c r="AG25" s="33">
        <f t="shared" si="11"/>
        <v>12489.044084614558</v>
      </c>
      <c r="AH25" s="33">
        <f t="shared" si="11"/>
        <v>12489.044084614558</v>
      </c>
      <c r="AI25" s="33">
        <f t="shared" si="11"/>
        <v>12489.044084614558</v>
      </c>
      <c r="AJ25" s="33">
        <f t="shared" si="11"/>
        <v>12489.044084614558</v>
      </c>
      <c r="AK25" s="33">
        <f t="shared" si="11"/>
        <v>12489.044084614558</v>
      </c>
      <c r="AL25" s="33">
        <f t="shared" si="11"/>
        <v>12489.044084614558</v>
      </c>
      <c r="AM25" s="33">
        <f t="shared" si="11"/>
        <v>12489.044084614558</v>
      </c>
      <c r="AN25" s="33">
        <f t="shared" si="11"/>
        <v>12489.044084614558</v>
      </c>
      <c r="AO25" s="33">
        <f t="shared" si="11"/>
        <v>12489.044084614558</v>
      </c>
      <c r="AP25" s="33">
        <f t="shared" si="11"/>
        <v>12489.044084614558</v>
      </c>
      <c r="AQ25" s="33">
        <f t="shared" si="11"/>
        <v>12489.044084614558</v>
      </c>
      <c r="AR25" s="33">
        <f t="shared" si="11"/>
        <v>12489.044084614558</v>
      </c>
    </row>
    <row r="26" spans="1:44" s="15" customFormat="1" x14ac:dyDescent="0.15">
      <c r="A26" s="37" t="s">
        <v>889</v>
      </c>
      <c r="B26" s="33"/>
      <c r="C26" s="33">
        <f t="shared" ref="C26:AR26" si="12">IF(C22-B22+B23&gt;0,C22-B22+B23,0)</f>
        <v>38434.130006795262</v>
      </c>
      <c r="D26" s="33">
        <f t="shared" si="12"/>
        <v>48021.449272868434</v>
      </c>
      <c r="E26" s="33">
        <f t="shared" si="12"/>
        <v>28354.524539390091</v>
      </c>
      <c r="F26" s="33">
        <f t="shared" si="12"/>
        <v>27777.528594239826</v>
      </c>
      <c r="G26" s="33">
        <f t="shared" si="12"/>
        <v>27192.76605674273</v>
      </c>
      <c r="H26" s="33">
        <f t="shared" si="12"/>
        <v>26601.347437555647</v>
      </c>
      <c r="I26" s="33">
        <f t="shared" si="12"/>
        <v>26004.530094574649</v>
      </c>
      <c r="J26" s="33">
        <f t="shared" si="12"/>
        <v>25403.485157853203</v>
      </c>
      <c r="K26" s="33">
        <f t="shared" si="12"/>
        <v>24799.59515086373</v>
      </c>
      <c r="L26" s="33">
        <f t="shared" si="12"/>
        <v>24194.159422953824</v>
      </c>
      <c r="M26" s="33">
        <f t="shared" si="12"/>
        <v>23588.615204863461</v>
      </c>
      <c r="N26" s="33">
        <f t="shared" si="12"/>
        <v>22984.43883279476</v>
      </c>
      <c r="O26" s="33">
        <f t="shared" si="12"/>
        <v>22383.132147096308</v>
      </c>
      <c r="P26" s="33">
        <f t="shared" si="12"/>
        <v>21786.345731725429</v>
      </c>
      <c r="Q26" s="33">
        <f t="shared" si="12"/>
        <v>21195.673630426849</v>
      </c>
      <c r="R26" s="33">
        <f t="shared" si="12"/>
        <v>20612.876291098517</v>
      </c>
      <c r="S26" s="33">
        <f t="shared" si="12"/>
        <v>20039.716098274082</v>
      </c>
      <c r="T26" s="33">
        <f t="shared" si="12"/>
        <v>19478.049945160958</v>
      </c>
      <c r="U26" s="33">
        <f t="shared" si="12"/>
        <v>18929.82703040538</v>
      </c>
      <c r="V26" s="33">
        <f t="shared" si="12"/>
        <v>18396.985126301159</v>
      </c>
      <c r="W26" s="33">
        <f t="shared" si="12"/>
        <v>17881.618982156018</v>
      </c>
      <c r="X26" s="33">
        <f t="shared" si="12"/>
        <v>17385.87046022874</v>
      </c>
      <c r="Y26" s="33">
        <f t="shared" si="12"/>
        <v>16911.9638873562</v>
      </c>
      <c r="Z26" s="33">
        <f t="shared" si="12"/>
        <v>16462.155235164078</v>
      </c>
      <c r="AA26" s="33">
        <f t="shared" si="12"/>
        <v>16038.816158542852</v>
      </c>
      <c r="AB26" s="33">
        <f t="shared" si="12"/>
        <v>15644.449021108425</v>
      </c>
      <c r="AC26" s="33">
        <f t="shared" si="12"/>
        <v>15281.541892842832</v>
      </c>
      <c r="AD26" s="33">
        <f t="shared" si="12"/>
        <v>14952.693308676104</v>
      </c>
      <c r="AE26" s="33">
        <f t="shared" si="12"/>
        <v>14660.693963242205</v>
      </c>
      <c r="AF26" s="33">
        <f t="shared" si="12"/>
        <v>14408.265775624872</v>
      </c>
      <c r="AG26" s="33">
        <f t="shared" si="12"/>
        <v>14198.306490402878</v>
      </c>
      <c r="AH26" s="33">
        <f t="shared" si="12"/>
        <v>14033.843053201423</v>
      </c>
      <c r="AI26" s="33">
        <f t="shared" si="12"/>
        <v>13917.872233549342</v>
      </c>
      <c r="AJ26" s="33">
        <f t="shared" si="12"/>
        <v>13853.662943478883</v>
      </c>
      <c r="AK26" s="33">
        <f t="shared" si="12"/>
        <v>13844.38059866752</v>
      </c>
      <c r="AL26" s="33">
        <f t="shared" si="12"/>
        <v>13893.492325504287</v>
      </c>
      <c r="AM26" s="33">
        <f t="shared" si="12"/>
        <v>14004.444026902527</v>
      </c>
      <c r="AN26" s="33">
        <f t="shared" si="12"/>
        <v>14180.812969737197</v>
      </c>
      <c r="AO26" s="33">
        <f t="shared" si="12"/>
        <v>14426.291401251428</v>
      </c>
      <c r="AP26" s="33">
        <f t="shared" si="12"/>
        <v>14744.689298809948</v>
      </c>
      <c r="AQ26" s="33">
        <f t="shared" si="12"/>
        <v>15139.974222979019</v>
      </c>
      <c r="AR26" s="33">
        <f t="shared" si="12"/>
        <v>15616.117604624456</v>
      </c>
    </row>
    <row r="27" spans="1:44" s="15" customFormat="1" x14ac:dyDescent="0.15">
      <c r="A27" s="37" t="s">
        <v>832</v>
      </c>
      <c r="B27" s="33">
        <v>0</v>
      </c>
      <c r="C27" s="33">
        <f>SUM($C26:C26)</f>
        <v>38434.130006795262</v>
      </c>
      <c r="D27" s="33">
        <f>SUM($C26:D26)</f>
        <v>86455.579279663696</v>
      </c>
      <c r="E27" s="33">
        <f>SUM($C26:E26)</f>
        <v>114810.10381905379</v>
      </c>
      <c r="F27" s="33">
        <f>SUM($C26:F26)</f>
        <v>142587.63241329361</v>
      </c>
      <c r="G27" s="33">
        <f>SUM($C26:G26)</f>
        <v>169780.39847003634</v>
      </c>
      <c r="H27" s="33">
        <f>SUM($C26:H26)</f>
        <v>196381.74590759198</v>
      </c>
      <c r="I27" s="33">
        <f>SUM($C26:I26)</f>
        <v>222386.27600216662</v>
      </c>
      <c r="J27" s="33">
        <f>SUM($C26:J26)</f>
        <v>247789.76116001981</v>
      </c>
      <c r="K27" s="33">
        <f>SUM($C26:K26)</f>
        <v>272589.35631088354</v>
      </c>
      <c r="L27" s="33">
        <f>SUM($C26:L26)</f>
        <v>296783.51573383738</v>
      </c>
      <c r="M27" s="33">
        <f>SUM($C26:M26)</f>
        <v>320372.13093870087</v>
      </c>
      <c r="N27" s="33">
        <f>SUM($C26:N26)</f>
        <v>343356.56977149565</v>
      </c>
      <c r="O27" s="33">
        <f>SUM($C26:O26)</f>
        <v>365739.70191859198</v>
      </c>
      <c r="P27" s="33">
        <f>SUM($C26:P26)</f>
        <v>387526.04765031743</v>
      </c>
      <c r="Q27" s="33">
        <f>SUM($C26:Q26)</f>
        <v>408721.7212807443</v>
      </c>
      <c r="R27" s="33">
        <f>SUM($C26:R26)</f>
        <v>429334.59757184284</v>
      </c>
      <c r="S27" s="33">
        <f>SUM($C26:S26)</f>
        <v>449374.31367011694</v>
      </c>
      <c r="T27" s="33">
        <f>SUM($C26:T26)</f>
        <v>468852.36361527792</v>
      </c>
      <c r="U27" s="33">
        <f>SUM($C26:U26)</f>
        <v>487782.19064568332</v>
      </c>
      <c r="V27" s="33">
        <f>SUM($C26:V26)</f>
        <v>506179.1757719845</v>
      </c>
      <c r="W27" s="33">
        <f>SUM($C26:W26)</f>
        <v>524060.79475414054</v>
      </c>
      <c r="X27" s="33">
        <f>SUM($C26:X26)</f>
        <v>541446.66521436931</v>
      </c>
      <c r="Y27" s="33">
        <f>SUM($C26:Y26)</f>
        <v>558358.62910172553</v>
      </c>
      <c r="Z27" s="33">
        <f>SUM($C26:Z26)</f>
        <v>574820.78433688963</v>
      </c>
      <c r="AA27" s="33">
        <f>SUM($C26:AA26)</f>
        <v>590859.6004954325</v>
      </c>
      <c r="AB27" s="33">
        <f>SUM($C26:AB26)</f>
        <v>606504.04951654095</v>
      </c>
      <c r="AC27" s="33">
        <f>SUM($C26:AC26)</f>
        <v>621785.59140938381</v>
      </c>
      <c r="AD27" s="33">
        <f>SUM($C26:AD26)</f>
        <v>636738.28471805993</v>
      </c>
      <c r="AE27" s="33">
        <f>SUM($C26:AE26)</f>
        <v>651398.97868130216</v>
      </c>
      <c r="AF27" s="33">
        <f>SUM($C26:AF26)</f>
        <v>665807.24445692706</v>
      </c>
      <c r="AG27" s="33">
        <f>SUM($C26:AG26)</f>
        <v>680005.55094732996</v>
      </c>
      <c r="AH27" s="33">
        <f>SUM($C26:AH26)</f>
        <v>694039.39400053141</v>
      </c>
      <c r="AI27" s="33">
        <f>SUM($C26:AI26)</f>
        <v>707957.26623408077</v>
      </c>
      <c r="AJ27" s="33">
        <f>SUM($C26:AJ26)</f>
        <v>721810.92917755968</v>
      </c>
      <c r="AK27" s="33">
        <f>SUM($C26:AK26)</f>
        <v>735655.30977622722</v>
      </c>
      <c r="AL27" s="33">
        <f>SUM($C26:AL26)</f>
        <v>749548.80210173153</v>
      </c>
      <c r="AM27" s="33">
        <f>SUM($C26:AM26)</f>
        <v>763553.24612863408</v>
      </c>
      <c r="AN27" s="33">
        <f>SUM($C26:AN26)</f>
        <v>777734.0590983713</v>
      </c>
      <c r="AO27" s="33">
        <f>SUM($C26:AO26)</f>
        <v>792160.35049962276</v>
      </c>
      <c r="AP27" s="33">
        <f>SUM($C26:AP26)</f>
        <v>806905.03979843273</v>
      </c>
      <c r="AQ27" s="33">
        <f>SUM($C26:AQ26)</f>
        <v>822045.01402141177</v>
      </c>
      <c r="AR27" s="33">
        <f>SUM($C26:AR26)</f>
        <v>837661.13162603625</v>
      </c>
    </row>
    <row r="28" spans="1:44" s="15" customFormat="1" x14ac:dyDescent="0.15">
      <c r="A28" s="37" t="s">
        <v>833</v>
      </c>
      <c r="B28" s="33">
        <f>$B22-SUM(A23:$B23)-SUM(A24:$B24)-SUM(A25:$B25)</f>
        <v>1210470.2784546604</v>
      </c>
      <c r="C28" s="33">
        <f>$B22-SUM($B23:B23)-SUM($B24:B24)-SUM($B25:B25)</f>
        <v>1210470.2784546604</v>
      </c>
      <c r="D28" s="33">
        <f>$B22-SUM($B23:C23)-SUM($B24:C24)-SUM($B25:C25)</f>
        <v>1201814.4833322633</v>
      </c>
      <c r="E28" s="33">
        <f>$B22-SUM($B23:D23)-SUM($B24:D24)-SUM($B25:D25)</f>
        <v>1180669.6441252516</v>
      </c>
      <c r="F28" s="33">
        <f>$B22-SUM($B23:E23)-SUM($B24:E24)-SUM($B25:E25)</f>
        <v>1159524.8049182398</v>
      </c>
      <c r="G28" s="33">
        <f>$B22-SUM($B23:F23)-SUM($B24:F24)-SUM($B25:F25)</f>
        <v>1138379.9657112283</v>
      </c>
      <c r="H28" s="33">
        <f>$B22-SUM($B23:G23)-SUM($B24:G24)-SUM($B25:G25)</f>
        <v>1117235.1265042168</v>
      </c>
      <c r="I28" s="33">
        <f>$B22-SUM($B23:H23)-SUM($B24:H24)-SUM($B25:H25)</f>
        <v>1096090.2872972051</v>
      </c>
      <c r="J28" s="33">
        <f>$B22-SUM($B23:I23)-SUM($B24:I24)-SUM($B25:I25)</f>
        <v>1074945.4480901933</v>
      </c>
      <c r="K28" s="33">
        <f>$B22-SUM($B23:J23)-SUM($B24:J24)-SUM($B25:J25)</f>
        <v>1053800.6088831816</v>
      </c>
      <c r="L28" s="33">
        <f>$B22-SUM($B23:K23)-SUM($B24:K24)-SUM($B25:K25)</f>
        <v>1032655.7696761701</v>
      </c>
      <c r="M28" s="33">
        <f>$B22-SUM($B23:L23)-SUM($B24:L24)-SUM($B25:L25)</f>
        <v>1011510.9304691583</v>
      </c>
      <c r="N28" s="33">
        <f>$B22-SUM($B23:M23)-SUM($B24:M24)-SUM($B25:M25)</f>
        <v>990366.0912621466</v>
      </c>
      <c r="O28" s="33">
        <f>$B22-SUM($B23:N23)-SUM($B24:N24)-SUM($B25:N25)</f>
        <v>969221.25205513497</v>
      </c>
      <c r="P28" s="33">
        <f>$B22-SUM($B23:O23)-SUM($B24:O24)-SUM($B25:O25)</f>
        <v>948076.41284812358</v>
      </c>
      <c r="Q28" s="33">
        <f>$B22-SUM($B23:P23)-SUM($B24:P24)-SUM($B25:P25)</f>
        <v>926931.57364111184</v>
      </c>
      <c r="R28" s="33">
        <f>$B22-SUM($B23:Q23)-SUM($B24:Q24)-SUM($B25:Q25)</f>
        <v>905786.7344341001</v>
      </c>
      <c r="S28" s="33">
        <f>$B22-SUM($B23:R23)-SUM($B24:R24)-SUM($B25:R25)</f>
        <v>884641.89522708848</v>
      </c>
      <c r="T28" s="33">
        <f>$B22-SUM($B23:S23)-SUM($B24:S24)-SUM($B25:S25)</f>
        <v>863497.05602007685</v>
      </c>
      <c r="U28" s="33">
        <f>$B22-SUM($B23:T23)-SUM($B24:T24)-SUM($B25:T25)</f>
        <v>842352.21681306511</v>
      </c>
      <c r="V28" s="33">
        <f>$B22-SUM($B23:U23)-SUM($B24:U24)-SUM($B25:U25)</f>
        <v>821207.37760605337</v>
      </c>
      <c r="W28" s="33">
        <f>$B22-SUM($B23:V23)-SUM($B24:V24)-SUM($B25:V25)</f>
        <v>800062.53839904186</v>
      </c>
      <c r="X28" s="33">
        <f>$B22-SUM($B23:W23)-SUM($B24:W24)-SUM($B25:W25)</f>
        <v>778917.69919203012</v>
      </c>
      <c r="Y28" s="33">
        <f>$B22-SUM($B23:X23)-SUM($B24:X24)-SUM($B25:X25)</f>
        <v>757772.8599850185</v>
      </c>
      <c r="Z28" s="33">
        <f>$B22-SUM($B23:Y23)-SUM($B24:Y24)-SUM($B25:Y25)</f>
        <v>736628.02077800687</v>
      </c>
      <c r="AA28" s="33">
        <f>$B22-SUM($B23:Z23)-SUM($B24:Z24)-SUM($B25:Z25)</f>
        <v>715483.18157099525</v>
      </c>
      <c r="AB28" s="33">
        <f>$B22-SUM($B23:AA23)-SUM($B24:AA24)-SUM($B25:AA25)</f>
        <v>694338.34236398363</v>
      </c>
      <c r="AC28" s="33">
        <f>$B22-SUM($B23:AB23)-SUM($B24:AB24)-SUM($B25:AB25)</f>
        <v>673193.50315697188</v>
      </c>
      <c r="AD28" s="33">
        <f>$B22-SUM($B23:AC23)-SUM($B24:AC24)-SUM($B25:AC25)</f>
        <v>652048.66394996014</v>
      </c>
      <c r="AE28" s="33">
        <f>$B22-SUM($B23:AD23)-SUM($B24:AD24)-SUM($B25:AD25)</f>
        <v>630903.82474294864</v>
      </c>
      <c r="AF28" s="33">
        <f>$B22-SUM($B23:AE23)-SUM($B24:AE24)-SUM($B25:AE25)</f>
        <v>609758.9855359369</v>
      </c>
      <c r="AG28" s="33">
        <f>$B22-SUM($B23:AF23)-SUM($B24:AF24)-SUM($B25:AF25)</f>
        <v>588614.14632892527</v>
      </c>
      <c r="AH28" s="33">
        <f>$B22-SUM($B23:AG23)-SUM($B24:AG24)-SUM($B25:AG25)</f>
        <v>567469.30712191365</v>
      </c>
      <c r="AI28" s="33">
        <f>$B22-SUM($B23:AH23)-SUM($B24:AH24)-SUM($B25:AH25)</f>
        <v>546324.46791490191</v>
      </c>
      <c r="AJ28" s="33">
        <f>$B22-SUM($B23:AI23)-SUM($B24:AI24)-SUM($B25:AI25)</f>
        <v>525179.62870789017</v>
      </c>
      <c r="AK28" s="33">
        <f>$B22-SUM($B23:AJ23)-SUM($B24:AJ24)-SUM($B25:AJ25)</f>
        <v>504034.78950087854</v>
      </c>
      <c r="AL28" s="33">
        <f>$B22-SUM($B23:AK23)-SUM($B24:AK24)-SUM($B25:AK25)</f>
        <v>482889.95029386686</v>
      </c>
      <c r="AM28" s="33">
        <f>$B22-SUM($B23:AL23)-SUM($B24:AL24)-SUM($B25:AL25)</f>
        <v>461745.11108685518</v>
      </c>
      <c r="AN28" s="33">
        <f>$B22-SUM($B23:AM23)-SUM($B24:AM24)-SUM($B25:AM25)</f>
        <v>440600.27187984349</v>
      </c>
      <c r="AO28" s="33">
        <f>$B22-SUM($B23:AN23)-SUM($B24:AN24)-SUM($B25:AN25)</f>
        <v>419455.43267283181</v>
      </c>
      <c r="AP28" s="33">
        <f>$B22-SUM($B23:AO23)-SUM($B24:AO24)-SUM($B25:AO25)</f>
        <v>398310.59346582013</v>
      </c>
      <c r="AQ28" s="33">
        <f>$B22-SUM($B23:AP23)-SUM($B24:AP24)-SUM($B25:AP25)</f>
        <v>377165.75425880845</v>
      </c>
      <c r="AR28" s="33">
        <f>$B22-SUM($B23:AQ23)-SUM($B24:AQ24)-SUM($B25:AQ25)</f>
        <v>356020.91505179676</v>
      </c>
    </row>
    <row r="29" spans="1:44" s="15" customFormat="1" x14ac:dyDescent="0.15">
      <c r="A29" s="38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</row>
    <row r="30" spans="1:44" s="19" customFormat="1" x14ac:dyDescent="0.15">
      <c r="A30" s="37"/>
      <c r="B30" s="35">
        <v>2018</v>
      </c>
      <c r="C30" s="35">
        <v>2019</v>
      </c>
      <c r="D30" s="35">
        <v>2020</v>
      </c>
      <c r="E30" s="35">
        <v>2021</v>
      </c>
      <c r="F30" s="35">
        <v>2022</v>
      </c>
      <c r="G30" s="35">
        <v>2023</v>
      </c>
      <c r="H30" s="35">
        <v>2024</v>
      </c>
      <c r="I30" s="35">
        <v>2025</v>
      </c>
      <c r="J30" s="35">
        <v>2026</v>
      </c>
      <c r="K30" s="35">
        <v>2027</v>
      </c>
      <c r="L30" s="35">
        <v>2028</v>
      </c>
      <c r="M30" s="35">
        <v>2029</v>
      </c>
      <c r="N30" s="35">
        <v>2030</v>
      </c>
      <c r="O30" s="35">
        <v>2031</v>
      </c>
      <c r="P30" s="35">
        <v>2032</v>
      </c>
      <c r="Q30" s="35">
        <v>2033</v>
      </c>
      <c r="R30" s="35">
        <v>2034</v>
      </c>
      <c r="S30" s="35">
        <v>2035</v>
      </c>
      <c r="T30" s="35">
        <v>2036</v>
      </c>
      <c r="U30" s="35">
        <v>2037</v>
      </c>
      <c r="V30" s="35">
        <v>2038</v>
      </c>
      <c r="W30" s="35">
        <v>2039</v>
      </c>
      <c r="X30" s="35">
        <v>2040</v>
      </c>
      <c r="Y30" s="35">
        <v>2041</v>
      </c>
      <c r="Z30" s="35">
        <v>2042</v>
      </c>
      <c r="AA30" s="35">
        <v>2043</v>
      </c>
      <c r="AB30" s="35">
        <v>2044</v>
      </c>
      <c r="AC30" s="35">
        <v>2045</v>
      </c>
      <c r="AD30" s="35">
        <v>2046</v>
      </c>
      <c r="AE30" s="35">
        <v>2047</v>
      </c>
      <c r="AF30" s="35">
        <v>2048</v>
      </c>
      <c r="AG30" s="35">
        <v>2049</v>
      </c>
      <c r="AH30" s="35">
        <v>2050</v>
      </c>
      <c r="AI30" s="35">
        <v>2051</v>
      </c>
      <c r="AJ30" s="35">
        <v>2052</v>
      </c>
      <c r="AK30" s="35">
        <v>2053</v>
      </c>
      <c r="AL30" s="35">
        <v>2054</v>
      </c>
      <c r="AM30" s="35">
        <v>2055</v>
      </c>
      <c r="AN30" s="35">
        <v>2056</v>
      </c>
      <c r="AO30" s="35">
        <v>2057</v>
      </c>
      <c r="AP30" s="35">
        <v>2058</v>
      </c>
      <c r="AQ30" s="35">
        <v>2059</v>
      </c>
      <c r="AR30" s="35">
        <v>2060</v>
      </c>
    </row>
    <row r="31" spans="1:44" s="15" customFormat="1" x14ac:dyDescent="0.15">
      <c r="A31" s="37" t="s">
        <v>885</v>
      </c>
      <c r="B31" s="33">
        <f>D49*人口变化预测!D7/10000</f>
        <v>1251825.6543704094</v>
      </c>
      <c r="C31" s="33">
        <f>E49*人口变化预测!E7/10000</f>
        <v>1239102.6304614644</v>
      </c>
      <c r="D31" s="33">
        <f>F49*人口变化预测!F7/10000</f>
        <v>1277990.3488716937</v>
      </c>
      <c r="E31" s="33">
        <f>G49*人口变化预测!G7/10000</f>
        <v>1297275.8988744398</v>
      </c>
      <c r="F31" s="33">
        <f>H49*人口变化预测!H7/10000</f>
        <v>1315907.4951793461</v>
      </c>
      <c r="G31" s="33">
        <f>I49*人口变化预测!I7/10000</f>
        <v>1333885.3133546114</v>
      </c>
      <c r="H31" s="33">
        <f>J49*人口变化预测!J7/10000</f>
        <v>1351210.41686096</v>
      </c>
      <c r="I31" s="33">
        <f>K49*人口变化预测!K7/10000</f>
        <v>1367884.9824706684</v>
      </c>
      <c r="J31" s="33">
        <f>L49*人口变化预测!L7/10000</f>
        <v>1383912.112111226</v>
      </c>
      <c r="K31" s="33">
        <f>M49*人口变化预测!M7/10000</f>
        <v>1399296.014744451</v>
      </c>
      <c r="L31" s="33">
        <f>N49*人口变化预测!N7/10000</f>
        <v>1414041.999854252</v>
      </c>
      <c r="M31" s="33">
        <f>O49*人口变化预测!O7/10000</f>
        <v>1428156.5077342729</v>
      </c>
      <c r="N31" s="33">
        <f>P49*人口变化预测!P7/10000</f>
        <v>1441647.1595315759</v>
      </c>
      <c r="O31" s="33">
        <f>Q49*人口变化预测!Q7/10000</f>
        <v>1454522.7892721253</v>
      </c>
      <c r="P31" s="33">
        <f>R49*人口变化预测!R7/10000</f>
        <v>1466793.5401991499</v>
      </c>
      <c r="Q31" s="33">
        <f>S49*人口变化预测!S7/10000</f>
        <v>1478470.7989841481</v>
      </c>
      <c r="R31" s="33">
        <f>T49*人口变化预测!T7/10000</f>
        <v>1489567.3650189361</v>
      </c>
      <c r="S31" s="33">
        <f>U49*人口变化预测!U7/10000</f>
        <v>1500097.4358051841</v>
      </c>
      <c r="T31" s="33">
        <f>V49*人口变化预测!V7/10000</f>
        <v>1510076.6181552124</v>
      </c>
      <c r="U31" s="33">
        <f>W49*人口变化预测!W7/10000</f>
        <v>1519522.0590960192</v>
      </c>
      <c r="V31" s="33">
        <f>X49*人口变化预测!X7/10000</f>
        <v>1528452.4089977925</v>
      </c>
      <c r="W31" s="33">
        <f>Y49*人口变化预测!Y7/10000</f>
        <v>1536887.9247403846</v>
      </c>
      <c r="X31" s="33">
        <f>Z49*人口变化预测!Z7/10000</f>
        <v>1544850.5268411015</v>
      </c>
      <c r="Y31" s="33">
        <f>AA49*人口变化预测!AA7/10000</f>
        <v>1552363.8606859986</v>
      </c>
      <c r="Z31" s="33">
        <f>AB49*人口变化预测!AB7/10000</f>
        <v>1559453.2550136214</v>
      </c>
      <c r="AA31" s="33">
        <f>AC49*人口变化预测!AC7/10000</f>
        <v>1566145.892570992</v>
      </c>
      <c r="AB31" s="33">
        <f>AD49*人口变化预测!AD7/10000</f>
        <v>1572470.8165647972</v>
      </c>
      <c r="AC31" s="33">
        <f>AE49*人口变化预测!AE7/10000</f>
        <v>1578459.0043861454</v>
      </c>
      <c r="AD31" s="33">
        <f>AF49*人口变化预测!AF7/10000</f>
        <v>1584143.3298986708</v>
      </c>
      <c r="AE31" s="33">
        <f>AG49*人口变化预测!AG7/10000</f>
        <v>1589558.8432974773</v>
      </c>
      <c r="AF31" s="33">
        <f>AH49*人口变化预测!AH7/10000</f>
        <v>1594742.5931952605</v>
      </c>
      <c r="AG31" s="33">
        <f>AI49*人口变化预测!AI7/10000</f>
        <v>1599733.8354164879</v>
      </c>
      <c r="AH31" s="33">
        <f>AJ49*人口变化预测!AJ7/10000</f>
        <v>1604574.0702482648</v>
      </c>
      <c r="AI31" s="33">
        <f>AK49*人口变化预测!AK7/10000</f>
        <v>1609306.9842227676</v>
      </c>
      <c r="AJ31" s="33">
        <f>AL49*人口变化预测!AL7/10000</f>
        <v>1613978.7981504297</v>
      </c>
      <c r="AK31" s="33">
        <f>AM49*人口变化预测!AM7/10000</f>
        <v>1618638.0105572329</v>
      </c>
      <c r="AL31" s="33">
        <f>AN49*人口变化预测!AN7/10000</f>
        <v>1623335.6982561296</v>
      </c>
      <c r="AM31" s="33">
        <f>AO49*人口变化预测!AO7/10000</f>
        <v>1628125.5133007783</v>
      </c>
      <c r="AN31" s="33">
        <f>AP49*人口变化预测!AP7/10000</f>
        <v>1633063.6714828894</v>
      </c>
      <c r="AO31" s="33">
        <f>AQ49*人口变化预测!AQ7/10000</f>
        <v>1638209.1846594291</v>
      </c>
      <c r="AP31" s="33">
        <f>AR49*人口变化预测!AR7/10000</f>
        <v>1643623.7988782038</v>
      </c>
      <c r="AQ31" s="33">
        <f>AS49*人口变化预测!AS7/10000</f>
        <v>1649372.2459711286</v>
      </c>
      <c r="AR31" s="33">
        <f>AT49*人口变化预测!AT7/10000</f>
        <v>1655522.084037479</v>
      </c>
    </row>
    <row r="32" spans="1:44" s="15" customFormat="1" x14ac:dyDescent="0.15">
      <c r="A32" s="37" t="s">
        <v>957</v>
      </c>
      <c r="B32" s="33">
        <f>$B31*0.71%</f>
        <v>8887.9621460299059</v>
      </c>
      <c r="C32" s="33">
        <f t="shared" ref="C32:AR32" si="13">$B31*0.71%</f>
        <v>8887.9621460299059</v>
      </c>
      <c r="D32" s="33">
        <f t="shared" si="13"/>
        <v>8887.9621460299059</v>
      </c>
      <c r="E32" s="33">
        <f t="shared" si="13"/>
        <v>8887.9621460299059</v>
      </c>
      <c r="F32" s="33">
        <f t="shared" si="13"/>
        <v>8887.9621460299059</v>
      </c>
      <c r="G32" s="33">
        <f t="shared" si="13"/>
        <v>8887.9621460299059</v>
      </c>
      <c r="H32" s="33">
        <f t="shared" si="13"/>
        <v>8887.9621460299059</v>
      </c>
      <c r="I32" s="33">
        <f t="shared" si="13"/>
        <v>8887.9621460299059</v>
      </c>
      <c r="J32" s="33">
        <f t="shared" si="13"/>
        <v>8887.9621460299059</v>
      </c>
      <c r="K32" s="33">
        <f t="shared" si="13"/>
        <v>8887.9621460299059</v>
      </c>
      <c r="L32" s="33">
        <f t="shared" si="13"/>
        <v>8887.9621460299059</v>
      </c>
      <c r="M32" s="33">
        <f t="shared" si="13"/>
        <v>8887.9621460299059</v>
      </c>
      <c r="N32" s="33">
        <f t="shared" si="13"/>
        <v>8887.9621460299059</v>
      </c>
      <c r="O32" s="33">
        <f t="shared" si="13"/>
        <v>8887.9621460299059</v>
      </c>
      <c r="P32" s="33">
        <f t="shared" si="13"/>
        <v>8887.9621460299059</v>
      </c>
      <c r="Q32" s="33">
        <f t="shared" si="13"/>
        <v>8887.9621460299059</v>
      </c>
      <c r="R32" s="33">
        <f t="shared" si="13"/>
        <v>8887.9621460299059</v>
      </c>
      <c r="S32" s="33">
        <f t="shared" si="13"/>
        <v>8887.9621460299059</v>
      </c>
      <c r="T32" s="33">
        <f t="shared" si="13"/>
        <v>8887.9621460299059</v>
      </c>
      <c r="U32" s="33">
        <f t="shared" si="13"/>
        <v>8887.9621460299059</v>
      </c>
      <c r="V32" s="33">
        <f t="shared" si="13"/>
        <v>8887.9621460299059</v>
      </c>
      <c r="W32" s="33">
        <f t="shared" si="13"/>
        <v>8887.9621460299059</v>
      </c>
      <c r="X32" s="33">
        <f t="shared" si="13"/>
        <v>8887.9621460299059</v>
      </c>
      <c r="Y32" s="33">
        <f t="shared" si="13"/>
        <v>8887.9621460299059</v>
      </c>
      <c r="Z32" s="33">
        <f t="shared" si="13"/>
        <v>8887.9621460299059</v>
      </c>
      <c r="AA32" s="33">
        <f t="shared" si="13"/>
        <v>8887.9621460299059</v>
      </c>
      <c r="AB32" s="33">
        <f t="shared" si="13"/>
        <v>8887.9621460299059</v>
      </c>
      <c r="AC32" s="33">
        <f t="shared" si="13"/>
        <v>8887.9621460299059</v>
      </c>
      <c r="AD32" s="33">
        <f t="shared" si="13"/>
        <v>8887.9621460299059</v>
      </c>
      <c r="AE32" s="33">
        <f t="shared" si="13"/>
        <v>8887.9621460299059</v>
      </c>
      <c r="AF32" s="33">
        <f t="shared" si="13"/>
        <v>8887.9621460299059</v>
      </c>
      <c r="AG32" s="33">
        <f t="shared" si="13"/>
        <v>8887.9621460299059</v>
      </c>
      <c r="AH32" s="33">
        <f t="shared" si="13"/>
        <v>8887.9621460299059</v>
      </c>
      <c r="AI32" s="33">
        <f t="shared" si="13"/>
        <v>8887.9621460299059</v>
      </c>
      <c r="AJ32" s="33">
        <f t="shared" si="13"/>
        <v>8887.9621460299059</v>
      </c>
      <c r="AK32" s="33">
        <f t="shared" si="13"/>
        <v>8887.9621460299059</v>
      </c>
      <c r="AL32" s="33">
        <f t="shared" si="13"/>
        <v>8887.9621460299059</v>
      </c>
      <c r="AM32" s="33">
        <f t="shared" si="13"/>
        <v>8887.9621460299059</v>
      </c>
      <c r="AN32" s="33">
        <f t="shared" si="13"/>
        <v>8887.9621460299059</v>
      </c>
      <c r="AO32" s="33">
        <f t="shared" si="13"/>
        <v>8887.9621460299059</v>
      </c>
      <c r="AP32" s="33">
        <f t="shared" si="13"/>
        <v>8887.9621460299059</v>
      </c>
      <c r="AQ32" s="33">
        <f t="shared" si="13"/>
        <v>8887.9621460299059</v>
      </c>
      <c r="AR32" s="33">
        <f t="shared" si="13"/>
        <v>8887.9621460299059</v>
      </c>
    </row>
    <row r="33" spans="1:46" s="15" customFormat="1" x14ac:dyDescent="0.15">
      <c r="A33" s="37" t="s">
        <v>963</v>
      </c>
      <c r="B33" s="33"/>
      <c r="C33" s="33">
        <f>IF(B31-C31-B32&gt;0,B31-C31-B32,0)</f>
        <v>3835.0617629151275</v>
      </c>
      <c r="D33" s="33">
        <f>IF(C31-D31-C32&gt;0,C31-D31-C32,0)</f>
        <v>0</v>
      </c>
      <c r="E33" s="33">
        <f t="shared" ref="E33:AR33" si="14">IF(D31-E31-D32&gt;0,D31-E31-D32,0)</f>
        <v>0</v>
      </c>
      <c r="F33" s="33">
        <f t="shared" si="14"/>
        <v>0</v>
      </c>
      <c r="G33" s="33">
        <f t="shared" si="14"/>
        <v>0</v>
      </c>
      <c r="H33" s="33">
        <f t="shared" si="14"/>
        <v>0</v>
      </c>
      <c r="I33" s="33">
        <f t="shared" si="14"/>
        <v>0</v>
      </c>
      <c r="J33" s="33">
        <f t="shared" si="14"/>
        <v>0</v>
      </c>
      <c r="K33" s="33">
        <f t="shared" si="14"/>
        <v>0</v>
      </c>
      <c r="L33" s="33">
        <f t="shared" si="14"/>
        <v>0</v>
      </c>
      <c r="M33" s="33">
        <f t="shared" si="14"/>
        <v>0</v>
      </c>
      <c r="N33" s="33">
        <f t="shared" si="14"/>
        <v>0</v>
      </c>
      <c r="O33" s="33">
        <f t="shared" si="14"/>
        <v>0</v>
      </c>
      <c r="P33" s="33">
        <f t="shared" si="14"/>
        <v>0</v>
      </c>
      <c r="Q33" s="33">
        <f t="shared" si="14"/>
        <v>0</v>
      </c>
      <c r="R33" s="33">
        <f t="shared" si="14"/>
        <v>0</v>
      </c>
      <c r="S33" s="33">
        <f t="shared" si="14"/>
        <v>0</v>
      </c>
      <c r="T33" s="33">
        <f t="shared" si="14"/>
        <v>0</v>
      </c>
      <c r="U33" s="33">
        <f t="shared" si="14"/>
        <v>0</v>
      </c>
      <c r="V33" s="33">
        <f t="shared" si="14"/>
        <v>0</v>
      </c>
      <c r="W33" s="33">
        <f t="shared" si="14"/>
        <v>0</v>
      </c>
      <c r="X33" s="33">
        <f t="shared" si="14"/>
        <v>0</v>
      </c>
      <c r="Y33" s="33">
        <f t="shared" si="14"/>
        <v>0</v>
      </c>
      <c r="Z33" s="33">
        <f t="shared" si="14"/>
        <v>0</v>
      </c>
      <c r="AA33" s="33">
        <f t="shared" si="14"/>
        <v>0</v>
      </c>
      <c r="AB33" s="33">
        <f t="shared" si="14"/>
        <v>0</v>
      </c>
      <c r="AC33" s="33">
        <f t="shared" si="14"/>
        <v>0</v>
      </c>
      <c r="AD33" s="33">
        <f t="shared" si="14"/>
        <v>0</v>
      </c>
      <c r="AE33" s="33">
        <f t="shared" si="14"/>
        <v>0</v>
      </c>
      <c r="AF33" s="33">
        <f t="shared" si="14"/>
        <v>0</v>
      </c>
      <c r="AG33" s="33">
        <f t="shared" si="14"/>
        <v>0</v>
      </c>
      <c r="AH33" s="33">
        <f t="shared" si="14"/>
        <v>0</v>
      </c>
      <c r="AI33" s="33">
        <f t="shared" si="14"/>
        <v>0</v>
      </c>
      <c r="AJ33" s="33">
        <f t="shared" si="14"/>
        <v>0</v>
      </c>
      <c r="AK33" s="33">
        <f t="shared" si="14"/>
        <v>0</v>
      </c>
      <c r="AL33" s="33">
        <f t="shared" si="14"/>
        <v>0</v>
      </c>
      <c r="AM33" s="33">
        <f t="shared" si="14"/>
        <v>0</v>
      </c>
      <c r="AN33" s="33">
        <f t="shared" si="14"/>
        <v>0</v>
      </c>
      <c r="AO33" s="33">
        <f t="shared" si="14"/>
        <v>0</v>
      </c>
      <c r="AP33" s="33">
        <f t="shared" si="14"/>
        <v>0</v>
      </c>
      <c r="AQ33" s="33">
        <f t="shared" si="14"/>
        <v>0</v>
      </c>
      <c r="AR33" s="33">
        <f t="shared" si="14"/>
        <v>0</v>
      </c>
    </row>
    <row r="34" spans="1:46" s="15" customFormat="1" x14ac:dyDescent="0.15">
      <c r="A34" s="37" t="s">
        <v>964</v>
      </c>
      <c r="B34" s="33"/>
      <c r="C34" s="33"/>
      <c r="D34" s="33">
        <f>$C$31*0.01</f>
        <v>12391.026304614645</v>
      </c>
      <c r="E34" s="33">
        <f t="shared" ref="E34:AR34" si="15">$C$31*0.01</f>
        <v>12391.026304614645</v>
      </c>
      <c r="F34" s="33">
        <f t="shared" si="15"/>
        <v>12391.026304614645</v>
      </c>
      <c r="G34" s="33">
        <f t="shared" si="15"/>
        <v>12391.026304614645</v>
      </c>
      <c r="H34" s="33">
        <f t="shared" si="15"/>
        <v>12391.026304614645</v>
      </c>
      <c r="I34" s="33">
        <f t="shared" si="15"/>
        <v>12391.026304614645</v>
      </c>
      <c r="J34" s="33">
        <f t="shared" si="15"/>
        <v>12391.026304614645</v>
      </c>
      <c r="K34" s="33">
        <f t="shared" si="15"/>
        <v>12391.026304614645</v>
      </c>
      <c r="L34" s="33">
        <f t="shared" si="15"/>
        <v>12391.026304614645</v>
      </c>
      <c r="M34" s="33">
        <f t="shared" si="15"/>
        <v>12391.026304614645</v>
      </c>
      <c r="N34" s="33">
        <f t="shared" si="15"/>
        <v>12391.026304614645</v>
      </c>
      <c r="O34" s="33">
        <f t="shared" si="15"/>
        <v>12391.026304614645</v>
      </c>
      <c r="P34" s="33">
        <f t="shared" si="15"/>
        <v>12391.026304614645</v>
      </c>
      <c r="Q34" s="33">
        <f t="shared" si="15"/>
        <v>12391.026304614645</v>
      </c>
      <c r="R34" s="33">
        <f t="shared" si="15"/>
        <v>12391.026304614645</v>
      </c>
      <c r="S34" s="33">
        <f t="shared" si="15"/>
        <v>12391.026304614645</v>
      </c>
      <c r="T34" s="33">
        <f t="shared" si="15"/>
        <v>12391.026304614645</v>
      </c>
      <c r="U34" s="33">
        <f t="shared" si="15"/>
        <v>12391.026304614645</v>
      </c>
      <c r="V34" s="33">
        <f t="shared" si="15"/>
        <v>12391.026304614645</v>
      </c>
      <c r="W34" s="33">
        <f t="shared" si="15"/>
        <v>12391.026304614645</v>
      </c>
      <c r="X34" s="33">
        <f t="shared" si="15"/>
        <v>12391.026304614645</v>
      </c>
      <c r="Y34" s="33">
        <f t="shared" si="15"/>
        <v>12391.026304614645</v>
      </c>
      <c r="Z34" s="33">
        <f t="shared" si="15"/>
        <v>12391.026304614645</v>
      </c>
      <c r="AA34" s="33">
        <f t="shared" si="15"/>
        <v>12391.026304614645</v>
      </c>
      <c r="AB34" s="33">
        <f t="shared" si="15"/>
        <v>12391.026304614645</v>
      </c>
      <c r="AC34" s="33">
        <f t="shared" si="15"/>
        <v>12391.026304614645</v>
      </c>
      <c r="AD34" s="33">
        <f t="shared" si="15"/>
        <v>12391.026304614645</v>
      </c>
      <c r="AE34" s="33">
        <f t="shared" si="15"/>
        <v>12391.026304614645</v>
      </c>
      <c r="AF34" s="33">
        <f t="shared" si="15"/>
        <v>12391.026304614645</v>
      </c>
      <c r="AG34" s="33">
        <f t="shared" si="15"/>
        <v>12391.026304614645</v>
      </c>
      <c r="AH34" s="33">
        <f t="shared" si="15"/>
        <v>12391.026304614645</v>
      </c>
      <c r="AI34" s="33">
        <f t="shared" si="15"/>
        <v>12391.026304614645</v>
      </c>
      <c r="AJ34" s="33">
        <f t="shared" si="15"/>
        <v>12391.026304614645</v>
      </c>
      <c r="AK34" s="33">
        <f t="shared" si="15"/>
        <v>12391.026304614645</v>
      </c>
      <c r="AL34" s="33">
        <f t="shared" si="15"/>
        <v>12391.026304614645</v>
      </c>
      <c r="AM34" s="33">
        <f t="shared" si="15"/>
        <v>12391.026304614645</v>
      </c>
      <c r="AN34" s="33">
        <f t="shared" si="15"/>
        <v>12391.026304614645</v>
      </c>
      <c r="AO34" s="33">
        <f t="shared" si="15"/>
        <v>12391.026304614645</v>
      </c>
      <c r="AP34" s="33">
        <f t="shared" si="15"/>
        <v>12391.026304614645</v>
      </c>
      <c r="AQ34" s="33">
        <f t="shared" si="15"/>
        <v>12391.026304614645</v>
      </c>
      <c r="AR34" s="33">
        <f t="shared" si="15"/>
        <v>12391.026304614645</v>
      </c>
    </row>
    <row r="35" spans="1:46" s="15" customFormat="1" x14ac:dyDescent="0.15">
      <c r="A35" s="37" t="s">
        <v>889</v>
      </c>
      <c r="B35" s="33"/>
      <c r="C35" s="33">
        <f t="shared" ref="C35:AR35" si="16">IF(C31-B31+B32&gt;0,C31-B31+B32,0)</f>
        <v>0</v>
      </c>
      <c r="D35" s="33">
        <f t="shared" si="16"/>
        <v>47775.68055625922</v>
      </c>
      <c r="E35" s="33">
        <f t="shared" si="16"/>
        <v>28173.512148775957</v>
      </c>
      <c r="F35" s="33">
        <f t="shared" si="16"/>
        <v>27519.558450936205</v>
      </c>
      <c r="G35" s="33">
        <f t="shared" si="16"/>
        <v>26865.780321295239</v>
      </c>
      <c r="H35" s="33">
        <f t="shared" si="16"/>
        <v>26213.065652378467</v>
      </c>
      <c r="I35" s="33">
        <f t="shared" si="16"/>
        <v>25562.527755738334</v>
      </c>
      <c r="J35" s="33">
        <f t="shared" si="16"/>
        <v>24915.091786587476</v>
      </c>
      <c r="K35" s="33">
        <f t="shared" si="16"/>
        <v>24271.864779254985</v>
      </c>
      <c r="L35" s="33">
        <f t="shared" si="16"/>
        <v>23633.947255830844</v>
      </c>
      <c r="M35" s="33">
        <f t="shared" si="16"/>
        <v>23002.470026050793</v>
      </c>
      <c r="N35" s="33">
        <f t="shared" si="16"/>
        <v>22378.613943332904</v>
      </c>
      <c r="O35" s="33">
        <f t="shared" si="16"/>
        <v>21763.59188657939</v>
      </c>
      <c r="P35" s="33">
        <f t="shared" si="16"/>
        <v>21158.713073054427</v>
      </c>
      <c r="Q35" s="33">
        <f t="shared" si="16"/>
        <v>20565.220931028114</v>
      </c>
      <c r="R35" s="33">
        <f t="shared" si="16"/>
        <v>19984.528180817939</v>
      </c>
      <c r="S35" s="33">
        <f t="shared" si="16"/>
        <v>19418.032932277867</v>
      </c>
      <c r="T35" s="33">
        <f t="shared" si="16"/>
        <v>18867.144496058212</v>
      </c>
      <c r="U35" s="33">
        <f t="shared" si="16"/>
        <v>18333.403086836781</v>
      </c>
      <c r="V35" s="33">
        <f t="shared" si="16"/>
        <v>17818.312047803174</v>
      </c>
      <c r="W35" s="33">
        <f t="shared" si="16"/>
        <v>17323.477888621954</v>
      </c>
      <c r="X35" s="33">
        <f t="shared" si="16"/>
        <v>16850.56424674681</v>
      </c>
      <c r="Y35" s="33">
        <f t="shared" si="16"/>
        <v>16401.29599092701</v>
      </c>
      <c r="Z35" s="33">
        <f t="shared" si="16"/>
        <v>15977.356473652744</v>
      </c>
      <c r="AA35" s="33">
        <f t="shared" si="16"/>
        <v>15580.599703400494</v>
      </c>
      <c r="AB35" s="33">
        <f t="shared" si="16"/>
        <v>15212.886139835096</v>
      </c>
      <c r="AC35" s="33">
        <f t="shared" si="16"/>
        <v>14876.149967378104</v>
      </c>
      <c r="AD35" s="33">
        <f t="shared" si="16"/>
        <v>14572.287658555299</v>
      </c>
      <c r="AE35" s="33">
        <f t="shared" si="16"/>
        <v>14303.47554483647</v>
      </c>
      <c r="AF35" s="33">
        <f t="shared" si="16"/>
        <v>14071.712043813062</v>
      </c>
      <c r="AG35" s="33">
        <f t="shared" si="16"/>
        <v>13879.204367257287</v>
      </c>
      <c r="AH35" s="33">
        <f t="shared" si="16"/>
        <v>13728.196977806841</v>
      </c>
      <c r="AI35" s="33">
        <f t="shared" si="16"/>
        <v>13620.876120532728</v>
      </c>
      <c r="AJ35" s="33">
        <f t="shared" si="16"/>
        <v>13559.776073691999</v>
      </c>
      <c r="AK35" s="33">
        <f t="shared" si="16"/>
        <v>13547.174552833061</v>
      </c>
      <c r="AL35" s="33">
        <f t="shared" si="16"/>
        <v>13585.649844926647</v>
      </c>
      <c r="AM35" s="33">
        <f t="shared" si="16"/>
        <v>13677.777190678618</v>
      </c>
      <c r="AN35" s="33">
        <f t="shared" si="16"/>
        <v>13826.120328141009</v>
      </c>
      <c r="AO35" s="33">
        <f t="shared" si="16"/>
        <v>14033.475322569586</v>
      </c>
      <c r="AP35" s="33">
        <f t="shared" si="16"/>
        <v>14302.576364804623</v>
      </c>
      <c r="AQ35" s="33">
        <f t="shared" si="16"/>
        <v>14636.409238954639</v>
      </c>
      <c r="AR35" s="33">
        <f t="shared" si="16"/>
        <v>15037.800212380342</v>
      </c>
    </row>
    <row r="36" spans="1:46" s="15" customFormat="1" x14ac:dyDescent="0.15">
      <c r="A36" s="37" t="s">
        <v>832</v>
      </c>
      <c r="B36" s="33">
        <v>0</v>
      </c>
      <c r="C36" s="33">
        <f>SUM($C35:C35)</f>
        <v>0</v>
      </c>
      <c r="D36" s="33">
        <f>SUM($C35:D35)</f>
        <v>47775.68055625922</v>
      </c>
      <c r="E36" s="33">
        <f>SUM($C35:E35)</f>
        <v>75949.192705035181</v>
      </c>
      <c r="F36" s="33">
        <f>SUM($C35:F35)</f>
        <v>103468.75115597139</v>
      </c>
      <c r="G36" s="33">
        <f>SUM($C35:G35)</f>
        <v>130334.53147726663</v>
      </c>
      <c r="H36" s="33">
        <f>SUM($C35:H35)</f>
        <v>156547.59712964509</v>
      </c>
      <c r="I36" s="33">
        <f>SUM($C35:I35)</f>
        <v>182110.12488538341</v>
      </c>
      <c r="J36" s="33">
        <f>SUM($C35:J35)</f>
        <v>207025.21667197088</v>
      </c>
      <c r="K36" s="33">
        <f>SUM($C35:K35)</f>
        <v>231297.08145122585</v>
      </c>
      <c r="L36" s="33">
        <f>SUM($C35:L35)</f>
        <v>254931.02870705668</v>
      </c>
      <c r="M36" s="33">
        <f>SUM($C35:M35)</f>
        <v>277933.49873310747</v>
      </c>
      <c r="N36" s="33">
        <f>SUM($C35:N35)</f>
        <v>300312.11267644039</v>
      </c>
      <c r="O36" s="33">
        <f>SUM($C35:O35)</f>
        <v>322075.7045630198</v>
      </c>
      <c r="P36" s="33">
        <f>SUM($C35:P35)</f>
        <v>343234.41763607424</v>
      </c>
      <c r="Q36" s="33">
        <f>SUM($C35:Q35)</f>
        <v>363799.63856710237</v>
      </c>
      <c r="R36" s="33">
        <f>SUM($C35:R35)</f>
        <v>383784.16674792033</v>
      </c>
      <c r="S36" s="33">
        <f>SUM($C35:S35)</f>
        <v>403202.19968019822</v>
      </c>
      <c r="T36" s="33">
        <f>SUM($C35:T35)</f>
        <v>422069.34417625645</v>
      </c>
      <c r="U36" s="33">
        <f>SUM($C35:U35)</f>
        <v>440402.74726309325</v>
      </c>
      <c r="V36" s="33">
        <f>SUM($C35:V35)</f>
        <v>458221.05931089644</v>
      </c>
      <c r="W36" s="33">
        <f>SUM($C35:W35)</f>
        <v>475544.53719951841</v>
      </c>
      <c r="X36" s="33">
        <f>SUM($C35:X35)</f>
        <v>492395.10144626524</v>
      </c>
      <c r="Y36" s="33">
        <f>SUM($C35:Y35)</f>
        <v>508796.39743719227</v>
      </c>
      <c r="Z36" s="33">
        <f>SUM($C35:Z35)</f>
        <v>524773.75391084503</v>
      </c>
      <c r="AA36" s="33">
        <f>SUM($C35:AA35)</f>
        <v>540354.35361424554</v>
      </c>
      <c r="AB36" s="33">
        <f>SUM($C35:AB35)</f>
        <v>555567.23975408066</v>
      </c>
      <c r="AC36" s="33">
        <f>SUM($C35:AC35)</f>
        <v>570443.38972145878</v>
      </c>
      <c r="AD36" s="33">
        <f>SUM($C35:AD35)</f>
        <v>585015.67738001409</v>
      </c>
      <c r="AE36" s="33">
        <f>SUM($C35:AE35)</f>
        <v>599319.15292485058</v>
      </c>
      <c r="AF36" s="33">
        <f>SUM($C35:AF35)</f>
        <v>613390.86496866366</v>
      </c>
      <c r="AG36" s="33">
        <f>SUM($C35:AG35)</f>
        <v>627270.06933592097</v>
      </c>
      <c r="AH36" s="33">
        <f>SUM($C35:AH35)</f>
        <v>640998.26631372783</v>
      </c>
      <c r="AI36" s="33">
        <f>SUM($C35:AI35)</f>
        <v>654619.14243426058</v>
      </c>
      <c r="AJ36" s="33">
        <f>SUM($C35:AJ35)</f>
        <v>668178.91850795259</v>
      </c>
      <c r="AK36" s="33">
        <f>SUM($C35:AK35)</f>
        <v>681726.09306078567</v>
      </c>
      <c r="AL36" s="33">
        <f>SUM($C35:AL35)</f>
        <v>695311.74290571234</v>
      </c>
      <c r="AM36" s="33">
        <f>SUM($C35:AM35)</f>
        <v>708989.52009639097</v>
      </c>
      <c r="AN36" s="33">
        <f>SUM($C35:AN35)</f>
        <v>722815.640424532</v>
      </c>
      <c r="AO36" s="33">
        <f>SUM($C35:AO35)</f>
        <v>736849.1157471016</v>
      </c>
      <c r="AP36" s="33">
        <f>SUM($C35:AP35)</f>
        <v>751151.69211190625</v>
      </c>
      <c r="AQ36" s="33">
        <f>SUM($C35:AQ35)</f>
        <v>765788.1013508609</v>
      </c>
      <c r="AR36" s="33">
        <f>SUM($C35:AR35)</f>
        <v>780825.90156324126</v>
      </c>
    </row>
    <row r="37" spans="1:46" s="15" customFormat="1" x14ac:dyDescent="0.15">
      <c r="A37" s="37" t="s">
        <v>833</v>
      </c>
      <c r="B37" s="33">
        <f>$B31-SUM(A32:$B32)-SUM(A33:$B33)-SUM(A34:$B34)</f>
        <v>1242937.6922243796</v>
      </c>
      <c r="C37" s="33">
        <f>$B31-SUM($B32:B32)-SUM($B33:B33)-SUM($B34:B34)</f>
        <v>1242937.6922243796</v>
      </c>
      <c r="D37" s="33">
        <f>$B31-SUM($B32:C32)-SUM($B33:C33)-SUM($B34:C34)</f>
        <v>1230214.6683154344</v>
      </c>
      <c r="E37" s="33">
        <f>$B31-SUM($B32:D32)-SUM($B33:D33)-SUM($B34:D34)</f>
        <v>1208935.6798647898</v>
      </c>
      <c r="F37" s="33">
        <f>$B31-SUM($B32:E32)-SUM($B33:E33)-SUM($B34:E34)</f>
        <v>1187656.6914141453</v>
      </c>
      <c r="G37" s="33">
        <f>$B31-SUM($B32:F32)-SUM($B33:F33)-SUM($B34:F34)</f>
        <v>1166377.7029635007</v>
      </c>
      <c r="H37" s="33">
        <f>$B31-SUM($B32:G32)-SUM($B33:G33)-SUM($B34:G34)</f>
        <v>1145098.714512856</v>
      </c>
      <c r="I37" s="33">
        <f>$B31-SUM($B32:H32)-SUM($B33:H33)-SUM($B34:H34)</f>
        <v>1123819.7260622117</v>
      </c>
      <c r="J37" s="33">
        <f>$B31-SUM($B32:I32)-SUM($B33:I33)-SUM($B34:I34)</f>
        <v>1102540.7376115671</v>
      </c>
      <c r="K37" s="33">
        <f>$B31-SUM($B32:J32)-SUM($B33:J33)-SUM($B34:J34)</f>
        <v>1081261.7491609226</v>
      </c>
      <c r="L37" s="33">
        <f>$B31-SUM($B32:K32)-SUM($B33:K33)-SUM($B34:K34)</f>
        <v>1059982.7607102781</v>
      </c>
      <c r="M37" s="33">
        <f>$B31-SUM($B32:L32)-SUM($B33:L33)-SUM($B34:L34)</f>
        <v>1038703.7722596334</v>
      </c>
      <c r="N37" s="33">
        <f>$B31-SUM($B32:M32)-SUM($B33:M33)-SUM($B34:M34)</f>
        <v>1017424.7838089889</v>
      </c>
      <c r="O37" s="33">
        <f>$B31-SUM($B32:N32)-SUM($B33:N33)-SUM($B34:N34)</f>
        <v>996145.79535834421</v>
      </c>
      <c r="P37" s="33">
        <f>$B31-SUM($B32:O32)-SUM($B33:O33)-SUM($B34:O34)</f>
        <v>974866.80690769979</v>
      </c>
      <c r="Q37" s="33">
        <f>$B31-SUM($B32:P32)-SUM($B33:P33)-SUM($B34:P34)</f>
        <v>953587.81845705537</v>
      </c>
      <c r="R37" s="33">
        <f>$B31-SUM($B32:Q32)-SUM($B33:Q33)-SUM($B34:Q34)</f>
        <v>932308.8300064106</v>
      </c>
      <c r="S37" s="33">
        <f>$B31-SUM($B32:R32)-SUM($B33:R33)-SUM($B34:R34)</f>
        <v>911029.84155576618</v>
      </c>
      <c r="T37" s="33">
        <f>$B31-SUM($B32:S32)-SUM($B33:S33)-SUM($B34:S34)</f>
        <v>889750.85310512153</v>
      </c>
      <c r="U37" s="33">
        <f>$B31-SUM($B32:T32)-SUM($B33:T33)-SUM($B34:T34)</f>
        <v>868471.86465447699</v>
      </c>
      <c r="V37" s="33">
        <f>$B31-SUM($B32:U32)-SUM($B33:U33)-SUM($B34:U34)</f>
        <v>847192.87620383257</v>
      </c>
      <c r="W37" s="33">
        <f>$B31-SUM($B32:V32)-SUM($B33:V33)-SUM($B34:V34)</f>
        <v>825913.88775318791</v>
      </c>
      <c r="X37" s="33">
        <f>$B31-SUM($B32:W32)-SUM($B33:W33)-SUM($B34:W34)</f>
        <v>804634.89930254349</v>
      </c>
      <c r="Y37" s="33">
        <f>$B31-SUM($B32:X32)-SUM($B33:X33)-SUM($B34:X34)</f>
        <v>783355.91085189907</v>
      </c>
      <c r="Z37" s="33">
        <f>$B31-SUM($B32:Y32)-SUM($B33:Y33)-SUM($B34:Y34)</f>
        <v>762076.92240125441</v>
      </c>
      <c r="AA37" s="33">
        <f>$B31-SUM($B32:Z32)-SUM($B33:Z33)-SUM($B34:Z34)</f>
        <v>740797.93395060999</v>
      </c>
      <c r="AB37" s="33">
        <f>$B31-SUM($B32:AA32)-SUM($B33:AA33)-SUM($B34:AA34)</f>
        <v>719518.94549996534</v>
      </c>
      <c r="AC37" s="33">
        <f>$B31-SUM($B32:AB32)-SUM($B33:AB33)-SUM($B34:AB34)</f>
        <v>698239.95704932068</v>
      </c>
      <c r="AD37" s="33">
        <f>$B31-SUM($B32:AC32)-SUM($B33:AC33)-SUM($B34:AC34)</f>
        <v>676960.96859867615</v>
      </c>
      <c r="AE37" s="33">
        <f>$B31-SUM($B32:AD32)-SUM($B33:AD33)-SUM($B34:AD34)</f>
        <v>655681.98014803161</v>
      </c>
      <c r="AF37" s="33">
        <f>$B31-SUM($B32:AE32)-SUM($B33:AE33)-SUM($B34:AE34)</f>
        <v>634402.99169738707</v>
      </c>
      <c r="AG37" s="33">
        <f>$B31-SUM($B32:AF32)-SUM($B33:AF33)-SUM($B34:AF34)</f>
        <v>613124.0032467423</v>
      </c>
      <c r="AH37" s="33">
        <f>$B31-SUM($B32:AG32)-SUM($B33:AG33)-SUM($B34:AG34)</f>
        <v>591845.01479609788</v>
      </c>
      <c r="AI37" s="33">
        <f>$B31-SUM($B32:AH32)-SUM($B33:AH33)-SUM($B34:AH34)</f>
        <v>570566.02634545323</v>
      </c>
      <c r="AJ37" s="33">
        <f>$B31-SUM($B32:AI32)-SUM($B33:AI33)-SUM($B34:AI34)</f>
        <v>549287.03789480869</v>
      </c>
      <c r="AK37" s="33">
        <f>$B31-SUM($B32:AJ32)-SUM($B33:AJ33)-SUM($B34:AJ34)</f>
        <v>528008.04944416392</v>
      </c>
      <c r="AL37" s="33">
        <f>$B31-SUM($B32:AK32)-SUM($B33:AK33)-SUM($B34:AK34)</f>
        <v>506729.0609935195</v>
      </c>
      <c r="AM37" s="33">
        <f>$B31-SUM($B32:AL32)-SUM($B33:AL33)-SUM($B34:AL34)</f>
        <v>485450.07254287478</v>
      </c>
      <c r="AN37" s="33">
        <f>$B31-SUM($B32:AM32)-SUM($B33:AM33)-SUM($B34:AM34)</f>
        <v>464171.0840922303</v>
      </c>
      <c r="AO37" s="33">
        <f>$B31-SUM($B32:AN32)-SUM($B33:AN33)-SUM($B34:AN34)</f>
        <v>442892.09564158559</v>
      </c>
      <c r="AP37" s="33">
        <f>$B31-SUM($B32:AO32)-SUM($B33:AO33)-SUM($B34:AO34)</f>
        <v>421613.10719094111</v>
      </c>
      <c r="AQ37" s="33">
        <f>$B31-SUM($B32:AP32)-SUM($B33:AP33)-SUM($B34:AP34)</f>
        <v>400334.1187402964</v>
      </c>
      <c r="AR37" s="33">
        <f>$B31-SUM($B32:AQ32)-SUM($B33:AQ33)-SUM($B34:AQ34)</f>
        <v>379055.13028965192</v>
      </c>
    </row>
    <row r="38" spans="1:46" s="15" customFormat="1" x14ac:dyDescent="0.15">
      <c r="A38" s="38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</row>
    <row r="39" spans="1:46" s="19" customFormat="1" x14ac:dyDescent="0.15">
      <c r="A39" s="37"/>
      <c r="B39" s="35">
        <v>2018</v>
      </c>
      <c r="C39" s="35">
        <v>2019</v>
      </c>
      <c r="D39" s="35">
        <v>2020</v>
      </c>
      <c r="E39" s="35">
        <v>2021</v>
      </c>
      <c r="F39" s="35">
        <v>2022</v>
      </c>
      <c r="G39" s="35">
        <v>2023</v>
      </c>
      <c r="H39" s="35">
        <v>2024</v>
      </c>
      <c r="I39" s="35">
        <v>2025</v>
      </c>
      <c r="J39" s="35">
        <v>2026</v>
      </c>
      <c r="K39" s="35">
        <v>2027</v>
      </c>
      <c r="L39" s="35">
        <v>2028</v>
      </c>
      <c r="M39" s="35">
        <v>2029</v>
      </c>
      <c r="N39" s="35">
        <v>2030</v>
      </c>
      <c r="O39" s="35">
        <v>2031</v>
      </c>
      <c r="P39" s="35">
        <v>2032</v>
      </c>
      <c r="Q39" s="35">
        <v>2033</v>
      </c>
      <c r="R39" s="35">
        <v>2034</v>
      </c>
      <c r="S39" s="35">
        <v>2035</v>
      </c>
      <c r="T39" s="35">
        <v>2036</v>
      </c>
      <c r="U39" s="35">
        <v>2037</v>
      </c>
      <c r="V39" s="35">
        <v>2038</v>
      </c>
      <c r="W39" s="35">
        <v>2039</v>
      </c>
      <c r="X39" s="35">
        <v>2040</v>
      </c>
      <c r="Y39" s="35">
        <v>2041</v>
      </c>
      <c r="Z39" s="35">
        <v>2042</v>
      </c>
      <c r="AA39" s="35">
        <v>2043</v>
      </c>
      <c r="AB39" s="35">
        <v>2044</v>
      </c>
      <c r="AC39" s="35">
        <v>2045</v>
      </c>
      <c r="AD39" s="35">
        <v>2046</v>
      </c>
      <c r="AE39" s="35">
        <v>2047</v>
      </c>
      <c r="AF39" s="35">
        <v>2048</v>
      </c>
      <c r="AG39" s="35">
        <v>2049</v>
      </c>
      <c r="AH39" s="35">
        <v>2050</v>
      </c>
      <c r="AI39" s="35">
        <v>2051</v>
      </c>
      <c r="AJ39" s="35">
        <v>2052</v>
      </c>
      <c r="AK39" s="35">
        <v>2053</v>
      </c>
      <c r="AL39" s="35">
        <v>2054</v>
      </c>
      <c r="AM39" s="35">
        <v>2055</v>
      </c>
      <c r="AN39" s="35">
        <v>2056</v>
      </c>
      <c r="AO39" s="35">
        <v>2057</v>
      </c>
      <c r="AP39" s="35">
        <v>2058</v>
      </c>
      <c r="AQ39" s="35">
        <v>2059</v>
      </c>
      <c r="AR39" s="35">
        <v>2060</v>
      </c>
    </row>
    <row r="40" spans="1:46" s="15" customFormat="1" x14ac:dyDescent="0.15">
      <c r="A40" s="37" t="s">
        <v>886</v>
      </c>
      <c r="B40" s="33">
        <f>D51*人口变化预测!D7/10000</f>
        <v>516215.95793858898</v>
      </c>
      <c r="C40" s="33">
        <f>E51*人口变化预测!E7/10000</f>
        <v>510969.35834055254</v>
      </c>
      <c r="D40" s="33">
        <f>F51*人口变化预测!F7/10000</f>
        <v>527005.50581931509</v>
      </c>
      <c r="E40" s="33">
        <f>G51*人口变化预测!G7/10000</f>
        <v>534958.29751541384</v>
      </c>
      <c r="F40" s="33">
        <f>H51*人口变化预测!H7/10000</f>
        <v>542641.41800498357</v>
      </c>
      <c r="G40" s="33">
        <f>I51*人口变化预测!I7/10000</f>
        <v>550054.93968716846</v>
      </c>
      <c r="H40" s="33">
        <f>J51*人口变化预测!J7/10000</f>
        <v>557199.30110178806</v>
      </c>
      <c r="I40" s="33">
        <f>K51*人口变化预测!K7/10000</f>
        <v>564075.3998854917</v>
      </c>
      <c r="J40" s="33">
        <f>L51*人口变化预测!L7/10000</f>
        <v>570684.5151816369</v>
      </c>
      <c r="K40" s="33">
        <f>M51*人口变化预测!M7/10000</f>
        <v>577028.38264186902</v>
      </c>
      <c r="L40" s="33">
        <f>N51*人口变化预测!N7/10000</f>
        <v>583109.19174066687</v>
      </c>
      <c r="M40" s="33">
        <f>O51*人口变化预测!O7/10000</f>
        <v>588929.59826507315</v>
      </c>
      <c r="N40" s="33">
        <f>P51*人口变化预测!P7/10000</f>
        <v>594492.74495123292</v>
      </c>
      <c r="O40" s="33">
        <f>Q51*人口变化预测!Q7/10000</f>
        <v>599802.2746907582</v>
      </c>
      <c r="P40" s="33">
        <f>R51*人口变化预测!R7/10000</f>
        <v>604862.37025782466</v>
      </c>
      <c r="Q40" s="33">
        <f>S51*人口变化预测!S7/10000</f>
        <v>609677.72717973276</v>
      </c>
      <c r="R40" s="33">
        <f>T51*人口变化预测!T7/10000</f>
        <v>614253.62354795192</v>
      </c>
      <c r="S40" s="33">
        <f>U51*人口变化预测!U7/10000</f>
        <v>618595.9139931961</v>
      </c>
      <c r="T40" s="33">
        <f>V51*人口变化预测!V7/10000</f>
        <v>622711.03430430242</v>
      </c>
      <c r="U40" s="33">
        <f>W51*人口变化预测!W7/10000</f>
        <v>626606.05540918885</v>
      </c>
      <c r="V40" s="33">
        <f>X51*人口变化预测!X7/10000</f>
        <v>630288.66817014012</v>
      </c>
      <c r="W40" s="33">
        <f>Y51*人口变化预测!Y7/10000</f>
        <v>633767.22592661786</v>
      </c>
      <c r="X40" s="33">
        <f>Z51*人口变化预测!Z7/10000</f>
        <v>637050.76805307553</v>
      </c>
      <c r="Y40" s="33">
        <f>AA51*人口变化预测!AA7/10000</f>
        <v>640149.04520893598</v>
      </c>
      <c r="Z40" s="33">
        <f>AB51*人口变化预测!AB7/10000</f>
        <v>643072.50221851352</v>
      </c>
      <c r="AA40" s="33">
        <f>AC51*人口变化预测!AC7/10000</f>
        <v>645832.34844450536</v>
      </c>
      <c r="AB40" s="33">
        <f>AD51*人口变化预测!AD7/10000</f>
        <v>648440.56044827111</v>
      </c>
      <c r="AC40" s="33">
        <f>AE51*人口变化预测!AE7/10000</f>
        <v>650909.91239174758</v>
      </c>
      <c r="AD40" s="33">
        <f>AF51*人口变化预测!AF7/10000</f>
        <v>653253.96048617561</v>
      </c>
      <c r="AE40" s="33">
        <f>AG51*人口变化预测!AG7/10000</f>
        <v>655487.15839766955</v>
      </c>
      <c r="AF40" s="33">
        <f>AH51*人口变化预测!AH7/10000</f>
        <v>657624.78388078348</v>
      </c>
      <c r="AG40" s="33">
        <f>AI51*人口变化预测!AI7/10000</f>
        <v>659683.02487907198</v>
      </c>
      <c r="AH40" s="33">
        <f>AJ51*人口变化预测!AJ7/10000</f>
        <v>661678.99488624535</v>
      </c>
      <c r="AI40" s="33">
        <f>AK51*人口变化预测!AK7/10000</f>
        <v>663630.70893896429</v>
      </c>
      <c r="AJ40" s="33">
        <f>AL51*人口变化预测!AL7/10000</f>
        <v>665557.22713545547</v>
      </c>
      <c r="AK40" s="33">
        <f>AM51*人口变化预测!AM7/10000</f>
        <v>667478.54883662064</v>
      </c>
      <c r="AL40" s="33">
        <f>AN51*人口变化预测!AN7/10000</f>
        <v>669415.73661282251</v>
      </c>
      <c r="AM40" s="33">
        <f>AO51*人口变化预测!AO7/10000</f>
        <v>671390.91498769412</v>
      </c>
      <c r="AN40" s="33">
        <f>AP51*人口变化预测!AP7/10000</f>
        <v>673427.26569478423</v>
      </c>
      <c r="AO40" s="33">
        <f>AQ51*人口变化预测!AQ7/10000</f>
        <v>675549.12348244013</v>
      </c>
      <c r="AP40" s="33">
        <f>AR51*人口变化预测!AR7/10000</f>
        <v>677781.9505986236</v>
      </c>
      <c r="AQ40" s="33">
        <f>AS51*人口变化预测!AS7/10000</f>
        <v>680152.44054055249</v>
      </c>
      <c r="AR40" s="33">
        <f>AT51*人口变化预测!AT7/10000</f>
        <v>682688.4522746983</v>
      </c>
    </row>
    <row r="41" spans="1:46" s="15" customFormat="1" x14ac:dyDescent="0.15">
      <c r="A41" s="37" t="s">
        <v>957</v>
      </c>
      <c r="B41" s="33">
        <f>$B40*0.71%</f>
        <v>3665.1333013639814</v>
      </c>
      <c r="C41" s="33">
        <f t="shared" ref="C41:AR41" si="17">$B40*0.71%</f>
        <v>3665.1333013639814</v>
      </c>
      <c r="D41" s="33">
        <f t="shared" si="17"/>
        <v>3665.1333013639814</v>
      </c>
      <c r="E41" s="33">
        <f t="shared" si="17"/>
        <v>3665.1333013639814</v>
      </c>
      <c r="F41" s="33">
        <f t="shared" si="17"/>
        <v>3665.1333013639814</v>
      </c>
      <c r="G41" s="33">
        <f t="shared" si="17"/>
        <v>3665.1333013639814</v>
      </c>
      <c r="H41" s="33">
        <f t="shared" si="17"/>
        <v>3665.1333013639814</v>
      </c>
      <c r="I41" s="33">
        <f t="shared" si="17"/>
        <v>3665.1333013639814</v>
      </c>
      <c r="J41" s="33">
        <f t="shared" si="17"/>
        <v>3665.1333013639814</v>
      </c>
      <c r="K41" s="33">
        <f t="shared" si="17"/>
        <v>3665.1333013639814</v>
      </c>
      <c r="L41" s="33">
        <f t="shared" si="17"/>
        <v>3665.1333013639814</v>
      </c>
      <c r="M41" s="33">
        <f t="shared" si="17"/>
        <v>3665.1333013639814</v>
      </c>
      <c r="N41" s="33">
        <f t="shared" si="17"/>
        <v>3665.1333013639814</v>
      </c>
      <c r="O41" s="33">
        <f t="shared" si="17"/>
        <v>3665.1333013639814</v>
      </c>
      <c r="P41" s="33">
        <f t="shared" si="17"/>
        <v>3665.1333013639814</v>
      </c>
      <c r="Q41" s="33">
        <f t="shared" si="17"/>
        <v>3665.1333013639814</v>
      </c>
      <c r="R41" s="33">
        <f t="shared" si="17"/>
        <v>3665.1333013639814</v>
      </c>
      <c r="S41" s="33">
        <f t="shared" si="17"/>
        <v>3665.1333013639814</v>
      </c>
      <c r="T41" s="33">
        <f t="shared" si="17"/>
        <v>3665.1333013639814</v>
      </c>
      <c r="U41" s="33">
        <f t="shared" si="17"/>
        <v>3665.1333013639814</v>
      </c>
      <c r="V41" s="33">
        <f t="shared" si="17"/>
        <v>3665.1333013639814</v>
      </c>
      <c r="W41" s="33">
        <f t="shared" si="17"/>
        <v>3665.1333013639814</v>
      </c>
      <c r="X41" s="33">
        <f t="shared" si="17"/>
        <v>3665.1333013639814</v>
      </c>
      <c r="Y41" s="33">
        <f t="shared" si="17"/>
        <v>3665.1333013639814</v>
      </c>
      <c r="Z41" s="33">
        <f t="shared" si="17"/>
        <v>3665.1333013639814</v>
      </c>
      <c r="AA41" s="33">
        <f t="shared" si="17"/>
        <v>3665.1333013639814</v>
      </c>
      <c r="AB41" s="33">
        <f t="shared" si="17"/>
        <v>3665.1333013639814</v>
      </c>
      <c r="AC41" s="33">
        <f t="shared" si="17"/>
        <v>3665.1333013639814</v>
      </c>
      <c r="AD41" s="33">
        <f t="shared" si="17"/>
        <v>3665.1333013639814</v>
      </c>
      <c r="AE41" s="33">
        <f t="shared" si="17"/>
        <v>3665.1333013639814</v>
      </c>
      <c r="AF41" s="33">
        <f t="shared" si="17"/>
        <v>3665.1333013639814</v>
      </c>
      <c r="AG41" s="33">
        <f t="shared" si="17"/>
        <v>3665.1333013639814</v>
      </c>
      <c r="AH41" s="33">
        <f t="shared" si="17"/>
        <v>3665.1333013639814</v>
      </c>
      <c r="AI41" s="33">
        <f t="shared" si="17"/>
        <v>3665.1333013639814</v>
      </c>
      <c r="AJ41" s="33">
        <f t="shared" si="17"/>
        <v>3665.1333013639814</v>
      </c>
      <c r="AK41" s="33">
        <f t="shared" si="17"/>
        <v>3665.1333013639814</v>
      </c>
      <c r="AL41" s="33">
        <f t="shared" si="17"/>
        <v>3665.1333013639814</v>
      </c>
      <c r="AM41" s="33">
        <f t="shared" si="17"/>
        <v>3665.1333013639814</v>
      </c>
      <c r="AN41" s="33">
        <f t="shared" si="17"/>
        <v>3665.1333013639814</v>
      </c>
      <c r="AO41" s="33">
        <f t="shared" si="17"/>
        <v>3665.1333013639814</v>
      </c>
      <c r="AP41" s="33">
        <f t="shared" si="17"/>
        <v>3665.1333013639814</v>
      </c>
      <c r="AQ41" s="33">
        <f t="shared" si="17"/>
        <v>3665.1333013639814</v>
      </c>
      <c r="AR41" s="33">
        <f t="shared" si="17"/>
        <v>3665.1333013639814</v>
      </c>
    </row>
    <row r="42" spans="1:46" s="15" customFormat="1" x14ac:dyDescent="0.15">
      <c r="A42" s="37" t="s">
        <v>963</v>
      </c>
      <c r="B42" s="33"/>
      <c r="C42" s="33">
        <f>IF(B40-C40-B41&gt;0,B40-C40-B41,0)</f>
        <v>1581.4662966724572</v>
      </c>
      <c r="D42" s="33">
        <f>IF(C40-D40-C41&gt;0,C40-D40-C41,0)</f>
        <v>0</v>
      </c>
      <c r="E42" s="33">
        <f t="shared" ref="E42:AR42" si="18">IF(D40-E40-D41&gt;0,D40-E40-D41,0)</f>
        <v>0</v>
      </c>
      <c r="F42" s="33">
        <f t="shared" si="18"/>
        <v>0</v>
      </c>
      <c r="G42" s="33">
        <f t="shared" si="18"/>
        <v>0</v>
      </c>
      <c r="H42" s="33">
        <f t="shared" si="18"/>
        <v>0</v>
      </c>
      <c r="I42" s="33">
        <f t="shared" si="18"/>
        <v>0</v>
      </c>
      <c r="J42" s="33">
        <f t="shared" si="18"/>
        <v>0</v>
      </c>
      <c r="K42" s="33">
        <f t="shared" si="18"/>
        <v>0</v>
      </c>
      <c r="L42" s="33">
        <f t="shared" si="18"/>
        <v>0</v>
      </c>
      <c r="M42" s="33">
        <f t="shared" si="18"/>
        <v>0</v>
      </c>
      <c r="N42" s="33">
        <f t="shared" si="18"/>
        <v>0</v>
      </c>
      <c r="O42" s="33">
        <f t="shared" si="18"/>
        <v>0</v>
      </c>
      <c r="P42" s="33">
        <f t="shared" si="18"/>
        <v>0</v>
      </c>
      <c r="Q42" s="33">
        <f t="shared" si="18"/>
        <v>0</v>
      </c>
      <c r="R42" s="33">
        <f t="shared" si="18"/>
        <v>0</v>
      </c>
      <c r="S42" s="33">
        <f t="shared" si="18"/>
        <v>0</v>
      </c>
      <c r="T42" s="33">
        <f t="shared" si="18"/>
        <v>0</v>
      </c>
      <c r="U42" s="33">
        <f t="shared" si="18"/>
        <v>0</v>
      </c>
      <c r="V42" s="33">
        <f t="shared" si="18"/>
        <v>0</v>
      </c>
      <c r="W42" s="33">
        <f t="shared" si="18"/>
        <v>0</v>
      </c>
      <c r="X42" s="33">
        <f t="shared" si="18"/>
        <v>0</v>
      </c>
      <c r="Y42" s="33">
        <f t="shared" si="18"/>
        <v>0</v>
      </c>
      <c r="Z42" s="33">
        <f t="shared" si="18"/>
        <v>0</v>
      </c>
      <c r="AA42" s="33">
        <f t="shared" si="18"/>
        <v>0</v>
      </c>
      <c r="AB42" s="33">
        <f t="shared" si="18"/>
        <v>0</v>
      </c>
      <c r="AC42" s="33">
        <f t="shared" si="18"/>
        <v>0</v>
      </c>
      <c r="AD42" s="33">
        <f t="shared" si="18"/>
        <v>0</v>
      </c>
      <c r="AE42" s="33">
        <f t="shared" si="18"/>
        <v>0</v>
      </c>
      <c r="AF42" s="33">
        <f t="shared" si="18"/>
        <v>0</v>
      </c>
      <c r="AG42" s="33">
        <f t="shared" si="18"/>
        <v>0</v>
      </c>
      <c r="AH42" s="33">
        <f t="shared" si="18"/>
        <v>0</v>
      </c>
      <c r="AI42" s="33">
        <f t="shared" si="18"/>
        <v>0</v>
      </c>
      <c r="AJ42" s="33">
        <f t="shared" si="18"/>
        <v>0</v>
      </c>
      <c r="AK42" s="33">
        <f t="shared" si="18"/>
        <v>0</v>
      </c>
      <c r="AL42" s="33">
        <f t="shared" si="18"/>
        <v>0</v>
      </c>
      <c r="AM42" s="33">
        <f t="shared" si="18"/>
        <v>0</v>
      </c>
      <c r="AN42" s="33">
        <f t="shared" si="18"/>
        <v>0</v>
      </c>
      <c r="AO42" s="33">
        <f t="shared" si="18"/>
        <v>0</v>
      </c>
      <c r="AP42" s="33">
        <f t="shared" si="18"/>
        <v>0</v>
      </c>
      <c r="AQ42" s="33">
        <f t="shared" si="18"/>
        <v>0</v>
      </c>
      <c r="AR42" s="33">
        <f t="shared" si="18"/>
        <v>0</v>
      </c>
    </row>
    <row r="43" spans="1:46" s="15" customFormat="1" x14ac:dyDescent="0.15">
      <c r="A43" s="37" t="s">
        <v>964</v>
      </c>
      <c r="B43" s="33"/>
      <c r="C43" s="33"/>
      <c r="D43" s="33">
        <f>$C$40*0.01</f>
        <v>5109.6935834055257</v>
      </c>
      <c r="E43" s="33">
        <f t="shared" ref="E43:AR43" si="19">$C$40*0.01</f>
        <v>5109.6935834055257</v>
      </c>
      <c r="F43" s="33">
        <f t="shared" si="19"/>
        <v>5109.6935834055257</v>
      </c>
      <c r="G43" s="33">
        <f t="shared" si="19"/>
        <v>5109.6935834055257</v>
      </c>
      <c r="H43" s="33">
        <f t="shared" si="19"/>
        <v>5109.6935834055257</v>
      </c>
      <c r="I43" s="33">
        <f t="shared" si="19"/>
        <v>5109.6935834055257</v>
      </c>
      <c r="J43" s="33">
        <f t="shared" si="19"/>
        <v>5109.6935834055257</v>
      </c>
      <c r="K43" s="33">
        <f t="shared" si="19"/>
        <v>5109.6935834055257</v>
      </c>
      <c r="L43" s="33">
        <f t="shared" si="19"/>
        <v>5109.6935834055257</v>
      </c>
      <c r="M43" s="33">
        <f t="shared" si="19"/>
        <v>5109.6935834055257</v>
      </c>
      <c r="N43" s="33">
        <f t="shared" si="19"/>
        <v>5109.6935834055257</v>
      </c>
      <c r="O43" s="33">
        <f t="shared" si="19"/>
        <v>5109.6935834055257</v>
      </c>
      <c r="P43" s="33">
        <f t="shared" si="19"/>
        <v>5109.6935834055257</v>
      </c>
      <c r="Q43" s="33">
        <f t="shared" si="19"/>
        <v>5109.6935834055257</v>
      </c>
      <c r="R43" s="33">
        <f t="shared" si="19"/>
        <v>5109.6935834055257</v>
      </c>
      <c r="S43" s="33">
        <f t="shared" si="19"/>
        <v>5109.6935834055257</v>
      </c>
      <c r="T43" s="33">
        <f t="shared" si="19"/>
        <v>5109.6935834055257</v>
      </c>
      <c r="U43" s="33">
        <f t="shared" si="19"/>
        <v>5109.6935834055257</v>
      </c>
      <c r="V43" s="33">
        <f t="shared" si="19"/>
        <v>5109.6935834055257</v>
      </c>
      <c r="W43" s="33">
        <f t="shared" si="19"/>
        <v>5109.6935834055257</v>
      </c>
      <c r="X43" s="33">
        <f t="shared" si="19"/>
        <v>5109.6935834055257</v>
      </c>
      <c r="Y43" s="33">
        <f t="shared" si="19"/>
        <v>5109.6935834055257</v>
      </c>
      <c r="Z43" s="33">
        <f t="shared" si="19"/>
        <v>5109.6935834055257</v>
      </c>
      <c r="AA43" s="33">
        <f t="shared" si="19"/>
        <v>5109.6935834055257</v>
      </c>
      <c r="AB43" s="33">
        <f t="shared" si="19"/>
        <v>5109.6935834055257</v>
      </c>
      <c r="AC43" s="33">
        <f t="shared" si="19"/>
        <v>5109.6935834055257</v>
      </c>
      <c r="AD43" s="33">
        <f t="shared" si="19"/>
        <v>5109.6935834055257</v>
      </c>
      <c r="AE43" s="33">
        <f t="shared" si="19"/>
        <v>5109.6935834055257</v>
      </c>
      <c r="AF43" s="33">
        <f t="shared" si="19"/>
        <v>5109.6935834055257</v>
      </c>
      <c r="AG43" s="33">
        <f t="shared" si="19"/>
        <v>5109.6935834055257</v>
      </c>
      <c r="AH43" s="33">
        <f t="shared" si="19"/>
        <v>5109.6935834055257</v>
      </c>
      <c r="AI43" s="33">
        <f t="shared" si="19"/>
        <v>5109.6935834055257</v>
      </c>
      <c r="AJ43" s="33">
        <f t="shared" si="19"/>
        <v>5109.6935834055257</v>
      </c>
      <c r="AK43" s="33">
        <f t="shared" si="19"/>
        <v>5109.6935834055257</v>
      </c>
      <c r="AL43" s="33">
        <f t="shared" si="19"/>
        <v>5109.6935834055257</v>
      </c>
      <c r="AM43" s="33">
        <f t="shared" si="19"/>
        <v>5109.6935834055257</v>
      </c>
      <c r="AN43" s="33">
        <f t="shared" si="19"/>
        <v>5109.6935834055257</v>
      </c>
      <c r="AO43" s="33">
        <f t="shared" si="19"/>
        <v>5109.6935834055257</v>
      </c>
      <c r="AP43" s="33">
        <f t="shared" si="19"/>
        <v>5109.6935834055257</v>
      </c>
      <c r="AQ43" s="33">
        <f t="shared" si="19"/>
        <v>5109.6935834055257</v>
      </c>
      <c r="AR43" s="33">
        <f t="shared" si="19"/>
        <v>5109.6935834055257</v>
      </c>
    </row>
    <row r="44" spans="1:46" s="15" customFormat="1" x14ac:dyDescent="0.15">
      <c r="A44" s="37" t="s">
        <v>889</v>
      </c>
      <c r="B44" s="33"/>
      <c r="C44" s="33">
        <f t="shared" ref="C44:AR44" si="20">IF(C40-B40+B41&gt;0,C40-B40+B41,0)</f>
        <v>0</v>
      </c>
      <c r="D44" s="33">
        <f t="shared" si="20"/>
        <v>19701.28078012653</v>
      </c>
      <c r="E44" s="33">
        <f t="shared" si="20"/>
        <v>11617.924997462731</v>
      </c>
      <c r="F44" s="33">
        <f t="shared" si="20"/>
        <v>11348.253790933712</v>
      </c>
      <c r="G44" s="33">
        <f t="shared" si="20"/>
        <v>11078.654983548869</v>
      </c>
      <c r="H44" s="33">
        <f t="shared" si="20"/>
        <v>10809.494715983587</v>
      </c>
      <c r="I44" s="33">
        <f t="shared" si="20"/>
        <v>10541.232085067619</v>
      </c>
      <c r="J44" s="33">
        <f t="shared" si="20"/>
        <v>10274.248597509184</v>
      </c>
      <c r="K44" s="33">
        <f t="shared" si="20"/>
        <v>10009.000761596093</v>
      </c>
      <c r="L44" s="33">
        <f t="shared" si="20"/>
        <v>9745.9424001618318</v>
      </c>
      <c r="M44" s="33">
        <f t="shared" si="20"/>
        <v>9485.5398257702618</v>
      </c>
      <c r="N44" s="33">
        <f t="shared" si="20"/>
        <v>9228.2799875237542</v>
      </c>
      <c r="O44" s="33">
        <f t="shared" si="20"/>
        <v>8974.663040889267</v>
      </c>
      <c r="P44" s="33">
        <f t="shared" si="20"/>
        <v>8725.2288684304367</v>
      </c>
      <c r="Q44" s="33">
        <f t="shared" si="20"/>
        <v>8480.4902232720779</v>
      </c>
      <c r="R44" s="33">
        <f t="shared" si="20"/>
        <v>8241.0296695831494</v>
      </c>
      <c r="S44" s="33">
        <f t="shared" si="20"/>
        <v>8007.423746608154</v>
      </c>
      <c r="T44" s="33">
        <f t="shared" si="20"/>
        <v>7780.2536124703038</v>
      </c>
      <c r="U44" s="33">
        <f t="shared" si="20"/>
        <v>7560.1544062504108</v>
      </c>
      <c r="V44" s="33">
        <f t="shared" si="20"/>
        <v>7347.7460623152583</v>
      </c>
      <c r="W44" s="33">
        <f t="shared" si="20"/>
        <v>7143.6910578417155</v>
      </c>
      <c r="X44" s="33">
        <f t="shared" si="20"/>
        <v>6948.675427821654</v>
      </c>
      <c r="Y44" s="33">
        <f t="shared" si="20"/>
        <v>6763.410457224425</v>
      </c>
      <c r="Z44" s="33">
        <f t="shared" si="20"/>
        <v>6588.5903109415231</v>
      </c>
      <c r="AA44" s="33">
        <f t="shared" si="20"/>
        <v>6424.9795273558266</v>
      </c>
      <c r="AB44" s="33">
        <f t="shared" si="20"/>
        <v>6273.3453051297256</v>
      </c>
      <c r="AC44" s="33">
        <f t="shared" si="20"/>
        <v>6134.4852448404563</v>
      </c>
      <c r="AD44" s="33">
        <f t="shared" si="20"/>
        <v>6009.1813957920094</v>
      </c>
      <c r="AE44" s="33">
        <f t="shared" si="20"/>
        <v>5898.3312128579273</v>
      </c>
      <c r="AF44" s="33">
        <f t="shared" si="20"/>
        <v>5802.7587844779046</v>
      </c>
      <c r="AG44" s="33">
        <f t="shared" si="20"/>
        <v>5723.3742996524816</v>
      </c>
      <c r="AH44" s="33">
        <f t="shared" si="20"/>
        <v>5661.1033085373492</v>
      </c>
      <c r="AI44" s="33">
        <f t="shared" si="20"/>
        <v>5616.8473540829291</v>
      </c>
      <c r="AJ44" s="33">
        <f t="shared" si="20"/>
        <v>5591.6514978551568</v>
      </c>
      <c r="AK44" s="33">
        <f t="shared" si="20"/>
        <v>5586.4550025291537</v>
      </c>
      <c r="AL44" s="33">
        <f t="shared" si="20"/>
        <v>5602.3210775658517</v>
      </c>
      <c r="AM44" s="33">
        <f t="shared" si="20"/>
        <v>5640.311676235593</v>
      </c>
      <c r="AN44" s="33">
        <f t="shared" si="20"/>
        <v>5701.484008454092</v>
      </c>
      <c r="AO44" s="33">
        <f t="shared" si="20"/>
        <v>5786.9910890198807</v>
      </c>
      <c r="AP44" s="33">
        <f t="shared" si="20"/>
        <v>5897.9604175474524</v>
      </c>
      <c r="AQ44" s="33">
        <f t="shared" si="20"/>
        <v>6035.6232432928664</v>
      </c>
      <c r="AR44" s="33">
        <f t="shared" si="20"/>
        <v>6201.1450355097913</v>
      </c>
    </row>
    <row r="45" spans="1:46" s="15" customFormat="1" x14ac:dyDescent="0.15">
      <c r="A45" s="37" t="s">
        <v>832</v>
      </c>
      <c r="B45" s="33">
        <v>0</v>
      </c>
      <c r="C45" s="33">
        <f>SUM($C44:C44)</f>
        <v>0</v>
      </c>
      <c r="D45" s="33">
        <f>SUM($C44:D44)</f>
        <v>19701.28078012653</v>
      </c>
      <c r="E45" s="33">
        <f>SUM($C44:E44)</f>
        <v>31319.205777589261</v>
      </c>
      <c r="F45" s="33">
        <f>SUM($C44:F44)</f>
        <v>42667.459568522972</v>
      </c>
      <c r="G45" s="33">
        <f>SUM($C44:G44)</f>
        <v>53746.114552071842</v>
      </c>
      <c r="H45" s="33">
        <f>SUM($C44:H44)</f>
        <v>64555.609268055428</v>
      </c>
      <c r="I45" s="33">
        <f>SUM($C44:I44)</f>
        <v>75096.841353123047</v>
      </c>
      <c r="J45" s="33">
        <f>SUM($C44:J44)</f>
        <v>85371.089950632231</v>
      </c>
      <c r="K45" s="33">
        <f>SUM($C44:K44)</f>
        <v>95380.090712228324</v>
      </c>
      <c r="L45" s="33">
        <f>SUM($C44:L44)</f>
        <v>105126.03311239016</v>
      </c>
      <c r="M45" s="33">
        <f>SUM($C44:M44)</f>
        <v>114611.57293816042</v>
      </c>
      <c r="N45" s="33">
        <f>SUM($C44:N44)</f>
        <v>123839.85292568417</v>
      </c>
      <c r="O45" s="33">
        <f>SUM($C44:O44)</f>
        <v>132814.51596657344</v>
      </c>
      <c r="P45" s="33">
        <f>SUM($C44:P44)</f>
        <v>141539.74483500386</v>
      </c>
      <c r="Q45" s="33">
        <f>SUM($C44:Q44)</f>
        <v>150020.23505827592</v>
      </c>
      <c r="R45" s="33">
        <f>SUM($C44:R44)</f>
        <v>158261.26472785906</v>
      </c>
      <c r="S45" s="33">
        <f>SUM($C44:S44)</f>
        <v>166268.6884744672</v>
      </c>
      <c r="T45" s="33">
        <f>SUM($C44:T44)</f>
        <v>174048.94208693749</v>
      </c>
      <c r="U45" s="33">
        <f>SUM($C44:U44)</f>
        <v>181609.09649318788</v>
      </c>
      <c r="V45" s="33">
        <f>SUM($C44:V44)</f>
        <v>188956.84255550313</v>
      </c>
      <c r="W45" s="33">
        <f>SUM($C44:W44)</f>
        <v>196100.53361334483</v>
      </c>
      <c r="X45" s="33">
        <f>SUM($C44:X44)</f>
        <v>203049.20904116647</v>
      </c>
      <c r="Y45" s="33">
        <f>SUM($C44:Y44)</f>
        <v>209812.61949839088</v>
      </c>
      <c r="Z45" s="33">
        <f>SUM($C44:Z44)</f>
        <v>216401.20980933239</v>
      </c>
      <c r="AA45" s="33">
        <f>SUM($C44:AA44)</f>
        <v>222826.1893366882</v>
      </c>
      <c r="AB45" s="33">
        <f>SUM($C44:AB44)</f>
        <v>229099.53464181791</v>
      </c>
      <c r="AC45" s="33">
        <f>SUM($C44:AC44)</f>
        <v>235234.01988665835</v>
      </c>
      <c r="AD45" s="33">
        <f>SUM($C44:AD44)</f>
        <v>241243.20128245035</v>
      </c>
      <c r="AE45" s="33">
        <f>SUM($C44:AE44)</f>
        <v>247141.53249530826</v>
      </c>
      <c r="AF45" s="33">
        <f>SUM($C44:AF44)</f>
        <v>252944.29127978615</v>
      </c>
      <c r="AG45" s="33">
        <f>SUM($C44:AG44)</f>
        <v>258667.66557943862</v>
      </c>
      <c r="AH45" s="33">
        <f>SUM($C44:AH44)</f>
        <v>264328.76888797595</v>
      </c>
      <c r="AI45" s="33">
        <f>SUM($C44:AI44)</f>
        <v>269945.61624205887</v>
      </c>
      <c r="AJ45" s="33">
        <f>SUM($C44:AJ44)</f>
        <v>275537.26773991401</v>
      </c>
      <c r="AK45" s="33">
        <f>SUM($C44:AK44)</f>
        <v>281123.72274244315</v>
      </c>
      <c r="AL45" s="33">
        <f>SUM($C44:AL44)</f>
        <v>286726.04382000898</v>
      </c>
      <c r="AM45" s="33">
        <f>SUM($C44:AM44)</f>
        <v>292366.35549624456</v>
      </c>
      <c r="AN45" s="33">
        <f>SUM($C44:AN44)</f>
        <v>298067.83950469864</v>
      </c>
      <c r="AO45" s="33">
        <f>SUM($C44:AO44)</f>
        <v>303854.83059371851</v>
      </c>
      <c r="AP45" s="33">
        <f>SUM($C44:AP44)</f>
        <v>309752.79101126594</v>
      </c>
      <c r="AQ45" s="33">
        <f>SUM($C44:AQ44)</f>
        <v>315788.4142545588</v>
      </c>
      <c r="AR45" s="33">
        <f>SUM($C44:AR44)</f>
        <v>321989.55929006857</v>
      </c>
    </row>
    <row r="46" spans="1:46" s="15" customFormat="1" x14ac:dyDescent="0.15">
      <c r="A46" s="37" t="s">
        <v>833</v>
      </c>
      <c r="B46" s="33">
        <f>$B40-SUM(A41:$B41)-SUM(A42:$B42)-SUM(A43:$B43)</f>
        <v>512550.82463722501</v>
      </c>
      <c r="C46" s="33">
        <f>$B40-SUM($B41:B41)-SUM($B42:B42)-SUM($B43:B43)</f>
        <v>512550.82463722501</v>
      </c>
      <c r="D46" s="33">
        <f>$B40-SUM($B41:C41)-SUM($B42:C42)-SUM($B43:C43)</f>
        <v>507304.22503918852</v>
      </c>
      <c r="E46" s="33">
        <f>$B40-SUM($B41:D41)-SUM($B42:D42)-SUM($B43:D43)</f>
        <v>498529.39815441903</v>
      </c>
      <c r="F46" s="33">
        <f>$B40-SUM($B41:E41)-SUM($B42:E42)-SUM($B43:E43)</f>
        <v>489754.57126964955</v>
      </c>
      <c r="G46" s="33">
        <f>$B40-SUM($B41:F41)-SUM($B42:F42)-SUM($B43:F43)</f>
        <v>480979.74438488006</v>
      </c>
      <c r="H46" s="33">
        <f>$B40-SUM($B41:G41)-SUM($B42:G42)-SUM($B43:G43)</f>
        <v>472204.91750011058</v>
      </c>
      <c r="I46" s="33">
        <f>$B40-SUM($B41:H41)-SUM($B42:H42)-SUM($B43:H43)</f>
        <v>463430.09061534097</v>
      </c>
      <c r="J46" s="33">
        <f>$B40-SUM($B41:I41)-SUM($B42:I42)-SUM($B43:I43)</f>
        <v>454655.26373057149</v>
      </c>
      <c r="K46" s="33">
        <f>$B40-SUM($B41:J41)-SUM($B42:J42)-SUM($B43:J43)</f>
        <v>445880.436845802</v>
      </c>
      <c r="L46" s="33">
        <f>$B40-SUM($B41:K41)-SUM($B42:K42)-SUM($B43:K43)</f>
        <v>437105.60996103246</v>
      </c>
      <c r="M46" s="33">
        <f>$B40-SUM($B41:L41)-SUM($B42:L42)-SUM($B43:L43)</f>
        <v>428330.78307626297</v>
      </c>
      <c r="N46" s="33">
        <f>$B40-SUM($B41:M41)-SUM($B42:M42)-SUM($B43:M43)</f>
        <v>419555.95619149349</v>
      </c>
      <c r="O46" s="33">
        <f>$B40-SUM($B41:N41)-SUM($B42:N42)-SUM($B43:N43)</f>
        <v>410781.129306724</v>
      </c>
      <c r="P46" s="33">
        <f>$B40-SUM($B41:O41)-SUM($B42:O42)-SUM($B43:O43)</f>
        <v>402006.30242195446</v>
      </c>
      <c r="Q46" s="33">
        <f>$B40-SUM($B41:P41)-SUM($B42:P42)-SUM($B43:P43)</f>
        <v>393231.47553718498</v>
      </c>
      <c r="R46" s="33">
        <f>$B40-SUM($B41:Q41)-SUM($B42:Q42)-SUM($B43:Q43)</f>
        <v>384456.64865241549</v>
      </c>
      <c r="S46" s="33">
        <f>$B40-SUM($B41:R41)-SUM($B42:R42)-SUM($B43:R43)</f>
        <v>375681.821767646</v>
      </c>
      <c r="T46" s="33">
        <f>$B40-SUM($B41:S41)-SUM($B42:S42)-SUM($B43:S43)</f>
        <v>366906.9948828764</v>
      </c>
      <c r="U46" s="33">
        <f>$B40-SUM($B41:T41)-SUM($B42:T42)-SUM($B43:T43)</f>
        <v>358132.16799810692</v>
      </c>
      <c r="V46" s="33">
        <f>$B40-SUM($B41:U41)-SUM($B42:U42)-SUM($B43:U43)</f>
        <v>349357.34111333743</v>
      </c>
      <c r="W46" s="33">
        <f>$B40-SUM($B41:V41)-SUM($B42:V42)-SUM($B43:V43)</f>
        <v>340582.51422856795</v>
      </c>
      <c r="X46" s="33">
        <f>$B40-SUM($B41:W41)-SUM($B42:W42)-SUM($B43:W43)</f>
        <v>331807.68734379846</v>
      </c>
      <c r="Y46" s="33">
        <f>$B40-SUM($B41:X41)-SUM($B42:X42)-SUM($B43:X43)</f>
        <v>323032.86045902898</v>
      </c>
      <c r="Z46" s="33">
        <f>$B40-SUM($B41:Y41)-SUM($B42:Y42)-SUM($B43:Y43)</f>
        <v>314258.03357425949</v>
      </c>
      <c r="AA46" s="33">
        <f>$B40-SUM($B41:Z41)-SUM($B42:Z42)-SUM($B43:Z43)</f>
        <v>305483.20668949001</v>
      </c>
      <c r="AB46" s="33">
        <f>$B40-SUM($B41:AA41)-SUM($B42:AA42)-SUM($B43:AA43)</f>
        <v>296708.3798047204</v>
      </c>
      <c r="AC46" s="33">
        <f>$B40-SUM($B41:AB41)-SUM($B42:AB42)-SUM($B43:AB43)</f>
        <v>287933.55291995092</v>
      </c>
      <c r="AD46" s="33">
        <f>$B40-SUM($B41:AC41)-SUM($B42:AC42)-SUM($B43:AC43)</f>
        <v>279158.72603518143</v>
      </c>
      <c r="AE46" s="33">
        <f>$B40-SUM($B41:AD41)-SUM($B42:AD42)-SUM($B43:AD43)</f>
        <v>270383.89915041195</v>
      </c>
      <c r="AF46" s="33">
        <f>$B40-SUM($B41:AE41)-SUM($B42:AE42)-SUM($B43:AE43)</f>
        <v>261609.07226564249</v>
      </c>
      <c r="AG46" s="33">
        <f>$B40-SUM($B41:AF41)-SUM($B42:AF42)-SUM($B43:AF43)</f>
        <v>252834.24538087295</v>
      </c>
      <c r="AH46" s="33">
        <f>$B40-SUM($B41:AG41)-SUM($B42:AG42)-SUM($B43:AG43)</f>
        <v>244059.41849610346</v>
      </c>
      <c r="AI46" s="33">
        <f>$B40-SUM($B41:AH41)-SUM($B42:AH42)-SUM($B43:AH43)</f>
        <v>235284.59161133398</v>
      </c>
      <c r="AJ46" s="33">
        <f>$B40-SUM($B41:AI41)-SUM($B42:AI42)-SUM($B43:AI43)</f>
        <v>226509.76472656443</v>
      </c>
      <c r="AK46" s="33">
        <f>$B40-SUM($B41:AJ41)-SUM($B42:AJ42)-SUM($B43:AJ43)</f>
        <v>217734.93784179495</v>
      </c>
      <c r="AL46" s="33">
        <f>$B40-SUM($B41:AK41)-SUM($B42:AK42)-SUM($B43:AK43)</f>
        <v>208960.11095702546</v>
      </c>
      <c r="AM46" s="33">
        <f>$B40-SUM($B41:AL41)-SUM($B42:AL42)-SUM($B43:AL43)</f>
        <v>200185.28407225598</v>
      </c>
      <c r="AN46" s="33">
        <f>$B40-SUM($B41:AM41)-SUM($B42:AM42)-SUM($B43:AM43)</f>
        <v>191410.45718748649</v>
      </c>
      <c r="AO46" s="33">
        <f>$B40-SUM($B41:AN41)-SUM($B42:AN42)-SUM($B43:AN43)</f>
        <v>182635.63030271701</v>
      </c>
      <c r="AP46" s="33">
        <f>$B40-SUM($B41:AO41)-SUM($B42:AO42)-SUM($B43:AO43)</f>
        <v>173860.80341794752</v>
      </c>
      <c r="AQ46" s="33">
        <f>$B40-SUM($B41:AP41)-SUM($B42:AP42)-SUM($B43:AP43)</f>
        <v>165085.97653317804</v>
      </c>
      <c r="AR46" s="33">
        <f>$B40-SUM($B41:AQ41)-SUM($B42:AQ42)-SUM($B43:AQ43)</f>
        <v>156311.14964840855</v>
      </c>
    </row>
    <row r="47" spans="1:46" s="15" customFormat="1" x14ac:dyDescent="0.1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spans="1:46" s="19" customFormat="1" x14ac:dyDescent="0.15">
      <c r="A48" s="35"/>
      <c r="B48" s="35">
        <v>2016</v>
      </c>
      <c r="C48" s="35">
        <v>2017</v>
      </c>
      <c r="D48" s="35">
        <v>2018</v>
      </c>
      <c r="E48" s="35">
        <v>2019</v>
      </c>
      <c r="F48" s="35">
        <v>2020</v>
      </c>
      <c r="G48" s="35">
        <v>2021</v>
      </c>
      <c r="H48" s="35">
        <v>2022</v>
      </c>
      <c r="I48" s="35">
        <v>2023</v>
      </c>
      <c r="J48" s="35">
        <v>2024</v>
      </c>
      <c r="K48" s="35">
        <v>2025</v>
      </c>
      <c r="L48" s="35">
        <v>2026</v>
      </c>
      <c r="M48" s="35">
        <v>2027</v>
      </c>
      <c r="N48" s="35">
        <v>2028</v>
      </c>
      <c r="O48" s="35">
        <v>2029</v>
      </c>
      <c r="P48" s="35">
        <v>2030</v>
      </c>
      <c r="Q48" s="35">
        <v>2031</v>
      </c>
      <c r="R48" s="35">
        <v>2032</v>
      </c>
      <c r="S48" s="35">
        <v>2033</v>
      </c>
      <c r="T48" s="35">
        <v>2034</v>
      </c>
      <c r="U48" s="35">
        <v>2035</v>
      </c>
      <c r="V48" s="35">
        <v>2036</v>
      </c>
      <c r="W48" s="35">
        <v>2037</v>
      </c>
      <c r="X48" s="35">
        <v>2038</v>
      </c>
      <c r="Y48" s="35">
        <v>2039</v>
      </c>
      <c r="Z48" s="35">
        <v>2040</v>
      </c>
      <c r="AA48" s="35">
        <v>2041</v>
      </c>
      <c r="AB48" s="35">
        <v>2042</v>
      </c>
      <c r="AC48" s="35">
        <v>2043</v>
      </c>
      <c r="AD48" s="35">
        <v>2044</v>
      </c>
      <c r="AE48" s="35">
        <v>2045</v>
      </c>
      <c r="AF48" s="35">
        <v>2046</v>
      </c>
      <c r="AG48" s="35">
        <v>2047</v>
      </c>
      <c r="AH48" s="35">
        <v>2048</v>
      </c>
      <c r="AI48" s="35">
        <v>2049</v>
      </c>
      <c r="AJ48" s="35">
        <v>2050</v>
      </c>
      <c r="AK48" s="35">
        <v>2051</v>
      </c>
      <c r="AL48" s="35">
        <v>2052</v>
      </c>
      <c r="AM48" s="35">
        <v>2053</v>
      </c>
      <c r="AN48" s="35">
        <v>2054</v>
      </c>
      <c r="AO48" s="35">
        <v>2055</v>
      </c>
      <c r="AP48" s="35">
        <v>2056</v>
      </c>
      <c r="AQ48" s="35">
        <v>2057</v>
      </c>
      <c r="AR48" s="35">
        <v>2058</v>
      </c>
      <c r="AS48" s="35">
        <v>2059</v>
      </c>
      <c r="AT48" s="35">
        <v>2060</v>
      </c>
    </row>
    <row r="49" spans="1:46" s="15" customFormat="1" x14ac:dyDescent="0.15">
      <c r="A49" s="35" t="s">
        <v>826</v>
      </c>
      <c r="B49" s="34">
        <f>E60*10000/人口变化预测!B4</f>
        <v>34.236932088227704</v>
      </c>
      <c r="C49" s="34">
        <f t="shared" ref="C49:R51" si="21">$B49*(1+$B$54)^(C$48-$B$48)</f>
        <v>34.339642884492385</v>
      </c>
      <c r="D49" s="34">
        <f t="shared" si="21"/>
        <v>34.442661813145854</v>
      </c>
      <c r="E49" s="34">
        <f t="shared" si="21"/>
        <v>34.545989798585289</v>
      </c>
      <c r="F49" s="34">
        <f t="shared" si="21"/>
        <v>34.649627767981038</v>
      </c>
      <c r="G49" s="34">
        <f t="shared" si="21"/>
        <v>34.75357665128498</v>
      </c>
      <c r="H49" s="34">
        <f t="shared" si="21"/>
        <v>34.857837381238824</v>
      </c>
      <c r="I49" s="34">
        <f t="shared" si="21"/>
        <v>34.96241089338254</v>
      </c>
      <c r="J49" s="34">
        <f t="shared" si="21"/>
        <v>35.067298126062681</v>
      </c>
      <c r="K49" s="34">
        <f t="shared" si="21"/>
        <v>35.172500020440864</v>
      </c>
      <c r="L49" s="34">
        <f t="shared" si="21"/>
        <v>35.278017520502182</v>
      </c>
      <c r="M49" s="34">
        <f t="shared" si="21"/>
        <v>35.383851573063694</v>
      </c>
      <c r="N49" s="34">
        <f t="shared" si="21"/>
        <v>35.490003127782877</v>
      </c>
      <c r="O49" s="34">
        <f t="shared" si="21"/>
        <v>35.596473137166221</v>
      </c>
      <c r="P49" s="34">
        <f t="shared" si="21"/>
        <v>35.703262556577712</v>
      </c>
      <c r="Q49" s="34">
        <f t="shared" si="21"/>
        <v>35.81037234424744</v>
      </c>
      <c r="R49" s="34">
        <f t="shared" si="21"/>
        <v>35.91780346128018</v>
      </c>
      <c r="S49" s="34">
        <f t="shared" ref="S49:AH51" si="22">$B49*(1+$B$54)^(S$48-$B$48)</f>
        <v>36.025556871664016</v>
      </c>
      <c r="T49" s="34">
        <f t="shared" si="22"/>
        <v>36.133633542279</v>
      </c>
      <c r="U49" s="34">
        <f t="shared" si="22"/>
        <v>36.242034442905833</v>
      </c>
      <c r="V49" s="34">
        <f t="shared" si="22"/>
        <v>36.350760546234547</v>
      </c>
      <c r="W49" s="34">
        <f t="shared" si="22"/>
        <v>36.45981282787325</v>
      </c>
      <c r="X49" s="34">
        <f t="shared" si="22"/>
        <v>36.569192266356858</v>
      </c>
      <c r="Y49" s="34">
        <f t="shared" si="22"/>
        <v>36.678899843155925</v>
      </c>
      <c r="Z49" s="34">
        <f t="shared" si="22"/>
        <v>36.788936542685384</v>
      </c>
      <c r="AA49" s="34">
        <f t="shared" si="22"/>
        <v>36.899303352313439</v>
      </c>
      <c r="AB49" s="34">
        <f t="shared" si="22"/>
        <v>37.010001262370373</v>
      </c>
      <c r="AC49" s="34">
        <f t="shared" si="22"/>
        <v>37.12103126615748</v>
      </c>
      <c r="AD49" s="34">
        <f t="shared" si="22"/>
        <v>37.232394359955954</v>
      </c>
      <c r="AE49" s="34">
        <f t="shared" si="22"/>
        <v>37.344091543035816</v>
      </c>
      <c r="AF49" s="34">
        <f t="shared" si="22"/>
        <v>37.456123817664917</v>
      </c>
      <c r="AG49" s="34">
        <f t="shared" si="22"/>
        <v>37.568492189117897</v>
      </c>
      <c r="AH49" s="34">
        <f t="shared" si="22"/>
        <v>37.681197665685254</v>
      </c>
      <c r="AI49" s="34">
        <f t="shared" ref="AG49:AT51" si="23">$B49*(1+$B$54)^(AI$48-$B$48)</f>
        <v>37.794241258682298</v>
      </c>
      <c r="AJ49" s="34">
        <f t="shared" si="23"/>
        <v>37.907623982458347</v>
      </c>
      <c r="AK49" s="34">
        <f t="shared" si="23"/>
        <v>38.021346854405714</v>
      </c>
      <c r="AL49" s="34">
        <f t="shared" si="23"/>
        <v>38.135410894968928</v>
      </c>
      <c r="AM49" s="34">
        <f t="shared" si="23"/>
        <v>38.249817127653834</v>
      </c>
      <c r="AN49" s="34">
        <f t="shared" si="23"/>
        <v>38.364566579036783</v>
      </c>
      <c r="AO49" s="34">
        <f t="shared" si="23"/>
        <v>38.479660278773892</v>
      </c>
      <c r="AP49" s="34">
        <f t="shared" si="23"/>
        <v>38.595099259610208</v>
      </c>
      <c r="AQ49" s="34">
        <f t="shared" si="23"/>
        <v>38.710884557389029</v>
      </c>
      <c r="AR49" s="34">
        <f t="shared" si="23"/>
        <v>38.82701721106119</v>
      </c>
      <c r="AS49" s="34">
        <f t="shared" si="23"/>
        <v>38.943498262694384</v>
      </c>
      <c r="AT49" s="34">
        <f t="shared" si="23"/>
        <v>39.060328757482459</v>
      </c>
    </row>
    <row r="50" spans="1:46" s="15" customFormat="1" x14ac:dyDescent="0.15">
      <c r="A50" s="35" t="s">
        <v>827</v>
      </c>
      <c r="B50" s="34">
        <f>G60*10000/人口变化预测!B5</f>
        <v>38.046032398262327</v>
      </c>
      <c r="C50" s="34">
        <f t="shared" si="21"/>
        <v>38.160170495457109</v>
      </c>
      <c r="D50" s="34">
        <f t="shared" si="21"/>
        <v>38.274651006943472</v>
      </c>
      <c r="E50" s="34">
        <f t="shared" si="21"/>
        <v>38.389474959964303</v>
      </c>
      <c r="F50" s="34">
        <f t="shared" si="21"/>
        <v>38.504643384844186</v>
      </c>
      <c r="G50" s="34">
        <f t="shared" si="21"/>
        <v>38.620157314998721</v>
      </c>
      <c r="H50" s="34">
        <f t="shared" si="21"/>
        <v>38.736017786943705</v>
      </c>
      <c r="I50" s="34">
        <f t="shared" si="21"/>
        <v>38.852225840304534</v>
      </c>
      <c r="J50" s="34">
        <f t="shared" si="21"/>
        <v>38.968782517825439</v>
      </c>
      <c r="K50" s="34">
        <f t="shared" si="21"/>
        <v>39.085688865378913</v>
      </c>
      <c r="L50" s="34">
        <f t="shared" si="21"/>
        <v>39.202945931975044</v>
      </c>
      <c r="M50" s="34">
        <f t="shared" si="21"/>
        <v>39.320554769770972</v>
      </c>
      <c r="N50" s="34">
        <f t="shared" si="21"/>
        <v>39.438516434080277</v>
      </c>
      <c r="O50" s="34">
        <f t="shared" si="21"/>
        <v>39.556831983382509</v>
      </c>
      <c r="P50" s="34">
        <f t="shared" si="21"/>
        <v>39.67550247933265</v>
      </c>
      <c r="Q50" s="34">
        <f t="shared" si="21"/>
        <v>39.794528986770644</v>
      </c>
      <c r="R50" s="34">
        <f t="shared" si="21"/>
        <v>39.913912573730947</v>
      </c>
      <c r="S50" s="34">
        <f t="shared" si="22"/>
        <v>40.033654311452139</v>
      </c>
      <c r="T50" s="34">
        <f t="shared" si="22"/>
        <v>40.153755274386491</v>
      </c>
      <c r="U50" s="34">
        <f t="shared" si="22"/>
        <v>40.274216540209643</v>
      </c>
      <c r="V50" s="34">
        <f t="shared" si="22"/>
        <v>40.395039189830271</v>
      </c>
      <c r="W50" s="34">
        <f t="shared" si="22"/>
        <v>40.51622430739976</v>
      </c>
      <c r="X50" s="34">
        <f t="shared" si="22"/>
        <v>40.637772980321948</v>
      </c>
      <c r="Y50" s="34">
        <f t="shared" si="22"/>
        <v>40.759686299262903</v>
      </c>
      <c r="Z50" s="34">
        <f t="shared" si="22"/>
        <v>40.881965358160691</v>
      </c>
      <c r="AA50" s="34">
        <f t="shared" si="22"/>
        <v>41.004611254235165</v>
      </c>
      <c r="AB50" s="34">
        <f t="shared" si="22"/>
        <v>41.127625087997863</v>
      </c>
      <c r="AC50" s="34">
        <f t="shared" si="22"/>
        <v>41.251007963261856</v>
      </c>
      <c r="AD50" s="34">
        <f t="shared" si="22"/>
        <v>41.374760987151639</v>
      </c>
      <c r="AE50" s="34">
        <f t="shared" si="22"/>
        <v>41.498885270113085</v>
      </c>
      <c r="AF50" s="34">
        <f t="shared" si="22"/>
        <v>41.623381925923418</v>
      </c>
      <c r="AG50" s="34">
        <f t="shared" si="23"/>
        <v>41.748252071701181</v>
      </c>
      <c r="AH50" s="34">
        <f t="shared" si="23"/>
        <v>41.873496827916277</v>
      </c>
      <c r="AI50" s="34">
        <f t="shared" si="23"/>
        <v>41.999117318400025</v>
      </c>
      <c r="AJ50" s="34">
        <f t="shared" si="23"/>
        <v>42.125114670355217</v>
      </c>
      <c r="AK50" s="34">
        <f t="shared" si="23"/>
        <v>42.251490014366276</v>
      </c>
      <c r="AL50" s="34">
        <f t="shared" si="23"/>
        <v>42.378244484409379</v>
      </c>
      <c r="AM50" s="34">
        <f t="shared" si="23"/>
        <v>42.505379217862604</v>
      </c>
      <c r="AN50" s="34">
        <f t="shared" si="23"/>
        <v>42.632895355516176</v>
      </c>
      <c r="AO50" s="34">
        <f t="shared" si="23"/>
        <v>42.76079404158272</v>
      </c>
      <c r="AP50" s="34">
        <f t="shared" si="23"/>
        <v>42.889076423707465</v>
      </c>
      <c r="AQ50" s="34">
        <f t="shared" si="23"/>
        <v>43.017743652978574</v>
      </c>
      <c r="AR50" s="34">
        <f t="shared" si="23"/>
        <v>43.146796883937505</v>
      </c>
      <c r="AS50" s="34">
        <f t="shared" si="23"/>
        <v>43.276237274589327</v>
      </c>
      <c r="AT50" s="34">
        <f t="shared" si="23"/>
        <v>43.406065986413083</v>
      </c>
    </row>
    <row r="51" spans="1:46" s="15" customFormat="1" x14ac:dyDescent="0.15">
      <c r="A51" s="35" t="s">
        <v>828</v>
      </c>
      <c r="B51" s="34">
        <f>D60*10000/人口变化预测!B4</f>
        <v>14.118300446312253</v>
      </c>
      <c r="C51" s="34">
        <f t="shared" si="21"/>
        <v>14.160655347651188</v>
      </c>
      <c r="D51" s="34">
        <f t="shared" si="21"/>
        <v>14.203137313694139</v>
      </c>
      <c r="E51" s="34">
        <f t="shared" si="21"/>
        <v>14.245746725635222</v>
      </c>
      <c r="F51" s="34">
        <f t="shared" si="21"/>
        <v>14.288483965812123</v>
      </c>
      <c r="G51" s="34">
        <f t="shared" si="21"/>
        <v>14.331349417709561</v>
      </c>
      <c r="H51" s="34">
        <f t="shared" si="21"/>
        <v>14.374343465962685</v>
      </c>
      <c r="I51" s="34">
        <f t="shared" si="21"/>
        <v>14.417466496360571</v>
      </c>
      <c r="J51" s="34">
        <f t="shared" si="21"/>
        <v>14.46071889584965</v>
      </c>
      <c r="K51" s="34">
        <f t="shared" si="21"/>
        <v>14.504101052537198</v>
      </c>
      <c r="L51" s="34">
        <f t="shared" si="21"/>
        <v>14.547613355694807</v>
      </c>
      <c r="M51" s="34">
        <f t="shared" si="21"/>
        <v>14.591256195761893</v>
      </c>
      <c r="N51" s="34">
        <f t="shared" si="21"/>
        <v>14.635029964349176</v>
      </c>
      <c r="O51" s="34">
        <f t="shared" si="21"/>
        <v>14.678935054242221</v>
      </c>
      <c r="P51" s="34">
        <f t="shared" si="21"/>
        <v>14.722971859404943</v>
      </c>
      <c r="Q51" s="34">
        <f t="shared" si="21"/>
        <v>14.767140774983156</v>
      </c>
      <c r="R51" s="34">
        <f t="shared" si="21"/>
        <v>14.811442197308105</v>
      </c>
      <c r="S51" s="34">
        <f t="shared" si="22"/>
        <v>14.855876523900028</v>
      </c>
      <c r="T51" s="34">
        <f t="shared" si="22"/>
        <v>14.900444153471726</v>
      </c>
      <c r="U51" s="34">
        <f t="shared" si="22"/>
        <v>14.945145485932139</v>
      </c>
      <c r="V51" s="34">
        <f t="shared" si="22"/>
        <v>14.989980922389934</v>
      </c>
      <c r="W51" s="34">
        <f t="shared" si="22"/>
        <v>15.034950865157104</v>
      </c>
      <c r="X51" s="34">
        <f t="shared" si="22"/>
        <v>15.08005571775257</v>
      </c>
      <c r="Y51" s="34">
        <f t="shared" si="22"/>
        <v>15.125295884905825</v>
      </c>
      <c r="Z51" s="34">
        <f t="shared" si="22"/>
        <v>15.17067177256054</v>
      </c>
      <c r="AA51" s="34">
        <f t="shared" si="22"/>
        <v>15.21618378787822</v>
      </c>
      <c r="AB51" s="34">
        <f t="shared" si="22"/>
        <v>15.261832339241852</v>
      </c>
      <c r="AC51" s="34">
        <f t="shared" si="22"/>
        <v>15.307617836259578</v>
      </c>
      <c r="AD51" s="34">
        <f t="shared" si="22"/>
        <v>15.353540689768355</v>
      </c>
      <c r="AE51" s="34">
        <f t="shared" si="22"/>
        <v>15.399601311837657</v>
      </c>
      <c r="AF51" s="34">
        <f t="shared" si="22"/>
        <v>15.445800115773167</v>
      </c>
      <c r="AG51" s="34">
        <f t="shared" si="23"/>
        <v>15.492137516120485</v>
      </c>
      <c r="AH51" s="34">
        <f t="shared" si="23"/>
        <v>15.538613928668845</v>
      </c>
      <c r="AI51" s="34">
        <f t="shared" si="23"/>
        <v>15.585229770454848</v>
      </c>
      <c r="AJ51" s="34">
        <f t="shared" si="23"/>
        <v>15.631985459766213</v>
      </c>
      <c r="AK51" s="34">
        <f t="shared" si="23"/>
        <v>15.678881416145508</v>
      </c>
      <c r="AL51" s="34">
        <f t="shared" si="23"/>
        <v>15.725918060393944</v>
      </c>
      <c r="AM51" s="34">
        <f t="shared" si="23"/>
        <v>15.773095814575125</v>
      </c>
      <c r="AN51" s="34">
        <f t="shared" si="23"/>
        <v>15.820415102018845</v>
      </c>
      <c r="AO51" s="34">
        <f t="shared" si="23"/>
        <v>15.8678763473249</v>
      </c>
      <c r="AP51" s="34">
        <f t="shared" si="23"/>
        <v>15.915479976366873</v>
      </c>
      <c r="AQ51" s="34">
        <f t="shared" si="23"/>
        <v>15.963226416295971</v>
      </c>
      <c r="AR51" s="34">
        <f t="shared" si="23"/>
        <v>16.011116095544853</v>
      </c>
      <c r="AS51" s="34">
        <f t="shared" si="23"/>
        <v>16.059149443831494</v>
      </c>
      <c r="AT51" s="34">
        <f t="shared" si="23"/>
        <v>16.107326892162984</v>
      </c>
    </row>
    <row r="54" spans="1:46" x14ac:dyDescent="0.15">
      <c r="A54" s="2" t="s">
        <v>825</v>
      </c>
      <c r="B54" s="7">
        <v>3.0000000000000001E-3</v>
      </c>
    </row>
    <row r="56" spans="1:46" x14ac:dyDescent="0.15">
      <c r="A56" s="2" t="s">
        <v>816</v>
      </c>
    </row>
    <row r="57" spans="1:46" x14ac:dyDescent="0.15">
      <c r="B57" s="2" t="s">
        <v>781</v>
      </c>
      <c r="C57" s="2" t="s">
        <v>782</v>
      </c>
    </row>
    <row r="58" spans="1:46" ht="40.5" x14ac:dyDescent="0.15">
      <c r="C58" s="2" t="s">
        <v>783</v>
      </c>
      <c r="D58" s="2" t="s">
        <v>822</v>
      </c>
      <c r="E58" s="2" t="s">
        <v>784</v>
      </c>
      <c r="F58" s="2" t="s">
        <v>785</v>
      </c>
      <c r="G58" s="2" t="s">
        <v>817</v>
      </c>
      <c r="H58" s="2" t="s">
        <v>803</v>
      </c>
      <c r="I58" s="2" t="s">
        <v>820</v>
      </c>
      <c r="J58" s="2" t="s">
        <v>821</v>
      </c>
      <c r="K58" s="2" t="s">
        <v>804</v>
      </c>
      <c r="L58" s="2" t="s">
        <v>823</v>
      </c>
      <c r="N58" s="2" t="s">
        <v>952</v>
      </c>
      <c r="O58" s="2" t="s">
        <v>805</v>
      </c>
    </row>
    <row r="59" spans="1:46" x14ac:dyDescent="0.15">
      <c r="C59" s="2" t="s">
        <v>806</v>
      </c>
      <c r="D59" s="2" t="s">
        <v>806</v>
      </c>
      <c r="E59" s="2" t="s">
        <v>806</v>
      </c>
      <c r="F59" s="2" t="s">
        <v>806</v>
      </c>
      <c r="G59" s="2" t="s">
        <v>806</v>
      </c>
      <c r="H59" s="2" t="s">
        <v>807</v>
      </c>
    </row>
    <row r="60" spans="1:46" x14ac:dyDescent="0.15">
      <c r="A60" s="2" t="s">
        <v>818</v>
      </c>
      <c r="B60" s="2" t="s">
        <v>819</v>
      </c>
      <c r="C60" s="2">
        <f>SUM(C61:C91)</f>
        <v>6353041.8927445216</v>
      </c>
      <c r="D60" s="2">
        <f t="shared" ref="D60:H60" si="24">SUM(D61:D91)</f>
        <v>1150598.29</v>
      </c>
      <c r="E60" s="2">
        <f t="shared" si="24"/>
        <v>2790205.2138188132</v>
      </c>
      <c r="F60" s="2">
        <f t="shared" si="24"/>
        <v>239684.44892570798</v>
      </c>
      <c r="G60" s="2">
        <f t="shared" si="24"/>
        <v>2172553.9400000004</v>
      </c>
      <c r="H60" s="2">
        <f t="shared" si="24"/>
        <v>1368999.4000000004</v>
      </c>
      <c r="I60" s="6">
        <f>J60/(D60+F60)</f>
        <v>25.601484258470961</v>
      </c>
      <c r="J60" s="2">
        <f t="shared" ref="J60" si="25">SUM(J61:J91)</f>
        <v>35593301.655430406</v>
      </c>
      <c r="K60" s="2">
        <f>L60/E60</f>
        <v>16.038441104920874</v>
      </c>
      <c r="L60" s="2">
        <f t="shared" ref="L60" si="26">SUM(L61:L91)</f>
        <v>44750541.992476195</v>
      </c>
    </row>
    <row r="61" spans="1:46" x14ac:dyDescent="0.15">
      <c r="A61" s="2" t="s">
        <v>32</v>
      </c>
      <c r="B61" s="2" t="s">
        <v>430</v>
      </c>
      <c r="C61" s="2">
        <v>111047.87</v>
      </c>
      <c r="D61" s="2">
        <v>40418.28</v>
      </c>
      <c r="E61" s="2">
        <v>57986.05</v>
      </c>
      <c r="F61" s="2">
        <v>2985.12</v>
      </c>
      <c r="G61" s="2">
        <f t="shared" ref="G61:G90" si="27">C61-D61-E61-F61</f>
        <v>9658.4199999999946</v>
      </c>
      <c r="H61" s="2">
        <v>95419.199999999997</v>
      </c>
      <c r="I61" s="6">
        <v>40.399541989416669</v>
      </c>
      <c r="J61" s="6">
        <f>I61*(F61+D61)</f>
        <v>1753477.4807834474</v>
      </c>
      <c r="K61" s="6">
        <v>12.216041616906132</v>
      </c>
      <c r="L61" s="6">
        <f>K61*E61</f>
        <v>708359.99999999988</v>
      </c>
      <c r="M61" s="6">
        <f>IF(O61=0,0,1)</f>
        <v>1</v>
      </c>
      <c r="N61" s="6">
        <f>E60+D60</f>
        <v>3940803.5038188132</v>
      </c>
      <c r="O61" s="6">
        <v>13.46</v>
      </c>
    </row>
    <row r="62" spans="1:46" x14ac:dyDescent="0.15">
      <c r="A62" s="2" t="s">
        <v>33</v>
      </c>
      <c r="B62" s="2" t="s">
        <v>431</v>
      </c>
      <c r="C62" s="2">
        <v>65607.89</v>
      </c>
      <c r="D62" s="2">
        <v>20611.98</v>
      </c>
      <c r="E62" s="2">
        <v>35777.65</v>
      </c>
      <c r="F62" s="2">
        <v>1453.71</v>
      </c>
      <c r="G62" s="2">
        <f t="shared" si="27"/>
        <v>7764.550000000002</v>
      </c>
      <c r="H62" s="2">
        <v>54935.9</v>
      </c>
      <c r="I62" s="6">
        <v>27.59075062172581</v>
      </c>
      <c r="J62" s="6">
        <f t="shared" ref="J62:J91" si="28">I62*(F62+D62)</f>
        <v>608808.95008630899</v>
      </c>
      <c r="K62" s="6">
        <v>20.3</v>
      </c>
      <c r="L62" s="6">
        <f t="shared" ref="L62:L91" si="29">K62*E62</f>
        <v>726286.29500000004</v>
      </c>
      <c r="M62" s="6">
        <f t="shared" ref="M62:M91" si="30">IF(O62=0,0,1)</f>
        <v>1</v>
      </c>
      <c r="N62" s="6">
        <f t="shared" ref="N62:N91" si="31">E61+D61</f>
        <v>98404.33</v>
      </c>
      <c r="O62" s="6">
        <v>12.78</v>
      </c>
    </row>
    <row r="63" spans="1:46" x14ac:dyDescent="0.15">
      <c r="A63" s="2" t="s">
        <v>34</v>
      </c>
      <c r="B63" s="2" t="s">
        <v>786</v>
      </c>
      <c r="C63" s="2">
        <v>308351.68</v>
      </c>
      <c r="D63" s="2">
        <v>45800.11</v>
      </c>
      <c r="E63" s="2">
        <v>126933.93</v>
      </c>
      <c r="F63" s="2">
        <v>9347.8799999999992</v>
      </c>
      <c r="G63" s="2">
        <f t="shared" si="27"/>
        <v>126269.76000000001</v>
      </c>
      <c r="H63" s="2">
        <v>163386.20000000001</v>
      </c>
      <c r="I63" s="6">
        <v>26.319369101951938</v>
      </c>
      <c r="J63" s="6">
        <f t="shared" si="28"/>
        <v>1451460.3040407544</v>
      </c>
      <c r="K63" s="6">
        <v>12.94</v>
      </c>
      <c r="L63" s="6">
        <f t="shared" si="29"/>
        <v>1642525.0541999999</v>
      </c>
      <c r="M63" s="6">
        <f t="shared" si="30"/>
        <v>1</v>
      </c>
      <c r="N63" s="6">
        <f t="shared" si="31"/>
        <v>56389.630000000005</v>
      </c>
      <c r="O63" s="6">
        <v>13.58</v>
      </c>
    </row>
    <row r="64" spans="1:46" x14ac:dyDescent="0.15">
      <c r="A64" s="2" t="s">
        <v>46</v>
      </c>
      <c r="B64" s="2" t="s">
        <v>787</v>
      </c>
      <c r="C64" s="2">
        <v>140087.6</v>
      </c>
      <c r="D64" s="2">
        <v>20968.560000000001</v>
      </c>
      <c r="E64" s="2">
        <v>65484.29</v>
      </c>
      <c r="F64" s="2">
        <v>6549.72</v>
      </c>
      <c r="G64" s="2">
        <f t="shared" si="27"/>
        <v>47085.030000000006</v>
      </c>
      <c r="H64" s="2">
        <v>79903.100000000006</v>
      </c>
      <c r="I64" s="6">
        <v>24.996470906919694</v>
      </c>
      <c r="J64" s="6">
        <f t="shared" si="28"/>
        <v>687859.88542847009</v>
      </c>
      <c r="K64" s="6">
        <v>16.41</v>
      </c>
      <c r="L64" s="6">
        <f t="shared" si="29"/>
        <v>1074597.1989</v>
      </c>
      <c r="M64" s="6">
        <f t="shared" si="30"/>
        <v>1</v>
      </c>
      <c r="N64" s="6">
        <f t="shared" si="31"/>
        <v>172734.03999999998</v>
      </c>
      <c r="O64" s="6">
        <v>14.71</v>
      </c>
    </row>
    <row r="65" spans="1:15" x14ac:dyDescent="0.15">
      <c r="A65" s="2" t="s">
        <v>58</v>
      </c>
      <c r="B65" s="2" t="s">
        <v>788</v>
      </c>
      <c r="C65" s="2">
        <v>96496.49</v>
      </c>
      <c r="D65" s="2">
        <v>22606.81</v>
      </c>
      <c r="E65" s="2">
        <v>47363.839999999997</v>
      </c>
      <c r="F65" s="2">
        <v>3808.41</v>
      </c>
      <c r="G65" s="2">
        <f t="shared" si="27"/>
        <v>22717.430000000011</v>
      </c>
      <c r="H65" s="2">
        <v>66162.2</v>
      </c>
      <c r="I65" s="6">
        <v>16.193792932306678</v>
      </c>
      <c r="J65" s="6">
        <f t="shared" si="28"/>
        <v>427762.60294132604</v>
      </c>
      <c r="K65" s="6">
        <v>18.82</v>
      </c>
      <c r="L65" s="6">
        <f t="shared" si="29"/>
        <v>891387.46879999992</v>
      </c>
      <c r="M65" s="6">
        <f t="shared" si="30"/>
        <v>1</v>
      </c>
      <c r="N65" s="6">
        <f t="shared" si="31"/>
        <v>86452.85</v>
      </c>
      <c r="O65" s="6">
        <v>20.329999999999998</v>
      </c>
    </row>
    <row r="66" spans="1:15" x14ac:dyDescent="0.15">
      <c r="A66" s="2" t="s">
        <v>71</v>
      </c>
      <c r="B66" s="2" t="s">
        <v>789</v>
      </c>
      <c r="C66" s="2">
        <v>179539.03</v>
      </c>
      <c r="D66" s="2">
        <v>40152.97</v>
      </c>
      <c r="E66" s="2">
        <v>94629.85</v>
      </c>
      <c r="F66" s="2">
        <v>5725.2</v>
      </c>
      <c r="G66" s="2">
        <f t="shared" si="27"/>
        <v>39031.009999999995</v>
      </c>
      <c r="H66" s="2">
        <v>129057.60000000001</v>
      </c>
      <c r="I66" s="6">
        <v>21.522691845709044</v>
      </c>
      <c r="J66" s="6">
        <f t="shared" si="28"/>
        <v>987421.71535505331</v>
      </c>
      <c r="K66" s="6">
        <v>17.16</v>
      </c>
      <c r="L66" s="6">
        <f t="shared" si="29"/>
        <v>1623848.226</v>
      </c>
      <c r="M66" s="6">
        <f t="shared" si="30"/>
        <v>1</v>
      </c>
      <c r="N66" s="6">
        <f t="shared" si="31"/>
        <v>69970.649999999994</v>
      </c>
      <c r="O66" s="6">
        <v>15.84</v>
      </c>
    </row>
    <row r="67" spans="1:15" x14ac:dyDescent="0.15">
      <c r="A67" s="2" t="s">
        <v>86</v>
      </c>
      <c r="B67" s="2" t="s">
        <v>481</v>
      </c>
      <c r="C67" s="2">
        <v>94474.08</v>
      </c>
      <c r="D67" s="2">
        <v>19746.71</v>
      </c>
      <c r="E67" s="2">
        <v>41826.129999999997</v>
      </c>
      <c r="F67" s="2">
        <v>2458.0700000000002</v>
      </c>
      <c r="G67" s="2">
        <f t="shared" si="27"/>
        <v>30443.17</v>
      </c>
      <c r="H67" s="2">
        <v>59114.8</v>
      </c>
      <c r="I67" s="6">
        <v>17.968056450922713</v>
      </c>
      <c r="J67" s="6">
        <f t="shared" si="28"/>
        <v>398976.74052031961</v>
      </c>
      <c r="K67" s="6">
        <v>17.78</v>
      </c>
      <c r="L67" s="6">
        <f t="shared" si="29"/>
        <v>743668.59140000003</v>
      </c>
      <c r="M67" s="6">
        <f t="shared" si="30"/>
        <v>1</v>
      </c>
      <c r="N67" s="6">
        <f t="shared" si="31"/>
        <v>134782.82</v>
      </c>
      <c r="O67" s="6">
        <v>18.91</v>
      </c>
    </row>
    <row r="68" spans="1:15" x14ac:dyDescent="0.15">
      <c r="A68" s="2" t="s">
        <v>96</v>
      </c>
      <c r="B68" s="2" t="s">
        <v>790</v>
      </c>
      <c r="C68" s="2">
        <v>126301.1</v>
      </c>
      <c r="D68" s="2">
        <v>26204.41</v>
      </c>
      <c r="E68" s="2">
        <v>58987.18</v>
      </c>
      <c r="F68" s="2">
        <v>5103.3100000000004</v>
      </c>
      <c r="G68" s="2">
        <f t="shared" si="27"/>
        <v>36006.200000000004</v>
      </c>
      <c r="H68" s="2">
        <v>80088.3</v>
      </c>
      <c r="I68" s="6">
        <v>13.73013168394175</v>
      </c>
      <c r="J68" s="6">
        <f t="shared" si="28"/>
        <v>429859.11832397681</v>
      </c>
      <c r="K68" s="6">
        <v>17.829999999999998</v>
      </c>
      <c r="L68" s="6">
        <f t="shared" si="29"/>
        <v>1051741.4194</v>
      </c>
      <c r="M68" s="6">
        <f t="shared" si="30"/>
        <v>1</v>
      </c>
      <c r="N68" s="6">
        <f t="shared" si="31"/>
        <v>61572.84</v>
      </c>
      <c r="O68" s="6">
        <v>21.08</v>
      </c>
    </row>
    <row r="69" spans="1:15" x14ac:dyDescent="0.15">
      <c r="A69" s="2" t="s">
        <v>110</v>
      </c>
      <c r="B69" s="2" t="s">
        <v>502</v>
      </c>
      <c r="C69" s="2">
        <v>123095.59</v>
      </c>
      <c r="D69" s="2">
        <v>39268.019999999997</v>
      </c>
      <c r="E69" s="2">
        <v>65493</v>
      </c>
      <c r="F69" s="2">
        <v>5443.02</v>
      </c>
      <c r="G69" s="2">
        <f t="shared" si="27"/>
        <v>12891.550000000007</v>
      </c>
      <c r="I69" s="6">
        <v>42.511438060793495</v>
      </c>
      <c r="J69" s="6">
        <f t="shared" si="28"/>
        <v>1900730.60759366</v>
      </c>
      <c r="K69" s="6">
        <v>33.26</v>
      </c>
      <c r="L69" s="6">
        <f t="shared" si="29"/>
        <v>2178297.1799999997</v>
      </c>
      <c r="M69" s="6">
        <f t="shared" si="30"/>
        <v>0</v>
      </c>
      <c r="N69" s="6">
        <f t="shared" si="31"/>
        <v>85191.59</v>
      </c>
      <c r="O69" s="6"/>
    </row>
    <row r="70" spans="1:15" x14ac:dyDescent="0.15">
      <c r="A70" s="2" t="s">
        <v>111</v>
      </c>
      <c r="B70" s="2" t="s">
        <v>791</v>
      </c>
      <c r="C70" s="2">
        <v>454607.2</v>
      </c>
      <c r="D70" s="2">
        <v>100827.38</v>
      </c>
      <c r="E70" s="2">
        <v>207983.34</v>
      </c>
      <c r="F70" s="2">
        <v>20733.04</v>
      </c>
      <c r="G70" s="2">
        <f t="shared" si="27"/>
        <v>125063.44</v>
      </c>
      <c r="I70" s="6">
        <v>22.898740401664707</v>
      </c>
      <c r="J70" s="6">
        <f t="shared" si="28"/>
        <v>2783580.5006973306</v>
      </c>
      <c r="K70" s="6">
        <v>14.84</v>
      </c>
      <c r="L70" s="6">
        <f t="shared" si="29"/>
        <v>3086472.7656</v>
      </c>
      <c r="M70" s="6">
        <f t="shared" si="30"/>
        <v>0</v>
      </c>
      <c r="N70" s="6">
        <f t="shared" si="31"/>
        <v>104761.01999999999</v>
      </c>
      <c r="O70" s="6"/>
    </row>
    <row r="71" spans="1:15" x14ac:dyDescent="0.15">
      <c r="A71" s="2" t="s">
        <v>125</v>
      </c>
      <c r="B71" s="2" t="s">
        <v>792</v>
      </c>
      <c r="C71" s="2">
        <v>343012.03</v>
      </c>
      <c r="D71" s="2">
        <v>73053.83</v>
      </c>
      <c r="E71" s="2">
        <v>144621.9</v>
      </c>
      <c r="F71" s="2">
        <v>12869.19</v>
      </c>
      <c r="G71" s="2">
        <f t="shared" si="27"/>
        <v>112467.11000000002</v>
      </c>
      <c r="I71" s="6">
        <v>28.58508581959358</v>
      </c>
      <c r="J71" s="6">
        <f t="shared" si="28"/>
        <v>2456116.9005786558</v>
      </c>
      <c r="K71" s="6">
        <v>19.5</v>
      </c>
      <c r="L71" s="6">
        <f t="shared" si="29"/>
        <v>2820127.05</v>
      </c>
      <c r="M71" s="6">
        <f t="shared" si="30"/>
        <v>0</v>
      </c>
      <c r="N71" s="6">
        <f t="shared" si="31"/>
        <v>308810.71999999997</v>
      </c>
      <c r="O71" s="6"/>
    </row>
    <row r="72" spans="1:15" x14ac:dyDescent="0.15">
      <c r="A72" s="2" t="s">
        <v>137</v>
      </c>
      <c r="B72" s="2" t="s">
        <v>793</v>
      </c>
      <c r="C72" s="2">
        <v>275919.32</v>
      </c>
      <c r="D72" s="2">
        <v>43058</v>
      </c>
      <c r="E72" s="2">
        <v>113247.46</v>
      </c>
      <c r="F72" s="2">
        <v>9848.56</v>
      </c>
      <c r="G72" s="2">
        <f t="shared" si="27"/>
        <v>109765.3</v>
      </c>
      <c r="I72" s="6">
        <v>23.567513586325422</v>
      </c>
      <c r="J72" s="6">
        <f t="shared" si="28"/>
        <v>1246876.071605741</v>
      </c>
      <c r="K72" s="6">
        <v>11.86</v>
      </c>
      <c r="L72" s="6">
        <f t="shared" si="29"/>
        <v>1343114.8755999999</v>
      </c>
      <c r="M72" s="6">
        <f t="shared" si="30"/>
        <v>0</v>
      </c>
      <c r="N72" s="6">
        <f t="shared" si="31"/>
        <v>217675.72999999998</v>
      </c>
      <c r="O72" s="6"/>
    </row>
    <row r="73" spans="1:15" x14ac:dyDescent="0.15">
      <c r="A73" s="2" t="s">
        <v>154</v>
      </c>
      <c r="B73" s="2" t="s">
        <v>794</v>
      </c>
      <c r="C73" s="2">
        <v>216879.42</v>
      </c>
      <c r="D73" s="2">
        <v>35067.83</v>
      </c>
      <c r="E73" s="2">
        <v>100234.09</v>
      </c>
      <c r="F73" s="2">
        <v>10334.030000000001</v>
      </c>
      <c r="G73" s="2">
        <f t="shared" si="27"/>
        <v>71243.47000000003</v>
      </c>
      <c r="I73" s="6">
        <v>26.833140231374454</v>
      </c>
      <c r="J73" s="6">
        <f t="shared" si="28"/>
        <v>1218274.4761452307</v>
      </c>
      <c r="K73" s="6">
        <v>19.2</v>
      </c>
      <c r="L73" s="6">
        <f t="shared" si="29"/>
        <v>1924494.5279999999</v>
      </c>
      <c r="M73" s="6">
        <f t="shared" si="30"/>
        <v>0</v>
      </c>
      <c r="N73" s="6">
        <f t="shared" si="31"/>
        <v>156305.46000000002</v>
      </c>
      <c r="O73" s="6"/>
    </row>
    <row r="74" spans="1:15" x14ac:dyDescent="0.15">
      <c r="A74" s="2" t="s">
        <v>164</v>
      </c>
      <c r="B74" s="2" t="s">
        <v>795</v>
      </c>
      <c r="C74" s="2">
        <v>244660.38</v>
      </c>
      <c r="D74" s="2">
        <v>33867.29</v>
      </c>
      <c r="E74" s="2">
        <v>98499.29</v>
      </c>
      <c r="F74" s="2">
        <v>9942.7900000000009</v>
      </c>
      <c r="G74" s="2">
        <f t="shared" si="27"/>
        <v>102351.01000000001</v>
      </c>
      <c r="I74" s="6">
        <v>19.237145930483365</v>
      </c>
      <c r="J74" s="6">
        <f t="shared" si="28"/>
        <v>842780.90218615066</v>
      </c>
      <c r="K74" s="6">
        <v>11.56</v>
      </c>
      <c r="L74" s="6">
        <f t="shared" si="29"/>
        <v>1138651.7923999999</v>
      </c>
      <c r="M74" s="6">
        <f t="shared" si="30"/>
        <v>0</v>
      </c>
      <c r="N74" s="6">
        <f t="shared" si="31"/>
        <v>135301.91999999998</v>
      </c>
      <c r="O74" s="6"/>
    </row>
    <row r="75" spans="1:15" x14ac:dyDescent="0.15">
      <c r="A75" s="2" t="s">
        <v>176</v>
      </c>
      <c r="B75" s="2" t="s">
        <v>796</v>
      </c>
      <c r="C75" s="2">
        <v>477681.37</v>
      </c>
      <c r="D75" s="2">
        <v>93541.11</v>
      </c>
      <c r="E75" s="2">
        <v>209801.82</v>
      </c>
      <c r="F75" s="2">
        <v>27594.39</v>
      </c>
      <c r="G75" s="2">
        <f t="shared" si="27"/>
        <v>146744.04999999999</v>
      </c>
      <c r="H75" s="2">
        <v>275748.5</v>
      </c>
      <c r="I75" s="6">
        <v>14.774038922565703</v>
      </c>
      <c r="J75" s="6">
        <f t="shared" si="28"/>
        <v>1789660.5919044577</v>
      </c>
      <c r="K75" s="6">
        <v>12.39</v>
      </c>
      <c r="L75" s="6">
        <f t="shared" si="29"/>
        <v>2599444.5498000002</v>
      </c>
      <c r="M75" s="6">
        <f t="shared" si="30"/>
        <v>1</v>
      </c>
      <c r="N75" s="6">
        <f t="shared" si="31"/>
        <v>132366.57999999999</v>
      </c>
      <c r="O75" s="6">
        <v>11.13</v>
      </c>
    </row>
    <row r="76" spans="1:15" x14ac:dyDescent="0.15">
      <c r="A76" s="2" t="s">
        <v>193</v>
      </c>
      <c r="B76" s="2" t="s">
        <v>797</v>
      </c>
      <c r="C76" s="2">
        <v>445147.35</v>
      </c>
      <c r="D76" s="2">
        <v>61608.37</v>
      </c>
      <c r="E76" s="2">
        <v>176268.1</v>
      </c>
      <c r="F76" s="2">
        <v>11837.86</v>
      </c>
      <c r="G76" s="2">
        <f t="shared" si="27"/>
        <v>195433.01999999996</v>
      </c>
      <c r="H76" s="2">
        <v>158227</v>
      </c>
      <c r="I76" s="6">
        <v>18.186165288904736</v>
      </c>
      <c r="J76" s="6">
        <f t="shared" si="28"/>
        <v>1335705.2786269139</v>
      </c>
      <c r="K76" s="6">
        <v>11.86</v>
      </c>
      <c r="L76" s="6">
        <f t="shared" si="29"/>
        <v>2090539.666</v>
      </c>
      <c r="M76" s="6">
        <f t="shared" si="30"/>
        <v>1</v>
      </c>
      <c r="N76" s="6">
        <f t="shared" si="31"/>
        <v>303342.93</v>
      </c>
      <c r="O76" s="6">
        <v>10.26</v>
      </c>
    </row>
    <row r="77" spans="1:15" x14ac:dyDescent="0.15">
      <c r="A77" s="2" t="s">
        <v>212</v>
      </c>
      <c r="B77" s="2" t="s">
        <v>798</v>
      </c>
      <c r="C77" s="2">
        <v>321676.32</v>
      </c>
      <c r="D77" s="2">
        <v>54464.51</v>
      </c>
      <c r="E77" s="2">
        <v>144798.89000000001</v>
      </c>
      <c r="F77" s="2">
        <v>10967.35</v>
      </c>
      <c r="G77" s="2">
        <f t="shared" si="27"/>
        <v>111445.56999999998</v>
      </c>
      <c r="I77" s="6">
        <v>28.437050108410045</v>
      </c>
      <c r="J77" s="6">
        <f t="shared" si="28"/>
        <v>1860689.0815064709</v>
      </c>
      <c r="K77" s="6">
        <v>14.7</v>
      </c>
      <c r="L77" s="6">
        <f t="shared" si="29"/>
        <v>2128543.6830000002</v>
      </c>
      <c r="M77" s="6">
        <f t="shared" si="30"/>
        <v>0</v>
      </c>
      <c r="N77" s="6">
        <f t="shared" si="31"/>
        <v>237876.47</v>
      </c>
      <c r="O77" s="6"/>
    </row>
    <row r="78" spans="1:15" x14ac:dyDescent="0.15">
      <c r="A78" s="2" t="s">
        <v>230</v>
      </c>
      <c r="B78" s="2" t="s">
        <v>799</v>
      </c>
      <c r="C78" s="2">
        <v>358248.47</v>
      </c>
      <c r="D78" s="2">
        <v>46777.01</v>
      </c>
      <c r="E78" s="2">
        <v>147425.79999999999</v>
      </c>
      <c r="F78" s="2">
        <v>11312.29</v>
      </c>
      <c r="G78" s="2">
        <f t="shared" si="27"/>
        <v>152733.36999999997</v>
      </c>
      <c r="I78" s="6">
        <v>29.391147488905339</v>
      </c>
      <c r="J78" s="6">
        <f t="shared" si="28"/>
        <v>1707311.1838272691</v>
      </c>
      <c r="K78" s="6">
        <v>12.96</v>
      </c>
      <c r="L78" s="6">
        <f t="shared" si="29"/>
        <v>1910638.368</v>
      </c>
      <c r="M78" s="6">
        <f t="shared" si="30"/>
        <v>0</v>
      </c>
      <c r="N78" s="6">
        <f t="shared" si="31"/>
        <v>199263.40000000002</v>
      </c>
      <c r="O78" s="6"/>
    </row>
    <row r="79" spans="1:15" x14ac:dyDescent="0.15">
      <c r="A79" s="2" t="s">
        <v>245</v>
      </c>
      <c r="B79" s="2" t="s">
        <v>800</v>
      </c>
      <c r="C79" s="2">
        <v>467579.82</v>
      </c>
      <c r="D79" s="2">
        <v>111435.33</v>
      </c>
      <c r="E79" s="2">
        <v>237415.37</v>
      </c>
      <c r="F79" s="2">
        <v>13682.5</v>
      </c>
      <c r="G79" s="2">
        <f t="shared" si="27"/>
        <v>105046.62</v>
      </c>
      <c r="I79" s="6">
        <v>31.96445866853896</v>
      </c>
      <c r="J79" s="6">
        <f t="shared" si="28"/>
        <v>3999323.7057322841</v>
      </c>
      <c r="K79" s="6">
        <v>23.2</v>
      </c>
      <c r="L79" s="6">
        <f t="shared" si="29"/>
        <v>5508036.5839999998</v>
      </c>
      <c r="M79" s="6">
        <f t="shared" si="30"/>
        <v>0</v>
      </c>
      <c r="N79" s="6">
        <f t="shared" si="31"/>
        <v>194202.81</v>
      </c>
      <c r="O79" s="6"/>
    </row>
    <row r="80" spans="1:15" x14ac:dyDescent="0.15">
      <c r="A80" s="2" t="s">
        <v>267</v>
      </c>
      <c r="B80" s="2" t="s">
        <v>801</v>
      </c>
      <c r="C80" s="2">
        <v>211673.08</v>
      </c>
      <c r="D80" s="2">
        <v>28483.37</v>
      </c>
      <c r="E80" s="2">
        <v>81333.09</v>
      </c>
      <c r="F80" s="2">
        <v>8981.42</v>
      </c>
      <c r="G80" s="2">
        <f t="shared" si="27"/>
        <v>92875.199999999997</v>
      </c>
      <c r="I80" s="6">
        <v>20.2251348769475</v>
      </c>
      <c r="J80" s="6">
        <f t="shared" si="28"/>
        <v>757730.4308865139</v>
      </c>
      <c r="K80" s="6">
        <v>18.399999999999999</v>
      </c>
      <c r="L80" s="6">
        <f t="shared" si="29"/>
        <v>1496528.8559999999</v>
      </c>
      <c r="M80" s="6">
        <f t="shared" si="30"/>
        <v>0</v>
      </c>
      <c r="N80" s="6">
        <f t="shared" si="31"/>
        <v>348850.7</v>
      </c>
      <c r="O80" s="6"/>
    </row>
    <row r="81" spans="1:15" x14ac:dyDescent="0.15">
      <c r="A81" s="2" t="s">
        <v>282</v>
      </c>
      <c r="B81" s="2" t="s">
        <v>802</v>
      </c>
      <c r="C81" s="2">
        <v>34844.92</v>
      </c>
      <c r="D81" s="2">
        <v>8584.23</v>
      </c>
      <c r="E81" s="2">
        <v>15278.7</v>
      </c>
      <c r="F81" s="2">
        <v>1475</v>
      </c>
      <c r="G81" s="2">
        <f t="shared" si="27"/>
        <v>9506.989999999998</v>
      </c>
      <c r="I81" s="6">
        <v>35.707337757725504</v>
      </c>
      <c r="J81" s="6">
        <f t="shared" si="28"/>
        <v>359188.3231926451</v>
      </c>
      <c r="K81" s="6">
        <v>17.440000000000001</v>
      </c>
      <c r="L81" s="6">
        <f t="shared" si="29"/>
        <v>266460.52800000005</v>
      </c>
      <c r="M81" s="6">
        <f t="shared" si="30"/>
        <v>0</v>
      </c>
      <c r="N81" s="6">
        <f t="shared" si="31"/>
        <v>109816.45999999999</v>
      </c>
      <c r="O81" s="6"/>
    </row>
    <row r="82" spans="1:15" x14ac:dyDescent="0.15">
      <c r="A82" s="2" t="s">
        <v>302</v>
      </c>
      <c r="B82" s="2" t="s">
        <v>682</v>
      </c>
      <c r="C82" s="2">
        <v>139428.15</v>
      </c>
      <c r="D82" s="2">
        <v>25039.3</v>
      </c>
      <c r="E82" s="2">
        <v>61807.199999999997</v>
      </c>
      <c r="F82" s="2">
        <v>4898.18</v>
      </c>
      <c r="G82" s="2">
        <f t="shared" si="27"/>
        <v>47683.469999999994</v>
      </c>
      <c r="I82" s="6">
        <v>30.320336431130265</v>
      </c>
      <c r="J82" s="6">
        <f t="shared" si="28"/>
        <v>907714.46550023369</v>
      </c>
      <c r="K82" s="6">
        <v>16.8</v>
      </c>
      <c r="L82" s="6">
        <f t="shared" si="29"/>
        <v>1038360.96</v>
      </c>
      <c r="M82" s="6">
        <f t="shared" si="30"/>
        <v>0</v>
      </c>
      <c r="N82" s="6">
        <f t="shared" si="31"/>
        <v>23862.93</v>
      </c>
      <c r="O82" s="6"/>
    </row>
    <row r="83" spans="1:15" x14ac:dyDescent="0.15">
      <c r="A83" s="2" t="s">
        <v>303</v>
      </c>
      <c r="B83" s="2" t="s">
        <v>808</v>
      </c>
      <c r="C83" s="2">
        <v>384761.9</v>
      </c>
      <c r="D83" s="2">
        <v>50687.8</v>
      </c>
      <c r="E83" s="2">
        <v>152446.95000000001</v>
      </c>
      <c r="F83" s="2">
        <v>10447.56</v>
      </c>
      <c r="G83" s="2">
        <f t="shared" si="27"/>
        <v>171179.59000000003</v>
      </c>
      <c r="I83" s="6">
        <v>27.266127154857774</v>
      </c>
      <c r="J83" s="6">
        <f t="shared" si="28"/>
        <v>1666924.4994180058</v>
      </c>
      <c r="K83" s="6">
        <v>15.4</v>
      </c>
      <c r="L83" s="6">
        <f t="shared" si="29"/>
        <v>2347683.0300000003</v>
      </c>
      <c r="M83" s="6">
        <f t="shared" si="30"/>
        <v>0</v>
      </c>
      <c r="N83" s="6">
        <f t="shared" si="31"/>
        <v>86846.5</v>
      </c>
      <c r="O83" s="6"/>
    </row>
    <row r="84" spans="1:15" x14ac:dyDescent="0.15">
      <c r="A84" s="2" t="s">
        <v>325</v>
      </c>
      <c r="B84" s="2" t="s">
        <v>809</v>
      </c>
      <c r="C84" s="2">
        <v>136326.32</v>
      </c>
      <c r="D84" s="2">
        <v>14285.22</v>
      </c>
      <c r="E84" s="2">
        <v>55581.94</v>
      </c>
      <c r="F84" s="2">
        <v>5454.48</v>
      </c>
      <c r="G84" s="2">
        <f t="shared" si="27"/>
        <v>61004.680000000008</v>
      </c>
      <c r="I84" s="6">
        <v>38.888445540215692</v>
      </c>
      <c r="J84" s="6">
        <f t="shared" si="28"/>
        <v>767646.24843019561</v>
      </c>
      <c r="K84" s="6">
        <v>15.43</v>
      </c>
      <c r="L84" s="6">
        <f t="shared" si="29"/>
        <v>857629.33420000004</v>
      </c>
      <c r="M84" s="6">
        <f t="shared" si="30"/>
        <v>0</v>
      </c>
      <c r="N84" s="6">
        <f t="shared" si="31"/>
        <v>203134.75</v>
      </c>
      <c r="O84" s="6"/>
    </row>
    <row r="85" spans="1:15" x14ac:dyDescent="0.15">
      <c r="A85" s="2" t="s">
        <v>335</v>
      </c>
      <c r="B85" s="2" t="s">
        <v>810</v>
      </c>
      <c r="C85" s="2">
        <v>206397.21</v>
      </c>
      <c r="D85" s="2">
        <v>28213.74</v>
      </c>
      <c r="E85" s="2">
        <v>85966.95</v>
      </c>
      <c r="F85" s="2">
        <v>7843.42</v>
      </c>
      <c r="G85" s="2">
        <f t="shared" si="27"/>
        <v>84373.1</v>
      </c>
      <c r="I85" s="6">
        <v>27.017687126910502</v>
      </c>
      <c r="J85" s="6">
        <f t="shared" si="28"/>
        <v>974181.06756495242</v>
      </c>
      <c r="K85" s="6">
        <v>11.28</v>
      </c>
      <c r="L85" s="6">
        <f t="shared" si="29"/>
        <v>969707.19599999988</v>
      </c>
      <c r="M85" s="6">
        <f t="shared" si="30"/>
        <v>0</v>
      </c>
      <c r="N85" s="6">
        <f t="shared" si="31"/>
        <v>69867.16</v>
      </c>
      <c r="O85" s="6"/>
    </row>
    <row r="86" spans="1:15" x14ac:dyDescent="0.15">
      <c r="A86" s="2" t="s">
        <v>360</v>
      </c>
      <c r="B86" s="2" t="s">
        <v>811</v>
      </c>
      <c r="C86" s="2">
        <v>160506.4</v>
      </c>
      <c r="D86" s="2">
        <v>26539.45</v>
      </c>
      <c r="E86" s="2">
        <v>65538.19</v>
      </c>
      <c r="F86" s="2">
        <v>5784.5</v>
      </c>
      <c r="G86" s="2">
        <f t="shared" si="27"/>
        <v>62644.25999999998</v>
      </c>
      <c r="H86" s="2">
        <v>86293.1</v>
      </c>
      <c r="I86" s="6">
        <v>25.146715549870095</v>
      </c>
      <c r="J86" s="6">
        <f t="shared" si="28"/>
        <v>812841.17609822343</v>
      </c>
      <c r="K86" s="6">
        <v>18.23</v>
      </c>
      <c r="L86" s="6">
        <f t="shared" si="29"/>
        <v>1194761.2037</v>
      </c>
      <c r="M86" s="6">
        <f t="shared" si="30"/>
        <v>1</v>
      </c>
      <c r="N86" s="6">
        <f t="shared" si="31"/>
        <v>114180.69</v>
      </c>
      <c r="O86" s="6">
        <v>13.62</v>
      </c>
    </row>
    <row r="87" spans="1:15" x14ac:dyDescent="0.15">
      <c r="A87" s="2" t="s">
        <v>371</v>
      </c>
      <c r="B87" s="2" t="s">
        <v>812</v>
      </c>
      <c r="C87" s="2">
        <v>88655.16</v>
      </c>
      <c r="D87" s="2">
        <v>13757.99</v>
      </c>
      <c r="E87" s="2">
        <v>37438.870000000003</v>
      </c>
      <c r="F87" s="2">
        <v>6565.6</v>
      </c>
      <c r="G87" s="2">
        <f t="shared" si="27"/>
        <v>30892.699999999997</v>
      </c>
      <c r="H87" s="2">
        <v>44631.3</v>
      </c>
      <c r="I87" s="6">
        <v>27.206735867666712</v>
      </c>
      <c r="J87" s="6">
        <f t="shared" si="28"/>
        <v>552938.54501275253</v>
      </c>
      <c r="K87" s="6">
        <v>12.6</v>
      </c>
      <c r="L87" s="6">
        <f t="shared" si="29"/>
        <v>471729.76200000005</v>
      </c>
      <c r="M87" s="6">
        <f t="shared" si="30"/>
        <v>1</v>
      </c>
      <c r="N87" s="6">
        <f t="shared" si="31"/>
        <v>92077.64</v>
      </c>
      <c r="O87" s="6">
        <v>15.68</v>
      </c>
    </row>
    <row r="88" spans="1:15" x14ac:dyDescent="0.15">
      <c r="A88" s="2" t="s">
        <v>386</v>
      </c>
      <c r="B88" s="2" t="s">
        <v>813</v>
      </c>
      <c r="C88" s="2">
        <v>22953.05</v>
      </c>
      <c r="D88" s="2">
        <v>4072.72</v>
      </c>
      <c r="E88" s="2">
        <v>10290.969999999999</v>
      </c>
      <c r="F88" s="2">
        <v>1070.3</v>
      </c>
      <c r="G88" s="2">
        <f t="shared" si="27"/>
        <v>7519.0599999999986</v>
      </c>
      <c r="H88" s="2">
        <v>13293.4</v>
      </c>
      <c r="I88" s="6">
        <v>41.559449213302166</v>
      </c>
      <c r="J88" s="6">
        <f t="shared" si="28"/>
        <v>213741.07849299727</v>
      </c>
      <c r="K88" s="6">
        <v>17.04</v>
      </c>
      <c r="L88" s="6">
        <f t="shared" si="29"/>
        <v>175358.12879999998</v>
      </c>
      <c r="M88" s="6">
        <f t="shared" si="30"/>
        <v>1</v>
      </c>
      <c r="N88" s="6">
        <f t="shared" si="31"/>
        <v>51196.86</v>
      </c>
      <c r="O88" s="6">
        <v>17.72</v>
      </c>
    </row>
    <row r="89" spans="1:15" x14ac:dyDescent="0.15">
      <c r="A89" s="2" t="s">
        <v>395</v>
      </c>
      <c r="B89" s="2" t="s">
        <v>814</v>
      </c>
      <c r="C89" s="2">
        <v>24900.99</v>
      </c>
      <c r="D89" s="2">
        <v>5038.47</v>
      </c>
      <c r="E89" s="2">
        <v>11334.9</v>
      </c>
      <c r="F89" s="2">
        <v>1030.6500000000001</v>
      </c>
      <c r="G89" s="2">
        <f t="shared" si="27"/>
        <v>7496.9700000000012</v>
      </c>
      <c r="H89" s="2">
        <v>15342.7</v>
      </c>
      <c r="I89" s="6">
        <v>26.355222914892821</v>
      </c>
      <c r="J89" s="6">
        <f t="shared" si="28"/>
        <v>159953.01049723433</v>
      </c>
      <c r="K89" s="6">
        <v>14.08</v>
      </c>
      <c r="L89" s="6">
        <f t="shared" si="29"/>
        <v>159595.39199999999</v>
      </c>
      <c r="M89" s="6">
        <f t="shared" si="30"/>
        <v>1</v>
      </c>
      <c r="N89" s="6">
        <f t="shared" si="31"/>
        <v>14363.689999999999</v>
      </c>
      <c r="O89" s="6">
        <v>15.88</v>
      </c>
    </row>
    <row r="90" spans="1:15" x14ac:dyDescent="0.15">
      <c r="A90" s="2" t="s">
        <v>401</v>
      </c>
      <c r="B90" s="2" t="s">
        <v>815</v>
      </c>
      <c r="C90" s="2">
        <v>87816.49</v>
      </c>
      <c r="D90" s="2">
        <v>16417.490000000002</v>
      </c>
      <c r="E90" s="2">
        <v>34579.870000000003</v>
      </c>
      <c r="F90" s="2">
        <v>3601.29</v>
      </c>
      <c r="G90" s="2">
        <f t="shared" si="27"/>
        <v>33217.839999999997</v>
      </c>
      <c r="H90" s="2">
        <v>47396.1</v>
      </c>
      <c r="I90" s="6">
        <v>25.949155443371666</v>
      </c>
      <c r="J90" s="6">
        <f t="shared" si="28"/>
        <v>519470.4340066599</v>
      </c>
      <c r="K90" s="6">
        <v>15.58</v>
      </c>
      <c r="L90" s="6">
        <f t="shared" si="29"/>
        <v>538754.3746000001</v>
      </c>
      <c r="M90" s="6">
        <f t="shared" si="30"/>
        <v>1</v>
      </c>
      <c r="N90" s="6">
        <f t="shared" si="31"/>
        <v>16373.369999999999</v>
      </c>
      <c r="O90" s="6">
        <v>18.489999999999998</v>
      </c>
    </row>
    <row r="91" spans="1:15" x14ac:dyDescent="0.15">
      <c r="A91" s="2" t="s">
        <v>352</v>
      </c>
      <c r="B91" s="2" t="s">
        <v>352</v>
      </c>
      <c r="C91" s="2">
        <f>SUM(E91:F91)</f>
        <v>4365.2127445198912</v>
      </c>
      <c r="E91" s="2">
        <v>3829.6038188119287</v>
      </c>
      <c r="F91" s="2">
        <v>535.60892570796204</v>
      </c>
      <c r="G91" s="2">
        <v>0</v>
      </c>
      <c r="I91" s="6">
        <v>26.691635930578162</v>
      </c>
      <c r="J91" s="6">
        <f t="shared" si="28"/>
        <v>14296.27844616501</v>
      </c>
      <c r="K91" s="6">
        <v>11.28</v>
      </c>
      <c r="L91" s="6">
        <f t="shared" si="29"/>
        <v>43197.931076198554</v>
      </c>
      <c r="M91" s="6">
        <f t="shared" si="30"/>
        <v>1</v>
      </c>
      <c r="N91" s="6">
        <f t="shared" si="31"/>
        <v>50997.36</v>
      </c>
      <c r="O91" s="6">
        <v>12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C438-7063-4F3D-956E-3E3FD7F714B5}">
  <dimension ref="A1:AR61"/>
  <sheetViews>
    <sheetView workbookViewId="0"/>
  </sheetViews>
  <sheetFormatPr defaultColWidth="8.625" defaultRowHeight="13.5" x14ac:dyDescent="0.15"/>
  <cols>
    <col min="1" max="1" width="31.25" style="1" customWidth="1"/>
    <col min="2" max="2" width="33.375" style="1" customWidth="1"/>
    <col min="3" max="3" width="21.875" style="1" customWidth="1"/>
    <col min="4" max="4" width="21" style="1" customWidth="1"/>
    <col min="5" max="5" width="23.625" style="1" customWidth="1"/>
    <col min="6" max="6" width="22.375" style="1" customWidth="1"/>
    <col min="7" max="7" width="22.5" style="1" customWidth="1"/>
    <col min="8" max="19" width="10.75" style="1" customWidth="1"/>
    <col min="20" max="20" width="12.25" customWidth="1"/>
    <col min="21" max="21" width="11.875" customWidth="1"/>
    <col min="22" max="22" width="12.25" customWidth="1"/>
    <col min="23" max="35" width="11.75" customWidth="1"/>
  </cols>
  <sheetData>
    <row r="1" spans="1:44" ht="15" x14ac:dyDescent="0.15">
      <c r="A1" s="24" t="s">
        <v>933</v>
      </c>
    </row>
    <row r="2" spans="1:44" s="22" customFormat="1" x14ac:dyDescent="0.15">
      <c r="A2" s="22" t="s">
        <v>910</v>
      </c>
      <c r="B2" s="23">
        <v>2018</v>
      </c>
      <c r="C2" s="23">
        <v>2019</v>
      </c>
      <c r="D2" s="23">
        <v>2020</v>
      </c>
      <c r="E2" s="23">
        <v>2021</v>
      </c>
      <c r="F2" s="23">
        <v>2022</v>
      </c>
      <c r="G2" s="23">
        <v>2023</v>
      </c>
      <c r="H2" s="23">
        <v>2024</v>
      </c>
      <c r="I2" s="23">
        <v>2025</v>
      </c>
      <c r="J2" s="23">
        <v>2026</v>
      </c>
      <c r="K2" s="23">
        <v>2027</v>
      </c>
      <c r="L2" s="23">
        <v>2028</v>
      </c>
      <c r="M2" s="23">
        <v>2029</v>
      </c>
      <c r="N2" s="23">
        <v>2030</v>
      </c>
      <c r="O2" s="23">
        <v>2031</v>
      </c>
      <c r="P2" s="23">
        <v>2032</v>
      </c>
      <c r="Q2" s="23">
        <v>2033</v>
      </c>
      <c r="R2" s="23">
        <v>2034</v>
      </c>
      <c r="S2" s="23">
        <v>2035</v>
      </c>
      <c r="T2" s="23">
        <v>2036</v>
      </c>
      <c r="U2" s="23">
        <v>2037</v>
      </c>
      <c r="V2" s="23">
        <v>2038</v>
      </c>
      <c r="W2" s="23">
        <v>2039</v>
      </c>
      <c r="X2" s="23">
        <v>2040</v>
      </c>
      <c r="Y2" s="23">
        <v>2041</v>
      </c>
      <c r="Z2" s="23">
        <v>2042</v>
      </c>
      <c r="AA2" s="23">
        <v>2043</v>
      </c>
      <c r="AB2" s="23">
        <v>2044</v>
      </c>
      <c r="AC2" s="23">
        <v>2045</v>
      </c>
      <c r="AD2" s="23">
        <v>2046</v>
      </c>
      <c r="AE2" s="23">
        <v>2047</v>
      </c>
      <c r="AF2" s="23">
        <v>2048</v>
      </c>
      <c r="AG2" s="23">
        <v>2049</v>
      </c>
      <c r="AH2" s="23">
        <v>2050</v>
      </c>
      <c r="AI2" s="23">
        <v>2051</v>
      </c>
      <c r="AJ2" s="23">
        <v>2052</v>
      </c>
      <c r="AK2" s="23">
        <v>2053</v>
      </c>
      <c r="AL2" s="23">
        <v>2054</v>
      </c>
      <c r="AM2" s="23">
        <v>2055</v>
      </c>
      <c r="AN2" s="23">
        <v>2056</v>
      </c>
      <c r="AO2" s="23">
        <v>2057</v>
      </c>
      <c r="AP2" s="23">
        <v>2058</v>
      </c>
      <c r="AQ2" s="23">
        <v>2059</v>
      </c>
      <c r="AR2" s="23">
        <v>2060</v>
      </c>
    </row>
    <row r="3" spans="1:44" s="20" customFormat="1" x14ac:dyDescent="0.15">
      <c r="A3" s="22" t="s">
        <v>893</v>
      </c>
      <c r="B3" s="20">
        <f t="shared" ref="B3:AR3" si="0">B10+B17</f>
        <v>21428.795671126285</v>
      </c>
      <c r="C3" s="20">
        <f t="shared" si="0"/>
        <v>21709.655410811596</v>
      </c>
      <c r="D3" s="20">
        <f t="shared" si="0"/>
        <v>22093.669709245616</v>
      </c>
      <c r="E3" s="20">
        <f t="shared" si="0"/>
        <v>22270.069801919108</v>
      </c>
      <c r="F3" s="20">
        <f t="shared" si="0"/>
        <v>22441.206706333945</v>
      </c>
      <c r="G3" s="20">
        <f t="shared" si="0"/>
        <v>22606.963222226386</v>
      </c>
      <c r="H3" s="20">
        <f t="shared" si="0"/>
        <v>22767.233238510027</v>
      </c>
      <c r="I3" s="20">
        <f t="shared" si="0"/>
        <v>22921.923423605098</v>
      </c>
      <c r="J3" s="20">
        <f t="shared" si="0"/>
        <v>23070.952429630459</v>
      </c>
      <c r="K3" s="20">
        <f t="shared" si="0"/>
        <v>23214.25329226465</v>
      </c>
      <c r="L3" s="20">
        <f t="shared" si="0"/>
        <v>23351.772679190486</v>
      </c>
      <c r="M3" s="20">
        <f t="shared" si="0"/>
        <v>23483.472519388204</v>
      </c>
      <c r="N3" s="20">
        <f t="shared" si="0"/>
        <v>23609.330580710099</v>
      </c>
      <c r="O3" s="20">
        <f t="shared" si="0"/>
        <v>23729.340905763027</v>
      </c>
      <c r="P3" s="20">
        <f t="shared" si="0"/>
        <v>23843.515592877095</v>
      </c>
      <c r="Q3" s="20">
        <f t="shared" si="0"/>
        <v>23951.884359509088</v>
      </c>
      <c r="R3" s="20">
        <f t="shared" si="0"/>
        <v>24054.496534618796</v>
      </c>
      <c r="S3" s="20">
        <f t="shared" si="0"/>
        <v>24151.421273735985</v>
      </c>
      <c r="T3" s="20">
        <f t="shared" si="0"/>
        <v>24242.748790659156</v>
      </c>
      <c r="U3" s="20">
        <f t="shared" si="0"/>
        <v>24328.591578506774</v>
      </c>
      <c r="V3" s="20">
        <f t="shared" si="0"/>
        <v>24409.084501982456</v>
      </c>
      <c r="W3" s="20">
        <f t="shared" si="0"/>
        <v>24484.386747353419</v>
      </c>
      <c r="X3" s="20">
        <f t="shared" si="0"/>
        <v>24554.682579943339</v>
      </c>
      <c r="Y3" s="20">
        <f t="shared" si="0"/>
        <v>24620.182500836487</v>
      </c>
      <c r="Z3" s="20">
        <f t="shared" si="0"/>
        <v>24681.123851917931</v>
      </c>
      <c r="AA3" s="20">
        <f t="shared" si="0"/>
        <v>24737.772361195995</v>
      </c>
      <c r="AB3" s="20">
        <f t="shared" si="0"/>
        <v>24790.42387247564</v>
      </c>
      <c r="AC3" s="20">
        <f t="shared" si="0"/>
        <v>24839.404475087595</v>
      </c>
      <c r="AD3" s="20">
        <f t="shared" si="0"/>
        <v>24885.072029151954</v>
      </c>
      <c r="AE3" s="20">
        <f t="shared" si="0"/>
        <v>24927.818623115996</v>
      </c>
      <c r="AF3" s="20">
        <f t="shared" si="0"/>
        <v>24968.070127988067</v>
      </c>
      <c r="AG3" s="20">
        <f t="shared" si="0"/>
        <v>25006.288497128466</v>
      </c>
      <c r="AH3" s="20">
        <f t="shared" si="0"/>
        <v>25042.973565820106</v>
      </c>
      <c r="AI3" s="20">
        <f t="shared" si="0"/>
        <v>25078.663069407441</v>
      </c>
      <c r="AJ3" s="20">
        <f t="shared" si="0"/>
        <v>25113.936082320295</v>
      </c>
      <c r="AK3" s="20">
        <f t="shared" si="0"/>
        <v>25149.412234595507</v>
      </c>
      <c r="AL3" s="20">
        <f t="shared" si="0"/>
        <v>25185.75552271679</v>
      </c>
      <c r="AM3" s="20">
        <f t="shared" si="0"/>
        <v>25223.674485542288</v>
      </c>
      <c r="AN3" s="20">
        <f t="shared" si="0"/>
        <v>25263.924121206146</v>
      </c>
      <c r="AO3" s="20">
        <f t="shared" si="0"/>
        <v>25307.307637050653</v>
      </c>
      <c r="AP3" s="20">
        <f t="shared" si="0"/>
        <v>25354.678249343204</v>
      </c>
      <c r="AQ3" s="20">
        <f t="shared" si="0"/>
        <v>25406.941459322115</v>
      </c>
      <c r="AR3" s="20">
        <f t="shared" si="0"/>
        <v>25465.055585322265</v>
      </c>
    </row>
    <row r="4" spans="1:44" s="20" customFormat="1" x14ac:dyDescent="0.15">
      <c r="A4" s="22" t="s">
        <v>891</v>
      </c>
      <c r="B4" s="20">
        <f t="shared" ref="B4:AR4" si="1">B11+B18</f>
        <v>15291.2914680833</v>
      </c>
      <c r="C4" s="20">
        <f t="shared" si="1"/>
        <v>15607.132061411616</v>
      </c>
      <c r="D4" s="20">
        <f t="shared" si="1"/>
        <v>16024.079525684678</v>
      </c>
      <c r="E4" s="20">
        <f t="shared" si="1"/>
        <v>16237.534066690405</v>
      </c>
      <c r="F4" s="20">
        <f t="shared" si="1"/>
        <v>16445.829897286425</v>
      </c>
      <c r="G4" s="20">
        <f t="shared" si="1"/>
        <v>16648.852143713542</v>
      </c>
      <c r="H4" s="20">
        <f t="shared" si="1"/>
        <v>16846.496801262241</v>
      </c>
      <c r="I4" s="20">
        <f t="shared" si="1"/>
        <v>17038.672391047778</v>
      </c>
      <c r="J4" s="20">
        <f t="shared" si="1"/>
        <v>17225.2991799995</v>
      </c>
      <c r="K4" s="20">
        <f t="shared" si="1"/>
        <v>17406.311533083048</v>
      </c>
      <c r="L4" s="20">
        <f t="shared" si="1"/>
        <v>17581.657176663837</v>
      </c>
      <c r="M4" s="20">
        <f t="shared" si="1"/>
        <v>17751.298795457598</v>
      </c>
      <c r="N4" s="20">
        <f t="shared" si="1"/>
        <v>17915.214598639814</v>
      </c>
      <c r="O4" s="20">
        <f t="shared" si="1"/>
        <v>18073.398747075629</v>
      </c>
      <c r="P4" s="20">
        <f t="shared" si="1"/>
        <v>18225.863098935104</v>
      </c>
      <c r="Q4" s="20">
        <f t="shared" si="1"/>
        <v>18372.636781763387</v>
      </c>
      <c r="R4" s="20">
        <f t="shared" si="1"/>
        <v>18513.768145307055</v>
      </c>
      <c r="S4" s="20">
        <f t="shared" si="1"/>
        <v>18649.324972311773</v>
      </c>
      <c r="T4" s="20">
        <f t="shared" si="1"/>
        <v>18779.395685771124</v>
      </c>
      <c r="U4" s="20">
        <f t="shared" si="1"/>
        <v>18904.090545739</v>
      </c>
      <c r="V4" s="20">
        <f t="shared" si="1"/>
        <v>19023.541739763408</v>
      </c>
      <c r="W4" s="20">
        <f t="shared" si="1"/>
        <v>19137.905294156408</v>
      </c>
      <c r="X4" s="20">
        <f t="shared" si="1"/>
        <v>19247.36181645031</v>
      </c>
      <c r="Y4" s="20">
        <f t="shared" si="1"/>
        <v>19352.117629140383</v>
      </c>
      <c r="Z4" s="20">
        <f t="shared" si="1"/>
        <v>19452.405362714668</v>
      </c>
      <c r="AA4" s="20">
        <f t="shared" si="1"/>
        <v>19548.48547030066</v>
      </c>
      <c r="AB4" s="20">
        <f t="shared" si="1"/>
        <v>19640.647923003584</v>
      </c>
      <c r="AC4" s="20">
        <f t="shared" si="1"/>
        <v>19729.212337060271</v>
      </c>
      <c r="AD4" s="20">
        <f t="shared" si="1"/>
        <v>19814.529468825225</v>
      </c>
      <c r="AE4" s="20">
        <f t="shared" si="1"/>
        <v>19896.983623524709</v>
      </c>
      <c r="AF4" s="20">
        <f t="shared" si="1"/>
        <v>19976.99221833931</v>
      </c>
      <c r="AG4" s="20">
        <f t="shared" si="1"/>
        <v>20055.008036542495</v>
      </c>
      <c r="AH4" s="20">
        <f t="shared" si="1"/>
        <v>20131.520991348538</v>
      </c>
      <c r="AI4" s="20">
        <f t="shared" si="1"/>
        <v>20207.058143691371</v>
      </c>
      <c r="AJ4" s="20">
        <f t="shared" si="1"/>
        <v>20282.187072981484</v>
      </c>
      <c r="AK4" s="20">
        <f t="shared" si="1"/>
        <v>20357.515109180134</v>
      </c>
      <c r="AL4" s="20">
        <f t="shared" si="1"/>
        <v>20433.693067991451</v>
      </c>
      <c r="AM4" s="20">
        <f t="shared" si="1"/>
        <v>20511.415423297723</v>
      </c>
      <c r="AN4" s="20">
        <f t="shared" si="1"/>
        <v>20591.422186009164</v>
      </c>
      <c r="AO4" s="20">
        <f t="shared" si="1"/>
        <v>20674.50061925871</v>
      </c>
      <c r="AP4" s="20">
        <f t="shared" si="1"/>
        <v>20761.487002393442</v>
      </c>
      <c r="AQ4" s="20">
        <f t="shared" si="1"/>
        <v>20853.268861839249</v>
      </c>
      <c r="AR4" s="20">
        <f t="shared" si="1"/>
        <v>20950.785492663497</v>
      </c>
    </row>
    <row r="5" spans="1:44" s="20" customFormat="1" x14ac:dyDescent="0.15">
      <c r="A5" s="22" t="s">
        <v>892</v>
      </c>
      <c r="B5" s="20">
        <f t="shared" ref="B5:AR5" si="2">B12+B19</f>
        <v>11819.942661001123</v>
      </c>
      <c r="C5" s="20">
        <f t="shared" si="2"/>
        <v>11736.021068108017</v>
      </c>
      <c r="D5" s="20">
        <f t="shared" si="2"/>
        <v>11403.738653346423</v>
      </c>
      <c r="E5" s="20">
        <f t="shared" si="2"/>
        <v>11191.605944216357</v>
      </c>
      <c r="F5" s="20">
        <f t="shared" si="2"/>
        <v>11157.882447450607</v>
      </c>
      <c r="G5" s="20">
        <f t="shared" si="2"/>
        <v>11119.213988790189</v>
      </c>
      <c r="H5" s="20">
        <f t="shared" si="2"/>
        <v>11075.690037235217</v>
      </c>
      <c r="I5" s="20">
        <f t="shared" si="2"/>
        <v>11027.406813340305</v>
      </c>
      <c r="J5" s="20">
        <f t="shared" si="2"/>
        <v>10974.466505995229</v>
      </c>
      <c r="K5" s="20">
        <f t="shared" si="2"/>
        <v>10916.977807574694</v>
      </c>
      <c r="L5" s="20">
        <f t="shared" si="2"/>
        <v>10855.055120005383</v>
      </c>
      <c r="M5" s="20">
        <f t="shared" si="2"/>
        <v>10788.818720020165</v>
      </c>
      <c r="N5" s="20">
        <f t="shared" si="2"/>
        <v>10718.394467740443</v>
      </c>
      <c r="O5" s="20">
        <f t="shared" si="2"/>
        <v>10643.913448134404</v>
      </c>
      <c r="P5" s="20">
        <f t="shared" si="2"/>
        <v>10565.512097935271</v>
      </c>
      <c r="Q5" s="20">
        <f t="shared" si="2"/>
        <v>10483.33147242351</v>
      </c>
      <c r="R5" s="20">
        <f t="shared" si="2"/>
        <v>10399.4098795304</v>
      </c>
      <c r="S5" s="20">
        <f t="shared" si="2"/>
        <v>10312.02464111518</v>
      </c>
      <c r="T5" s="20">
        <f t="shared" si="2"/>
        <v>10218.2640696259</v>
      </c>
      <c r="U5" s="20">
        <f t="shared" si="2"/>
        <v>10118.410248229713</v>
      </c>
      <c r="V5" s="20">
        <f t="shared" si="2"/>
        <v>10012.752278964914</v>
      </c>
      <c r="W5" s="20">
        <f t="shared" si="2"/>
        <v>9901.585131169757</v>
      </c>
      <c r="X5" s="20">
        <f t="shared" si="2"/>
        <v>9785.2096003412898</v>
      </c>
      <c r="Y5" s="20">
        <f t="shared" si="2"/>
        <v>9663.9314639342447</v>
      </c>
      <c r="Z5" s="20">
        <f t="shared" si="2"/>
        <v>9538.060834116839</v>
      </c>
      <c r="AA5" s="20">
        <f t="shared" si="2"/>
        <v>9407.9111480561241</v>
      </c>
      <c r="AB5" s="20">
        <f t="shared" si="2"/>
        <v>9273.7986529208811</v>
      </c>
      <c r="AC5" s="20">
        <f t="shared" si="2"/>
        <v>9136.0419092619304</v>
      </c>
      <c r="AD5" s="20">
        <f t="shared" si="2"/>
        <v>8994.9603681808239</v>
      </c>
      <c r="AE5" s="20">
        <f t="shared" si="2"/>
        <v>8850.8736794966335</v>
      </c>
      <c r="AF5" s="20">
        <f t="shared" si="2"/>
        <v>8704.1013915822114</v>
      </c>
      <c r="AG5" s="20">
        <f t="shared" si="2"/>
        <v>8554.9610962909046</v>
      </c>
      <c r="AH5" s="20">
        <f t="shared" si="2"/>
        <v>8403.7679454547178</v>
      </c>
      <c r="AI5" s="20">
        <f t="shared" si="2"/>
        <v>8250.8338123549438</v>
      </c>
      <c r="AJ5" s="20">
        <f t="shared" si="2"/>
        <v>8096.4655529709353</v>
      </c>
      <c r="AK5" s="20">
        <f t="shared" si="2"/>
        <v>7940.9648235013683</v>
      </c>
      <c r="AL5" s="20">
        <f t="shared" si="2"/>
        <v>7784.625869925595</v>
      </c>
      <c r="AM5" s="20">
        <f t="shared" si="2"/>
        <v>7627.7353531481813</v>
      </c>
      <c r="AN5" s="20">
        <f t="shared" si="2"/>
        <v>7470.5704592721904</v>
      </c>
      <c r="AO5" s="20">
        <f t="shared" si="2"/>
        <v>7313.3977373315865</v>
      </c>
      <c r="AP5" s="20">
        <f t="shared" si="2"/>
        <v>7156.4717864971708</v>
      </c>
      <c r="AQ5" s="20">
        <f t="shared" si="2"/>
        <v>7000.0338897968422</v>
      </c>
      <c r="AR5" s="20">
        <f t="shared" si="2"/>
        <v>6844.3107515292322</v>
      </c>
    </row>
    <row r="6" spans="1:44" s="20" customFormat="1" x14ac:dyDescent="0.15">
      <c r="A6" s="22" t="s">
        <v>901</v>
      </c>
      <c r="B6" s="20">
        <f t="shared" ref="B6:AR6" si="3">B13+B20</f>
        <v>9051.9023959665101</v>
      </c>
      <c r="C6" s="20">
        <f t="shared" si="3"/>
        <v>8987.6338889551462</v>
      </c>
      <c r="D6" s="20">
        <f t="shared" si="3"/>
        <v>9207.5320991133776</v>
      </c>
      <c r="E6" s="20">
        <f t="shared" si="3"/>
        <v>9323.2037209709106</v>
      </c>
      <c r="F6" s="20">
        <f t="shared" si="3"/>
        <v>9435.5112752377936</v>
      </c>
      <c r="G6" s="20">
        <f t="shared" si="3"/>
        <v>9544.4342036381931</v>
      </c>
      <c r="H6" s="20">
        <f t="shared" si="3"/>
        <v>9649.9571096452219</v>
      </c>
      <c r="I6" s="20">
        <f t="shared" si="3"/>
        <v>9752.0711438615181</v>
      </c>
      <c r="J6" s="20">
        <f t="shared" si="3"/>
        <v>9850.7729544455888</v>
      </c>
      <c r="K6" s="20">
        <f t="shared" si="3"/>
        <v>9946.0658221242957</v>
      </c>
      <c r="L6" s="20">
        <f t="shared" si="3"/>
        <v>10037.959687422608</v>
      </c>
      <c r="M6" s="20">
        <f t="shared" si="3"/>
        <v>10126.471397240379</v>
      </c>
      <c r="N6" s="20">
        <f t="shared" si="3"/>
        <v>10211.625072012066</v>
      </c>
      <c r="O6" s="20">
        <f t="shared" si="3"/>
        <v>10293.452368988699</v>
      </c>
      <c r="P6" s="20">
        <f t="shared" si="3"/>
        <v>10371.99313399852</v>
      </c>
      <c r="Q6" s="20">
        <f t="shared" si="3"/>
        <v>10447.295086155258</v>
      </c>
      <c r="R6" s="20">
        <f t="shared" si="3"/>
        <v>10519.414913994777</v>
      </c>
      <c r="S6" s="20">
        <f t="shared" si="3"/>
        <v>10588.418274574686</v>
      </c>
      <c r="T6" s="20">
        <f t="shared" si="3"/>
        <v>10654.379948095273</v>
      </c>
      <c r="U6" s="20">
        <f t="shared" si="3"/>
        <v>10717.384719031721</v>
      </c>
      <c r="V6" s="20">
        <f t="shared" si="3"/>
        <v>10777.527248830387</v>
      </c>
      <c r="W6" s="20">
        <f t="shared" si="3"/>
        <v>10834.912798263174</v>
      </c>
      <c r="X6" s="20">
        <f t="shared" si="3"/>
        <v>10889.657677265781</v>
      </c>
      <c r="Y6" s="20">
        <f t="shared" si="3"/>
        <v>10941.889724600191</v>
      </c>
      <c r="Z6" s="20">
        <f t="shared" si="3"/>
        <v>10991.74816391793</v>
      </c>
      <c r="AA6" s="20">
        <f t="shared" si="3"/>
        <v>11039.384758270571</v>
      </c>
      <c r="AB6" s="20">
        <f t="shared" si="3"/>
        <v>11084.963969020208</v>
      </c>
      <c r="AC6" s="20">
        <f t="shared" si="3"/>
        <v>11128.663530029789</v>
      </c>
      <c r="AD6" s="20">
        <f t="shared" si="3"/>
        <v>11170.674340671938</v>
      </c>
      <c r="AE6" s="20">
        <f t="shared" si="3"/>
        <v>11211.202319410564</v>
      </c>
      <c r="AF6" s="20">
        <f t="shared" si="3"/>
        <v>11250.467444081787</v>
      </c>
      <c r="AG6" s="20">
        <f t="shared" si="3"/>
        <v>11288.70517926056</v>
      </c>
      <c r="AH6" s="20">
        <f t="shared" si="3"/>
        <v>11326.166853390465</v>
      </c>
      <c r="AI6" s="20">
        <f t="shared" si="3"/>
        <v>11363.119444813237</v>
      </c>
      <c r="AJ6" s="20">
        <f t="shared" si="3"/>
        <v>11399.847900129462</v>
      </c>
      <c r="AK6" s="20">
        <f t="shared" si="3"/>
        <v>11436.653698016467</v>
      </c>
      <c r="AL6" s="20">
        <f t="shared" si="3"/>
        <v>11473.856886324353</v>
      </c>
      <c r="AM6" s="20">
        <f t="shared" si="3"/>
        <v>11511.796236075152</v>
      </c>
      <c r="AN6" s="20">
        <f t="shared" si="3"/>
        <v>11550.829343038256</v>
      </c>
      <c r="AO6" s="20">
        <f t="shared" si="3"/>
        <v>11591.334266665395</v>
      </c>
      <c r="AP6" s="20">
        <f t="shared" si="3"/>
        <v>11633.70932909047</v>
      </c>
      <c r="AQ6" s="20">
        <f t="shared" si="3"/>
        <v>11678.374894687575</v>
      </c>
      <c r="AR6" s="20">
        <f t="shared" si="3"/>
        <v>11725.772562417849</v>
      </c>
    </row>
    <row r="7" spans="1:44" s="20" customFormat="1" x14ac:dyDescent="0.15">
      <c r="A7" s="22" t="s">
        <v>902</v>
      </c>
      <c r="B7" s="20">
        <f t="shared" ref="B7:AR7" si="4">B14+B21</f>
        <v>4065.1262168957924</v>
      </c>
      <c r="C7" s="20">
        <f t="shared" si="4"/>
        <v>4274.9841640495952</v>
      </c>
      <c r="D7" s="20">
        <f t="shared" si="4"/>
        <v>4537.2821728543131</v>
      </c>
      <c r="E7" s="20">
        <f t="shared" si="4"/>
        <v>4689.5502780819688</v>
      </c>
      <c r="F7" s="20">
        <f t="shared" si="4"/>
        <v>4838.916725219502</v>
      </c>
      <c r="G7" s="20">
        <f t="shared" si="4"/>
        <v>4985.3169003719167</v>
      </c>
      <c r="H7" s="20">
        <f t="shared" si="4"/>
        <v>5128.692303239176</v>
      </c>
      <c r="I7" s="20">
        <f t="shared" si="4"/>
        <v>5268.9914790147641</v>
      </c>
      <c r="J7" s="20">
        <f t="shared" si="4"/>
        <v>5406.1695796473032</v>
      </c>
      <c r="K7" s="20">
        <f t="shared" si="4"/>
        <v>5540.1896869124066</v>
      </c>
      <c r="L7" s="20">
        <f t="shared" si="4"/>
        <v>5671.022398071279</v>
      </c>
      <c r="M7" s="20">
        <f t="shared" si="4"/>
        <v>5798.6467241193304</v>
      </c>
      <c r="N7" s="20">
        <f t="shared" si="4"/>
        <v>5923.0504082099378</v>
      </c>
      <c r="O7" s="20">
        <f t="shared" si="4"/>
        <v>6044.2301659616269</v>
      </c>
      <c r="P7" s="20">
        <f t="shared" si="4"/>
        <v>6162.1926673272301</v>
      </c>
      <c r="Q7" s="20">
        <f t="shared" si="4"/>
        <v>6276.9542958930151</v>
      </c>
      <c r="R7" s="20">
        <f t="shared" si="4"/>
        <v>6388.5422472993905</v>
      </c>
      <c r="S7" s="20">
        <f t="shared" si="4"/>
        <v>6496.9946478098518</v>
      </c>
      <c r="T7" s="20">
        <f t="shared" si="4"/>
        <v>6602.3612333611472</v>
      </c>
      <c r="U7" s="20">
        <f t="shared" si="4"/>
        <v>6704.7040227432481</v>
      </c>
      <c r="V7" s="20">
        <f t="shared" si="4"/>
        <v>6804.0973684663022</v>
      </c>
      <c r="W7" s="20">
        <f t="shared" si="4"/>
        <v>6900.6290318068113</v>
      </c>
      <c r="X7" s="20">
        <f t="shared" si="4"/>
        <v>6994.4006004224666</v>
      </c>
      <c r="Y7" s="20">
        <f t="shared" si="4"/>
        <v>7085.5281260568427</v>
      </c>
      <c r="Z7" s="20">
        <f t="shared" si="4"/>
        <v>7174.1424581052233</v>
      </c>
      <c r="AA7" s="20">
        <f t="shared" si="4"/>
        <v>7260.3900955692061</v>
      </c>
      <c r="AB7" s="20">
        <f t="shared" si="4"/>
        <v>7344.4341406461517</v>
      </c>
      <c r="AC7" s="20">
        <f t="shared" si="4"/>
        <v>7426.4543702503788</v>
      </c>
      <c r="AD7" s="20">
        <f t="shared" si="4"/>
        <v>7506.6480769090649</v>
      </c>
      <c r="AE7" s="20">
        <f t="shared" si="4"/>
        <v>7585.2314236320126</v>
      </c>
      <c r="AF7" s="20">
        <f t="shared" si="4"/>
        <v>7662.4391981554645</v>
      </c>
      <c r="AG7" s="20">
        <f t="shared" si="4"/>
        <v>7738.526080844118</v>
      </c>
      <c r="AH7" s="20">
        <f t="shared" si="4"/>
        <v>7813.7676368157527</v>
      </c>
      <c r="AI7" s="20">
        <f t="shared" si="4"/>
        <v>7888.4603259414416</v>
      </c>
      <c r="AJ7" s="20">
        <f t="shared" si="4"/>
        <v>7962.9233988201577</v>
      </c>
      <c r="AK7" s="20">
        <f t="shared" si="4"/>
        <v>8037.4984648378686</v>
      </c>
      <c r="AL7" s="20">
        <f t="shared" si="4"/>
        <v>8112.5515931287355</v>
      </c>
      <c r="AM7" s="20">
        <f t="shared" si="4"/>
        <v>8188.4734095660679</v>
      </c>
      <c r="AN7" s="20">
        <f t="shared" si="4"/>
        <v>8265.6801535728682</v>
      </c>
      <c r="AO7" s="20">
        <f t="shared" si="4"/>
        <v>8344.6146428801912</v>
      </c>
      <c r="AP7" s="20">
        <f t="shared" si="4"/>
        <v>8425.7472657324379</v>
      </c>
      <c r="AQ7" s="20">
        <f t="shared" si="4"/>
        <v>8509.5772356983871</v>
      </c>
      <c r="AR7" s="20">
        <f t="shared" si="4"/>
        <v>8596.6328850383798</v>
      </c>
    </row>
    <row r="8" spans="1:44" s="15" customForma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44" s="22" customFormat="1" x14ac:dyDescent="0.15">
      <c r="A9" s="22" t="s">
        <v>908</v>
      </c>
      <c r="B9" s="23">
        <v>2018</v>
      </c>
      <c r="C9" s="23">
        <v>2019</v>
      </c>
      <c r="D9" s="23">
        <v>2020</v>
      </c>
      <c r="E9" s="23">
        <v>2021</v>
      </c>
      <c r="F9" s="23">
        <v>2022</v>
      </c>
      <c r="G9" s="23">
        <v>2023</v>
      </c>
      <c r="H9" s="23">
        <v>2024</v>
      </c>
      <c r="I9" s="23">
        <v>2025</v>
      </c>
      <c r="J9" s="23">
        <v>2026</v>
      </c>
      <c r="K9" s="23">
        <v>2027</v>
      </c>
      <c r="L9" s="23">
        <v>2028</v>
      </c>
      <c r="M9" s="23">
        <v>2029</v>
      </c>
      <c r="N9" s="23">
        <v>2030</v>
      </c>
      <c r="O9" s="23">
        <v>2031</v>
      </c>
      <c r="P9" s="23">
        <v>2032</v>
      </c>
      <c r="Q9" s="23">
        <v>2033</v>
      </c>
      <c r="R9" s="23">
        <v>2034</v>
      </c>
      <c r="S9" s="23">
        <v>2035</v>
      </c>
      <c r="T9" s="23">
        <v>2036</v>
      </c>
      <c r="U9" s="23">
        <v>2037</v>
      </c>
      <c r="V9" s="23">
        <v>2038</v>
      </c>
      <c r="W9" s="23">
        <v>2039</v>
      </c>
      <c r="X9" s="23">
        <v>2040</v>
      </c>
      <c r="Y9" s="23">
        <v>2041</v>
      </c>
      <c r="Z9" s="23">
        <v>2042</v>
      </c>
      <c r="AA9" s="23">
        <v>2043</v>
      </c>
      <c r="AB9" s="23">
        <v>2044</v>
      </c>
      <c r="AC9" s="23">
        <v>2045</v>
      </c>
      <c r="AD9" s="23">
        <v>2046</v>
      </c>
      <c r="AE9" s="23">
        <v>2047</v>
      </c>
      <c r="AF9" s="23">
        <v>2048</v>
      </c>
      <c r="AG9" s="23">
        <v>2049</v>
      </c>
      <c r="AH9" s="23">
        <v>2050</v>
      </c>
      <c r="AI9" s="23">
        <v>2051</v>
      </c>
      <c r="AJ9" s="23">
        <v>2052</v>
      </c>
      <c r="AK9" s="23">
        <v>2053</v>
      </c>
      <c r="AL9" s="23">
        <v>2054</v>
      </c>
      <c r="AM9" s="23">
        <v>2055</v>
      </c>
      <c r="AN9" s="23">
        <v>2056</v>
      </c>
      <c r="AO9" s="23">
        <v>2057</v>
      </c>
      <c r="AP9" s="23">
        <v>2058</v>
      </c>
      <c r="AQ9" s="23">
        <v>2059</v>
      </c>
      <c r="AR9" s="23">
        <v>2060</v>
      </c>
    </row>
    <row r="10" spans="1:44" s="20" customFormat="1" x14ac:dyDescent="0.15">
      <c r="A10" s="22" t="s">
        <v>893</v>
      </c>
      <c r="B10" s="20">
        <f>BAU建筑面积计算!B25*$D$26/1000</f>
        <v>21428.795671126285</v>
      </c>
      <c r="C10" s="20">
        <f>BAU建筑面积计算!C25*$D$26/1000</f>
        <v>21276.651221861284</v>
      </c>
      <c r="D10" s="20">
        <f>BAU建筑面积计算!D25*$D$26/1000</f>
        <v>21124.506772596291</v>
      </c>
      <c r="E10" s="20">
        <f>BAU建筑面积计算!E25*$D$26/1000</f>
        <v>20972.362323331294</v>
      </c>
      <c r="F10" s="20">
        <f>BAU建筑面积计算!F25*$D$26/1000</f>
        <v>20820.217874066293</v>
      </c>
      <c r="G10" s="20">
        <f>BAU建筑面积计算!G25*$D$26/1000</f>
        <v>20668.0734248013</v>
      </c>
      <c r="H10" s="20">
        <f>BAU建筑面积计算!H25*$D$26/1000</f>
        <v>20515.928975536302</v>
      </c>
      <c r="I10" s="20">
        <f>BAU建筑面积计算!I25*$D$26/1000</f>
        <v>20363.784526271305</v>
      </c>
      <c r="J10" s="20">
        <f>BAU建筑面积计算!J25*$D$26/1000</f>
        <v>20211.640077006308</v>
      </c>
      <c r="K10" s="20">
        <f>BAU建筑面积计算!K25*$D$26/1000</f>
        <v>20059.495627741315</v>
      </c>
      <c r="L10" s="20">
        <f>BAU建筑面积计算!L25*$D$26/1000</f>
        <v>19907.351178476314</v>
      </c>
      <c r="M10" s="20">
        <f>BAU建筑面积计算!M25*$D$26/1000</f>
        <v>19755.206729211321</v>
      </c>
      <c r="N10" s="20">
        <f>BAU建筑面积计算!N25*$D$26/1000</f>
        <v>19603.062279946324</v>
      </c>
      <c r="O10" s="20">
        <f>BAU建筑面积计算!O25*$D$26/1000</f>
        <v>19450.917830681326</v>
      </c>
      <c r="P10" s="20">
        <f>BAU建筑面积计算!P25*$D$26/1000</f>
        <v>19298.773381416329</v>
      </c>
      <c r="Q10" s="20">
        <f>BAU建筑面积计算!Q25*$D$26/1000</f>
        <v>19146.628932151336</v>
      </c>
      <c r="R10" s="20">
        <f>BAU建筑面积计算!R25*$D$26/1000</f>
        <v>18994.484482886335</v>
      </c>
      <c r="S10" s="20">
        <f>BAU建筑面积计算!S25*$D$26/1000</f>
        <v>18842.340033621342</v>
      </c>
      <c r="T10" s="20">
        <f>BAU建筑面积计算!T25*$D$26/1000</f>
        <v>18690.195584356341</v>
      </c>
      <c r="U10" s="20">
        <f>BAU建筑面积计算!U25*$D$26/1000</f>
        <v>18538.051135091351</v>
      </c>
      <c r="V10" s="20">
        <f>BAU建筑面积计算!V25*$D$26/1000</f>
        <v>18385.90668582635</v>
      </c>
      <c r="W10" s="20">
        <f>BAU建筑面积计算!W25*$D$26/1000</f>
        <v>18233.762236561353</v>
      </c>
      <c r="X10" s="20">
        <f>BAU建筑面积计算!X25*$D$26/1000</f>
        <v>18081.61778729636</v>
      </c>
      <c r="Y10" s="20">
        <f>BAU建筑面积计算!Y25*$D$26/1000</f>
        <v>17929.473338031359</v>
      </c>
      <c r="Z10" s="20">
        <f>BAU建筑面积计算!Z25*$D$26/1000</f>
        <v>17777.328888766362</v>
      </c>
      <c r="AA10" s="20">
        <f>BAU建筑面积计算!AA25*$D$26/1000</f>
        <v>17625.184439501369</v>
      </c>
      <c r="AB10" s="20">
        <f>BAU建筑面积计算!AB25*$D$26/1000</f>
        <v>17473.039990236372</v>
      </c>
      <c r="AC10" s="20">
        <f>BAU建筑面积计算!AC25*$D$26/1000</f>
        <v>17320.895540971371</v>
      </c>
      <c r="AD10" s="20">
        <f>BAU建筑面积计算!AD25*$D$26/1000</f>
        <v>17168.751091706377</v>
      </c>
      <c r="AE10" s="20">
        <f>BAU建筑面积计算!AE25*$D$26/1000</f>
        <v>17016.606642441377</v>
      </c>
      <c r="AF10" s="20">
        <f>BAU建筑面积计算!AF25*$D$26/1000</f>
        <v>16864.46219317638</v>
      </c>
      <c r="AG10" s="20">
        <f>BAU建筑面积计算!AG25*$D$26/1000</f>
        <v>16712.317743911386</v>
      </c>
      <c r="AH10" s="20">
        <f>BAU建筑面积计算!AH25*$D$26/1000</f>
        <v>16560.173294646389</v>
      </c>
      <c r="AI10" s="20">
        <f>BAU建筑面积计算!AI25*$D$26/1000</f>
        <v>16408.028845381392</v>
      </c>
      <c r="AJ10" s="20">
        <f>BAU建筑面积计算!AJ25*$D$26/1000</f>
        <v>16255.884396116397</v>
      </c>
      <c r="AK10" s="20">
        <f>BAU建筑面积计算!AK25*$D$26/1000</f>
        <v>16103.739946851401</v>
      </c>
      <c r="AL10" s="20">
        <f>BAU建筑面积计算!AL25*$D$26/1000</f>
        <v>15951.595497586402</v>
      </c>
      <c r="AM10" s="20">
        <f>BAU建筑面积计算!AM25*$D$26/1000</f>
        <v>15799.451048321404</v>
      </c>
      <c r="AN10" s="20">
        <f>BAU建筑面积计算!AN25*$D$26/1000</f>
        <v>15647.306599056408</v>
      </c>
      <c r="AO10" s="20">
        <f>BAU建筑面积计算!AO25*$D$26/1000</f>
        <v>15495.162149791413</v>
      </c>
      <c r="AP10" s="20">
        <f>BAU建筑面积计算!AP25*$D$26/1000</f>
        <v>15343.017700526414</v>
      </c>
      <c r="AQ10" s="20">
        <f>BAU建筑面积计算!AQ25*$D$26/1000</f>
        <v>15190.873251261417</v>
      </c>
      <c r="AR10" s="20">
        <f>BAU建筑面积计算!AR25*$D$26/1000</f>
        <v>15038.728801996422</v>
      </c>
    </row>
    <row r="11" spans="1:44" s="20" customFormat="1" x14ac:dyDescent="0.15">
      <c r="A11" s="22" t="s">
        <v>891</v>
      </c>
      <c r="B11" s="20">
        <f>BAU建筑面积计算!B9*$D$27/1000</f>
        <v>15291.2914680833</v>
      </c>
      <c r="C11" s="20">
        <f>BAU建筑面积计算!C9*$D$27/1000</f>
        <v>15182.72329865991</v>
      </c>
      <c r="D11" s="20">
        <f>BAU建筑面积计算!D9*$D$27/1000</f>
        <v>15074.155129236517</v>
      </c>
      <c r="E11" s="20">
        <f>BAU建筑面积计算!E9*$D$27/1000</f>
        <v>14965.586959813127</v>
      </c>
      <c r="F11" s="20">
        <f>BAU建筑面积计算!F9*$D$27/1000</f>
        <v>14857.018790389733</v>
      </c>
      <c r="G11" s="20">
        <f>BAU建筑面积计算!G9*$D$27/1000</f>
        <v>14748.450620966343</v>
      </c>
      <c r="H11" s="20">
        <f>BAU建筑面积计算!H9*$D$27/1000</f>
        <v>14639.882451542951</v>
      </c>
      <c r="I11" s="20">
        <f>BAU建筑面积计算!I9*$D$27/1000</f>
        <v>14531.314282119562</v>
      </c>
      <c r="J11" s="20">
        <f>BAU建筑面积计算!J9*$D$27/1000</f>
        <v>14422.74611269617</v>
      </c>
      <c r="K11" s="20">
        <f>BAU建筑面积计算!K9*$D$27/1000</f>
        <v>14314.177943272778</v>
      </c>
      <c r="L11" s="20">
        <f>BAU建筑面积计算!L9*$D$27/1000</f>
        <v>14205.609773849386</v>
      </c>
      <c r="M11" s="20">
        <f>BAU建筑面积计算!M9*$D$27/1000</f>
        <v>14097.041604425996</v>
      </c>
      <c r="N11" s="20">
        <f>BAU建筑面积计算!N9*$D$27/1000</f>
        <v>13988.473435002603</v>
      </c>
      <c r="O11" s="20">
        <f>BAU建筑面积计算!O9*$D$27/1000</f>
        <v>13879.905265579211</v>
      </c>
      <c r="P11" s="20">
        <f>BAU建筑面积计算!P9*$D$27/1000</f>
        <v>13771.337096155821</v>
      </c>
      <c r="Q11" s="20">
        <f>BAU建筑面积计算!Q9*$D$27/1000</f>
        <v>13662.768926732428</v>
      </c>
      <c r="R11" s="20">
        <f>BAU建筑面积计算!R9*$D$27/1000</f>
        <v>13554.200757309038</v>
      </c>
      <c r="S11" s="20">
        <f>BAU建筑面积计算!S9*$D$27/1000</f>
        <v>13445.632587885646</v>
      </c>
      <c r="T11" s="20">
        <f>BAU建筑面积计算!T9*$D$27/1000</f>
        <v>13337.064418462256</v>
      </c>
      <c r="U11" s="20">
        <f>BAU建筑面积计算!U9*$D$27/1000</f>
        <v>13228.496249038863</v>
      </c>
      <c r="V11" s="20">
        <f>BAU建筑面积计算!V9*$D$27/1000</f>
        <v>13119.928079615471</v>
      </c>
      <c r="W11" s="20">
        <f>BAU建筑面积计算!W9*$D$27/1000</f>
        <v>13011.359910192079</v>
      </c>
      <c r="X11" s="20">
        <f>BAU建筑面积计算!X9*$D$27/1000</f>
        <v>12902.791740768687</v>
      </c>
      <c r="Y11" s="20">
        <f>BAU建筑面积计算!Y9*$D$27/1000</f>
        <v>12794.223571345297</v>
      </c>
      <c r="Z11" s="20">
        <f>BAU建筑面积计算!Z9*$D$27/1000</f>
        <v>12685.655401921906</v>
      </c>
      <c r="AA11" s="20">
        <f>BAU建筑面积计算!AA9*$D$27/1000</f>
        <v>12577.087232498516</v>
      </c>
      <c r="AB11" s="20">
        <f>BAU建筑面积计算!AB9*$D$27/1000</f>
        <v>12468.519063075122</v>
      </c>
      <c r="AC11" s="20">
        <f>BAU建筑面积计算!AC9*$D$27/1000</f>
        <v>12359.95089365173</v>
      </c>
      <c r="AD11" s="20">
        <f>BAU建筑面积计算!AD9*$D$27/1000</f>
        <v>12251.382724228339</v>
      </c>
      <c r="AE11" s="20">
        <f>BAU建筑面积计算!AE9*$D$27/1000</f>
        <v>12142.814554804949</v>
      </c>
      <c r="AF11" s="20">
        <f>BAU建筑面积计算!AF9*$D$27/1000</f>
        <v>12034.246385381557</v>
      </c>
      <c r="AG11" s="20">
        <f>BAU建筑面积计算!AG9*$D$27/1000</f>
        <v>11925.678215958163</v>
      </c>
      <c r="AH11" s="20">
        <f>BAU建筑面积计算!AH9*$D$27/1000</f>
        <v>11817.110046534774</v>
      </c>
      <c r="AI11" s="20">
        <f>BAU建筑面积计算!AI9*$D$27/1000</f>
        <v>11708.54187711138</v>
      </c>
      <c r="AJ11" s="20">
        <f>BAU建筑面积计算!AJ9*$D$27/1000</f>
        <v>11599.973707687988</v>
      </c>
      <c r="AK11" s="20">
        <f>BAU建筑面积计算!AK9*$D$27/1000</f>
        <v>11491.405538264597</v>
      </c>
      <c r="AL11" s="20">
        <f>BAU建筑面积计算!AL9*$D$27/1000</f>
        <v>11382.837368841207</v>
      </c>
      <c r="AM11" s="20">
        <f>BAU建筑面积计算!AM9*$D$27/1000</f>
        <v>11274.269199417815</v>
      </c>
      <c r="AN11" s="20">
        <f>BAU建筑面积计算!AN9*$D$27/1000</f>
        <v>11165.701029994425</v>
      </c>
      <c r="AO11" s="20">
        <f>BAU建筑面积计算!AO9*$D$27/1000</f>
        <v>11057.132860571031</v>
      </c>
      <c r="AP11" s="20">
        <f>BAU建筑面积计算!AP9*$D$27/1000</f>
        <v>10948.564691147638</v>
      </c>
      <c r="AQ11" s="20">
        <f>BAU建筑面积计算!AQ9*$D$27/1000</f>
        <v>10839.996521724248</v>
      </c>
      <c r="AR11" s="20">
        <f>BAU建筑面积计算!AR9*$D$27/1000</f>
        <v>10731.428352300856</v>
      </c>
    </row>
    <row r="12" spans="1:44" s="20" customFormat="1" x14ac:dyDescent="0.15">
      <c r="A12" s="22" t="s">
        <v>892</v>
      </c>
      <c r="B12" s="20">
        <f>BAU建筑面积计算!B17*$D$28/1000</f>
        <v>11819.942661001123</v>
      </c>
      <c r="C12" s="20">
        <f>BAU建筑面积计算!C17*$D$28/1000</f>
        <v>11736.021068108017</v>
      </c>
      <c r="D12" s="20">
        <f>BAU建筑面积计算!D17*$D$28/1000</f>
        <v>11403.738653346423</v>
      </c>
      <c r="E12" s="20">
        <f>BAU建筑面积计算!E17*$D$28/1000</f>
        <v>11136.37987867077</v>
      </c>
      <c r="F12" s="20">
        <f>BAU建筑面积计算!F17*$D$28/1000</f>
        <v>11052.458285777662</v>
      </c>
      <c r="G12" s="20">
        <f>BAU建筑面积计算!G17*$D$28/1000</f>
        <v>10968.536692884552</v>
      </c>
      <c r="H12" s="20">
        <f>BAU建筑面积计算!H17*$D$28/1000</f>
        <v>10884.615099991446</v>
      </c>
      <c r="I12" s="20">
        <f>BAU建筑面积计算!I17*$D$28/1000</f>
        <v>10800.693507098338</v>
      </c>
      <c r="J12" s="20">
        <f>BAU建筑面积计算!J17*$D$28/1000</f>
        <v>10716.77191420523</v>
      </c>
      <c r="K12" s="20">
        <f>BAU建筑面积计算!K17*$D$28/1000</f>
        <v>10632.850321312122</v>
      </c>
      <c r="L12" s="20">
        <f>BAU建筑面积计算!L17*$D$28/1000</f>
        <v>10548.928728419016</v>
      </c>
      <c r="M12" s="20">
        <f>BAU建筑面积计算!M17*$D$28/1000</f>
        <v>10465.007135525906</v>
      </c>
      <c r="N12" s="20">
        <f>BAU建筑面积计算!N17*$D$28/1000</f>
        <v>10381.085542632798</v>
      </c>
      <c r="O12" s="20">
        <f>BAU建筑面积计算!O17*$D$28/1000</f>
        <v>10297.16394973969</v>
      </c>
      <c r="P12" s="20">
        <f>BAU建筑面积计算!P17*$D$28/1000</f>
        <v>10213.242356846582</v>
      </c>
      <c r="Q12" s="20">
        <f>BAU建筑面积计算!Q17*$D$28/1000</f>
        <v>10129.320763953476</v>
      </c>
      <c r="R12" s="20">
        <f>BAU建筑面积计算!R17*$D$28/1000</f>
        <v>10045.399171060366</v>
      </c>
      <c r="S12" s="20">
        <f>BAU建筑面积计算!S17*$D$28/1000</f>
        <v>9958.0139326451463</v>
      </c>
      <c r="T12" s="20">
        <f>BAU建筑面积计算!T17*$D$28/1000</f>
        <v>9864.2533611558665</v>
      </c>
      <c r="U12" s="20">
        <f>BAU建筑面积计算!U17*$D$28/1000</f>
        <v>9764.3995397596791</v>
      </c>
      <c r="V12" s="20">
        <f>BAU建筑面积计算!V17*$D$28/1000</f>
        <v>9658.7415704948799</v>
      </c>
      <c r="W12" s="20">
        <f>BAU建筑面积计算!W17*$D$28/1000</f>
        <v>9547.5744226997231</v>
      </c>
      <c r="X12" s="20">
        <f>BAU建筑面积计算!X17*$D$28/1000</f>
        <v>9431.1988918712559</v>
      </c>
      <c r="Y12" s="20">
        <f>BAU建筑面积计算!Y17*$D$28/1000</f>
        <v>9309.9207554642107</v>
      </c>
      <c r="Z12" s="20">
        <f>BAU建筑面积计算!Z17*$D$28/1000</f>
        <v>9184.0501256468051</v>
      </c>
      <c r="AA12" s="20">
        <f>BAU建筑面积计算!AA17*$D$28/1000</f>
        <v>9053.9004395860902</v>
      </c>
      <c r="AB12" s="20">
        <f>BAU建筑面积计算!AB17*$D$28/1000</f>
        <v>8919.7879444508471</v>
      </c>
      <c r="AC12" s="20">
        <f>BAU建筑面积计算!AC17*$D$28/1000</f>
        <v>8782.0312007918965</v>
      </c>
      <c r="AD12" s="20">
        <f>BAU建筑面积计算!AD17*$D$28/1000</f>
        <v>8640.94965971079</v>
      </c>
      <c r="AE12" s="20">
        <f>BAU建筑面积计算!AE17*$D$28/1000</f>
        <v>8496.8629710265996</v>
      </c>
      <c r="AF12" s="20">
        <f>BAU建筑面积计算!AF17*$D$28/1000</f>
        <v>8350.0906831121774</v>
      </c>
      <c r="AG12" s="20">
        <f>BAU建筑面积计算!AG17*$D$28/1000</f>
        <v>8200.9503878208707</v>
      </c>
      <c r="AH12" s="20">
        <f>BAU建筑面积计算!AH17*$D$28/1000</f>
        <v>8049.7572369846839</v>
      </c>
      <c r="AI12" s="20">
        <f>BAU建筑面积计算!AI17*$D$28/1000</f>
        <v>7896.8231038849099</v>
      </c>
      <c r="AJ12" s="20">
        <f>BAU建筑面积计算!AJ17*$D$28/1000</f>
        <v>7742.4548445009004</v>
      </c>
      <c r="AK12" s="20">
        <f>BAU建筑面积计算!AK17*$D$28/1000</f>
        <v>7586.9541150313335</v>
      </c>
      <c r="AL12" s="20">
        <f>BAU建筑面积计算!AL17*$D$28/1000</f>
        <v>7430.6151614555602</v>
      </c>
      <c r="AM12" s="20">
        <f>BAU建筑面积计算!AM17*$D$28/1000</f>
        <v>7273.7246446781464</v>
      </c>
      <c r="AN12" s="20">
        <f>BAU建筑面积计算!AN17*$D$28/1000</f>
        <v>7116.5597508021556</v>
      </c>
      <c r="AO12" s="20">
        <f>BAU建筑面积计算!AO17*$D$28/1000</f>
        <v>6959.3870288615517</v>
      </c>
      <c r="AP12" s="20">
        <f>BAU建筑面积计算!AP17*$D$28/1000</f>
        <v>6802.461078027136</v>
      </c>
      <c r="AQ12" s="20">
        <f>BAU建筑面积计算!AQ17*$D$28/1000</f>
        <v>6646.0231813268074</v>
      </c>
      <c r="AR12" s="20">
        <f>BAU建筑面积计算!AR17*$D$28/1000</f>
        <v>6490.3000430591974</v>
      </c>
    </row>
    <row r="13" spans="1:44" s="20" customFormat="1" x14ac:dyDescent="0.15">
      <c r="A13" s="22" t="s">
        <v>901</v>
      </c>
      <c r="B13" s="20">
        <f>BAU建筑面积计算!B33*$D$29/1000</f>
        <v>9051.9023959665101</v>
      </c>
      <c r="C13" s="20">
        <f>BAU建筑面积计算!C33*$D$29/1000</f>
        <v>8987.6338889551462</v>
      </c>
      <c r="D13" s="20">
        <f>BAU建筑面积计算!D33*$D$29/1000</f>
        <v>8913.5004069720017</v>
      </c>
      <c r="E13" s="20">
        <f>BAU建筑面积计算!E33*$D$29/1000</f>
        <v>8849.2318999606414</v>
      </c>
      <c r="F13" s="20">
        <f>BAU建筑面积计算!F33*$D$29/1000</f>
        <v>8784.9633929492793</v>
      </c>
      <c r="G13" s="20">
        <f>BAU建筑面积计算!G33*$D$29/1000</f>
        <v>8720.6948859379154</v>
      </c>
      <c r="H13" s="20">
        <f>BAU建筑面积计算!H33*$D$29/1000</f>
        <v>8656.4263789265533</v>
      </c>
      <c r="I13" s="20">
        <f>BAU建筑面积计算!I33*$D$29/1000</f>
        <v>8592.1578719151912</v>
      </c>
      <c r="J13" s="20">
        <f>BAU建筑面积计算!J33*$D$29/1000</f>
        <v>8527.8893649038273</v>
      </c>
      <c r="K13" s="20">
        <f>BAU建筑面积计算!K33*$D$29/1000</f>
        <v>8463.620857892467</v>
      </c>
      <c r="L13" s="20">
        <f>BAU建筑面积计算!L33*$D$29/1000</f>
        <v>8399.3523508811049</v>
      </c>
      <c r="M13" s="20">
        <f>BAU建筑面积计算!M33*$D$29/1000</f>
        <v>8335.0838438697447</v>
      </c>
      <c r="N13" s="20">
        <f>BAU建筑面积计算!N33*$D$29/1000</f>
        <v>8270.8153368583808</v>
      </c>
      <c r="O13" s="20">
        <f>BAU建筑面积计算!O33*$D$29/1000</f>
        <v>8206.5468298470187</v>
      </c>
      <c r="P13" s="20">
        <f>BAU建筑面积计算!P33*$D$29/1000</f>
        <v>8142.2783228356566</v>
      </c>
      <c r="Q13" s="20">
        <f>BAU建筑面积计算!Q33*$D$29/1000</f>
        <v>8078.0098158242936</v>
      </c>
      <c r="R13" s="20">
        <f>BAU建筑面积计算!R33*$D$29/1000</f>
        <v>8013.7413088129324</v>
      </c>
      <c r="S13" s="20">
        <f>BAU建筑面积计算!S33*$D$29/1000</f>
        <v>7949.4728018015694</v>
      </c>
      <c r="T13" s="20">
        <f>BAU建筑面积计算!T33*$D$29/1000</f>
        <v>7885.2042947902082</v>
      </c>
      <c r="U13" s="20">
        <f>BAU建筑面积计算!U33*$D$29/1000</f>
        <v>7820.9357877788452</v>
      </c>
      <c r="V13" s="20">
        <f>BAU建筑面积计算!V33*$D$29/1000</f>
        <v>7756.6672807674831</v>
      </c>
      <c r="W13" s="20">
        <f>BAU建筑面积计算!W33*$D$29/1000</f>
        <v>7692.398773756121</v>
      </c>
      <c r="X13" s="20">
        <f>BAU建筑面积计算!X33*$D$29/1000</f>
        <v>7628.130266744758</v>
      </c>
      <c r="Y13" s="20">
        <f>BAU建筑面积计算!Y33*$D$29/1000</f>
        <v>7563.861759733395</v>
      </c>
      <c r="Z13" s="20">
        <f>BAU建筑面积计算!Z33*$D$29/1000</f>
        <v>7499.593252722033</v>
      </c>
      <c r="AA13" s="20">
        <f>BAU建筑面积计算!AA33*$D$29/1000</f>
        <v>7435.32474571067</v>
      </c>
      <c r="AB13" s="20">
        <f>BAU建筑面积计算!AB33*$D$29/1000</f>
        <v>7371.0562386993079</v>
      </c>
      <c r="AC13" s="20">
        <f>BAU建筑面积计算!AC33*$D$29/1000</f>
        <v>7306.7877316879467</v>
      </c>
      <c r="AD13" s="20">
        <f>BAU建筑面积计算!AD33*$D$29/1000</f>
        <v>7242.5192246765828</v>
      </c>
      <c r="AE13" s="20">
        <f>BAU建筑面积计算!AE33*$D$29/1000</f>
        <v>7178.2507176652207</v>
      </c>
      <c r="AF13" s="20">
        <f>BAU建筑面积计算!AF33*$D$29/1000</f>
        <v>7113.9822106538595</v>
      </c>
      <c r="AG13" s="20">
        <f>BAU建筑面积计算!AG33*$D$29/1000</f>
        <v>7049.7137036424965</v>
      </c>
      <c r="AH13" s="20">
        <f>BAU建筑面积计算!AH33*$D$29/1000</f>
        <v>6985.4451966311344</v>
      </c>
      <c r="AI13" s="20">
        <f>BAU建筑面积计算!AI33*$D$29/1000</f>
        <v>6921.1766896197732</v>
      </c>
      <c r="AJ13" s="20">
        <f>BAU建筑面积计算!AJ33*$D$29/1000</f>
        <v>6856.9081826084112</v>
      </c>
      <c r="AK13" s="20">
        <f>BAU建筑面积计算!AK33*$D$29/1000</f>
        <v>6792.6396755970482</v>
      </c>
      <c r="AL13" s="20">
        <f>BAU建筑面积计算!AL33*$D$29/1000</f>
        <v>6728.371168585687</v>
      </c>
      <c r="AM13" s="20">
        <f>BAU建筑面积计算!AM33*$D$29/1000</f>
        <v>6664.1026615743249</v>
      </c>
      <c r="AN13" s="20">
        <f>BAU建筑面积计算!AN33*$D$29/1000</f>
        <v>6599.8341545629619</v>
      </c>
      <c r="AO13" s="20">
        <f>BAU建筑面积计算!AO33*$D$29/1000</f>
        <v>6535.5656475515998</v>
      </c>
      <c r="AP13" s="20">
        <f>BAU建筑面积计算!AP33*$D$29/1000</f>
        <v>6471.2971405402386</v>
      </c>
      <c r="AQ13" s="20">
        <f>BAU建筑面积计算!AQ33*$D$29/1000</f>
        <v>6407.0286335288765</v>
      </c>
      <c r="AR13" s="20">
        <f>BAU建筑面积计算!AR33*$D$29/1000</f>
        <v>6342.7601265175135</v>
      </c>
    </row>
    <row r="14" spans="1:44" s="20" customFormat="1" x14ac:dyDescent="0.15">
      <c r="A14" s="22" t="s">
        <v>902</v>
      </c>
      <c r="B14" s="20">
        <f>BAU建筑面积计算!B41*$D$30/1000</f>
        <v>4065.1262168957924</v>
      </c>
      <c r="C14" s="20">
        <f>BAU建筑面积计算!C41*$D$30/1000</f>
        <v>4036.2638207558321</v>
      </c>
      <c r="D14" s="20">
        <f>BAU建筑面积计算!D41*$D$30/1000</f>
        <v>4002.9711549739141</v>
      </c>
      <c r="E14" s="20">
        <f>BAU建筑面积计算!E41*$D$30/1000</f>
        <v>3974.1087588339542</v>
      </c>
      <c r="F14" s="20">
        <f>BAU建筑面积计算!F41*$D$30/1000</f>
        <v>3945.2463626939939</v>
      </c>
      <c r="G14" s="20">
        <f>BAU建筑面积计算!G41*$D$30/1000</f>
        <v>3916.383966554034</v>
      </c>
      <c r="H14" s="20">
        <f>BAU建筑面积计算!H41*$D$30/1000</f>
        <v>3887.5215704140737</v>
      </c>
      <c r="I14" s="20">
        <f>BAU建筑面积计算!I41*$D$30/1000</f>
        <v>3858.6591742741139</v>
      </c>
      <c r="J14" s="20">
        <f>BAU建筑面积计算!J41*$D$30/1000</f>
        <v>3829.7967781341536</v>
      </c>
      <c r="K14" s="20">
        <f>BAU建筑面积计算!K41*$D$30/1000</f>
        <v>3800.9343819941932</v>
      </c>
      <c r="L14" s="20">
        <f>BAU建筑面积计算!L41*$D$30/1000</f>
        <v>3772.0719858542329</v>
      </c>
      <c r="M14" s="20">
        <f>BAU建筑面积计算!M41*$D$30/1000</f>
        <v>3743.2095897142735</v>
      </c>
      <c r="N14" s="20">
        <f>BAU建筑面积计算!N41*$D$30/1000</f>
        <v>3714.3471935743132</v>
      </c>
      <c r="O14" s="20">
        <f>BAU建筑面积计算!O41*$D$30/1000</f>
        <v>3685.4847974343529</v>
      </c>
      <c r="P14" s="20">
        <f>BAU建筑面积计算!P41*$D$30/1000</f>
        <v>3656.6224012943926</v>
      </c>
      <c r="Q14" s="20">
        <f>BAU建筑面积计算!Q41*$D$30/1000</f>
        <v>3627.7600051544327</v>
      </c>
      <c r="R14" s="20">
        <f>BAU建筑面积计算!R41*$D$30/1000</f>
        <v>3598.8976090144729</v>
      </c>
      <c r="S14" s="20">
        <f>BAU建筑面积计算!S41*$D$30/1000</f>
        <v>3570.0352128745126</v>
      </c>
      <c r="T14" s="20">
        <f>BAU建筑面积计算!T41*$D$30/1000</f>
        <v>3541.1728167345523</v>
      </c>
      <c r="U14" s="20">
        <f>BAU建筑面积计算!U41*$D$30/1000</f>
        <v>3512.310420594592</v>
      </c>
      <c r="V14" s="20">
        <f>BAU建筑面积计算!V41*$D$30/1000</f>
        <v>3483.4480244546321</v>
      </c>
      <c r="W14" s="20">
        <f>BAU建筑面积计算!W41*$D$30/1000</f>
        <v>3454.5856283146722</v>
      </c>
      <c r="X14" s="20">
        <f>BAU建筑面积计算!X41*$D$30/1000</f>
        <v>3425.7232321747119</v>
      </c>
      <c r="Y14" s="20">
        <f>BAU建筑面积计算!Y41*$D$30/1000</f>
        <v>3396.8608360347521</v>
      </c>
      <c r="Z14" s="20">
        <f>BAU建筑面积计算!Z41*$D$30/1000</f>
        <v>3367.9984398947918</v>
      </c>
      <c r="AA14" s="20">
        <f>BAU建筑面积计算!AA41*$D$30/1000</f>
        <v>3339.1360437548315</v>
      </c>
      <c r="AB14" s="20">
        <f>BAU建筑面积计算!AB41*$D$30/1000</f>
        <v>3310.2736476148712</v>
      </c>
      <c r="AC14" s="20">
        <f>BAU建筑面积计算!AC41*$D$30/1000</f>
        <v>3281.4112514749113</v>
      </c>
      <c r="AD14" s="20">
        <f>BAU建筑面积计算!AD41*$D$30/1000</f>
        <v>3252.5488553349514</v>
      </c>
      <c r="AE14" s="20">
        <f>BAU建筑面积计算!AE41*$D$30/1000</f>
        <v>3223.6864591949911</v>
      </c>
      <c r="AF14" s="20">
        <f>BAU建筑面积计算!AF41*$D$30/1000</f>
        <v>3194.8240630550308</v>
      </c>
      <c r="AG14" s="20">
        <f>BAU建筑面积计算!AG41*$D$30/1000</f>
        <v>3165.9616669150714</v>
      </c>
      <c r="AH14" s="20">
        <f>BAU建筑面积计算!AH41*$D$30/1000</f>
        <v>3137.0992707751111</v>
      </c>
      <c r="AI14" s="20">
        <f>BAU建筑面积计算!AI41*$D$30/1000</f>
        <v>3108.2368746351508</v>
      </c>
      <c r="AJ14" s="20">
        <f>BAU建筑面积计算!AJ41*$D$30/1000</f>
        <v>3079.3744784951905</v>
      </c>
      <c r="AK14" s="20">
        <f>BAU建筑面积计算!AK41*$D$30/1000</f>
        <v>3050.5120823552302</v>
      </c>
      <c r="AL14" s="20">
        <f>BAU建筑面积计算!AL41*$D$30/1000</f>
        <v>3021.6496862152703</v>
      </c>
      <c r="AM14" s="20">
        <f>BAU建筑面积计算!AM41*$D$30/1000</f>
        <v>2992.7872900753096</v>
      </c>
      <c r="AN14" s="20">
        <f>BAU建筑面积计算!AN41*$D$30/1000</f>
        <v>2963.9248939353497</v>
      </c>
      <c r="AO14" s="20">
        <f>BAU建筑面积计算!AO41*$D$30/1000</f>
        <v>2935.0624977953894</v>
      </c>
      <c r="AP14" s="20">
        <f>BAU建筑面积计算!AP41*$D$30/1000</f>
        <v>2906.2001016554295</v>
      </c>
      <c r="AQ14" s="20">
        <f>BAU建筑面积计算!AQ41*$D$30/1000</f>
        <v>2877.3377055154688</v>
      </c>
      <c r="AR14" s="20">
        <f>BAU建筑面积计算!AR41*$D$30/1000</f>
        <v>2848.4753093755094</v>
      </c>
    </row>
    <row r="15" spans="1:44" s="15" customForma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44" s="22" customFormat="1" x14ac:dyDescent="0.15">
      <c r="A16" s="22" t="s">
        <v>909</v>
      </c>
      <c r="B16" s="23">
        <v>2018</v>
      </c>
      <c r="C16" s="23">
        <v>2019</v>
      </c>
      <c r="D16" s="23">
        <v>2020</v>
      </c>
      <c r="E16" s="23">
        <v>2021</v>
      </c>
      <c r="F16" s="23">
        <v>2022</v>
      </c>
      <c r="G16" s="23">
        <v>2023</v>
      </c>
      <c r="H16" s="23">
        <v>2024</v>
      </c>
      <c r="I16" s="23">
        <v>2025</v>
      </c>
      <c r="J16" s="23">
        <v>2026</v>
      </c>
      <c r="K16" s="23">
        <v>2027</v>
      </c>
      <c r="L16" s="23">
        <v>2028</v>
      </c>
      <c r="M16" s="23">
        <v>2029</v>
      </c>
      <c r="N16" s="23">
        <v>2030</v>
      </c>
      <c r="O16" s="23">
        <v>2031</v>
      </c>
      <c r="P16" s="23">
        <v>2032</v>
      </c>
      <c r="Q16" s="23">
        <v>2033</v>
      </c>
      <c r="R16" s="23">
        <v>2034</v>
      </c>
      <c r="S16" s="23">
        <v>2035</v>
      </c>
      <c r="T16" s="23">
        <v>2036</v>
      </c>
      <c r="U16" s="23">
        <v>2037</v>
      </c>
      <c r="V16" s="23">
        <v>2038</v>
      </c>
      <c r="W16" s="23">
        <v>2039</v>
      </c>
      <c r="X16" s="23">
        <v>2040</v>
      </c>
      <c r="Y16" s="23">
        <v>2041</v>
      </c>
      <c r="Z16" s="23">
        <v>2042</v>
      </c>
      <c r="AA16" s="23">
        <v>2043</v>
      </c>
      <c r="AB16" s="23">
        <v>2044</v>
      </c>
      <c r="AC16" s="23">
        <v>2045</v>
      </c>
      <c r="AD16" s="23">
        <v>2046</v>
      </c>
      <c r="AE16" s="23">
        <v>2047</v>
      </c>
      <c r="AF16" s="23">
        <v>2048</v>
      </c>
      <c r="AG16" s="23">
        <v>2049</v>
      </c>
      <c r="AH16" s="23">
        <v>2050</v>
      </c>
      <c r="AI16" s="23">
        <v>2051</v>
      </c>
      <c r="AJ16" s="23">
        <v>2052</v>
      </c>
      <c r="AK16" s="23">
        <v>2053</v>
      </c>
      <c r="AL16" s="23">
        <v>2054</v>
      </c>
      <c r="AM16" s="23">
        <v>2055</v>
      </c>
      <c r="AN16" s="23">
        <v>2056</v>
      </c>
      <c r="AO16" s="23">
        <v>2057</v>
      </c>
      <c r="AP16" s="23">
        <v>2058</v>
      </c>
      <c r="AQ16" s="23">
        <v>2059</v>
      </c>
      <c r="AR16" s="23">
        <v>2060</v>
      </c>
    </row>
    <row r="17" spans="1:44" s="20" customFormat="1" x14ac:dyDescent="0.15">
      <c r="A17" s="22" t="s">
        <v>893</v>
      </c>
      <c r="B17" s="20">
        <f>BAU建筑面积计算!B24*B42/1000</f>
        <v>0</v>
      </c>
      <c r="C17" s="20">
        <f>BAU建筑面积计算!C24*C42/1000</f>
        <v>433.00418895031288</v>
      </c>
      <c r="D17" s="20">
        <f>BAU建筑面积计算!D24*D42/1000</f>
        <v>969.16293664932573</v>
      </c>
      <c r="E17" s="20">
        <f>BAU建筑面积计算!E24*E42/1000</f>
        <v>1297.7074785878144</v>
      </c>
      <c r="F17" s="20">
        <f>BAU建筑面积计算!F24*F42/1000</f>
        <v>1620.9888322676538</v>
      </c>
      <c r="G17" s="20">
        <f>BAU建筑面积计算!G24*G42/1000</f>
        <v>1938.8897974250865</v>
      </c>
      <c r="H17" s="20">
        <f>BAU建筑面积计算!H24*H42/1000</f>
        <v>2251.3042629737242</v>
      </c>
      <c r="I17" s="20">
        <f>BAU建筑面积计算!I24*I42/1000</f>
        <v>2558.1388973337935</v>
      </c>
      <c r="J17" s="20">
        <f>BAU建筑面积计算!J24*J42/1000</f>
        <v>2859.3123526241516</v>
      </c>
      <c r="K17" s="20">
        <f>BAU建筑面积计算!K24*K42/1000</f>
        <v>3154.7576645233366</v>
      </c>
      <c r="L17" s="20">
        <f>BAU建筑面积计算!L24*L42/1000</f>
        <v>3444.4215007141715</v>
      </c>
      <c r="M17" s="20">
        <f>BAU建筑面积计算!M24*M42/1000</f>
        <v>3728.265790176883</v>
      </c>
      <c r="N17" s="20">
        <f>BAU建筑面积计算!N24*N42/1000</f>
        <v>4006.2683007637743</v>
      </c>
      <c r="O17" s="20">
        <f>BAU建筑面积计算!O24*O42/1000</f>
        <v>4278.4230750816996</v>
      </c>
      <c r="P17" s="20">
        <f>BAU建筑面积计算!P24*P42/1000</f>
        <v>4544.7422114607662</v>
      </c>
      <c r="Q17" s="20">
        <f>BAU建筑面积计算!Q24*Q42/1000</f>
        <v>4805.2554273577525</v>
      </c>
      <c r="R17" s="20">
        <f>BAU建筑面积计算!R24*R42/1000</f>
        <v>5060.0120517324603</v>
      </c>
      <c r="S17" s="20">
        <f>BAU建筑面积计算!S24*S42/1000</f>
        <v>5309.0812401146413</v>
      </c>
      <c r="T17" s="20">
        <f>BAU建筑面积计算!T24*T42/1000</f>
        <v>5552.5532063028159</v>
      </c>
      <c r="U17" s="20">
        <f>BAU建筑面积计算!U24*U42/1000</f>
        <v>5790.5404434154225</v>
      </c>
      <c r="V17" s="20">
        <f>BAU建筑面积计算!V24*V42/1000</f>
        <v>6023.1778161561069</v>
      </c>
      <c r="W17" s="20">
        <f>BAU建筑面积计算!W24*W42/1000</f>
        <v>6250.6245107920668</v>
      </c>
      <c r="X17" s="20">
        <f>BAU建筑面积计算!X24*X42/1000</f>
        <v>6473.0647926469801</v>
      </c>
      <c r="Y17" s="20">
        <f>BAU建筑面积计算!Y24*Y42/1000</f>
        <v>6690.7091628051267</v>
      </c>
      <c r="Z17" s="20">
        <f>BAU建筑面积计算!Z24*Z42/1000</f>
        <v>6903.7949631515703</v>
      </c>
      <c r="AA17" s="20">
        <f>BAU建筑面积计算!AA24*AA42/1000</f>
        <v>7112.587921694625</v>
      </c>
      <c r="AB17" s="20">
        <f>BAU建筑面积计算!AB24*AB42/1000</f>
        <v>7317.3838822392681</v>
      </c>
      <c r="AC17" s="20">
        <f>BAU建筑面积计算!AC24*AC42/1000</f>
        <v>7518.5089341162229</v>
      </c>
      <c r="AD17" s="20">
        <f>BAU建筑面积计算!AD24*AD42/1000</f>
        <v>7716.3209374455746</v>
      </c>
      <c r="AE17" s="20">
        <f>BAU建筑面积计算!AE24*AE42/1000</f>
        <v>7911.2119806746196</v>
      </c>
      <c r="AF17" s="20">
        <f>BAU建筑面积计算!AF24*AF42/1000</f>
        <v>8103.6079348116882</v>
      </c>
      <c r="AG17" s="20">
        <f>BAU建筑面积计算!AG24*AG42/1000</f>
        <v>8293.9707532170814</v>
      </c>
      <c r="AH17" s="20">
        <f>BAU建筑面积计算!AH24*AH42/1000</f>
        <v>8482.8002711737172</v>
      </c>
      <c r="AI17" s="20">
        <f>BAU建筑面积计算!AI24*AI42/1000</f>
        <v>8670.6342240260474</v>
      </c>
      <c r="AJ17" s="20">
        <f>BAU建筑面积计算!AJ24*AJ42/1000</f>
        <v>8858.0516862039003</v>
      </c>
      <c r="AK17" s="20">
        <f>BAU建筑面积计算!AK24*AK42/1000</f>
        <v>9045.6722877441061</v>
      </c>
      <c r="AL17" s="20">
        <f>BAU建筑面积计算!AL24*AL42/1000</f>
        <v>9234.160025130388</v>
      </c>
      <c r="AM17" s="20">
        <f>BAU建筑面积计算!AM24*AM42/1000</f>
        <v>9424.2234372208841</v>
      </c>
      <c r="AN17" s="20">
        <f>BAU建筑面积计算!AN24*AN42/1000</f>
        <v>9616.6175221497379</v>
      </c>
      <c r="AO17" s="20">
        <f>BAU建筑面积计算!AO24*AO42/1000</f>
        <v>9812.1454872592385</v>
      </c>
      <c r="AP17" s="20">
        <f>BAU建筑面积计算!AP24*AP42/1000</f>
        <v>10011.660548816788</v>
      </c>
      <c r="AQ17" s="20">
        <f>BAU建筑面积计算!AQ24*AQ42/1000</f>
        <v>10216.0682080607</v>
      </c>
      <c r="AR17" s="20">
        <f>BAU建筑面积计算!AR24*AR42/1000</f>
        <v>10426.326783325843</v>
      </c>
    </row>
    <row r="18" spans="1:44" s="20" customFormat="1" x14ac:dyDescent="0.15">
      <c r="A18" s="22" t="s">
        <v>891</v>
      </c>
      <c r="B18" s="20">
        <f>BAU建筑面积计算!B8*B43/1000</f>
        <v>0</v>
      </c>
      <c r="C18" s="20">
        <f>BAU建筑面积计算!C8*C43/1000</f>
        <v>424.4087627517049</v>
      </c>
      <c r="D18" s="20">
        <f>BAU建筑面积计算!D8*D43/1000</f>
        <v>949.92439644816079</v>
      </c>
      <c r="E18" s="20">
        <f>BAU建筑面积计算!E8*E43/1000</f>
        <v>1271.9471068772782</v>
      </c>
      <c r="F18" s="20">
        <f>BAU建筑面积计算!F8*F43/1000</f>
        <v>1588.8111068966907</v>
      </c>
      <c r="G18" s="20">
        <f>BAU建筑面积计算!G8*G43/1000</f>
        <v>1900.4015227471984</v>
      </c>
      <c r="H18" s="20">
        <f>BAU建筑面积计算!H8*H43/1000</f>
        <v>2206.6143497192884</v>
      </c>
      <c r="I18" s="20">
        <f>BAU建筑面积计算!I8*I43/1000</f>
        <v>2507.3581089282156</v>
      </c>
      <c r="J18" s="20">
        <f>BAU建筑面积计算!J8*J43/1000</f>
        <v>2802.5530673033313</v>
      </c>
      <c r="K18" s="20">
        <f>BAU建筑面积计算!K8*K43/1000</f>
        <v>3092.1335898102693</v>
      </c>
      <c r="L18" s="20">
        <f>BAU建筑面积计算!L8*L43/1000</f>
        <v>3376.0474028144499</v>
      </c>
      <c r="M18" s="20">
        <f>BAU建筑面积计算!M8*M43/1000</f>
        <v>3654.2571910316033</v>
      </c>
      <c r="N18" s="20">
        <f>BAU建筑面积计算!N8*N43/1000</f>
        <v>3926.7411636372117</v>
      </c>
      <c r="O18" s="20">
        <f>BAU建筑面积计算!O8*O43/1000</f>
        <v>4193.493481496419</v>
      </c>
      <c r="P18" s="20">
        <f>BAU建筑面积计算!P8*P43/1000</f>
        <v>4454.5260027792829</v>
      </c>
      <c r="Q18" s="20">
        <f>BAU建筑面积计算!Q8*Q43/1000</f>
        <v>4709.8678550309587</v>
      </c>
      <c r="R18" s="20">
        <f>BAU建筑面积计算!R8*R43/1000</f>
        <v>4959.5673879980168</v>
      </c>
      <c r="S18" s="20">
        <f>BAU建筑面积计算!S8*S43/1000</f>
        <v>5203.6923844261264</v>
      </c>
      <c r="T18" s="20">
        <f>BAU建筑面积计算!T8*T43/1000</f>
        <v>5442.3312673088685</v>
      </c>
      <c r="U18" s="20">
        <f>BAU建筑面积计算!U8*U43/1000</f>
        <v>5675.5942967001383</v>
      </c>
      <c r="V18" s="20">
        <f>BAU建筑面积计算!V8*V43/1000</f>
        <v>5903.6136601479393</v>
      </c>
      <c r="W18" s="20">
        <f>BAU建筑面积计算!W8*W43/1000</f>
        <v>6126.5453839643305</v>
      </c>
      <c r="X18" s="20">
        <f>BAU建筑面积计算!X8*X43/1000</f>
        <v>6344.5700756816213</v>
      </c>
      <c r="Y18" s="20">
        <f>BAU建筑面积计算!Y8*Y43/1000</f>
        <v>6557.8940577950871</v>
      </c>
      <c r="Z18" s="20">
        <f>BAU建筑面积计算!Z8*Z43/1000</f>
        <v>6766.7499607927612</v>
      </c>
      <c r="AA18" s="20">
        <f>BAU建筑面积计算!AA8*AA43/1000</f>
        <v>6971.3982378021437</v>
      </c>
      <c r="AB18" s="20">
        <f>BAU建筑面积计算!AB8*AB43/1000</f>
        <v>7172.1288599284635</v>
      </c>
      <c r="AC18" s="20">
        <f>BAU建筑面积计算!AC8*AC43/1000</f>
        <v>7369.2614434085426</v>
      </c>
      <c r="AD18" s="20">
        <f>BAU建筑面积计算!AD8*AD43/1000</f>
        <v>7563.1467445968856</v>
      </c>
      <c r="AE18" s="20">
        <f>BAU建筑面积计算!AE8*AE43/1000</f>
        <v>7754.1690687197615</v>
      </c>
      <c r="AF18" s="20">
        <f>BAU建筑面积计算!AF8*AF43/1000</f>
        <v>7942.7458329577521</v>
      </c>
      <c r="AG18" s="20">
        <f>BAU建筑面积计算!AG8*AG43/1000</f>
        <v>8129.329820584333</v>
      </c>
      <c r="AH18" s="20">
        <f>BAU建筑面积计算!AH8*AH43/1000</f>
        <v>8314.4109448137642</v>
      </c>
      <c r="AI18" s="20">
        <f>BAU建筑面积计算!AI8*AI43/1000</f>
        <v>8498.516266579989</v>
      </c>
      <c r="AJ18" s="20">
        <f>BAU建筑面积计算!AJ8*AJ43/1000</f>
        <v>8682.2133652934972</v>
      </c>
      <c r="AK18" s="20">
        <f>BAU建筑面积计算!AK8*AK43/1000</f>
        <v>8866.1095709155379</v>
      </c>
      <c r="AL18" s="20">
        <f>BAU建筑面积计算!AL8*AL43/1000</f>
        <v>9050.8556991502446</v>
      </c>
      <c r="AM18" s="20">
        <f>BAU建筑面积计算!AM8*AM43/1000</f>
        <v>9237.1462238799086</v>
      </c>
      <c r="AN18" s="20">
        <f>BAU建筑面积计算!AN8*AN43/1000</f>
        <v>9425.7211560147371</v>
      </c>
      <c r="AO18" s="20">
        <f>BAU建筑面积计算!AO8*AO43/1000</f>
        <v>9617.3677586876802</v>
      </c>
      <c r="AP18" s="20">
        <f>BAU建筑面积计算!AP8*AP43/1000</f>
        <v>9812.9223112458058</v>
      </c>
      <c r="AQ18" s="20">
        <f>BAU建筑面积计算!AQ8*AQ43/1000</f>
        <v>10013.272340115001</v>
      </c>
      <c r="AR18" s="20">
        <f>BAU建筑面积计算!AR8*AR43/1000</f>
        <v>10219.357140362641</v>
      </c>
    </row>
    <row r="19" spans="1:44" s="20" customFormat="1" x14ac:dyDescent="0.15">
      <c r="A19" s="22" t="s">
        <v>892</v>
      </c>
      <c r="B19" s="20">
        <f>BAU建筑面积计算!B16*B44/1000</f>
        <v>0</v>
      </c>
      <c r="C19" s="20">
        <f>BAU建筑面积计算!C16*C44/1000</f>
        <v>0</v>
      </c>
      <c r="D19" s="20">
        <f>BAU建筑面积计算!D16*D44/1000</f>
        <v>0</v>
      </c>
      <c r="E19" s="20">
        <f>BAU建筑面积计算!E16*E44/1000</f>
        <v>55.226065545586245</v>
      </c>
      <c r="F19" s="20">
        <f>BAU建筑面积计算!F16*F44/1000</f>
        <v>105.42416167294446</v>
      </c>
      <c r="G19" s="20">
        <f>BAU建筑面积计算!G16*G44/1000</f>
        <v>150.6772959056363</v>
      </c>
      <c r="H19" s="20">
        <f>BAU建筑面积计算!H16*H44/1000</f>
        <v>191.07493724377053</v>
      </c>
      <c r="I19" s="20">
        <f>BAU建筑面积计算!I16*I44/1000</f>
        <v>226.7133062419677</v>
      </c>
      <c r="J19" s="20">
        <f>BAU建筑面积计算!J16*J44/1000</f>
        <v>257.69459178999989</v>
      </c>
      <c r="K19" s="20">
        <f>BAU建筑面积计算!K16*K44/1000</f>
        <v>284.12748626257303</v>
      </c>
      <c r="L19" s="20">
        <f>BAU建筑面积计算!L16*L44/1000</f>
        <v>306.12639158636665</v>
      </c>
      <c r="M19" s="20">
        <f>BAU建筑面积计算!M16*M44/1000</f>
        <v>323.81158449425783</v>
      </c>
      <c r="N19" s="20">
        <f>BAU建筑面积计算!N16*N44/1000</f>
        <v>337.30892510764477</v>
      </c>
      <c r="O19" s="20">
        <f>BAU建筑面积计算!O16*O44/1000</f>
        <v>346.74949839471373</v>
      </c>
      <c r="P19" s="20">
        <f>BAU建筑面积计算!P16*P44/1000</f>
        <v>352.2697410886891</v>
      </c>
      <c r="Q19" s="20">
        <f>BAU建筑面积计算!Q16*Q44/1000</f>
        <v>354.01070847003473</v>
      </c>
      <c r="R19" s="20">
        <f>BAU建筑面积计算!R16*R44/1000</f>
        <v>354.01070847003473</v>
      </c>
      <c r="S19" s="20">
        <f>BAU建筑面积计算!S16*S44/1000</f>
        <v>354.01070847003473</v>
      </c>
      <c r="T19" s="20">
        <f>BAU建筑面积计算!T16*T44/1000</f>
        <v>354.01070847003473</v>
      </c>
      <c r="U19" s="20">
        <f>BAU建筑面积计算!U16*U44/1000</f>
        <v>354.01070847003473</v>
      </c>
      <c r="V19" s="20">
        <f>BAU建筑面积计算!V16*V44/1000</f>
        <v>354.01070847003473</v>
      </c>
      <c r="W19" s="20">
        <f>BAU建筑面积计算!W16*W44/1000</f>
        <v>354.01070847003473</v>
      </c>
      <c r="X19" s="20">
        <f>BAU建筑面积计算!X16*X44/1000</f>
        <v>354.01070847003473</v>
      </c>
      <c r="Y19" s="20">
        <f>BAU建筑面积计算!Y16*Y44/1000</f>
        <v>354.01070847003473</v>
      </c>
      <c r="Z19" s="20">
        <f>BAU建筑面积计算!Z16*Z44/1000</f>
        <v>354.01070847003473</v>
      </c>
      <c r="AA19" s="20">
        <f>BAU建筑面积计算!AA16*AA44/1000</f>
        <v>354.01070847003473</v>
      </c>
      <c r="AB19" s="20">
        <f>BAU建筑面积计算!AB16*AB44/1000</f>
        <v>354.01070847003473</v>
      </c>
      <c r="AC19" s="20">
        <f>BAU建筑面积计算!AC16*AC44/1000</f>
        <v>354.01070847003473</v>
      </c>
      <c r="AD19" s="20">
        <f>BAU建筑面积计算!AD16*AD44/1000</f>
        <v>354.01070847003473</v>
      </c>
      <c r="AE19" s="20">
        <f>BAU建筑面积计算!AE16*AE44/1000</f>
        <v>354.01070847003473</v>
      </c>
      <c r="AF19" s="20">
        <f>BAU建筑面积计算!AF16*AF44/1000</f>
        <v>354.01070847003473</v>
      </c>
      <c r="AG19" s="20">
        <f>BAU建筑面积计算!AG16*AG44/1000</f>
        <v>354.01070847003473</v>
      </c>
      <c r="AH19" s="20">
        <f>BAU建筑面积计算!AH16*AH44/1000</f>
        <v>354.01070847003473</v>
      </c>
      <c r="AI19" s="20">
        <f>BAU建筑面积计算!AI16*AI44/1000</f>
        <v>354.01070847003473</v>
      </c>
      <c r="AJ19" s="20">
        <f>BAU建筑面积计算!AJ16*AJ44/1000</f>
        <v>354.01070847003473</v>
      </c>
      <c r="AK19" s="20">
        <f>BAU建筑面积计算!AK16*AK44/1000</f>
        <v>354.01070847003473</v>
      </c>
      <c r="AL19" s="20">
        <f>BAU建筑面积计算!AL16*AL44/1000</f>
        <v>354.01070847003473</v>
      </c>
      <c r="AM19" s="20">
        <f>BAU建筑面积计算!AM16*AM44/1000</f>
        <v>354.01070847003473</v>
      </c>
      <c r="AN19" s="20">
        <f>BAU建筑面积计算!AN16*AN44/1000</f>
        <v>354.01070847003473</v>
      </c>
      <c r="AO19" s="20">
        <f>BAU建筑面积计算!AO16*AO44/1000</f>
        <v>354.01070847003473</v>
      </c>
      <c r="AP19" s="20">
        <f>BAU建筑面积计算!AP16*AP44/1000</f>
        <v>354.01070847003473</v>
      </c>
      <c r="AQ19" s="20">
        <f>BAU建筑面积计算!AQ16*AQ44/1000</f>
        <v>354.01070847003473</v>
      </c>
      <c r="AR19" s="20">
        <f>BAU建筑面积计算!AR16*AR44/1000</f>
        <v>354.01070847003473</v>
      </c>
    </row>
    <row r="20" spans="1:44" s="20" customFormat="1" x14ac:dyDescent="0.15">
      <c r="A20" s="22" t="s">
        <v>901</v>
      </c>
      <c r="B20" s="20">
        <f>BAU建筑面积计算!B32*B45/1000</f>
        <v>0</v>
      </c>
      <c r="C20" s="20">
        <f>BAU建筑面积计算!C32*C45/1000</f>
        <v>0</v>
      </c>
      <c r="D20" s="20">
        <f>BAU建筑面积计算!D32*D45/1000</f>
        <v>294.03169214137529</v>
      </c>
      <c r="E20" s="20">
        <f>BAU建筑面积计算!E32*E45/1000</f>
        <v>473.97182101026857</v>
      </c>
      <c r="F20" s="20">
        <f>BAU建筑面积计算!F32*F45/1000</f>
        <v>650.54788228851419</v>
      </c>
      <c r="G20" s="20">
        <f>BAU建筑面积计算!G32*G45/1000</f>
        <v>823.73931770027832</v>
      </c>
      <c r="H20" s="20">
        <f>BAU建筑面积计算!H32*H45/1000</f>
        <v>993.53073071866925</v>
      </c>
      <c r="I20" s="20">
        <f>BAU建筑面积计算!I32*I45/1000</f>
        <v>1159.9132719463275</v>
      </c>
      <c r="J20" s="20">
        <f>BAU建筑面积计算!J32*J45/1000</f>
        <v>1322.8835895417617</v>
      </c>
      <c r="K20" s="20">
        <f>BAU建筑面积计算!K32*K45/1000</f>
        <v>1482.4449642318286</v>
      </c>
      <c r="L20" s="20">
        <f>BAU建筑面积计算!L32*L45/1000</f>
        <v>1638.6073365415032</v>
      </c>
      <c r="M20" s="20">
        <f>BAU建筑面积计算!M32*M45/1000</f>
        <v>1791.3875533706348</v>
      </c>
      <c r="N20" s="20">
        <f>BAU建筑面积计算!N32*N45/1000</f>
        <v>1940.8097351536851</v>
      </c>
      <c r="O20" s="20">
        <f>BAU建筑面积计算!O32*O45/1000</f>
        <v>2086.90553914168</v>
      </c>
      <c r="P20" s="20">
        <f>BAU建筑面积计算!P32*P45/1000</f>
        <v>2229.714811162863</v>
      </c>
      <c r="Q20" s="20">
        <f>BAU建筑面积计算!Q32*Q45/1000</f>
        <v>2369.285270330965</v>
      </c>
      <c r="R20" s="20">
        <f>BAU建筑面积计算!R32*R45/1000</f>
        <v>2505.6736051818448</v>
      </c>
      <c r="S20" s="20">
        <f>BAU建筑面积计算!S32*S45/1000</f>
        <v>2638.9454727731163</v>
      </c>
      <c r="T20" s="20">
        <f>BAU建筑面积计算!T32*T45/1000</f>
        <v>2769.1756533050657</v>
      </c>
      <c r="U20" s="20">
        <f>BAU建筑面积计算!U32*U45/1000</f>
        <v>2896.4489312528754</v>
      </c>
      <c r="V20" s="20">
        <f>BAU建筑面积计算!V32*V45/1000</f>
        <v>3020.8599680629036</v>
      </c>
      <c r="W20" s="20">
        <f>BAU建筑面积计算!W32*W45/1000</f>
        <v>3142.5140245070534</v>
      </c>
      <c r="X20" s="20">
        <f>BAU建筑面积计算!X32*X45/1000</f>
        <v>3261.5274105210228</v>
      </c>
      <c r="Y20" s="20">
        <f>BAU建筑面积计算!Y32*Y45/1000</f>
        <v>3378.0279648667961</v>
      </c>
      <c r="Z20" s="20">
        <f>BAU建筑面积计算!Z32*Z45/1000</f>
        <v>3492.1549111958961</v>
      </c>
      <c r="AA20" s="20">
        <f>BAU建筑面积计算!AA32*AA45/1000</f>
        <v>3604.0600125599008</v>
      </c>
      <c r="AB20" s="20">
        <f>BAU建筑面积计算!AB32*AB45/1000</f>
        <v>3713.9077303208992</v>
      </c>
      <c r="AC20" s="20">
        <f>BAU建筑面积计算!AC32*AC45/1000</f>
        <v>3821.8757983418418</v>
      </c>
      <c r="AD20" s="20">
        <f>BAU建筑面积计算!AD32*AD45/1000</f>
        <v>3928.1551159953556</v>
      </c>
      <c r="AE20" s="20">
        <f>BAU建筑面积计算!AE32*AE45/1000</f>
        <v>4032.9516017453429</v>
      </c>
      <c r="AF20" s="20">
        <f>BAU建筑面积计算!AF32*AF45/1000</f>
        <v>4136.4852334279285</v>
      </c>
      <c r="AG20" s="20">
        <f>BAU建筑面积计算!AG32*AG45/1000</f>
        <v>4238.9914756180624</v>
      </c>
      <c r="AH20" s="20">
        <f>BAU建筑面积计算!AH32*AH45/1000</f>
        <v>4340.7216567593305</v>
      </c>
      <c r="AI20" s="20">
        <f>BAU建筑面积计算!AI32*AI45/1000</f>
        <v>4441.9427551934641</v>
      </c>
      <c r="AJ20" s="20">
        <f>BAU建筑面积计算!AJ32*AJ45/1000</f>
        <v>4542.9397175210497</v>
      </c>
      <c r="AK20" s="20">
        <f>BAU建筑面积计算!AK32*AK45/1000</f>
        <v>4644.0140224194192</v>
      </c>
      <c r="AL20" s="20">
        <f>BAU建筑面积计算!AL32*AL45/1000</f>
        <v>4745.4857177386648</v>
      </c>
      <c r="AM20" s="20">
        <f>BAU建筑面积计算!AM32*AM45/1000</f>
        <v>4847.6935745008268</v>
      </c>
      <c r="AN20" s="20">
        <f>BAU建筑面积计算!AN32*AN45/1000</f>
        <v>4950.9951884752945</v>
      </c>
      <c r="AO20" s="20">
        <f>BAU建筑面积计算!AO32*AO45/1000</f>
        <v>5055.7686191137955</v>
      </c>
      <c r="AP20" s="20">
        <f>BAU建筑面积计算!AP32*AP45/1000</f>
        <v>5162.4121885502327</v>
      </c>
      <c r="AQ20" s="20">
        <f>BAU建筑面积计算!AQ32*AQ45/1000</f>
        <v>5271.3462611586974</v>
      </c>
      <c r="AR20" s="20">
        <f>BAU建筑面积计算!AR32*AR45/1000</f>
        <v>5383.0124359003348</v>
      </c>
    </row>
    <row r="21" spans="1:44" s="20" customFormat="1" x14ac:dyDescent="0.15">
      <c r="A21" s="22" t="s">
        <v>902</v>
      </c>
      <c r="B21" s="20">
        <f>BAU建筑面积计算!B24*B46/1000</f>
        <v>0</v>
      </c>
      <c r="C21" s="20">
        <f>BAU建筑面积计算!C24*C46/1000</f>
        <v>238.72034329376271</v>
      </c>
      <c r="D21" s="20">
        <f>BAU建筑面积计算!D24*D46/1000</f>
        <v>534.31101788039894</v>
      </c>
      <c r="E21" s="20">
        <f>BAU建筑面积计算!E24*E46/1000</f>
        <v>715.44151924801463</v>
      </c>
      <c r="F21" s="20">
        <f>BAU建筑面积计算!F24*F46/1000</f>
        <v>893.67036252550849</v>
      </c>
      <c r="G21" s="20">
        <f>BAU建筑面积计算!G24*G46/1000</f>
        <v>1068.9329338178825</v>
      </c>
      <c r="H21" s="20">
        <f>BAU建筑面积计算!H24*H46/1000</f>
        <v>1241.1707328251025</v>
      </c>
      <c r="I21" s="20">
        <f>BAU建筑面积计算!I24*I46/1000</f>
        <v>1410.3323047406502</v>
      </c>
      <c r="J21" s="20">
        <f>BAU建筑面积计算!J24*J46/1000</f>
        <v>1576.3728015131492</v>
      </c>
      <c r="K21" s="20">
        <f>BAU建筑面积计算!K24*K46/1000</f>
        <v>1739.2553049182131</v>
      </c>
      <c r="L21" s="20">
        <f>BAU建筑面积计算!L24*L46/1000</f>
        <v>1898.9504122170461</v>
      </c>
      <c r="M21" s="20">
        <f>BAU建筑面积计算!M24*M46/1000</f>
        <v>2055.4371344050569</v>
      </c>
      <c r="N21" s="20">
        <f>BAU建筑面积计算!N24*N46/1000</f>
        <v>2208.703214635625</v>
      </c>
      <c r="O21" s="20">
        <f>BAU建筑面积计算!O24*O46/1000</f>
        <v>2358.745368527274</v>
      </c>
      <c r="P21" s="20">
        <f>BAU建筑面积计算!P24*P46/1000</f>
        <v>2505.5702660328375</v>
      </c>
      <c r="Q21" s="20">
        <f>BAU建筑面积计算!Q24*Q46/1000</f>
        <v>2649.1942907385824</v>
      </c>
      <c r="R21" s="20">
        <f>BAU建筑面积计算!R24*R46/1000</f>
        <v>2789.6446382849172</v>
      </c>
      <c r="S21" s="20">
        <f>BAU建筑面积计算!S24*S46/1000</f>
        <v>2926.9594349353392</v>
      </c>
      <c r="T21" s="20">
        <f>BAU建筑面积计算!T24*T46/1000</f>
        <v>3061.1884166265945</v>
      </c>
      <c r="U21" s="20">
        <f>BAU建筑面积计算!U24*U46/1000</f>
        <v>3192.3936021486561</v>
      </c>
      <c r="V21" s="20">
        <f>BAU建筑面积计算!V24*V46/1000</f>
        <v>3320.6493440116706</v>
      </c>
      <c r="W21" s="20">
        <f>BAU建筑面积计算!W24*W46/1000</f>
        <v>3446.0434034921391</v>
      </c>
      <c r="X21" s="20">
        <f>BAU建筑面积计算!X24*X46/1000</f>
        <v>3568.6773682477542</v>
      </c>
      <c r="Y21" s="20">
        <f>BAU建筑面积计算!Y24*Y46/1000</f>
        <v>3688.6672900220901</v>
      </c>
      <c r="Z21" s="20">
        <f>BAU建筑面积计算!Z24*Z46/1000</f>
        <v>3806.1440182104316</v>
      </c>
      <c r="AA21" s="20">
        <f>BAU建筑面积计算!AA24*AA46/1000</f>
        <v>3921.2540518143742</v>
      </c>
      <c r="AB21" s="20">
        <f>BAU建筑面积计算!AB24*AB46/1000</f>
        <v>4034.160493031281</v>
      </c>
      <c r="AC21" s="20">
        <f>BAU建筑面积计算!AC24*AC46/1000</f>
        <v>4145.0431187754675</v>
      </c>
      <c r="AD21" s="20">
        <f>BAU建筑面积计算!AD24*AD46/1000</f>
        <v>4254.0992215741135</v>
      </c>
      <c r="AE21" s="20">
        <f>BAU建筑面积计算!AE24*AE46/1000</f>
        <v>4361.544964437021</v>
      </c>
      <c r="AF21" s="20">
        <f>BAU建筑面积计算!AF24*AF46/1000</f>
        <v>4467.6151351004337</v>
      </c>
      <c r="AG21" s="20">
        <f>BAU建筑面积计算!AG24*AG46/1000</f>
        <v>4572.5644139290462</v>
      </c>
      <c r="AH21" s="20">
        <f>BAU建筑面积计算!AH24*AH46/1000</f>
        <v>4676.6683660406416</v>
      </c>
      <c r="AI21" s="20">
        <f>BAU建筑面积计算!AI24*AI46/1000</f>
        <v>4780.2234513062913</v>
      </c>
      <c r="AJ21" s="20">
        <f>BAU建筑面积计算!AJ24*AJ46/1000</f>
        <v>4883.5489203249672</v>
      </c>
      <c r="AK21" s="20">
        <f>BAU建筑面积计算!AK24*AK46/1000</f>
        <v>4986.986382482638</v>
      </c>
      <c r="AL21" s="20">
        <f>BAU建筑面积计算!AL24*AL46/1000</f>
        <v>5090.9019069134656</v>
      </c>
      <c r="AM21" s="20">
        <f>BAU建筑面积计算!AM24*AM46/1000</f>
        <v>5195.6861194907578</v>
      </c>
      <c r="AN21" s="20">
        <f>BAU建筑面积计算!AN24*AN46/1000</f>
        <v>5301.755259637519</v>
      </c>
      <c r="AO21" s="20">
        <f>BAU建筑面积计算!AO24*AO46/1000</f>
        <v>5409.5521450848019</v>
      </c>
      <c r="AP21" s="20">
        <f>BAU建筑面积计算!AP24*AP46/1000</f>
        <v>5519.5471640770083</v>
      </c>
      <c r="AQ21" s="20">
        <f>BAU建筑面积计算!AQ24*AQ46/1000</f>
        <v>5632.2395301829174</v>
      </c>
      <c r="AR21" s="20">
        <f>BAU建筑面积计算!AR24*AR46/1000</f>
        <v>5748.1575756628708</v>
      </c>
    </row>
    <row r="24" spans="1:44" ht="30" x14ac:dyDescent="0.15">
      <c r="A24" s="25" t="s">
        <v>934</v>
      </c>
    </row>
    <row r="25" spans="1:44" s="2" customFormat="1" ht="40.5" x14ac:dyDescent="0.15">
      <c r="A25" s="26"/>
      <c r="B25" s="18" t="s">
        <v>883</v>
      </c>
      <c r="C25" s="18" t="s">
        <v>896</v>
      </c>
      <c r="D25" s="18" t="s">
        <v>897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44" x14ac:dyDescent="0.15">
      <c r="A26" s="30" t="s">
        <v>882</v>
      </c>
      <c r="B26" s="27" cm="1">
        <f t="array" ref="B26">SUM(建筑各项能耗拆分!N4:S13/B32)-建筑各项能耗拆分!N8/建筑各项能耗拆分!B18</f>
        <v>21428.795671126281</v>
      </c>
      <c r="C26" s="28">
        <v>30.11</v>
      </c>
      <c r="D26" s="29">
        <f>B26*1000/BAU建筑面积计算!B20</f>
        <v>17.507288425001896</v>
      </c>
      <c r="R26"/>
      <c r="S26"/>
    </row>
    <row r="27" spans="1:44" x14ac:dyDescent="0.15">
      <c r="A27" s="30" t="s">
        <v>884</v>
      </c>
      <c r="B27" s="27" cm="1">
        <f t="array" ref="B27">SUM(建筑各项能耗拆分!B4:G13/B32)-建筑各项能耗拆分!B8/建筑各项能耗拆分!B18</f>
        <v>15291.2914680833</v>
      </c>
      <c r="C27" s="28">
        <v>12.17</v>
      </c>
      <c r="D27" s="29">
        <f>B27*1000/BAU建筑面积计算!B4</f>
        <v>5.1517273183885779</v>
      </c>
      <c r="R27"/>
      <c r="S27"/>
    </row>
    <row r="28" spans="1:44" x14ac:dyDescent="0.15">
      <c r="A28" s="30" t="s">
        <v>881</v>
      </c>
      <c r="B28" s="27" cm="1">
        <f t="array" ref="B28">SUM(建筑各项能耗拆分!H4:M13/B32)</f>
        <v>11819.942661001123</v>
      </c>
      <c r="C28" s="28">
        <v>8.86</v>
      </c>
      <c r="D28" s="29">
        <f>B28*1000/BAU建筑面积计算!B12</f>
        <v>5.675495699375479</v>
      </c>
      <c r="R28"/>
      <c r="S28"/>
    </row>
    <row r="29" spans="1:44" x14ac:dyDescent="0.15">
      <c r="A29" s="30" t="s">
        <v>887</v>
      </c>
      <c r="B29" s="27">
        <f>SUM(建筑各项能耗拆分!B4:B13)/B32*0.5</f>
        <v>7100.2068946210584</v>
      </c>
      <c r="C29" s="28">
        <v>16.600000000000001</v>
      </c>
      <c r="D29" s="28">
        <f>建筑各项能耗拆分!B8*1000/BAU建筑面积计算!B28/建筑各项能耗拆分!B18</f>
        <v>7.2022096212026172</v>
      </c>
      <c r="R29"/>
      <c r="S29"/>
    </row>
    <row r="30" spans="1:44" x14ac:dyDescent="0.15">
      <c r="A30" s="30" t="s">
        <v>888</v>
      </c>
      <c r="B30" s="27" cm="1">
        <f t="array" ref="B30">SUM(建筑各项能耗拆分!N4:N13/B32)*0.5</f>
        <v>4588.3871192793977</v>
      </c>
      <c r="C30" s="28">
        <v>16.600000000000001</v>
      </c>
      <c r="D30" s="28">
        <f>建筑各项能耗拆分!N8*1000/BAU建筑面积计算!B36/建筑各项能耗拆分!B18</f>
        <v>7.8435442510193241</v>
      </c>
      <c r="R30"/>
      <c r="S30"/>
    </row>
    <row r="31" spans="1:44" x14ac:dyDescent="0.15">
      <c r="F31" s="8"/>
    </row>
    <row r="32" spans="1:44" x14ac:dyDescent="0.15">
      <c r="A32" s="2" t="s">
        <v>839</v>
      </c>
      <c r="B32" s="1">
        <v>277710000000</v>
      </c>
      <c r="R32"/>
      <c r="S32"/>
    </row>
    <row r="33" spans="1:44" x14ac:dyDescent="0.15">
      <c r="C33"/>
    </row>
    <row r="34" spans="1:44" x14ac:dyDescent="0.15">
      <c r="A34" s="31"/>
      <c r="B34" s="30" t="s">
        <v>900</v>
      </c>
      <c r="C34" s="19" t="s">
        <v>905</v>
      </c>
    </row>
    <row r="35" spans="1:44" x14ac:dyDescent="0.15">
      <c r="A35" s="30" t="s">
        <v>898</v>
      </c>
      <c r="B35" s="28">
        <v>0.65</v>
      </c>
      <c r="C35" s="28">
        <v>0.65</v>
      </c>
      <c r="D35" s="10"/>
    </row>
    <row r="36" spans="1:44" x14ac:dyDescent="0.15">
      <c r="B36" s="10"/>
      <c r="C36" s="10"/>
      <c r="D36" s="10"/>
    </row>
    <row r="37" spans="1:44" x14ac:dyDescent="0.15">
      <c r="A37" s="31"/>
      <c r="B37" s="30" t="s">
        <v>904</v>
      </c>
      <c r="C37" s="19" t="s">
        <v>906</v>
      </c>
      <c r="D37" s="10"/>
    </row>
    <row r="38" spans="1:44" x14ac:dyDescent="0.15">
      <c r="A38" s="30" t="s">
        <v>899</v>
      </c>
      <c r="B38" s="28">
        <v>0.65</v>
      </c>
      <c r="C38" s="28">
        <v>0.65</v>
      </c>
      <c r="D38" s="10"/>
    </row>
    <row r="39" spans="1:44" x14ac:dyDescent="0.15">
      <c r="C39"/>
    </row>
    <row r="40" spans="1:44" x14ac:dyDescent="0.15">
      <c r="C40"/>
    </row>
    <row r="41" spans="1:44" s="22" customFormat="1" x14ac:dyDescent="0.15">
      <c r="A41" s="22" t="s">
        <v>903</v>
      </c>
      <c r="B41" s="23">
        <v>2018</v>
      </c>
      <c r="C41" s="23">
        <v>2019</v>
      </c>
      <c r="D41" s="23">
        <v>2020</v>
      </c>
      <c r="E41" s="23">
        <v>2021</v>
      </c>
      <c r="F41" s="23">
        <v>2022</v>
      </c>
      <c r="G41" s="23">
        <v>2023</v>
      </c>
      <c r="H41" s="23">
        <v>2024</v>
      </c>
      <c r="I41" s="23">
        <v>2025</v>
      </c>
      <c r="J41" s="23">
        <v>2026</v>
      </c>
      <c r="K41" s="23">
        <v>2027</v>
      </c>
      <c r="L41" s="23">
        <v>2028</v>
      </c>
      <c r="M41" s="23">
        <v>2029</v>
      </c>
      <c r="N41" s="23">
        <v>2030</v>
      </c>
      <c r="O41" s="23">
        <v>2031</v>
      </c>
      <c r="P41" s="23">
        <v>2032</v>
      </c>
      <c r="Q41" s="23">
        <v>2033</v>
      </c>
      <c r="R41" s="23">
        <v>2034</v>
      </c>
      <c r="S41" s="23">
        <v>2035</v>
      </c>
      <c r="T41" s="23">
        <v>2036</v>
      </c>
      <c r="U41" s="23">
        <v>2037</v>
      </c>
      <c r="V41" s="23">
        <v>2038</v>
      </c>
      <c r="W41" s="23">
        <v>2039</v>
      </c>
      <c r="X41" s="23">
        <v>2040</v>
      </c>
      <c r="Y41" s="23">
        <v>2041</v>
      </c>
      <c r="Z41" s="23">
        <v>2042</v>
      </c>
      <c r="AA41" s="23">
        <v>2043</v>
      </c>
      <c r="AB41" s="23">
        <v>2044</v>
      </c>
      <c r="AC41" s="23">
        <v>2045</v>
      </c>
      <c r="AD41" s="23">
        <v>2046</v>
      </c>
      <c r="AE41" s="23">
        <v>2047</v>
      </c>
      <c r="AF41" s="23">
        <v>2048</v>
      </c>
      <c r="AG41" s="23">
        <v>2049</v>
      </c>
      <c r="AH41" s="23">
        <v>2050</v>
      </c>
      <c r="AI41" s="23">
        <v>2051</v>
      </c>
      <c r="AJ41" s="23">
        <v>2052</v>
      </c>
      <c r="AK41" s="23">
        <v>2053</v>
      </c>
      <c r="AL41" s="23">
        <v>2054</v>
      </c>
      <c r="AM41" s="23">
        <v>2055</v>
      </c>
      <c r="AN41" s="23">
        <v>2056</v>
      </c>
      <c r="AO41" s="23">
        <v>2057</v>
      </c>
      <c r="AP41" s="23">
        <v>2058</v>
      </c>
      <c r="AQ41" s="23">
        <v>2059</v>
      </c>
      <c r="AR41" s="23">
        <v>2060</v>
      </c>
    </row>
    <row r="42" spans="1:44" s="20" customFormat="1" x14ac:dyDescent="0.15">
      <c r="A42" s="22" t="s">
        <v>893</v>
      </c>
      <c r="B42" s="20">
        <f t="shared" ref="B42:AR42" si="5">$C$26*(1-$B$38)</f>
        <v>10.538499999999999</v>
      </c>
      <c r="C42" s="20">
        <f t="shared" si="5"/>
        <v>10.538499999999999</v>
      </c>
      <c r="D42" s="20">
        <f t="shared" si="5"/>
        <v>10.538499999999999</v>
      </c>
      <c r="E42" s="20">
        <f t="shared" si="5"/>
        <v>10.538499999999999</v>
      </c>
      <c r="F42" s="20">
        <f t="shared" si="5"/>
        <v>10.538499999999999</v>
      </c>
      <c r="G42" s="20">
        <f t="shared" si="5"/>
        <v>10.538499999999999</v>
      </c>
      <c r="H42" s="20">
        <f t="shared" si="5"/>
        <v>10.538499999999999</v>
      </c>
      <c r="I42" s="20">
        <f t="shared" si="5"/>
        <v>10.538499999999999</v>
      </c>
      <c r="J42" s="20">
        <f t="shared" si="5"/>
        <v>10.538499999999999</v>
      </c>
      <c r="K42" s="20">
        <f t="shared" si="5"/>
        <v>10.538499999999999</v>
      </c>
      <c r="L42" s="20">
        <f t="shared" si="5"/>
        <v>10.538499999999999</v>
      </c>
      <c r="M42" s="20">
        <f t="shared" si="5"/>
        <v>10.538499999999999</v>
      </c>
      <c r="N42" s="20">
        <f t="shared" si="5"/>
        <v>10.538499999999999</v>
      </c>
      <c r="O42" s="20">
        <f t="shared" si="5"/>
        <v>10.538499999999999</v>
      </c>
      <c r="P42" s="20">
        <f t="shared" si="5"/>
        <v>10.538499999999999</v>
      </c>
      <c r="Q42" s="20">
        <f t="shared" si="5"/>
        <v>10.538499999999999</v>
      </c>
      <c r="R42" s="20">
        <f t="shared" si="5"/>
        <v>10.538499999999999</v>
      </c>
      <c r="S42" s="20">
        <f t="shared" si="5"/>
        <v>10.538499999999999</v>
      </c>
      <c r="T42" s="20">
        <f t="shared" si="5"/>
        <v>10.538499999999999</v>
      </c>
      <c r="U42" s="20">
        <f t="shared" si="5"/>
        <v>10.538499999999999</v>
      </c>
      <c r="V42" s="20">
        <f t="shared" si="5"/>
        <v>10.538499999999999</v>
      </c>
      <c r="W42" s="20">
        <f t="shared" si="5"/>
        <v>10.538499999999999</v>
      </c>
      <c r="X42" s="20">
        <f t="shared" si="5"/>
        <v>10.538499999999999</v>
      </c>
      <c r="Y42" s="20">
        <f t="shared" si="5"/>
        <v>10.538499999999999</v>
      </c>
      <c r="Z42" s="20">
        <f t="shared" si="5"/>
        <v>10.538499999999999</v>
      </c>
      <c r="AA42" s="20">
        <f t="shared" si="5"/>
        <v>10.538499999999999</v>
      </c>
      <c r="AB42" s="20">
        <f t="shared" si="5"/>
        <v>10.538499999999999</v>
      </c>
      <c r="AC42" s="20">
        <f t="shared" si="5"/>
        <v>10.538499999999999</v>
      </c>
      <c r="AD42" s="20">
        <f t="shared" si="5"/>
        <v>10.538499999999999</v>
      </c>
      <c r="AE42" s="20">
        <f t="shared" si="5"/>
        <v>10.538499999999999</v>
      </c>
      <c r="AF42" s="20">
        <f t="shared" si="5"/>
        <v>10.538499999999999</v>
      </c>
      <c r="AG42" s="20">
        <f t="shared" si="5"/>
        <v>10.538499999999999</v>
      </c>
      <c r="AH42" s="20">
        <f t="shared" si="5"/>
        <v>10.538499999999999</v>
      </c>
      <c r="AI42" s="20">
        <f t="shared" si="5"/>
        <v>10.538499999999999</v>
      </c>
      <c r="AJ42" s="20">
        <f t="shared" si="5"/>
        <v>10.538499999999999</v>
      </c>
      <c r="AK42" s="20">
        <f t="shared" si="5"/>
        <v>10.538499999999999</v>
      </c>
      <c r="AL42" s="20">
        <f t="shared" si="5"/>
        <v>10.538499999999999</v>
      </c>
      <c r="AM42" s="20">
        <f t="shared" si="5"/>
        <v>10.538499999999999</v>
      </c>
      <c r="AN42" s="20">
        <f t="shared" si="5"/>
        <v>10.538499999999999</v>
      </c>
      <c r="AO42" s="20">
        <f t="shared" si="5"/>
        <v>10.538499999999999</v>
      </c>
      <c r="AP42" s="20">
        <f t="shared" si="5"/>
        <v>10.538499999999999</v>
      </c>
      <c r="AQ42" s="20">
        <f t="shared" si="5"/>
        <v>10.538499999999999</v>
      </c>
      <c r="AR42" s="20">
        <f t="shared" si="5"/>
        <v>10.538499999999999</v>
      </c>
    </row>
    <row r="43" spans="1:44" s="20" customFormat="1" x14ac:dyDescent="0.15">
      <c r="A43" s="22" t="s">
        <v>891</v>
      </c>
      <c r="B43" s="20">
        <f t="shared" ref="B43:AR43" si="6">$C$27*(1-$B$35)</f>
        <v>4.2595000000000001</v>
      </c>
      <c r="C43" s="20">
        <f t="shared" si="6"/>
        <v>4.2595000000000001</v>
      </c>
      <c r="D43" s="20">
        <f t="shared" si="6"/>
        <v>4.2595000000000001</v>
      </c>
      <c r="E43" s="20">
        <f t="shared" si="6"/>
        <v>4.2595000000000001</v>
      </c>
      <c r="F43" s="20">
        <f t="shared" si="6"/>
        <v>4.2595000000000001</v>
      </c>
      <c r="G43" s="20">
        <f t="shared" si="6"/>
        <v>4.2595000000000001</v>
      </c>
      <c r="H43" s="20">
        <f t="shared" si="6"/>
        <v>4.2595000000000001</v>
      </c>
      <c r="I43" s="20">
        <f t="shared" si="6"/>
        <v>4.2595000000000001</v>
      </c>
      <c r="J43" s="20">
        <f t="shared" si="6"/>
        <v>4.2595000000000001</v>
      </c>
      <c r="K43" s="20">
        <f t="shared" si="6"/>
        <v>4.2595000000000001</v>
      </c>
      <c r="L43" s="20">
        <f t="shared" si="6"/>
        <v>4.2595000000000001</v>
      </c>
      <c r="M43" s="20">
        <f t="shared" si="6"/>
        <v>4.2595000000000001</v>
      </c>
      <c r="N43" s="20">
        <f t="shared" si="6"/>
        <v>4.2595000000000001</v>
      </c>
      <c r="O43" s="20">
        <f t="shared" si="6"/>
        <v>4.2595000000000001</v>
      </c>
      <c r="P43" s="20">
        <f t="shared" si="6"/>
        <v>4.2595000000000001</v>
      </c>
      <c r="Q43" s="20">
        <f t="shared" si="6"/>
        <v>4.2595000000000001</v>
      </c>
      <c r="R43" s="20">
        <f t="shared" si="6"/>
        <v>4.2595000000000001</v>
      </c>
      <c r="S43" s="20">
        <f t="shared" si="6"/>
        <v>4.2595000000000001</v>
      </c>
      <c r="T43" s="20">
        <f t="shared" si="6"/>
        <v>4.2595000000000001</v>
      </c>
      <c r="U43" s="20">
        <f t="shared" si="6"/>
        <v>4.2595000000000001</v>
      </c>
      <c r="V43" s="20">
        <f t="shared" si="6"/>
        <v>4.2595000000000001</v>
      </c>
      <c r="W43" s="20">
        <f t="shared" si="6"/>
        <v>4.2595000000000001</v>
      </c>
      <c r="X43" s="20">
        <f t="shared" si="6"/>
        <v>4.2595000000000001</v>
      </c>
      <c r="Y43" s="20">
        <f t="shared" si="6"/>
        <v>4.2595000000000001</v>
      </c>
      <c r="Z43" s="20">
        <f t="shared" si="6"/>
        <v>4.2595000000000001</v>
      </c>
      <c r="AA43" s="20">
        <f t="shared" si="6"/>
        <v>4.2595000000000001</v>
      </c>
      <c r="AB43" s="20">
        <f t="shared" si="6"/>
        <v>4.2595000000000001</v>
      </c>
      <c r="AC43" s="20">
        <f t="shared" si="6"/>
        <v>4.2595000000000001</v>
      </c>
      <c r="AD43" s="20">
        <f t="shared" si="6"/>
        <v>4.2595000000000001</v>
      </c>
      <c r="AE43" s="20">
        <f t="shared" si="6"/>
        <v>4.2595000000000001</v>
      </c>
      <c r="AF43" s="20">
        <f t="shared" si="6"/>
        <v>4.2595000000000001</v>
      </c>
      <c r="AG43" s="20">
        <f t="shared" si="6"/>
        <v>4.2595000000000001</v>
      </c>
      <c r="AH43" s="20">
        <f t="shared" si="6"/>
        <v>4.2595000000000001</v>
      </c>
      <c r="AI43" s="20">
        <f t="shared" si="6"/>
        <v>4.2595000000000001</v>
      </c>
      <c r="AJ43" s="20">
        <f t="shared" si="6"/>
        <v>4.2595000000000001</v>
      </c>
      <c r="AK43" s="20">
        <f t="shared" si="6"/>
        <v>4.2595000000000001</v>
      </c>
      <c r="AL43" s="20">
        <f t="shared" si="6"/>
        <v>4.2595000000000001</v>
      </c>
      <c r="AM43" s="20">
        <f t="shared" si="6"/>
        <v>4.2595000000000001</v>
      </c>
      <c r="AN43" s="20">
        <f t="shared" si="6"/>
        <v>4.2595000000000001</v>
      </c>
      <c r="AO43" s="20">
        <f t="shared" si="6"/>
        <v>4.2595000000000001</v>
      </c>
      <c r="AP43" s="20">
        <f t="shared" si="6"/>
        <v>4.2595000000000001</v>
      </c>
      <c r="AQ43" s="20">
        <f t="shared" si="6"/>
        <v>4.2595000000000001</v>
      </c>
      <c r="AR43" s="20">
        <f t="shared" si="6"/>
        <v>4.2595000000000001</v>
      </c>
    </row>
    <row r="44" spans="1:44" s="20" customFormat="1" x14ac:dyDescent="0.15">
      <c r="A44" s="22" t="s">
        <v>892</v>
      </c>
      <c r="B44" s="20">
        <f>$C$28*(1-$B$35)</f>
        <v>3.1009999999999995</v>
      </c>
      <c r="C44" s="20">
        <f t="shared" ref="C44:AR44" si="7">$C$28*(1-$B$35)</f>
        <v>3.1009999999999995</v>
      </c>
      <c r="D44" s="20">
        <f t="shared" si="7"/>
        <v>3.1009999999999995</v>
      </c>
      <c r="E44" s="20">
        <f t="shared" si="7"/>
        <v>3.1009999999999995</v>
      </c>
      <c r="F44" s="20">
        <f t="shared" si="7"/>
        <v>3.1009999999999995</v>
      </c>
      <c r="G44" s="20">
        <f t="shared" si="7"/>
        <v>3.1009999999999995</v>
      </c>
      <c r="H44" s="20">
        <f t="shared" si="7"/>
        <v>3.1009999999999995</v>
      </c>
      <c r="I44" s="20">
        <f t="shared" si="7"/>
        <v>3.1009999999999995</v>
      </c>
      <c r="J44" s="20">
        <f t="shared" si="7"/>
        <v>3.1009999999999995</v>
      </c>
      <c r="K44" s="20">
        <f t="shared" si="7"/>
        <v>3.1009999999999995</v>
      </c>
      <c r="L44" s="20">
        <f t="shared" si="7"/>
        <v>3.1009999999999995</v>
      </c>
      <c r="M44" s="20">
        <f t="shared" si="7"/>
        <v>3.1009999999999995</v>
      </c>
      <c r="N44" s="20">
        <f t="shared" si="7"/>
        <v>3.1009999999999995</v>
      </c>
      <c r="O44" s="20">
        <f t="shared" si="7"/>
        <v>3.1009999999999995</v>
      </c>
      <c r="P44" s="20">
        <f t="shared" si="7"/>
        <v>3.1009999999999995</v>
      </c>
      <c r="Q44" s="20">
        <f t="shared" si="7"/>
        <v>3.1009999999999995</v>
      </c>
      <c r="R44" s="20">
        <f t="shared" si="7"/>
        <v>3.1009999999999995</v>
      </c>
      <c r="S44" s="20">
        <f t="shared" si="7"/>
        <v>3.1009999999999995</v>
      </c>
      <c r="T44" s="20">
        <f t="shared" si="7"/>
        <v>3.1009999999999995</v>
      </c>
      <c r="U44" s="20">
        <f t="shared" si="7"/>
        <v>3.1009999999999995</v>
      </c>
      <c r="V44" s="20">
        <f t="shared" si="7"/>
        <v>3.1009999999999995</v>
      </c>
      <c r="W44" s="20">
        <f t="shared" si="7"/>
        <v>3.1009999999999995</v>
      </c>
      <c r="X44" s="20">
        <f t="shared" si="7"/>
        <v>3.1009999999999995</v>
      </c>
      <c r="Y44" s="20">
        <f t="shared" si="7"/>
        <v>3.1009999999999995</v>
      </c>
      <c r="Z44" s="20">
        <f t="shared" si="7"/>
        <v>3.1009999999999995</v>
      </c>
      <c r="AA44" s="20">
        <f t="shared" si="7"/>
        <v>3.1009999999999995</v>
      </c>
      <c r="AB44" s="20">
        <f t="shared" si="7"/>
        <v>3.1009999999999995</v>
      </c>
      <c r="AC44" s="20">
        <f t="shared" si="7"/>
        <v>3.1009999999999995</v>
      </c>
      <c r="AD44" s="20">
        <f t="shared" si="7"/>
        <v>3.1009999999999995</v>
      </c>
      <c r="AE44" s="20">
        <f t="shared" si="7"/>
        <v>3.1009999999999995</v>
      </c>
      <c r="AF44" s="20">
        <f t="shared" si="7"/>
        <v>3.1009999999999995</v>
      </c>
      <c r="AG44" s="20">
        <f t="shared" si="7"/>
        <v>3.1009999999999995</v>
      </c>
      <c r="AH44" s="20">
        <f t="shared" si="7"/>
        <v>3.1009999999999995</v>
      </c>
      <c r="AI44" s="20">
        <f t="shared" si="7"/>
        <v>3.1009999999999995</v>
      </c>
      <c r="AJ44" s="20">
        <f t="shared" si="7"/>
        <v>3.1009999999999995</v>
      </c>
      <c r="AK44" s="20">
        <f t="shared" si="7"/>
        <v>3.1009999999999995</v>
      </c>
      <c r="AL44" s="20">
        <f t="shared" si="7"/>
        <v>3.1009999999999995</v>
      </c>
      <c r="AM44" s="20">
        <f t="shared" si="7"/>
        <v>3.1009999999999995</v>
      </c>
      <c r="AN44" s="20">
        <f t="shared" si="7"/>
        <v>3.1009999999999995</v>
      </c>
      <c r="AO44" s="20">
        <f t="shared" si="7"/>
        <v>3.1009999999999995</v>
      </c>
      <c r="AP44" s="20">
        <f t="shared" si="7"/>
        <v>3.1009999999999995</v>
      </c>
      <c r="AQ44" s="20">
        <f t="shared" si="7"/>
        <v>3.1009999999999995</v>
      </c>
      <c r="AR44" s="20">
        <f t="shared" si="7"/>
        <v>3.1009999999999995</v>
      </c>
    </row>
    <row r="45" spans="1:44" s="20" customFormat="1" x14ac:dyDescent="0.15">
      <c r="A45" s="22" t="s">
        <v>901</v>
      </c>
      <c r="B45" s="20">
        <f t="shared" ref="B45:AR45" si="8">$C$29*(1-$B$35)</f>
        <v>5.8100000000000005</v>
      </c>
      <c r="C45" s="20">
        <f t="shared" si="8"/>
        <v>5.8100000000000005</v>
      </c>
      <c r="D45" s="20">
        <f t="shared" si="8"/>
        <v>5.8100000000000005</v>
      </c>
      <c r="E45" s="20">
        <f t="shared" si="8"/>
        <v>5.8100000000000005</v>
      </c>
      <c r="F45" s="20">
        <f t="shared" si="8"/>
        <v>5.8100000000000005</v>
      </c>
      <c r="G45" s="20">
        <f t="shared" si="8"/>
        <v>5.8100000000000005</v>
      </c>
      <c r="H45" s="20">
        <f t="shared" si="8"/>
        <v>5.8100000000000005</v>
      </c>
      <c r="I45" s="20">
        <f t="shared" si="8"/>
        <v>5.8100000000000005</v>
      </c>
      <c r="J45" s="20">
        <f t="shared" si="8"/>
        <v>5.8100000000000005</v>
      </c>
      <c r="K45" s="20">
        <f t="shared" si="8"/>
        <v>5.8100000000000005</v>
      </c>
      <c r="L45" s="20">
        <f t="shared" si="8"/>
        <v>5.8100000000000005</v>
      </c>
      <c r="M45" s="20">
        <f t="shared" si="8"/>
        <v>5.8100000000000005</v>
      </c>
      <c r="N45" s="20">
        <f t="shared" si="8"/>
        <v>5.8100000000000005</v>
      </c>
      <c r="O45" s="20">
        <f t="shared" si="8"/>
        <v>5.8100000000000005</v>
      </c>
      <c r="P45" s="20">
        <f t="shared" si="8"/>
        <v>5.8100000000000005</v>
      </c>
      <c r="Q45" s="20">
        <f t="shared" si="8"/>
        <v>5.8100000000000005</v>
      </c>
      <c r="R45" s="20">
        <f t="shared" si="8"/>
        <v>5.8100000000000005</v>
      </c>
      <c r="S45" s="20">
        <f t="shared" si="8"/>
        <v>5.8100000000000005</v>
      </c>
      <c r="T45" s="20">
        <f t="shared" si="8"/>
        <v>5.8100000000000005</v>
      </c>
      <c r="U45" s="20">
        <f t="shared" si="8"/>
        <v>5.8100000000000005</v>
      </c>
      <c r="V45" s="20">
        <f t="shared" si="8"/>
        <v>5.8100000000000005</v>
      </c>
      <c r="W45" s="20">
        <f t="shared" si="8"/>
        <v>5.8100000000000005</v>
      </c>
      <c r="X45" s="20">
        <f t="shared" si="8"/>
        <v>5.8100000000000005</v>
      </c>
      <c r="Y45" s="20">
        <f t="shared" si="8"/>
        <v>5.8100000000000005</v>
      </c>
      <c r="Z45" s="20">
        <f t="shared" si="8"/>
        <v>5.8100000000000005</v>
      </c>
      <c r="AA45" s="20">
        <f t="shared" si="8"/>
        <v>5.8100000000000005</v>
      </c>
      <c r="AB45" s="20">
        <f t="shared" si="8"/>
        <v>5.8100000000000005</v>
      </c>
      <c r="AC45" s="20">
        <f t="shared" si="8"/>
        <v>5.8100000000000005</v>
      </c>
      <c r="AD45" s="20">
        <f t="shared" si="8"/>
        <v>5.8100000000000005</v>
      </c>
      <c r="AE45" s="20">
        <f t="shared" si="8"/>
        <v>5.8100000000000005</v>
      </c>
      <c r="AF45" s="20">
        <f t="shared" si="8"/>
        <v>5.8100000000000005</v>
      </c>
      <c r="AG45" s="20">
        <f t="shared" si="8"/>
        <v>5.8100000000000005</v>
      </c>
      <c r="AH45" s="20">
        <f t="shared" si="8"/>
        <v>5.8100000000000005</v>
      </c>
      <c r="AI45" s="20">
        <f t="shared" si="8"/>
        <v>5.8100000000000005</v>
      </c>
      <c r="AJ45" s="20">
        <f t="shared" si="8"/>
        <v>5.8100000000000005</v>
      </c>
      <c r="AK45" s="20">
        <f t="shared" si="8"/>
        <v>5.8100000000000005</v>
      </c>
      <c r="AL45" s="20">
        <f t="shared" si="8"/>
        <v>5.8100000000000005</v>
      </c>
      <c r="AM45" s="20">
        <f t="shared" si="8"/>
        <v>5.8100000000000005</v>
      </c>
      <c r="AN45" s="20">
        <f t="shared" si="8"/>
        <v>5.8100000000000005</v>
      </c>
      <c r="AO45" s="20">
        <f t="shared" si="8"/>
        <v>5.8100000000000005</v>
      </c>
      <c r="AP45" s="20">
        <f t="shared" si="8"/>
        <v>5.8100000000000005</v>
      </c>
      <c r="AQ45" s="20">
        <f t="shared" si="8"/>
        <v>5.8100000000000005</v>
      </c>
      <c r="AR45" s="20">
        <f t="shared" si="8"/>
        <v>5.8100000000000005</v>
      </c>
    </row>
    <row r="46" spans="1:44" s="20" customFormat="1" x14ac:dyDescent="0.15">
      <c r="A46" s="22" t="s">
        <v>902</v>
      </c>
      <c r="B46" s="20">
        <f t="shared" ref="B46:AR46" si="9">$C$30*(1-$B$38)</f>
        <v>5.8100000000000005</v>
      </c>
      <c r="C46" s="20">
        <f t="shared" si="9"/>
        <v>5.8100000000000005</v>
      </c>
      <c r="D46" s="20">
        <f t="shared" si="9"/>
        <v>5.8100000000000005</v>
      </c>
      <c r="E46" s="20">
        <f t="shared" si="9"/>
        <v>5.8100000000000005</v>
      </c>
      <c r="F46" s="20">
        <f t="shared" si="9"/>
        <v>5.8100000000000005</v>
      </c>
      <c r="G46" s="20">
        <f t="shared" si="9"/>
        <v>5.8100000000000005</v>
      </c>
      <c r="H46" s="20">
        <f t="shared" si="9"/>
        <v>5.8100000000000005</v>
      </c>
      <c r="I46" s="20">
        <f t="shared" si="9"/>
        <v>5.8100000000000005</v>
      </c>
      <c r="J46" s="20">
        <f t="shared" si="9"/>
        <v>5.8100000000000005</v>
      </c>
      <c r="K46" s="20">
        <f t="shared" si="9"/>
        <v>5.8100000000000005</v>
      </c>
      <c r="L46" s="20">
        <f t="shared" si="9"/>
        <v>5.8100000000000005</v>
      </c>
      <c r="M46" s="20">
        <f t="shared" si="9"/>
        <v>5.8100000000000005</v>
      </c>
      <c r="N46" s="20">
        <f t="shared" si="9"/>
        <v>5.8100000000000005</v>
      </c>
      <c r="O46" s="20">
        <f t="shared" si="9"/>
        <v>5.8100000000000005</v>
      </c>
      <c r="P46" s="20">
        <f t="shared" si="9"/>
        <v>5.8100000000000005</v>
      </c>
      <c r="Q46" s="20">
        <f t="shared" si="9"/>
        <v>5.8100000000000005</v>
      </c>
      <c r="R46" s="20">
        <f t="shared" si="9"/>
        <v>5.8100000000000005</v>
      </c>
      <c r="S46" s="20">
        <f t="shared" si="9"/>
        <v>5.8100000000000005</v>
      </c>
      <c r="T46" s="20">
        <f t="shared" si="9"/>
        <v>5.8100000000000005</v>
      </c>
      <c r="U46" s="20">
        <f t="shared" si="9"/>
        <v>5.8100000000000005</v>
      </c>
      <c r="V46" s="20">
        <f t="shared" si="9"/>
        <v>5.8100000000000005</v>
      </c>
      <c r="W46" s="20">
        <f t="shared" si="9"/>
        <v>5.8100000000000005</v>
      </c>
      <c r="X46" s="20">
        <f t="shared" si="9"/>
        <v>5.8100000000000005</v>
      </c>
      <c r="Y46" s="20">
        <f t="shared" si="9"/>
        <v>5.8100000000000005</v>
      </c>
      <c r="Z46" s="20">
        <f t="shared" si="9"/>
        <v>5.8100000000000005</v>
      </c>
      <c r="AA46" s="20">
        <f t="shared" si="9"/>
        <v>5.8100000000000005</v>
      </c>
      <c r="AB46" s="20">
        <f t="shared" si="9"/>
        <v>5.8100000000000005</v>
      </c>
      <c r="AC46" s="20">
        <f t="shared" si="9"/>
        <v>5.8100000000000005</v>
      </c>
      <c r="AD46" s="20">
        <f t="shared" si="9"/>
        <v>5.8100000000000005</v>
      </c>
      <c r="AE46" s="20">
        <f t="shared" si="9"/>
        <v>5.8100000000000005</v>
      </c>
      <c r="AF46" s="20">
        <f t="shared" si="9"/>
        <v>5.8100000000000005</v>
      </c>
      <c r="AG46" s="20">
        <f t="shared" si="9"/>
        <v>5.8100000000000005</v>
      </c>
      <c r="AH46" s="20">
        <f t="shared" si="9"/>
        <v>5.8100000000000005</v>
      </c>
      <c r="AI46" s="20">
        <f t="shared" si="9"/>
        <v>5.8100000000000005</v>
      </c>
      <c r="AJ46" s="20">
        <f t="shared" si="9"/>
        <v>5.8100000000000005</v>
      </c>
      <c r="AK46" s="20">
        <f t="shared" si="9"/>
        <v>5.8100000000000005</v>
      </c>
      <c r="AL46" s="20">
        <f t="shared" si="9"/>
        <v>5.8100000000000005</v>
      </c>
      <c r="AM46" s="20">
        <f t="shared" si="9"/>
        <v>5.8100000000000005</v>
      </c>
      <c r="AN46" s="20">
        <f t="shared" si="9"/>
        <v>5.8100000000000005</v>
      </c>
      <c r="AO46" s="20">
        <f t="shared" si="9"/>
        <v>5.8100000000000005</v>
      </c>
      <c r="AP46" s="20">
        <f t="shared" si="9"/>
        <v>5.8100000000000005</v>
      </c>
      <c r="AQ46" s="20">
        <f t="shared" si="9"/>
        <v>5.8100000000000005</v>
      </c>
      <c r="AR46" s="20">
        <f t="shared" si="9"/>
        <v>5.8100000000000005</v>
      </c>
    </row>
    <row r="47" spans="1:44" x14ac:dyDescent="0.15">
      <c r="C47"/>
    </row>
    <row r="48" spans="1:44" x14ac:dyDescent="0.15">
      <c r="C48"/>
    </row>
    <row r="49" spans="1:3" x14ac:dyDescent="0.15">
      <c r="C49"/>
    </row>
    <row r="50" spans="1:3" x14ac:dyDescent="0.15">
      <c r="A50" s="1" t="s">
        <v>907</v>
      </c>
      <c r="C50"/>
    </row>
    <row r="51" spans="1:3" x14ac:dyDescent="0.15">
      <c r="B51" s="1" t="s">
        <v>890</v>
      </c>
      <c r="C51"/>
    </row>
    <row r="52" spans="1:3" x14ac:dyDescent="0.15">
      <c r="A52" s="1" t="s">
        <v>884</v>
      </c>
      <c r="B52" s="5">
        <f>SUM(BAU建筑面积计算!E7:I7)</f>
        <v>365637.68340886367</v>
      </c>
      <c r="C52"/>
    </row>
    <row r="53" spans="1:3" x14ac:dyDescent="0.15">
      <c r="A53" s="1" t="s">
        <v>881</v>
      </c>
      <c r="B53" s="5">
        <f>SUM(BAU建筑面积计算!E15:I15)</f>
        <v>73109.740806826099</v>
      </c>
      <c r="C53"/>
    </row>
    <row r="54" spans="1:3" x14ac:dyDescent="0.15">
      <c r="A54" s="1" t="s">
        <v>882</v>
      </c>
      <c r="B54" s="5">
        <f>SUM(BAU建筑面积计算!E23:I23)</f>
        <v>150778.19050950964</v>
      </c>
      <c r="C54"/>
    </row>
    <row r="55" spans="1:3" x14ac:dyDescent="0.15">
      <c r="A55" s="1" t="s">
        <v>894</v>
      </c>
      <c r="B55" s="4">
        <f>SUM(B52:B54)</f>
        <v>589525.61472519941</v>
      </c>
      <c r="C55"/>
    </row>
    <row r="56" spans="1:3" ht="40.5" x14ac:dyDescent="0.15">
      <c r="B56" s="3" t="s">
        <v>895</v>
      </c>
      <c r="C56"/>
    </row>
    <row r="57" spans="1:3" x14ac:dyDescent="0.15">
      <c r="C57"/>
    </row>
    <row r="58" spans="1:3" x14ac:dyDescent="0.15">
      <c r="C58"/>
    </row>
    <row r="59" spans="1:3" x14ac:dyDescent="0.15">
      <c r="C59"/>
    </row>
    <row r="60" spans="1:3" x14ac:dyDescent="0.15">
      <c r="C60"/>
    </row>
    <row r="61" spans="1:3" x14ac:dyDescent="0.15">
      <c r="C61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54F0-B675-4F40-8DFA-375CF5208D94}">
  <dimension ref="A2:AR255"/>
  <sheetViews>
    <sheetView workbookViewId="0"/>
  </sheetViews>
  <sheetFormatPr defaultColWidth="13.625" defaultRowHeight="13.5" x14ac:dyDescent="0.15"/>
  <cols>
    <col min="1" max="1" width="34.625" customWidth="1"/>
    <col min="4" max="4" width="22.75" bestFit="1" customWidth="1"/>
    <col min="7" max="7" width="21.75" bestFit="1" customWidth="1"/>
  </cols>
  <sheetData>
    <row r="2" spans="1:19" ht="14.25" x14ac:dyDescent="0.15">
      <c r="A2" s="77" t="s">
        <v>931</v>
      </c>
      <c r="B2" s="7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s="2" customFormat="1" ht="40.5" x14ac:dyDescent="0.15">
      <c r="A3" s="3">
        <v>2018</v>
      </c>
      <c r="B3" s="3" t="s">
        <v>12</v>
      </c>
      <c r="C3" s="3" t="s">
        <v>11</v>
      </c>
      <c r="D3" s="3" t="s">
        <v>28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29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22</v>
      </c>
      <c r="P3" s="3" t="s">
        <v>30</v>
      </c>
      <c r="Q3" s="3" t="s">
        <v>23</v>
      </c>
      <c r="R3" s="3" t="s">
        <v>24</v>
      </c>
      <c r="S3" s="3" t="s">
        <v>25</v>
      </c>
    </row>
    <row r="4" spans="1:19" x14ac:dyDescent="0.15">
      <c r="A4" s="1" t="s">
        <v>0</v>
      </c>
      <c r="B4" s="47">
        <v>344913250404708.31</v>
      </c>
      <c r="C4" s="47">
        <v>255290122346791.97</v>
      </c>
      <c r="D4" s="47">
        <v>0</v>
      </c>
      <c r="E4" s="47">
        <v>184677960846615.44</v>
      </c>
      <c r="F4" s="47">
        <v>738711843386461.75</v>
      </c>
      <c r="G4" s="47">
        <v>463505470360132.88</v>
      </c>
      <c r="H4" s="47">
        <v>411725623274288.75</v>
      </c>
      <c r="I4" s="47">
        <v>35849460601719.07</v>
      </c>
      <c r="J4" s="47">
        <v>0</v>
      </c>
      <c r="K4" s="47">
        <v>144484189697837.47</v>
      </c>
      <c r="L4" s="47">
        <v>577936758791349.88</v>
      </c>
      <c r="M4" s="47">
        <v>332422271034122.38</v>
      </c>
      <c r="N4" s="48">
        <v>0</v>
      </c>
      <c r="O4" s="48">
        <v>956676023777196.75</v>
      </c>
      <c r="P4" s="48">
        <v>0</v>
      </c>
      <c r="Q4" s="48">
        <v>1492944244718047.8</v>
      </c>
      <c r="R4" s="48">
        <v>959986321437325.25</v>
      </c>
      <c r="S4" s="48">
        <v>61792222989069.211</v>
      </c>
    </row>
    <row r="5" spans="1:19" x14ac:dyDescent="0.15">
      <c r="A5" s="1" t="s">
        <v>1</v>
      </c>
      <c r="B5" s="47">
        <v>271500655409593.25</v>
      </c>
      <c r="C5" s="47">
        <v>0</v>
      </c>
      <c r="D5" s="47">
        <v>0</v>
      </c>
      <c r="E5" s="47">
        <v>0</v>
      </c>
      <c r="F5" s="47">
        <v>0</v>
      </c>
      <c r="G5" s="47">
        <v>14235989422225.865</v>
      </c>
      <c r="H5" s="47">
        <v>990599214954608.25</v>
      </c>
      <c r="I5" s="47">
        <v>0</v>
      </c>
      <c r="J5" s="47">
        <v>0</v>
      </c>
      <c r="K5" s="47">
        <v>0</v>
      </c>
      <c r="L5" s="47">
        <v>0</v>
      </c>
      <c r="M5" s="47">
        <v>51941531870279.086</v>
      </c>
      <c r="N5" s="48">
        <v>967555566556947.63</v>
      </c>
      <c r="O5" s="48">
        <v>0</v>
      </c>
      <c r="P5" s="48">
        <v>0</v>
      </c>
      <c r="Q5" s="48">
        <v>0</v>
      </c>
      <c r="R5" s="48">
        <v>0</v>
      </c>
      <c r="S5" s="48">
        <v>50733250680888.656</v>
      </c>
    </row>
    <row r="6" spans="1:19" x14ac:dyDescent="0.15">
      <c r="A6" s="1" t="s">
        <v>2</v>
      </c>
      <c r="B6" s="47">
        <v>641782999104440.38</v>
      </c>
      <c r="C6" s="47">
        <v>0</v>
      </c>
      <c r="D6" s="47">
        <v>0</v>
      </c>
      <c r="E6" s="47">
        <v>0</v>
      </c>
      <c r="F6" s="47">
        <v>0</v>
      </c>
      <c r="G6" s="47">
        <v>735795241987648.13</v>
      </c>
      <c r="H6" s="47">
        <v>208997925062876.75</v>
      </c>
      <c r="I6" s="47">
        <v>0</v>
      </c>
      <c r="J6" s="47">
        <v>0</v>
      </c>
      <c r="K6" s="47">
        <v>0</v>
      </c>
      <c r="L6" s="47">
        <v>0</v>
      </c>
      <c r="M6" s="47">
        <v>38436400011563.539</v>
      </c>
      <c r="N6" s="48">
        <v>0</v>
      </c>
      <c r="O6" s="48">
        <v>0</v>
      </c>
      <c r="P6" s="48">
        <v>0</v>
      </c>
      <c r="Q6" s="48">
        <v>0</v>
      </c>
      <c r="R6" s="48">
        <v>817412131033464</v>
      </c>
      <c r="S6" s="48">
        <v>0</v>
      </c>
    </row>
    <row r="7" spans="1:19" x14ac:dyDescent="0.15">
      <c r="A7" s="1" t="s">
        <v>3</v>
      </c>
      <c r="B7" s="47">
        <v>5061971043303.0723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8">
        <v>433453366979258.94</v>
      </c>
      <c r="O7" s="48">
        <v>0</v>
      </c>
      <c r="P7" s="48">
        <v>0</v>
      </c>
      <c r="Q7" s="48">
        <v>0</v>
      </c>
      <c r="R7" s="48">
        <v>0</v>
      </c>
      <c r="S7" s="48">
        <v>22727891901534.18</v>
      </c>
    </row>
    <row r="8" spans="1:19" x14ac:dyDescent="0.15">
      <c r="A8" s="1" t="s">
        <v>4</v>
      </c>
      <c r="B8" s="47">
        <v>2513803814383859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77854165833273.781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8">
        <v>1128926201694130.3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</row>
    <row r="9" spans="1:19" x14ac:dyDescent="0.15">
      <c r="A9" s="1" t="s">
        <v>5</v>
      </c>
      <c r="B9" s="47">
        <v>23171382345501.707</v>
      </c>
      <c r="C9" s="47">
        <v>0</v>
      </c>
      <c r="D9" s="47">
        <v>0</v>
      </c>
      <c r="E9" s="47">
        <v>0</v>
      </c>
      <c r="F9" s="47">
        <v>0</v>
      </c>
      <c r="G9" s="47">
        <v>9550928206927.2266</v>
      </c>
      <c r="H9" s="47">
        <v>46335810613569.555</v>
      </c>
      <c r="I9" s="47">
        <v>0</v>
      </c>
      <c r="J9" s="47">
        <v>0</v>
      </c>
      <c r="K9" s="47">
        <v>0</v>
      </c>
      <c r="L9" s="47">
        <v>0</v>
      </c>
      <c r="M9" s="47">
        <v>65641037312631.664</v>
      </c>
      <c r="N9" s="48">
        <v>14562570154638.225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</row>
    <row r="10" spans="1:19" x14ac:dyDescent="0.15">
      <c r="A10" s="1" t="s">
        <v>6</v>
      </c>
      <c r="B10" s="47">
        <v>146960719863.4812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8">
        <v>3984268405187.7129</v>
      </c>
      <c r="O10" s="48">
        <v>0</v>
      </c>
      <c r="P10" s="48">
        <v>0</v>
      </c>
      <c r="Q10" s="48">
        <v>0</v>
      </c>
      <c r="R10" s="48">
        <v>0</v>
      </c>
      <c r="S10" s="48">
        <v>0</v>
      </c>
    </row>
    <row r="11" spans="1:19" x14ac:dyDescent="0.15">
      <c r="A11" s="1" t="s">
        <v>7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</row>
    <row r="12" spans="1:19" x14ac:dyDescent="0.15">
      <c r="A12" s="1" t="s">
        <v>8</v>
      </c>
      <c r="B12" s="47">
        <v>143215879999159.03</v>
      </c>
      <c r="C12" s="47">
        <v>0</v>
      </c>
      <c r="D12" s="47">
        <v>0</v>
      </c>
      <c r="E12" s="47">
        <v>0</v>
      </c>
      <c r="F12" s="47">
        <v>0</v>
      </c>
      <c r="G12" s="47">
        <v>414983898018040.94</v>
      </c>
      <c r="H12" s="47">
        <v>107192800286882.89</v>
      </c>
      <c r="I12" s="47">
        <v>0</v>
      </c>
      <c r="J12" s="47">
        <v>0</v>
      </c>
      <c r="K12" s="47">
        <v>0</v>
      </c>
      <c r="L12" s="47">
        <v>0</v>
      </c>
      <c r="M12" s="47">
        <v>193099087041618.81</v>
      </c>
      <c r="N12" s="48">
        <v>0</v>
      </c>
      <c r="O12" s="48">
        <v>0</v>
      </c>
      <c r="P12" s="48">
        <v>0</v>
      </c>
      <c r="Q12" s="48">
        <v>0</v>
      </c>
      <c r="R12" s="48">
        <v>0</v>
      </c>
      <c r="S12" s="48">
        <v>169162987194921.5</v>
      </c>
    </row>
    <row r="13" spans="1:19" x14ac:dyDescent="0.15">
      <c r="A13" s="1" t="s">
        <v>9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</row>
    <row r="14" spans="1:19" x14ac:dyDescent="0.15">
      <c r="A14" s="1" t="s">
        <v>911</v>
      </c>
      <c r="B14" s="1">
        <f>SUM(B4:B13)</f>
        <v>3943596913410428</v>
      </c>
      <c r="C14" s="1">
        <f t="shared" ref="C14:S14" si="0">SUM(C4:C13)</f>
        <v>255290122346791.97</v>
      </c>
      <c r="D14" s="1">
        <f t="shared" si="0"/>
        <v>0</v>
      </c>
      <c r="E14" s="1">
        <f t="shared" si="0"/>
        <v>184677960846615.44</v>
      </c>
      <c r="F14" s="1">
        <f t="shared" si="0"/>
        <v>738711843386461.75</v>
      </c>
      <c r="G14" s="1">
        <f t="shared" si="0"/>
        <v>1638071527994975.3</v>
      </c>
      <c r="H14" s="1">
        <f t="shared" si="0"/>
        <v>1842705540025500</v>
      </c>
      <c r="I14" s="1">
        <f t="shared" si="0"/>
        <v>35849460601719.07</v>
      </c>
      <c r="J14" s="1">
        <f t="shared" si="0"/>
        <v>0</v>
      </c>
      <c r="K14" s="1">
        <f t="shared" si="0"/>
        <v>144484189697837.47</v>
      </c>
      <c r="L14" s="1">
        <f t="shared" si="0"/>
        <v>577936758791349.88</v>
      </c>
      <c r="M14" s="1">
        <f t="shared" si="0"/>
        <v>681540327270215.5</v>
      </c>
      <c r="N14" s="1">
        <f t="shared" si="0"/>
        <v>2548481973790162.5</v>
      </c>
      <c r="O14" s="1">
        <f t="shared" si="0"/>
        <v>956676023777196.75</v>
      </c>
      <c r="P14" s="1">
        <f t="shared" si="0"/>
        <v>0</v>
      </c>
      <c r="Q14" s="1">
        <f t="shared" si="0"/>
        <v>1492944244718047.8</v>
      </c>
      <c r="R14" s="1">
        <f t="shared" si="0"/>
        <v>1777398452470789.3</v>
      </c>
      <c r="S14" s="1">
        <f t="shared" si="0"/>
        <v>304416352766413.56</v>
      </c>
    </row>
    <row r="15" spans="1:19" x14ac:dyDescent="0.15">
      <c r="A15" s="1"/>
      <c r="B15" s="1">
        <f>B14</f>
        <v>3943596913410428</v>
      </c>
      <c r="C15" s="1">
        <f>SUM(C14:G14)</f>
        <v>2816751454574844</v>
      </c>
      <c r="D15" s="1"/>
      <c r="E15" s="1"/>
      <c r="F15" s="1"/>
      <c r="G15" s="1"/>
      <c r="H15" s="1">
        <f>SUM(H14:M14)</f>
        <v>3282516276386622</v>
      </c>
      <c r="I15" s="1"/>
      <c r="J15" s="1"/>
      <c r="K15" s="1"/>
      <c r="L15" s="1"/>
      <c r="M15" s="1"/>
      <c r="N15" s="1">
        <f>N14</f>
        <v>2548481973790162.5</v>
      </c>
      <c r="O15" s="1">
        <f>SUM(O14:S14)</f>
        <v>4531435073732448</v>
      </c>
      <c r="P15" s="1"/>
      <c r="Q15" s="1"/>
      <c r="R15" s="1"/>
      <c r="S15" s="1"/>
    </row>
    <row r="16" spans="1:19" s="10" customFormat="1" x14ac:dyDescent="0.15">
      <c r="B16" s="10">
        <v>1</v>
      </c>
      <c r="C16" s="10">
        <f>C14/$C$15</f>
        <v>9.0632818146649377E-2</v>
      </c>
      <c r="D16" s="10">
        <f t="shared" ref="D16:G16" si="1">D14/$C$15</f>
        <v>0</v>
      </c>
      <c r="E16" s="10">
        <f t="shared" si="1"/>
        <v>6.5564166318852729E-2</v>
      </c>
      <c r="F16" s="10">
        <f t="shared" si="1"/>
        <v>0.26225666527541092</v>
      </c>
      <c r="G16" s="10">
        <f t="shared" si="1"/>
        <v>0.58154635025908707</v>
      </c>
      <c r="H16" s="10">
        <f>H14/$H$15</f>
        <v>0.56136981049609336</v>
      </c>
      <c r="I16" s="10">
        <f t="shared" ref="I16:M16" si="2">I14/$H$15</f>
        <v>1.0921335214575686E-2</v>
      </c>
      <c r="J16" s="10">
        <f t="shared" si="2"/>
        <v>0</v>
      </c>
      <c r="K16" s="10">
        <f t="shared" si="2"/>
        <v>4.4016290410259583E-2</v>
      </c>
      <c r="L16" s="10">
        <f t="shared" si="2"/>
        <v>0.17606516164103833</v>
      </c>
      <c r="M16" s="10">
        <f t="shared" si="2"/>
        <v>0.207627402238033</v>
      </c>
      <c r="N16" s="10">
        <v>1</v>
      </c>
      <c r="O16" s="10">
        <f>O14/$O$15</f>
        <v>0.21111987884871156</v>
      </c>
      <c r="P16" s="10">
        <f t="shared" ref="P16:S16" si="3">P14/$O$15</f>
        <v>0</v>
      </c>
      <c r="Q16" s="10">
        <f t="shared" si="3"/>
        <v>0.3294638939818994</v>
      </c>
      <c r="R16" s="10">
        <f t="shared" si="3"/>
        <v>0.39223743108974601</v>
      </c>
      <c r="S16" s="10">
        <f t="shared" si="3"/>
        <v>6.7178796079642861E-2</v>
      </c>
    </row>
    <row r="17" spans="1:44" s="10" customFormat="1" x14ac:dyDescent="0.15"/>
    <row r="18" spans="1:44" s="10" customFormat="1" x14ac:dyDescent="0.15">
      <c r="A18" s="2" t="s">
        <v>839</v>
      </c>
      <c r="B18" s="1">
        <v>277710000000</v>
      </c>
      <c r="C18" s="10" t="s">
        <v>1152</v>
      </c>
      <c r="D18" s="1">
        <f>(D22+D35+D48+D61+D74+D87+D100+D113+D126+D139+D152+D165+D178+D191+D204+D217+D230+D243)*B18</f>
        <v>8967892008017918</v>
      </c>
      <c r="E18" s="10">
        <f>D18/G18</f>
        <v>1.095831909219763</v>
      </c>
      <c r="F18" s="10">
        <f>21.8*8.18/11.2+5.2</f>
        <v>21.121785714285718</v>
      </c>
      <c r="G18" s="1">
        <v>8183638323146745</v>
      </c>
      <c r="I18" s="10">
        <f>1.1*19.9</f>
        <v>21.89</v>
      </c>
    </row>
    <row r="19" spans="1:44" s="10" customFormat="1" x14ac:dyDescent="0.15">
      <c r="A19" s="2"/>
      <c r="B19" s="1"/>
      <c r="C19" s="10" t="s">
        <v>1153</v>
      </c>
      <c r="D19" s="1">
        <f>(D32+D45+D58+D71+D84+D97+D110+D123+D136+D149+D162+D175+D188+D201+D214+D227+D240+D253)*B18</f>
        <v>1.8865038871698844E+16</v>
      </c>
      <c r="E19" s="10">
        <f>D19/G19</f>
        <v>1.1120895061579019</v>
      </c>
      <c r="G19" s="1">
        <v>1.6963597594652834E+16</v>
      </c>
    </row>
    <row r="20" spans="1:44" x14ac:dyDescent="0.15">
      <c r="A20" s="14" t="s">
        <v>932</v>
      </c>
    </row>
    <row r="21" spans="1:44" s="19" customFormat="1" x14ac:dyDescent="0.15">
      <c r="A21" s="18" t="s">
        <v>12</v>
      </c>
      <c r="B21" s="19">
        <v>2018</v>
      </c>
      <c r="C21" s="19">
        <v>2019</v>
      </c>
      <c r="D21" s="19">
        <v>2020</v>
      </c>
      <c r="E21" s="19">
        <v>2021</v>
      </c>
      <c r="F21" s="19">
        <v>2022</v>
      </c>
      <c r="G21" s="19">
        <v>2023</v>
      </c>
      <c r="H21" s="19">
        <v>2024</v>
      </c>
      <c r="I21" s="19">
        <v>2025</v>
      </c>
      <c r="J21" s="19">
        <v>2026</v>
      </c>
      <c r="K21" s="19">
        <v>2027</v>
      </c>
      <c r="L21" s="19">
        <v>2028</v>
      </c>
      <c r="M21" s="19">
        <v>2029</v>
      </c>
      <c r="N21" s="19">
        <v>2030</v>
      </c>
      <c r="O21" s="19">
        <v>2031</v>
      </c>
      <c r="P21" s="19">
        <v>2032</v>
      </c>
      <c r="Q21" s="19">
        <v>2033</v>
      </c>
      <c r="R21" s="19">
        <v>2034</v>
      </c>
      <c r="S21" s="19">
        <v>2035</v>
      </c>
      <c r="T21" s="19">
        <v>2036</v>
      </c>
      <c r="U21" s="19">
        <v>2037</v>
      </c>
      <c r="V21" s="19">
        <v>2038</v>
      </c>
      <c r="W21" s="19">
        <v>2039</v>
      </c>
      <c r="X21" s="19">
        <v>2040</v>
      </c>
      <c r="Y21" s="19">
        <v>2041</v>
      </c>
      <c r="Z21" s="19">
        <v>2042</v>
      </c>
      <c r="AA21" s="19">
        <v>2043</v>
      </c>
      <c r="AB21" s="19">
        <v>2044</v>
      </c>
      <c r="AC21" s="19">
        <v>2045</v>
      </c>
      <c r="AD21" s="19">
        <v>2046</v>
      </c>
      <c r="AE21" s="19">
        <v>2047</v>
      </c>
      <c r="AF21" s="19">
        <v>2048</v>
      </c>
      <c r="AG21" s="19">
        <v>2049</v>
      </c>
      <c r="AH21" s="19">
        <v>2050</v>
      </c>
      <c r="AI21" s="19">
        <v>2051</v>
      </c>
      <c r="AJ21" s="19">
        <v>2052</v>
      </c>
      <c r="AK21" s="19">
        <v>2053</v>
      </c>
      <c r="AL21" s="19">
        <v>2054</v>
      </c>
      <c r="AM21" s="19">
        <v>2055</v>
      </c>
      <c r="AN21" s="19">
        <v>2056</v>
      </c>
      <c r="AO21" s="19">
        <v>2057</v>
      </c>
      <c r="AP21" s="19">
        <v>2058</v>
      </c>
      <c r="AQ21" s="19">
        <v>2059</v>
      </c>
      <c r="AR21" s="19">
        <v>2060</v>
      </c>
    </row>
    <row r="22" spans="1:44" s="15" customFormat="1" x14ac:dyDescent="0.15">
      <c r="A22" s="19" t="s">
        <v>912</v>
      </c>
      <c r="B22" s="16">
        <f t="shared" ref="B22:AR22" si="4">B$32*$B4/$B$14</f>
        <v>791.69376239291194</v>
      </c>
      <c r="C22" s="16">
        <f t="shared" si="4"/>
        <v>786.07273667992206</v>
      </c>
      <c r="D22" s="16">
        <f t="shared" si="4"/>
        <v>805.30538344611034</v>
      </c>
      <c r="E22" s="16">
        <f t="shared" si="4"/>
        <v>815.42220723679623</v>
      </c>
      <c r="F22" s="16">
        <f t="shared" si="4"/>
        <v>825.24480433222163</v>
      </c>
      <c r="G22" s="16">
        <f t="shared" si="4"/>
        <v>834.7713766729255</v>
      </c>
      <c r="H22" s="16">
        <f t="shared" si="4"/>
        <v>844.00057765420922</v>
      </c>
      <c r="I22" s="16">
        <f t="shared" si="4"/>
        <v>852.93163329372226</v>
      </c>
      <c r="J22" s="16">
        <f t="shared" si="4"/>
        <v>861.56425043408331</v>
      </c>
      <c r="K22" s="16">
        <f t="shared" si="4"/>
        <v>869.89871601287496</v>
      </c>
      <c r="L22" s="16">
        <f t="shared" si="4"/>
        <v>877.93589944420171</v>
      </c>
      <c r="M22" s="16">
        <f t="shared" si="4"/>
        <v>885.67727418468564</v>
      </c>
      <c r="N22" s="16">
        <f t="shared" si="4"/>
        <v>893.1249498458393</v>
      </c>
      <c r="O22" s="16">
        <f t="shared" si="4"/>
        <v>900.28169522112535</v>
      </c>
      <c r="P22" s="16">
        <f t="shared" si="4"/>
        <v>907.15099528997587</v>
      </c>
      <c r="Q22" s="16">
        <f t="shared" si="4"/>
        <v>913.73702364187955</v>
      </c>
      <c r="R22" s="16">
        <f t="shared" si="4"/>
        <v>920.04473834623161</v>
      </c>
      <c r="S22" s="16">
        <f t="shared" si="4"/>
        <v>926.07988187358615</v>
      </c>
      <c r="T22" s="16">
        <f t="shared" si="4"/>
        <v>931.84899461904797</v>
      </c>
      <c r="U22" s="16">
        <f t="shared" si="4"/>
        <v>937.35949196749561</v>
      </c>
      <c r="V22" s="16">
        <f t="shared" si="4"/>
        <v>942.61965315939608</v>
      </c>
      <c r="W22" s="16">
        <f t="shared" si="4"/>
        <v>947.63868446906542</v>
      </c>
      <c r="X22" s="16">
        <f t="shared" si="4"/>
        <v>952.42675854823699</v>
      </c>
      <c r="Y22" s="16">
        <f t="shared" si="4"/>
        <v>956.99505637810432</v>
      </c>
      <c r="Z22" s="16">
        <f t="shared" si="4"/>
        <v>961.35575468038462</v>
      </c>
      <c r="AA22" s="16">
        <f t="shared" si="4"/>
        <v>965.52212689264286</v>
      </c>
      <c r="AB22" s="16">
        <f t="shared" si="4"/>
        <v>969.50855706685229</v>
      </c>
      <c r="AC22" s="16">
        <f t="shared" si="4"/>
        <v>973.33059008899465</v>
      </c>
      <c r="AD22" s="16">
        <f t="shared" si="4"/>
        <v>977.00492232144109</v>
      </c>
      <c r="AE22" s="16">
        <f t="shared" si="4"/>
        <v>980.54956372014431</v>
      </c>
      <c r="AF22" s="16">
        <f t="shared" si="4"/>
        <v>983.98375389608327</v>
      </c>
      <c r="AG22" s="16">
        <f t="shared" si="4"/>
        <v>987.32808695501637</v>
      </c>
      <c r="AH22" s="16">
        <f t="shared" si="4"/>
        <v>990.60454448185146</v>
      </c>
      <c r="AI22" s="16">
        <f t="shared" si="4"/>
        <v>993.83647682644892</v>
      </c>
      <c r="AJ22" s="16">
        <f t="shared" si="4"/>
        <v>997.04880587112996</v>
      </c>
      <c r="AK22" s="16">
        <f t="shared" si="4"/>
        <v>1000.2678994199094</v>
      </c>
      <c r="AL22" s="16">
        <f t="shared" si="4"/>
        <v>1003.521749366149</v>
      </c>
      <c r="AM22" s="16">
        <f t="shared" si="4"/>
        <v>1006.8399851615696</v>
      </c>
      <c r="AN22" s="16">
        <f t="shared" si="4"/>
        <v>1010.2538827001993</v>
      </c>
      <c r="AO22" s="16">
        <f t="shared" si="4"/>
        <v>1013.796507662229</v>
      </c>
      <c r="AP22" s="16">
        <f t="shared" si="4"/>
        <v>1017.5026979342199</v>
      </c>
      <c r="AQ22" s="16">
        <f t="shared" si="4"/>
        <v>1021.4092192520741</v>
      </c>
      <c r="AR22" s="16">
        <f t="shared" si="4"/>
        <v>1025.5546945624078</v>
      </c>
    </row>
    <row r="23" spans="1:44" s="15" customFormat="1" x14ac:dyDescent="0.15">
      <c r="A23" s="19" t="s">
        <v>913</v>
      </c>
      <c r="B23" s="16">
        <f t="shared" ref="B23:AR23" si="5">B$32*$B5/$B$14</f>
        <v>623.18677267734279</v>
      </c>
      <c r="C23" s="16">
        <f t="shared" si="5"/>
        <v>618.76214659133348</v>
      </c>
      <c r="D23" s="16">
        <f t="shared" si="5"/>
        <v>633.90124662925439</v>
      </c>
      <c r="E23" s="16">
        <f t="shared" si="5"/>
        <v>641.86476872245225</v>
      </c>
      <c r="F23" s="16">
        <f t="shared" si="5"/>
        <v>649.59668840400468</v>
      </c>
      <c r="G23" s="16">
        <f t="shared" si="5"/>
        <v>657.09559031998822</v>
      </c>
      <c r="H23" s="16">
        <f t="shared" si="5"/>
        <v>664.36041448196295</v>
      </c>
      <c r="I23" s="16">
        <f t="shared" si="5"/>
        <v>671.39055164480669</v>
      </c>
      <c r="J23" s="16">
        <f t="shared" si="5"/>
        <v>678.18577104782469</v>
      </c>
      <c r="K23" s="16">
        <f t="shared" si="5"/>
        <v>684.74629855575756</v>
      </c>
      <c r="L23" s="16">
        <f t="shared" si="5"/>
        <v>691.07281853343875</v>
      </c>
      <c r="M23" s="16">
        <f t="shared" si="5"/>
        <v>697.16649082160541</v>
      </c>
      <c r="N23" s="16">
        <f t="shared" si="5"/>
        <v>703.02897601435666</v>
      </c>
      <c r="O23" s="16">
        <f t="shared" si="5"/>
        <v>708.66245358504955</v>
      </c>
      <c r="P23" s="16">
        <f t="shared" si="5"/>
        <v>714.06966675737556</v>
      </c>
      <c r="Q23" s="16">
        <f t="shared" si="5"/>
        <v>719.25390079880458</v>
      </c>
      <c r="R23" s="16">
        <f t="shared" si="5"/>
        <v>724.219058485147</v>
      </c>
      <c r="S23" s="16">
        <f t="shared" si="5"/>
        <v>728.96966003856687</v>
      </c>
      <c r="T23" s="16">
        <f t="shared" si="5"/>
        <v>733.5108537726054</v>
      </c>
      <c r="U23" s="16">
        <f t="shared" si="5"/>
        <v>737.84847675456069</v>
      </c>
      <c r="V23" s="16">
        <f t="shared" si="5"/>
        <v>741.9890460411433</v>
      </c>
      <c r="W23" s="16">
        <f t="shared" si="5"/>
        <v>745.93980840964502</v>
      </c>
      <c r="X23" s="16">
        <f t="shared" si="5"/>
        <v>749.70877132747842</v>
      </c>
      <c r="Y23" s="16">
        <f t="shared" si="5"/>
        <v>753.3047359749944</v>
      </c>
      <c r="Z23" s="16">
        <f t="shared" si="5"/>
        <v>756.73728733602059</v>
      </c>
      <c r="AA23" s="16">
        <f t="shared" si="5"/>
        <v>760.01687368122816</v>
      </c>
      <c r="AB23" s="16">
        <f t="shared" si="5"/>
        <v>763.154817508473</v>
      </c>
      <c r="AC23" s="16">
        <f t="shared" si="5"/>
        <v>766.16335507347287</v>
      </c>
      <c r="AD23" s="16">
        <f t="shared" si="5"/>
        <v>769.05562902389738</v>
      </c>
      <c r="AE23" s="16">
        <f t="shared" si="5"/>
        <v>771.84581601094612</v>
      </c>
      <c r="AF23" s="16">
        <f t="shared" si="5"/>
        <v>774.5490606165813</v>
      </c>
      <c r="AG23" s="16">
        <f t="shared" si="5"/>
        <v>777.18157362193244</v>
      </c>
      <c r="AH23" s="16">
        <f t="shared" si="5"/>
        <v>779.76065797115257</v>
      </c>
      <c r="AI23" s="16">
        <f t="shared" si="5"/>
        <v>782.30469404041946</v>
      </c>
      <c r="AJ23" s="16">
        <f t="shared" si="5"/>
        <v>784.83329924766758</v>
      </c>
      <c r="AK23" s="16">
        <f t="shared" si="5"/>
        <v>787.36722917727411</v>
      </c>
      <c r="AL23" s="16">
        <f t="shared" si="5"/>
        <v>789.92851782586013</v>
      </c>
      <c r="AM23" s="16">
        <f t="shared" si="5"/>
        <v>792.54048820450828</v>
      </c>
      <c r="AN23" s="16">
        <f t="shared" si="5"/>
        <v>795.22775933181788</v>
      </c>
      <c r="AO23" s="16">
        <f t="shared" si="5"/>
        <v>798.01635906793388</v>
      </c>
      <c r="AP23" s="16">
        <f t="shared" si="5"/>
        <v>800.93371027649869</v>
      </c>
      <c r="AQ23" s="16">
        <f t="shared" si="5"/>
        <v>804.00875334000659</v>
      </c>
      <c r="AR23" s="16">
        <f t="shared" si="5"/>
        <v>807.27189055615963</v>
      </c>
    </row>
    <row r="24" spans="1:44" s="15" customFormat="1" x14ac:dyDescent="0.15">
      <c r="A24" s="19" t="s">
        <v>914</v>
      </c>
      <c r="B24" s="16">
        <f t="shared" ref="B24:AR24" si="6">B$32*$B6/$B$14</f>
        <v>1473.1112724855329</v>
      </c>
      <c r="C24" s="16">
        <f t="shared" si="6"/>
        <v>1462.6521824508854</v>
      </c>
      <c r="D24" s="16">
        <f t="shared" si="6"/>
        <v>1498.438530780031</v>
      </c>
      <c r="E24" s="16">
        <f t="shared" si="6"/>
        <v>1517.2629902815988</v>
      </c>
      <c r="F24" s="16">
        <f t="shared" si="6"/>
        <v>1535.5399796854556</v>
      </c>
      <c r="G24" s="16">
        <f t="shared" si="6"/>
        <v>1553.266153327171</v>
      </c>
      <c r="H24" s="16">
        <f t="shared" si="6"/>
        <v>1570.4390055680051</v>
      </c>
      <c r="I24" s="16">
        <f t="shared" si="6"/>
        <v>1587.0570962524594</v>
      </c>
      <c r="J24" s="16">
        <f t="shared" si="6"/>
        <v>1603.1198799001174</v>
      </c>
      <c r="K24" s="16">
        <f t="shared" si="6"/>
        <v>1618.6278904181634</v>
      </c>
      <c r="L24" s="16">
        <f t="shared" si="6"/>
        <v>1633.5827455327671</v>
      </c>
      <c r="M24" s="16">
        <f t="shared" si="6"/>
        <v>1647.9871869171136</v>
      </c>
      <c r="N24" s="16">
        <f t="shared" si="6"/>
        <v>1661.8451399431688</v>
      </c>
      <c r="O24" s="16">
        <f t="shared" si="6"/>
        <v>1675.16175652832</v>
      </c>
      <c r="P24" s="16">
        <f t="shared" si="6"/>
        <v>1687.9435212032417</v>
      </c>
      <c r="Q24" s="16">
        <f t="shared" si="6"/>
        <v>1700.1981998011559</v>
      </c>
      <c r="R24" s="16">
        <f t="shared" si="6"/>
        <v>1711.935017843676</v>
      </c>
      <c r="S24" s="16">
        <f t="shared" si="6"/>
        <v>1723.1646603942786</v>
      </c>
      <c r="T24" s="16">
        <f t="shared" si="6"/>
        <v>1733.899297221393</v>
      </c>
      <c r="U24" s="16">
        <f t="shared" si="6"/>
        <v>1744.1527261943133</v>
      </c>
      <c r="V24" s="16">
        <f t="shared" si="6"/>
        <v>1753.9403525657258</v>
      </c>
      <c r="W24" s="16">
        <f t="shared" si="6"/>
        <v>1763.2793065280312</v>
      </c>
      <c r="X24" s="16">
        <f t="shared" si="6"/>
        <v>1772.1885164202561</v>
      </c>
      <c r="Y24" s="16">
        <f t="shared" si="6"/>
        <v>1780.6887867885714</v>
      </c>
      <c r="Z24" s="16">
        <f t="shared" si="6"/>
        <v>1788.8027749619553</v>
      </c>
      <c r="AA24" s="16">
        <f t="shared" si="6"/>
        <v>1796.5551789378271</v>
      </c>
      <c r="AB24" s="16">
        <f t="shared" si="6"/>
        <v>1803.9727632432216</v>
      </c>
      <c r="AC24" s="16">
        <f t="shared" si="6"/>
        <v>1811.0844523788192</v>
      </c>
      <c r="AD24" s="16">
        <f t="shared" si="6"/>
        <v>1817.9213134071463</v>
      </c>
      <c r="AE24" s="16">
        <f t="shared" si="6"/>
        <v>1824.5168576054054</v>
      </c>
      <c r="AF24" s="16">
        <f t="shared" si="6"/>
        <v>1830.9068842802956</v>
      </c>
      <c r="AG24" s="16">
        <f t="shared" si="6"/>
        <v>1837.1297130583948</v>
      </c>
      <c r="AH24" s="16">
        <f t="shared" si="6"/>
        <v>1843.2262452604582</v>
      </c>
      <c r="AI24" s="16">
        <f t="shared" si="6"/>
        <v>1849.2399290797505</v>
      </c>
      <c r="AJ24" s="16">
        <f t="shared" si="6"/>
        <v>1855.2171368732659</v>
      </c>
      <c r="AK24" s="16">
        <f t="shared" si="6"/>
        <v>1861.2069314367084</v>
      </c>
      <c r="AL24" s="16">
        <f t="shared" si="6"/>
        <v>1867.2613975225522</v>
      </c>
      <c r="AM24" s="16">
        <f t="shared" si="6"/>
        <v>1873.4356669019455</v>
      </c>
      <c r="AN24" s="16">
        <f t="shared" si="6"/>
        <v>1879.7879348951471</v>
      </c>
      <c r="AO24" s="16">
        <f t="shared" si="6"/>
        <v>1886.3797270926516</v>
      </c>
      <c r="AP24" s="16">
        <f t="shared" si="6"/>
        <v>1893.275866644319</v>
      </c>
      <c r="AQ24" s="16">
        <f t="shared" si="6"/>
        <v>1900.5447638655655</v>
      </c>
      <c r="AR24" s="16">
        <f t="shared" si="6"/>
        <v>1908.2582847994747</v>
      </c>
    </row>
    <row r="25" spans="1:44" s="15" customFormat="1" x14ac:dyDescent="0.15">
      <c r="A25" s="19" t="s">
        <v>915</v>
      </c>
      <c r="B25" s="16">
        <f t="shared" ref="B25:AR25" si="7">B$32*$B7/$B$14</f>
        <v>11.618953159074914</v>
      </c>
      <c r="C25" s="16">
        <f t="shared" si="7"/>
        <v>11.536458591645481</v>
      </c>
      <c r="D25" s="16">
        <f t="shared" si="7"/>
        <v>11.818718263903039</v>
      </c>
      <c r="E25" s="16">
        <f t="shared" si="7"/>
        <v>11.967193479101534</v>
      </c>
      <c r="F25" s="16">
        <f t="shared" si="7"/>
        <v>12.111350602693435</v>
      </c>
      <c r="G25" s="16">
        <f t="shared" si="7"/>
        <v>12.251163246232039</v>
      </c>
      <c r="H25" s="16">
        <f t="shared" si="7"/>
        <v>12.386611646852383</v>
      </c>
      <c r="I25" s="16">
        <f t="shared" si="7"/>
        <v>12.517684445535233</v>
      </c>
      <c r="J25" s="16">
        <f t="shared" si="7"/>
        <v>12.644377339882308</v>
      </c>
      <c r="K25" s="16">
        <f t="shared" si="7"/>
        <v>12.766694541009684</v>
      </c>
      <c r="L25" s="16">
        <f t="shared" si="7"/>
        <v>12.884648808499708</v>
      </c>
      <c r="M25" s="16">
        <f t="shared" si="7"/>
        <v>12.998261766905067</v>
      </c>
      <c r="N25" s="16">
        <f t="shared" si="7"/>
        <v>13.107564377032217</v>
      </c>
      <c r="O25" s="16">
        <f t="shared" si="7"/>
        <v>13.212597273888116</v>
      </c>
      <c r="P25" s="16">
        <f t="shared" si="7"/>
        <v>13.313411603275235</v>
      </c>
      <c r="Q25" s="16">
        <f t="shared" si="7"/>
        <v>13.410068617085491</v>
      </c>
      <c r="R25" s="16">
        <f t="shared" si="7"/>
        <v>13.502641080292928</v>
      </c>
      <c r="S25" s="16">
        <f t="shared" si="7"/>
        <v>13.591213269797972</v>
      </c>
      <c r="T25" s="16">
        <f t="shared" si="7"/>
        <v>13.675881172897702</v>
      </c>
      <c r="U25" s="16">
        <f t="shared" si="7"/>
        <v>13.756753618300454</v>
      </c>
      <c r="V25" s="16">
        <f t="shared" si="7"/>
        <v>13.833952112719743</v>
      </c>
      <c r="W25" s="16">
        <f t="shared" si="7"/>
        <v>13.907611768082845</v>
      </c>
      <c r="X25" s="16">
        <f t="shared" si="7"/>
        <v>13.977881878939757</v>
      </c>
      <c r="Y25" s="16">
        <f t="shared" si="7"/>
        <v>14.044926538154321</v>
      </c>
      <c r="Z25" s="16">
        <f t="shared" si="7"/>
        <v>14.108924452148129</v>
      </c>
      <c r="AA25" s="16">
        <f t="shared" si="7"/>
        <v>14.170070422821412</v>
      </c>
      <c r="AB25" s="16">
        <f t="shared" si="7"/>
        <v>14.228575551529341</v>
      </c>
      <c r="AC25" s="16">
        <f t="shared" si="7"/>
        <v>14.284667976108368</v>
      </c>
      <c r="AD25" s="16">
        <f t="shared" si="7"/>
        <v>14.338592733543159</v>
      </c>
      <c r="AE25" s="16">
        <f t="shared" si="7"/>
        <v>14.390614139209873</v>
      </c>
      <c r="AF25" s="16">
        <f t="shared" si="7"/>
        <v>14.441014554988049</v>
      </c>
      <c r="AG25" s="16">
        <f t="shared" si="7"/>
        <v>14.490096221417554</v>
      </c>
      <c r="AH25" s="16">
        <f t="shared" si="7"/>
        <v>14.538181741779534</v>
      </c>
      <c r="AI25" s="16">
        <f t="shared" si="7"/>
        <v>14.585613807445524</v>
      </c>
      <c r="AJ25" s="16">
        <f t="shared" si="7"/>
        <v>14.632758173707643</v>
      </c>
      <c r="AK25" s="16">
        <f t="shared" si="7"/>
        <v>14.680001816306138</v>
      </c>
      <c r="AL25" s="16">
        <f t="shared" si="7"/>
        <v>14.727755546230377</v>
      </c>
      <c r="AM25" s="16">
        <f t="shared" si="7"/>
        <v>14.776454207391009</v>
      </c>
      <c r="AN25" s="16">
        <f t="shared" si="7"/>
        <v>14.826556807001403</v>
      </c>
      <c r="AO25" s="16">
        <f t="shared" si="7"/>
        <v>14.878548619302133</v>
      </c>
      <c r="AP25" s="16">
        <f t="shared" si="7"/>
        <v>14.932940927558708</v>
      </c>
      <c r="AQ25" s="16">
        <f t="shared" si="7"/>
        <v>14.990273308288707</v>
      </c>
      <c r="AR25" s="16">
        <f t="shared" si="7"/>
        <v>15.051112594564357</v>
      </c>
    </row>
    <row r="26" spans="1:44" s="15" customFormat="1" x14ac:dyDescent="0.15">
      <c r="A26" s="19" t="s">
        <v>916</v>
      </c>
      <c r="B26" s="16">
        <f t="shared" ref="B26:AR26" si="8">B$32*$B8/$B$14</f>
        <v>5770.0386905751739</v>
      </c>
      <c r="C26" s="16">
        <f t="shared" si="8"/>
        <v>5729.0714158720893</v>
      </c>
      <c r="D26" s="16">
        <f t="shared" si="8"/>
        <v>5869.2431858600876</v>
      </c>
      <c r="E26" s="16">
        <f t="shared" si="8"/>
        <v>5942.9768281734368</v>
      </c>
      <c r="F26" s="16">
        <f t="shared" si="8"/>
        <v>6014.566081461513</v>
      </c>
      <c r="G26" s="16">
        <f t="shared" si="8"/>
        <v>6083.9978410705326</v>
      </c>
      <c r="H26" s="16">
        <f t="shared" si="8"/>
        <v>6151.2622926485556</v>
      </c>
      <c r="I26" s="16">
        <f t="shared" si="8"/>
        <v>6216.3537952415682</v>
      </c>
      <c r="J26" s="16">
        <f t="shared" si="8"/>
        <v>6279.2702122539386</v>
      </c>
      <c r="K26" s="16">
        <f t="shared" si="8"/>
        <v>6340.0136349500353</v>
      </c>
      <c r="L26" s="16">
        <f t="shared" si="8"/>
        <v>6398.5903998115336</v>
      </c>
      <c r="M26" s="16">
        <f t="shared" si="8"/>
        <v>6455.0112457151608</v>
      </c>
      <c r="N26" s="16">
        <f t="shared" si="8"/>
        <v>6509.2915479747426</v>
      </c>
      <c r="O26" s="16">
        <f t="shared" si="8"/>
        <v>6561.4514861674861</v>
      </c>
      <c r="P26" s="16">
        <f t="shared" si="8"/>
        <v>6611.5164595918532</v>
      </c>
      <c r="Q26" s="16">
        <f t="shared" si="8"/>
        <v>6659.5168862882165</v>
      </c>
      <c r="R26" s="16">
        <f t="shared" si="8"/>
        <v>6705.4889017594696</v>
      </c>
      <c r="S26" s="16">
        <f t="shared" si="8"/>
        <v>6749.4743583970931</v>
      </c>
      <c r="T26" s="16">
        <f t="shared" si="8"/>
        <v>6791.5209240426157</v>
      </c>
      <c r="U26" s="16">
        <f t="shared" si="8"/>
        <v>6831.6826436559559</v>
      </c>
      <c r="V26" s="16">
        <f t="shared" si="8"/>
        <v>6870.0198581670202</v>
      </c>
      <c r="W26" s="16">
        <f t="shared" si="8"/>
        <v>6906.5996649327926</v>
      </c>
      <c r="X26" s="16">
        <f t="shared" si="8"/>
        <v>6941.496204481944</v>
      </c>
      <c r="Y26" s="16">
        <f t="shared" si="8"/>
        <v>6974.7909662705588</v>
      </c>
      <c r="Z26" s="16">
        <f t="shared" si="8"/>
        <v>7006.5726969312027</v>
      </c>
      <c r="AA26" s="16">
        <f t="shared" si="8"/>
        <v>7036.9381362033346</v>
      </c>
      <c r="AB26" s="16">
        <f t="shared" si="8"/>
        <v>7065.9921182290864</v>
      </c>
      <c r="AC26" s="16">
        <f t="shared" si="8"/>
        <v>7093.8479375647876</v>
      </c>
      <c r="AD26" s="16">
        <f t="shared" si="8"/>
        <v>7120.6272809805578</v>
      </c>
      <c r="AE26" s="16">
        <f t="shared" si="8"/>
        <v>7146.4614090061623</v>
      </c>
      <c r="AF26" s="16">
        <f t="shared" si="8"/>
        <v>7171.4905441683113</v>
      </c>
      <c r="AG26" s="16">
        <f t="shared" si="8"/>
        <v>7195.8647808502928</v>
      </c>
      <c r="AH26" s="16">
        <f t="shared" si="8"/>
        <v>7219.7443256893521</v>
      </c>
      <c r="AI26" s="16">
        <f t="shared" si="8"/>
        <v>7243.2993611834845</v>
      </c>
      <c r="AJ26" s="16">
        <f t="shared" si="8"/>
        <v>7266.7115235057508</v>
      </c>
      <c r="AK26" s="16">
        <f t="shared" si="8"/>
        <v>7290.1729870253021</v>
      </c>
      <c r="AL26" s="16">
        <f t="shared" si="8"/>
        <v>7313.8877628325299</v>
      </c>
      <c r="AM26" s="16">
        <f t="shared" si="8"/>
        <v>7338.0717969041871</v>
      </c>
      <c r="AN26" s="16">
        <f t="shared" si="8"/>
        <v>7362.9530348515646</v>
      </c>
      <c r="AO26" s="16">
        <f t="shared" si="8"/>
        <v>7388.7724666421154</v>
      </c>
      <c r="AP26" s="16">
        <f t="shared" si="8"/>
        <v>7415.7839984740513</v>
      </c>
      <c r="AQ26" s="16">
        <f t="shared" si="8"/>
        <v>7444.2555871366239</v>
      </c>
      <c r="AR26" s="16">
        <f t="shared" si="8"/>
        <v>7474.4687251802443</v>
      </c>
    </row>
    <row r="27" spans="1:44" s="15" customFormat="1" x14ac:dyDescent="0.15">
      <c r="A27" s="19" t="s">
        <v>917</v>
      </c>
      <c r="B27" s="16">
        <f t="shared" ref="B27:AR27" si="9">B$32*$B9/$B$14</f>
        <v>53.186239865908398</v>
      </c>
      <c r="C27" s="16">
        <f t="shared" si="9"/>
        <v>52.808617562860434</v>
      </c>
      <c r="D27" s="16">
        <f t="shared" si="9"/>
        <v>54.10067291652522</v>
      </c>
      <c r="E27" s="16">
        <f t="shared" si="9"/>
        <v>54.780324370625607</v>
      </c>
      <c r="F27" s="16">
        <f t="shared" si="9"/>
        <v>55.440209581347005</v>
      </c>
      <c r="G27" s="16">
        <f t="shared" si="9"/>
        <v>56.080207754480455</v>
      </c>
      <c r="H27" s="16">
        <f t="shared" si="9"/>
        <v>56.700228424692099</v>
      </c>
      <c r="I27" s="16">
        <f t="shared" si="9"/>
        <v>57.300219595600389</v>
      </c>
      <c r="J27" s="16">
        <f t="shared" si="9"/>
        <v>57.880161572798798</v>
      </c>
      <c r="K27" s="16">
        <f t="shared" si="9"/>
        <v>58.440073632845802</v>
      </c>
      <c r="L27" s="16">
        <f t="shared" si="9"/>
        <v>58.980014183258639</v>
      </c>
      <c r="M27" s="16">
        <f t="shared" si="9"/>
        <v>59.500082211323914</v>
      </c>
      <c r="N27" s="16">
        <f t="shared" si="9"/>
        <v>60.000419441416966</v>
      </c>
      <c r="O27" s="16">
        <f t="shared" si="9"/>
        <v>60.481211881967077</v>
      </c>
      <c r="P27" s="16">
        <f t="shared" si="9"/>
        <v>60.942693655005819</v>
      </c>
      <c r="Q27" s="16">
        <f t="shared" si="9"/>
        <v>61.385145143608263</v>
      </c>
      <c r="R27" s="16">
        <f t="shared" si="9"/>
        <v>61.808899432460279</v>
      </c>
      <c r="S27" s="16">
        <f t="shared" si="9"/>
        <v>62.214342302568134</v>
      </c>
      <c r="T27" s="16">
        <f t="shared" si="9"/>
        <v>62.601913139764299</v>
      </c>
      <c r="U27" s="16">
        <f t="shared" si="9"/>
        <v>62.972110111973784</v>
      </c>
      <c r="V27" s="16">
        <f t="shared" si="9"/>
        <v>63.325489421215977</v>
      </c>
      <c r="W27" s="16">
        <f t="shared" si="9"/>
        <v>63.662669547940403</v>
      </c>
      <c r="X27" s="16">
        <f t="shared" si="9"/>
        <v>63.984333894140178</v>
      </c>
      <c r="Y27" s="16">
        <f t="shared" si="9"/>
        <v>64.291233601703667</v>
      </c>
      <c r="Z27" s="16">
        <f t="shared" si="9"/>
        <v>64.584186706685742</v>
      </c>
      <c r="AA27" s="16">
        <f t="shared" si="9"/>
        <v>64.864084922862219</v>
      </c>
      <c r="AB27" s="16">
        <f t="shared" si="9"/>
        <v>65.131894575439688</v>
      </c>
      <c r="AC27" s="16">
        <f t="shared" si="9"/>
        <v>65.388659974824265</v>
      </c>
      <c r="AD27" s="16">
        <f t="shared" si="9"/>
        <v>65.635502787973707</v>
      </c>
      <c r="AE27" s="16">
        <f t="shared" si="9"/>
        <v>65.873632929482255</v>
      </c>
      <c r="AF27" s="16">
        <f t="shared" si="9"/>
        <v>66.104342922561614</v>
      </c>
      <c r="AG27" s="16">
        <f t="shared" si="9"/>
        <v>66.329016285815442</v>
      </c>
      <c r="AH27" s="16">
        <f t="shared" si="9"/>
        <v>66.549129749139965</v>
      </c>
      <c r="AI27" s="16">
        <f t="shared" si="9"/>
        <v>66.76625199649807</v>
      </c>
      <c r="AJ27" s="16">
        <f t="shared" si="9"/>
        <v>66.982057287905477</v>
      </c>
      <c r="AK27" s="16">
        <f t="shared" si="9"/>
        <v>67.19831702085915</v>
      </c>
      <c r="AL27" s="16">
        <f t="shared" si="9"/>
        <v>67.416911699697209</v>
      </c>
      <c r="AM27" s="16">
        <f t="shared" si="9"/>
        <v>67.639831840451464</v>
      </c>
      <c r="AN27" s="16">
        <f t="shared" si="9"/>
        <v>67.869178567673842</v>
      </c>
      <c r="AO27" s="16">
        <f t="shared" si="9"/>
        <v>68.10717324432251</v>
      </c>
      <c r="AP27" s="16">
        <f t="shared" si="9"/>
        <v>68.356156290745673</v>
      </c>
      <c r="AQ27" s="16">
        <f t="shared" si="9"/>
        <v>68.618597640826138</v>
      </c>
      <c r="AR27" s="16">
        <f t="shared" si="9"/>
        <v>68.897091996455771</v>
      </c>
    </row>
    <row r="28" spans="1:44" s="15" customFormat="1" x14ac:dyDescent="0.15">
      <c r="A28" s="19" t="s">
        <v>918</v>
      </c>
      <c r="B28" s="16">
        <f t="shared" ref="B28:AR28" si="10">B$32*$B10/$B$14</f>
        <v>0.33732506679917895</v>
      </c>
      <c r="C28" s="16">
        <f t="shared" si="10"/>
        <v>0.33493005882490468</v>
      </c>
      <c r="D28" s="16">
        <f t="shared" si="10"/>
        <v>0.34312470953873681</v>
      </c>
      <c r="E28" s="16">
        <f t="shared" si="10"/>
        <v>0.34743528822849912</v>
      </c>
      <c r="F28" s="16">
        <f t="shared" si="10"/>
        <v>0.35162050273788337</v>
      </c>
      <c r="G28" s="16">
        <f t="shared" si="10"/>
        <v>0.35567958694928614</v>
      </c>
      <c r="H28" s="16">
        <f t="shared" si="10"/>
        <v>0.35961196710105686</v>
      </c>
      <c r="I28" s="16">
        <f t="shared" si="10"/>
        <v>0.36341731341461131</v>
      </c>
      <c r="J28" s="16">
        <f t="shared" si="10"/>
        <v>0.36709550098138261</v>
      </c>
      <c r="K28" s="16">
        <f t="shared" si="10"/>
        <v>0.3706466520598044</v>
      </c>
      <c r="L28" s="16">
        <f t="shared" si="10"/>
        <v>0.37407113709004519</v>
      </c>
      <c r="M28" s="16">
        <f t="shared" si="10"/>
        <v>0.37736958388285341</v>
      </c>
      <c r="N28" s="16">
        <f t="shared" si="10"/>
        <v>0.3805428913020048</v>
      </c>
      <c r="O28" s="16">
        <f t="shared" si="10"/>
        <v>0.38359223907567713</v>
      </c>
      <c r="P28" s="16">
        <f t="shared" si="10"/>
        <v>0.38651911208473672</v>
      </c>
      <c r="Q28" s="16">
        <f t="shared" si="10"/>
        <v>0.38932528861318655</v>
      </c>
      <c r="R28" s="16">
        <f t="shared" si="10"/>
        <v>0.39201288119641536</v>
      </c>
      <c r="S28" s="16">
        <f t="shared" si="10"/>
        <v>0.39458433658764425</v>
      </c>
      <c r="T28" s="16">
        <f t="shared" si="10"/>
        <v>0.39704244151997675</v>
      </c>
      <c r="U28" s="16">
        <f t="shared" si="10"/>
        <v>0.39939035554236779</v>
      </c>
      <c r="V28" s="16">
        <f t="shared" si="10"/>
        <v>0.40163160627556688</v>
      </c>
      <c r="W28" s="16">
        <f t="shared" si="10"/>
        <v>0.40377011633112692</v>
      </c>
      <c r="X28" s="16">
        <f t="shared" si="10"/>
        <v>0.40581022007492068</v>
      </c>
      <c r="Y28" s="16">
        <f t="shared" si="10"/>
        <v>0.40775668150207756</v>
      </c>
      <c r="Z28" s="16">
        <f t="shared" si="10"/>
        <v>0.4096146888730865</v>
      </c>
      <c r="AA28" s="16">
        <f t="shared" si="10"/>
        <v>0.4113898977373856</v>
      </c>
      <c r="AB28" s="16">
        <f t="shared" si="10"/>
        <v>0.41308843685526497</v>
      </c>
      <c r="AC28" s="16">
        <f t="shared" si="10"/>
        <v>0.41471692959544526</v>
      </c>
      <c r="AD28" s="16">
        <f t="shared" si="10"/>
        <v>0.41628248994798123</v>
      </c>
      <c r="AE28" s="16">
        <f t="shared" si="10"/>
        <v>0.41779279159919369</v>
      </c>
      <c r="AF28" s="16">
        <f t="shared" si="10"/>
        <v>0.41925603216711016</v>
      </c>
      <c r="AG28" s="16">
        <f t="shared" si="10"/>
        <v>0.42068098639321588</v>
      </c>
      <c r="AH28" s="16">
        <f t="shared" si="10"/>
        <v>0.42207702019644272</v>
      </c>
      <c r="AI28" s="16">
        <f t="shared" si="10"/>
        <v>0.42345408269941937</v>
      </c>
      <c r="AJ28" s="16">
        <f t="shared" si="10"/>
        <v>0.42482279262369965</v>
      </c>
      <c r="AK28" s="16">
        <f t="shared" si="10"/>
        <v>0.42619438476949695</v>
      </c>
      <c r="AL28" s="16">
        <f t="shared" si="10"/>
        <v>0.42758078592940024</v>
      </c>
      <c r="AM28" s="16">
        <f t="shared" si="10"/>
        <v>0.42899462062725435</v>
      </c>
      <c r="AN28" s="16">
        <f t="shared" si="10"/>
        <v>0.43044921490343385</v>
      </c>
      <c r="AO28" s="16">
        <f t="shared" si="10"/>
        <v>0.43195865739082839</v>
      </c>
      <c r="AP28" s="16">
        <f t="shared" si="10"/>
        <v>0.43353779182443958</v>
      </c>
      <c r="AQ28" s="16">
        <f t="shared" si="10"/>
        <v>0.43520228335777511</v>
      </c>
      <c r="AR28" s="16">
        <f t="shared" si="10"/>
        <v>0.43696858846512632</v>
      </c>
    </row>
    <row r="29" spans="1:44" s="15" customFormat="1" x14ac:dyDescent="0.15">
      <c r="A29" s="19" t="s">
        <v>919</v>
      </c>
      <c r="B29" s="16">
        <f t="shared" ref="B29:AR29" si="11">B$32*$B11/$B$14</f>
        <v>0</v>
      </c>
      <c r="C29" s="16">
        <f t="shared" si="11"/>
        <v>0</v>
      </c>
      <c r="D29" s="16">
        <f t="shared" si="11"/>
        <v>0</v>
      </c>
      <c r="E29" s="16">
        <f t="shared" si="11"/>
        <v>0</v>
      </c>
      <c r="F29" s="16">
        <f t="shared" si="11"/>
        <v>0</v>
      </c>
      <c r="G29" s="16">
        <f t="shared" si="11"/>
        <v>0</v>
      </c>
      <c r="H29" s="16">
        <f t="shared" si="11"/>
        <v>0</v>
      </c>
      <c r="I29" s="16">
        <f t="shared" si="11"/>
        <v>0</v>
      </c>
      <c r="J29" s="16">
        <f t="shared" si="11"/>
        <v>0</v>
      </c>
      <c r="K29" s="16">
        <f t="shared" si="11"/>
        <v>0</v>
      </c>
      <c r="L29" s="16">
        <f t="shared" si="11"/>
        <v>0</v>
      </c>
      <c r="M29" s="16">
        <f t="shared" si="11"/>
        <v>0</v>
      </c>
      <c r="N29" s="16">
        <f t="shared" si="11"/>
        <v>0</v>
      </c>
      <c r="O29" s="16">
        <f t="shared" si="11"/>
        <v>0</v>
      </c>
      <c r="P29" s="16">
        <f t="shared" si="11"/>
        <v>0</v>
      </c>
      <c r="Q29" s="16">
        <f t="shared" si="11"/>
        <v>0</v>
      </c>
      <c r="R29" s="16">
        <f t="shared" si="11"/>
        <v>0</v>
      </c>
      <c r="S29" s="16">
        <f t="shared" si="11"/>
        <v>0</v>
      </c>
      <c r="T29" s="16">
        <f t="shared" si="11"/>
        <v>0</v>
      </c>
      <c r="U29" s="16">
        <f t="shared" si="11"/>
        <v>0</v>
      </c>
      <c r="V29" s="16">
        <f t="shared" si="11"/>
        <v>0</v>
      </c>
      <c r="W29" s="16">
        <f t="shared" si="11"/>
        <v>0</v>
      </c>
      <c r="X29" s="16">
        <f t="shared" si="11"/>
        <v>0</v>
      </c>
      <c r="Y29" s="16">
        <f t="shared" si="11"/>
        <v>0</v>
      </c>
      <c r="Z29" s="16">
        <f t="shared" si="11"/>
        <v>0</v>
      </c>
      <c r="AA29" s="16">
        <f t="shared" si="11"/>
        <v>0</v>
      </c>
      <c r="AB29" s="16">
        <f t="shared" si="11"/>
        <v>0</v>
      </c>
      <c r="AC29" s="16">
        <f t="shared" si="11"/>
        <v>0</v>
      </c>
      <c r="AD29" s="16">
        <f t="shared" si="11"/>
        <v>0</v>
      </c>
      <c r="AE29" s="16">
        <f t="shared" si="11"/>
        <v>0</v>
      </c>
      <c r="AF29" s="16">
        <f t="shared" si="11"/>
        <v>0</v>
      </c>
      <c r="AG29" s="16">
        <f t="shared" si="11"/>
        <v>0</v>
      </c>
      <c r="AH29" s="16">
        <f t="shared" si="11"/>
        <v>0</v>
      </c>
      <c r="AI29" s="16">
        <f t="shared" si="11"/>
        <v>0</v>
      </c>
      <c r="AJ29" s="16">
        <f t="shared" si="11"/>
        <v>0</v>
      </c>
      <c r="AK29" s="16">
        <f t="shared" si="11"/>
        <v>0</v>
      </c>
      <c r="AL29" s="16">
        <f t="shared" si="11"/>
        <v>0</v>
      </c>
      <c r="AM29" s="16">
        <f t="shared" si="11"/>
        <v>0</v>
      </c>
      <c r="AN29" s="16">
        <f t="shared" si="11"/>
        <v>0</v>
      </c>
      <c r="AO29" s="16">
        <f t="shared" si="11"/>
        <v>0</v>
      </c>
      <c r="AP29" s="16">
        <f t="shared" si="11"/>
        <v>0</v>
      </c>
      <c r="AQ29" s="16">
        <f t="shared" si="11"/>
        <v>0</v>
      </c>
      <c r="AR29" s="16">
        <f t="shared" si="11"/>
        <v>0</v>
      </c>
    </row>
    <row r="30" spans="1:44" s="15" customFormat="1" x14ac:dyDescent="0.15">
      <c r="A30" s="19" t="s">
        <v>920</v>
      </c>
      <c r="B30" s="16">
        <f t="shared" ref="B30:AR30" si="12">B$32*$B12/$B$14</f>
        <v>328.72937974376595</v>
      </c>
      <c r="C30" s="16">
        <f t="shared" si="12"/>
        <v>326.39540114758512</v>
      </c>
      <c r="D30" s="16">
        <f t="shared" si="12"/>
        <v>334.38123650792784</v>
      </c>
      <c r="E30" s="16">
        <f t="shared" si="12"/>
        <v>338.58197341867111</v>
      </c>
      <c r="F30" s="16">
        <f t="shared" si="12"/>
        <v>342.66054066782112</v>
      </c>
      <c r="G30" s="16">
        <f t="shared" si="12"/>
        <v>346.61619165991459</v>
      </c>
      <c r="H30" s="16">
        <f t="shared" si="12"/>
        <v>350.44836725384357</v>
      </c>
      <c r="I30" s="16">
        <f t="shared" si="12"/>
        <v>354.15674607441218</v>
      </c>
      <c r="J30" s="16">
        <f t="shared" si="12"/>
        <v>357.74120639596259</v>
      </c>
      <c r="K30" s="16">
        <f t="shared" si="12"/>
        <v>361.20186736154966</v>
      </c>
      <c r="L30" s="16">
        <f t="shared" si="12"/>
        <v>364.53908997181912</v>
      </c>
      <c r="M30" s="16">
        <f t="shared" si="12"/>
        <v>367.75348603970218</v>
      </c>
      <c r="N30" s="16">
        <f t="shared" si="12"/>
        <v>370.84593152420854</v>
      </c>
      <c r="O30" s="16">
        <f t="shared" si="12"/>
        <v>373.81757609178845</v>
      </c>
      <c r="P30" s="16">
        <f t="shared" si="12"/>
        <v>376.66986678570754</v>
      </c>
      <c r="Q30" s="16">
        <f t="shared" si="12"/>
        <v>379.40453657589552</v>
      </c>
      <c r="R30" s="16">
        <f t="shared" si="12"/>
        <v>382.02364416630388</v>
      </c>
      <c r="S30" s="16">
        <f t="shared" si="12"/>
        <v>384.52957396220808</v>
      </c>
      <c r="T30" s="16">
        <f t="shared" si="12"/>
        <v>386.92504168542899</v>
      </c>
      <c r="U30" s="16">
        <f t="shared" si="12"/>
        <v>389.21312637357863</v>
      </c>
      <c r="V30" s="16">
        <f t="shared" si="12"/>
        <v>391.39726575689173</v>
      </c>
      <c r="W30" s="16">
        <f t="shared" si="12"/>
        <v>393.48128249128575</v>
      </c>
      <c r="X30" s="16">
        <f t="shared" si="12"/>
        <v>395.46940049471158</v>
      </c>
      <c r="Y30" s="16">
        <f t="shared" si="12"/>
        <v>397.36626236660254</v>
      </c>
      <c r="Z30" s="16">
        <f t="shared" si="12"/>
        <v>399.17692416065989</v>
      </c>
      <c r="AA30" s="16">
        <f t="shared" si="12"/>
        <v>400.90689731211882</v>
      </c>
      <c r="AB30" s="16">
        <f t="shared" si="12"/>
        <v>402.56215440875025</v>
      </c>
      <c r="AC30" s="16">
        <f t="shared" si="12"/>
        <v>404.14915004318794</v>
      </c>
      <c r="AD30" s="16">
        <f t="shared" si="12"/>
        <v>405.67481692743098</v>
      </c>
      <c r="AE30" s="16">
        <f t="shared" si="12"/>
        <v>407.14663320761463</v>
      </c>
      <c r="AF30" s="16">
        <f t="shared" si="12"/>
        <v>408.57258761079999</v>
      </c>
      <c r="AG30" s="16">
        <f t="shared" si="12"/>
        <v>409.96123128129801</v>
      </c>
      <c r="AH30" s="16">
        <f t="shared" si="12"/>
        <v>411.32169147653542</v>
      </c>
      <c r="AI30" s="16">
        <f t="shared" si="12"/>
        <v>412.66366379649168</v>
      </c>
      <c r="AJ30" s="16">
        <f t="shared" si="12"/>
        <v>413.99749637741184</v>
      </c>
      <c r="AK30" s="16">
        <f t="shared" si="12"/>
        <v>415.33413773533908</v>
      </c>
      <c r="AL30" s="16">
        <f t="shared" si="12"/>
        <v>416.68521074540507</v>
      </c>
      <c r="AM30" s="16">
        <f t="shared" si="12"/>
        <v>418.06301823447154</v>
      </c>
      <c r="AN30" s="16">
        <f t="shared" si="12"/>
        <v>419.48054666994949</v>
      </c>
      <c r="AO30" s="16">
        <f t="shared" si="12"/>
        <v>420.95152567945047</v>
      </c>
      <c r="AP30" s="16">
        <f t="shared" si="12"/>
        <v>422.49042075125385</v>
      </c>
      <c r="AQ30" s="16">
        <f t="shared" si="12"/>
        <v>424.11249786083283</v>
      </c>
      <c r="AR30" s="16">
        <f t="shared" si="12"/>
        <v>425.83379414007874</v>
      </c>
    </row>
    <row r="31" spans="1:44" s="15" customFormat="1" x14ac:dyDescent="0.15">
      <c r="A31" s="19" t="s">
        <v>921</v>
      </c>
      <c r="B31" s="16">
        <f t="shared" ref="B31:AR31" si="13">B$32*$B13/$B$14</f>
        <v>0</v>
      </c>
      <c r="C31" s="16">
        <f t="shared" si="13"/>
        <v>0</v>
      </c>
      <c r="D31" s="16">
        <f t="shared" si="13"/>
        <v>0</v>
      </c>
      <c r="E31" s="16">
        <f t="shared" si="13"/>
        <v>0</v>
      </c>
      <c r="F31" s="16">
        <f t="shared" si="13"/>
        <v>0</v>
      </c>
      <c r="G31" s="16">
        <f t="shared" si="13"/>
        <v>0</v>
      </c>
      <c r="H31" s="16">
        <f t="shared" si="13"/>
        <v>0</v>
      </c>
      <c r="I31" s="16">
        <f t="shared" si="13"/>
        <v>0</v>
      </c>
      <c r="J31" s="16">
        <f t="shared" si="13"/>
        <v>0</v>
      </c>
      <c r="K31" s="16">
        <f t="shared" si="13"/>
        <v>0</v>
      </c>
      <c r="L31" s="16">
        <f t="shared" si="13"/>
        <v>0</v>
      </c>
      <c r="M31" s="16">
        <f t="shared" si="13"/>
        <v>0</v>
      </c>
      <c r="N31" s="16">
        <f t="shared" si="13"/>
        <v>0</v>
      </c>
      <c r="O31" s="16">
        <f t="shared" si="13"/>
        <v>0</v>
      </c>
      <c r="P31" s="16">
        <f t="shared" si="13"/>
        <v>0</v>
      </c>
      <c r="Q31" s="16">
        <f t="shared" si="13"/>
        <v>0</v>
      </c>
      <c r="R31" s="16">
        <f t="shared" si="13"/>
        <v>0</v>
      </c>
      <c r="S31" s="16">
        <f t="shared" si="13"/>
        <v>0</v>
      </c>
      <c r="T31" s="16">
        <f t="shared" si="13"/>
        <v>0</v>
      </c>
      <c r="U31" s="16">
        <f t="shared" si="13"/>
        <v>0</v>
      </c>
      <c r="V31" s="16">
        <f t="shared" si="13"/>
        <v>0</v>
      </c>
      <c r="W31" s="16">
        <f t="shared" si="13"/>
        <v>0</v>
      </c>
      <c r="X31" s="16">
        <f t="shared" si="13"/>
        <v>0</v>
      </c>
      <c r="Y31" s="16">
        <f t="shared" si="13"/>
        <v>0</v>
      </c>
      <c r="Z31" s="16">
        <f t="shared" si="13"/>
        <v>0</v>
      </c>
      <c r="AA31" s="16">
        <f t="shared" si="13"/>
        <v>0</v>
      </c>
      <c r="AB31" s="16">
        <f t="shared" si="13"/>
        <v>0</v>
      </c>
      <c r="AC31" s="16">
        <f t="shared" si="13"/>
        <v>0</v>
      </c>
      <c r="AD31" s="16">
        <f t="shared" si="13"/>
        <v>0</v>
      </c>
      <c r="AE31" s="16">
        <f t="shared" si="13"/>
        <v>0</v>
      </c>
      <c r="AF31" s="16">
        <f t="shared" si="13"/>
        <v>0</v>
      </c>
      <c r="AG31" s="16">
        <f t="shared" si="13"/>
        <v>0</v>
      </c>
      <c r="AH31" s="16">
        <f t="shared" si="13"/>
        <v>0</v>
      </c>
      <c r="AI31" s="16">
        <f t="shared" si="13"/>
        <v>0</v>
      </c>
      <c r="AJ31" s="16">
        <f t="shared" si="13"/>
        <v>0</v>
      </c>
      <c r="AK31" s="16">
        <f t="shared" si="13"/>
        <v>0</v>
      </c>
      <c r="AL31" s="16">
        <f t="shared" si="13"/>
        <v>0</v>
      </c>
      <c r="AM31" s="16">
        <f t="shared" si="13"/>
        <v>0</v>
      </c>
      <c r="AN31" s="16">
        <f t="shared" si="13"/>
        <v>0</v>
      </c>
      <c r="AO31" s="16">
        <f t="shared" si="13"/>
        <v>0</v>
      </c>
      <c r="AP31" s="16">
        <f t="shared" si="13"/>
        <v>0</v>
      </c>
      <c r="AQ31" s="16">
        <f t="shared" si="13"/>
        <v>0</v>
      </c>
      <c r="AR31" s="16">
        <f t="shared" si="13"/>
        <v>0</v>
      </c>
    </row>
    <row r="32" spans="1:44" s="17" customFormat="1" x14ac:dyDescent="0.15">
      <c r="A32" s="19" t="s">
        <v>911</v>
      </c>
      <c r="B32" s="17">
        <f>BAU建筑总能耗计算!B6*$B$16</f>
        <v>9051.9023959665101</v>
      </c>
      <c r="C32" s="17">
        <f>BAU建筑总能耗计算!C6*$B$16</f>
        <v>8987.6338889551462</v>
      </c>
      <c r="D32" s="17">
        <f>BAU建筑总能耗计算!D6*$B$16</f>
        <v>9207.5320991133776</v>
      </c>
      <c r="E32" s="17">
        <f>BAU建筑总能耗计算!E6*$B$16</f>
        <v>9323.2037209709106</v>
      </c>
      <c r="F32" s="17">
        <f>BAU建筑总能耗计算!F6*$B$16</f>
        <v>9435.5112752377936</v>
      </c>
      <c r="G32" s="17">
        <f>BAU建筑总能耗计算!G6*$B$16</f>
        <v>9544.4342036381931</v>
      </c>
      <c r="H32" s="17">
        <f>BAU建筑总能耗计算!H6*$B$16</f>
        <v>9649.9571096452219</v>
      </c>
      <c r="I32" s="17">
        <f>BAU建筑总能耗计算!I6*$B$16</f>
        <v>9752.0711438615181</v>
      </c>
      <c r="J32" s="17">
        <f>BAU建筑总能耗计算!J6*$B$16</f>
        <v>9850.7729544455888</v>
      </c>
      <c r="K32" s="17">
        <f>BAU建筑总能耗计算!K6*$B$16</f>
        <v>9946.0658221242957</v>
      </c>
      <c r="L32" s="17">
        <f>BAU建筑总能耗计算!L6*$B$16</f>
        <v>10037.959687422608</v>
      </c>
      <c r="M32" s="17">
        <f>BAU建筑总能耗计算!M6*$B$16</f>
        <v>10126.471397240379</v>
      </c>
      <c r="N32" s="17">
        <f>BAU建筑总能耗计算!N6*$B$16</f>
        <v>10211.625072012066</v>
      </c>
      <c r="O32" s="17">
        <f>BAU建筑总能耗计算!O6*$B$16</f>
        <v>10293.452368988699</v>
      </c>
      <c r="P32" s="17">
        <f>BAU建筑总能耗计算!P6*$B$16</f>
        <v>10371.99313399852</v>
      </c>
      <c r="Q32" s="17">
        <f>BAU建筑总能耗计算!Q6*$B$16</f>
        <v>10447.295086155258</v>
      </c>
      <c r="R32" s="17">
        <f>BAU建筑总能耗计算!R6*$B$16</f>
        <v>10519.414913994777</v>
      </c>
      <c r="S32" s="17">
        <f>BAU建筑总能耗计算!S6*$B$16</f>
        <v>10588.418274574686</v>
      </c>
      <c r="T32" s="17">
        <f>BAU建筑总能耗计算!T6*$B$16</f>
        <v>10654.379948095273</v>
      </c>
      <c r="U32" s="17">
        <f>BAU建筑总能耗计算!U6*$B$16</f>
        <v>10717.384719031721</v>
      </c>
      <c r="V32" s="17">
        <f>BAU建筑总能耗计算!V6*$B$16</f>
        <v>10777.527248830387</v>
      </c>
      <c r="W32" s="17">
        <f>BAU建筑总能耗计算!W6*$B$16</f>
        <v>10834.912798263174</v>
      </c>
      <c r="X32" s="17">
        <f>BAU建筑总能耗计算!X6*$B$16</f>
        <v>10889.657677265781</v>
      </c>
      <c r="Y32" s="17">
        <f>BAU建筑总能耗计算!Y6*$B$16</f>
        <v>10941.889724600191</v>
      </c>
      <c r="Z32" s="17">
        <f>BAU建筑总能耗计算!Z6*$B$16</f>
        <v>10991.74816391793</v>
      </c>
      <c r="AA32" s="17">
        <f>BAU建筑总能耗计算!AA6*$B$16</f>
        <v>11039.384758270571</v>
      </c>
      <c r="AB32" s="17">
        <f>BAU建筑总能耗计算!AB6*$B$16</f>
        <v>11084.963969020208</v>
      </c>
      <c r="AC32" s="17">
        <f>BAU建筑总能耗计算!AC6*$B$16</f>
        <v>11128.663530029789</v>
      </c>
      <c r="AD32" s="17">
        <f>BAU建筑总能耗计算!AD6*$B$16</f>
        <v>11170.674340671938</v>
      </c>
      <c r="AE32" s="17">
        <f>BAU建筑总能耗计算!AE6*$B$16</f>
        <v>11211.202319410564</v>
      </c>
      <c r="AF32" s="17">
        <f>BAU建筑总能耗计算!AF6*$B$16</f>
        <v>11250.467444081787</v>
      </c>
      <c r="AG32" s="17">
        <f>BAU建筑总能耗计算!AG6*$B$16</f>
        <v>11288.70517926056</v>
      </c>
      <c r="AH32" s="17">
        <f>BAU建筑总能耗计算!AH6*$B$16</f>
        <v>11326.166853390465</v>
      </c>
      <c r="AI32" s="17">
        <f>BAU建筑总能耗计算!AI6*$B$16</f>
        <v>11363.119444813237</v>
      </c>
      <c r="AJ32" s="17">
        <f>BAU建筑总能耗计算!AJ6*$B$16</f>
        <v>11399.847900129462</v>
      </c>
      <c r="AK32" s="17">
        <f>BAU建筑总能耗计算!AK6*$B$16</f>
        <v>11436.653698016467</v>
      </c>
      <c r="AL32" s="17">
        <f>BAU建筑总能耗计算!AL6*$B$16</f>
        <v>11473.856886324353</v>
      </c>
      <c r="AM32" s="17">
        <f>BAU建筑总能耗计算!AM6*$B$16</f>
        <v>11511.796236075152</v>
      </c>
      <c r="AN32" s="17">
        <f>BAU建筑总能耗计算!AN6*$B$16</f>
        <v>11550.829343038256</v>
      </c>
      <c r="AO32" s="17">
        <f>BAU建筑总能耗计算!AO6*$B$16</f>
        <v>11591.334266665395</v>
      </c>
      <c r="AP32" s="17">
        <f>BAU建筑总能耗计算!AP6*$B$16</f>
        <v>11633.70932909047</v>
      </c>
      <c r="AQ32" s="17">
        <f>BAU建筑总能耗计算!AQ6*$B$16</f>
        <v>11678.374894687575</v>
      </c>
      <c r="AR32" s="17">
        <f>BAU建筑总能耗计算!AR6*$B$16</f>
        <v>11725.772562417849</v>
      </c>
    </row>
    <row r="33" spans="1:44" x14ac:dyDescent="0.15">
      <c r="AR33" s="1"/>
    </row>
    <row r="34" spans="1:44" s="19" customFormat="1" x14ac:dyDescent="0.15">
      <c r="A34" s="18" t="s">
        <v>11</v>
      </c>
      <c r="B34" s="19">
        <v>2018</v>
      </c>
      <c r="C34" s="19">
        <v>2019</v>
      </c>
      <c r="D34" s="19">
        <v>2020</v>
      </c>
      <c r="E34" s="19">
        <v>2021</v>
      </c>
      <c r="F34" s="19">
        <v>2022</v>
      </c>
      <c r="G34" s="19">
        <v>2023</v>
      </c>
      <c r="H34" s="19">
        <v>2024</v>
      </c>
      <c r="I34" s="19">
        <v>2025</v>
      </c>
      <c r="J34" s="19">
        <v>2026</v>
      </c>
      <c r="K34" s="19">
        <v>2027</v>
      </c>
      <c r="L34" s="19">
        <v>2028</v>
      </c>
      <c r="M34" s="19">
        <v>2029</v>
      </c>
      <c r="N34" s="19">
        <v>2030</v>
      </c>
      <c r="O34" s="19">
        <v>2031</v>
      </c>
      <c r="P34" s="19">
        <v>2032</v>
      </c>
      <c r="Q34" s="19">
        <v>2033</v>
      </c>
      <c r="R34" s="19">
        <v>2034</v>
      </c>
      <c r="S34" s="19">
        <v>2035</v>
      </c>
      <c r="T34" s="19">
        <v>2036</v>
      </c>
      <c r="U34" s="19">
        <v>2037</v>
      </c>
      <c r="V34" s="19">
        <v>2038</v>
      </c>
      <c r="W34" s="19">
        <v>2039</v>
      </c>
      <c r="X34" s="19">
        <v>2040</v>
      </c>
      <c r="Y34" s="19">
        <v>2041</v>
      </c>
      <c r="Z34" s="19">
        <v>2042</v>
      </c>
      <c r="AA34" s="19">
        <v>2043</v>
      </c>
      <c r="AB34" s="19">
        <v>2044</v>
      </c>
      <c r="AC34" s="19">
        <v>2045</v>
      </c>
      <c r="AD34" s="19">
        <v>2046</v>
      </c>
      <c r="AE34" s="19">
        <v>2047</v>
      </c>
      <c r="AF34" s="19">
        <v>2048</v>
      </c>
      <c r="AG34" s="19">
        <v>2049</v>
      </c>
      <c r="AH34" s="19">
        <v>2050</v>
      </c>
      <c r="AI34" s="19">
        <v>2051</v>
      </c>
      <c r="AJ34" s="19">
        <v>2052</v>
      </c>
      <c r="AK34" s="19">
        <v>2053</v>
      </c>
      <c r="AL34" s="19">
        <v>2054</v>
      </c>
      <c r="AM34" s="19">
        <v>2055</v>
      </c>
      <c r="AN34" s="19">
        <v>2056</v>
      </c>
      <c r="AO34" s="19">
        <v>2057</v>
      </c>
      <c r="AP34" s="19">
        <v>2058</v>
      </c>
      <c r="AQ34" s="19">
        <v>2059</v>
      </c>
      <c r="AR34" s="19">
        <v>2060</v>
      </c>
    </row>
    <row r="35" spans="1:44" s="15" customFormat="1" x14ac:dyDescent="0.15">
      <c r="A35" s="19" t="s">
        <v>912</v>
      </c>
      <c r="B35" s="16">
        <f t="shared" ref="B35:AR35" si="14">B$45*$C4/$C$14</f>
        <v>1385.8928388542049</v>
      </c>
      <c r="C35" s="16">
        <f t="shared" si="14"/>
        <v>1414.5183619126599</v>
      </c>
      <c r="D35" s="16">
        <f t="shared" si="14"/>
        <v>1452.3074856188271</v>
      </c>
      <c r="E35" s="16">
        <f t="shared" si="14"/>
        <v>1471.6534722163756</v>
      </c>
      <c r="F35" s="16">
        <f t="shared" si="14"/>
        <v>1490.5319103514901</v>
      </c>
      <c r="G35" s="16">
        <f t="shared" si="14"/>
        <v>1508.9323886916432</v>
      </c>
      <c r="H35" s="16">
        <f t="shared" si="14"/>
        <v>1526.8454809969112</v>
      </c>
      <c r="I35" s="16">
        <f t="shared" si="14"/>
        <v>1544.2628962781687</v>
      </c>
      <c r="J35" s="16">
        <f t="shared" si="14"/>
        <v>1561.1774081025233</v>
      </c>
      <c r="K35" s="16">
        <f t="shared" si="14"/>
        <v>1577.5830677818417</v>
      </c>
      <c r="L35" s="16">
        <f t="shared" si="14"/>
        <v>1593.4751376093063</v>
      </c>
      <c r="M35" s="16">
        <f t="shared" si="14"/>
        <v>1608.8502355955447</v>
      </c>
      <c r="N35" s="16">
        <f t="shared" si="14"/>
        <v>1623.7063867767204</v>
      </c>
      <c r="O35" s="16">
        <f t="shared" si="14"/>
        <v>1638.0430619355861</v>
      </c>
      <c r="P35" s="16">
        <f t="shared" si="14"/>
        <v>1651.8613358115128</v>
      </c>
      <c r="Q35" s="16">
        <f t="shared" si="14"/>
        <v>1665.1638483160025</v>
      </c>
      <c r="R35" s="16">
        <f t="shared" si="14"/>
        <v>1677.9549815228445</v>
      </c>
      <c r="S35" s="16">
        <f t="shared" si="14"/>
        <v>1690.2408787733</v>
      </c>
      <c r="T35" s="16">
        <f t="shared" si="14"/>
        <v>1702.029554092466</v>
      </c>
      <c r="U35" s="16">
        <f t="shared" si="14"/>
        <v>1713.3310006597565</v>
      </c>
      <c r="V35" s="16">
        <f t="shared" si="14"/>
        <v>1724.1571990051709</v>
      </c>
      <c r="W35" s="16">
        <f t="shared" si="14"/>
        <v>1734.5222902330761</v>
      </c>
      <c r="X35" s="16">
        <f t="shared" si="14"/>
        <v>1744.4426433131039</v>
      </c>
      <c r="Y35" s="16">
        <f t="shared" si="14"/>
        <v>1753.9369578344479</v>
      </c>
      <c r="Z35" s="16">
        <f t="shared" si="14"/>
        <v>1763.0263177538257</v>
      </c>
      <c r="AA35" s="16">
        <f t="shared" si="14"/>
        <v>1771.7343286721773</v>
      </c>
      <c r="AB35" s="16">
        <f t="shared" si="14"/>
        <v>1780.0872714879506</v>
      </c>
      <c r="AC35" s="16">
        <f t="shared" si="14"/>
        <v>1788.1141139214149</v>
      </c>
      <c r="AD35" s="16">
        <f t="shared" si="14"/>
        <v>1795.8466460094617</v>
      </c>
      <c r="AE35" s="16">
        <f t="shared" si="14"/>
        <v>1803.3196984177757</v>
      </c>
      <c r="AF35" s="16">
        <f t="shared" si="14"/>
        <v>1810.5711028417763</v>
      </c>
      <c r="AG35" s="16">
        <f t="shared" si="14"/>
        <v>1817.6418963055478</v>
      </c>
      <c r="AH35" s="16">
        <f t="shared" si="14"/>
        <v>1824.5764810243465</v>
      </c>
      <c r="AI35" s="16">
        <f t="shared" si="14"/>
        <v>1831.4226260159503</v>
      </c>
      <c r="AJ35" s="16">
        <f t="shared" si="14"/>
        <v>1838.2317726018537</v>
      </c>
      <c r="AK35" s="16">
        <f t="shared" si="14"/>
        <v>1845.0589648079902</v>
      </c>
      <c r="AL35" s="16">
        <f t="shared" si="14"/>
        <v>1851.9631878957191</v>
      </c>
      <c r="AM35" s="16">
        <f t="shared" si="14"/>
        <v>1859.0073839901218</v>
      </c>
      <c r="AN35" s="16">
        <f t="shared" si="14"/>
        <v>1866.25862236545</v>
      </c>
      <c r="AO35" s="16">
        <f t="shared" si="14"/>
        <v>1873.7882548980647</v>
      </c>
      <c r="AP35" s="16">
        <f t="shared" si="14"/>
        <v>1881.6720759419495</v>
      </c>
      <c r="AQ35" s="16">
        <f t="shared" si="14"/>
        <v>1889.9905245182626</v>
      </c>
      <c r="AR35" s="16">
        <f t="shared" si="14"/>
        <v>1898.8287315860307</v>
      </c>
    </row>
    <row r="36" spans="1:44" s="15" customFormat="1" x14ac:dyDescent="0.15">
      <c r="A36" s="19" t="s">
        <v>913</v>
      </c>
      <c r="B36" s="16">
        <f t="shared" ref="B36:AR36" si="15">B$45*$C5/$C$14</f>
        <v>0</v>
      </c>
      <c r="C36" s="16">
        <f t="shared" si="15"/>
        <v>0</v>
      </c>
      <c r="D36" s="16">
        <f t="shared" si="15"/>
        <v>0</v>
      </c>
      <c r="E36" s="16">
        <f t="shared" si="15"/>
        <v>0</v>
      </c>
      <c r="F36" s="16">
        <f t="shared" si="15"/>
        <v>0</v>
      </c>
      <c r="G36" s="16">
        <f t="shared" si="15"/>
        <v>0</v>
      </c>
      <c r="H36" s="16">
        <f t="shared" si="15"/>
        <v>0</v>
      </c>
      <c r="I36" s="16">
        <f t="shared" si="15"/>
        <v>0</v>
      </c>
      <c r="J36" s="16">
        <f t="shared" si="15"/>
        <v>0</v>
      </c>
      <c r="K36" s="16">
        <f t="shared" si="15"/>
        <v>0</v>
      </c>
      <c r="L36" s="16">
        <f t="shared" si="15"/>
        <v>0</v>
      </c>
      <c r="M36" s="16">
        <f t="shared" si="15"/>
        <v>0</v>
      </c>
      <c r="N36" s="16">
        <f t="shared" si="15"/>
        <v>0</v>
      </c>
      <c r="O36" s="16">
        <f t="shared" si="15"/>
        <v>0</v>
      </c>
      <c r="P36" s="16">
        <f t="shared" si="15"/>
        <v>0</v>
      </c>
      <c r="Q36" s="16">
        <f t="shared" si="15"/>
        <v>0</v>
      </c>
      <c r="R36" s="16">
        <f t="shared" si="15"/>
        <v>0</v>
      </c>
      <c r="S36" s="16">
        <f t="shared" si="15"/>
        <v>0</v>
      </c>
      <c r="T36" s="16">
        <f t="shared" si="15"/>
        <v>0</v>
      </c>
      <c r="U36" s="16">
        <f t="shared" si="15"/>
        <v>0</v>
      </c>
      <c r="V36" s="16">
        <f t="shared" si="15"/>
        <v>0</v>
      </c>
      <c r="W36" s="16">
        <f t="shared" si="15"/>
        <v>0</v>
      </c>
      <c r="X36" s="16">
        <f t="shared" si="15"/>
        <v>0</v>
      </c>
      <c r="Y36" s="16">
        <f t="shared" si="15"/>
        <v>0</v>
      </c>
      <c r="Z36" s="16">
        <f t="shared" si="15"/>
        <v>0</v>
      </c>
      <c r="AA36" s="16">
        <f t="shared" si="15"/>
        <v>0</v>
      </c>
      <c r="AB36" s="16">
        <f t="shared" si="15"/>
        <v>0</v>
      </c>
      <c r="AC36" s="16">
        <f t="shared" si="15"/>
        <v>0</v>
      </c>
      <c r="AD36" s="16">
        <f t="shared" si="15"/>
        <v>0</v>
      </c>
      <c r="AE36" s="16">
        <f t="shared" si="15"/>
        <v>0</v>
      </c>
      <c r="AF36" s="16">
        <f t="shared" si="15"/>
        <v>0</v>
      </c>
      <c r="AG36" s="16">
        <f t="shared" si="15"/>
        <v>0</v>
      </c>
      <c r="AH36" s="16">
        <f t="shared" si="15"/>
        <v>0</v>
      </c>
      <c r="AI36" s="16">
        <f t="shared" si="15"/>
        <v>0</v>
      </c>
      <c r="AJ36" s="16">
        <f t="shared" si="15"/>
        <v>0</v>
      </c>
      <c r="AK36" s="16">
        <f t="shared" si="15"/>
        <v>0</v>
      </c>
      <c r="AL36" s="16">
        <f t="shared" si="15"/>
        <v>0</v>
      </c>
      <c r="AM36" s="16">
        <f t="shared" si="15"/>
        <v>0</v>
      </c>
      <c r="AN36" s="16">
        <f t="shared" si="15"/>
        <v>0</v>
      </c>
      <c r="AO36" s="16">
        <f t="shared" si="15"/>
        <v>0</v>
      </c>
      <c r="AP36" s="16">
        <f t="shared" si="15"/>
        <v>0</v>
      </c>
      <c r="AQ36" s="16">
        <f t="shared" si="15"/>
        <v>0</v>
      </c>
      <c r="AR36" s="16">
        <f t="shared" si="15"/>
        <v>0</v>
      </c>
    </row>
    <row r="37" spans="1:44" s="15" customFormat="1" x14ac:dyDescent="0.15">
      <c r="A37" s="19" t="s">
        <v>914</v>
      </c>
      <c r="B37" s="16">
        <f t="shared" ref="B37:AR37" si="16">B$45*$C6/$C$14</f>
        <v>0</v>
      </c>
      <c r="C37" s="16">
        <f t="shared" si="16"/>
        <v>0</v>
      </c>
      <c r="D37" s="16">
        <f t="shared" si="16"/>
        <v>0</v>
      </c>
      <c r="E37" s="16">
        <f t="shared" si="16"/>
        <v>0</v>
      </c>
      <c r="F37" s="16">
        <f t="shared" si="16"/>
        <v>0</v>
      </c>
      <c r="G37" s="16">
        <f t="shared" si="16"/>
        <v>0</v>
      </c>
      <c r="H37" s="16">
        <f t="shared" si="16"/>
        <v>0</v>
      </c>
      <c r="I37" s="16">
        <f t="shared" si="16"/>
        <v>0</v>
      </c>
      <c r="J37" s="16">
        <f t="shared" si="16"/>
        <v>0</v>
      </c>
      <c r="K37" s="16">
        <f t="shared" si="16"/>
        <v>0</v>
      </c>
      <c r="L37" s="16">
        <f t="shared" si="16"/>
        <v>0</v>
      </c>
      <c r="M37" s="16">
        <f t="shared" si="16"/>
        <v>0</v>
      </c>
      <c r="N37" s="16">
        <f t="shared" si="16"/>
        <v>0</v>
      </c>
      <c r="O37" s="16">
        <f t="shared" si="16"/>
        <v>0</v>
      </c>
      <c r="P37" s="16">
        <f t="shared" si="16"/>
        <v>0</v>
      </c>
      <c r="Q37" s="16">
        <f t="shared" si="16"/>
        <v>0</v>
      </c>
      <c r="R37" s="16">
        <f t="shared" si="16"/>
        <v>0</v>
      </c>
      <c r="S37" s="16">
        <f t="shared" si="16"/>
        <v>0</v>
      </c>
      <c r="T37" s="16">
        <f t="shared" si="16"/>
        <v>0</v>
      </c>
      <c r="U37" s="16">
        <f t="shared" si="16"/>
        <v>0</v>
      </c>
      <c r="V37" s="16">
        <f t="shared" si="16"/>
        <v>0</v>
      </c>
      <c r="W37" s="16">
        <f t="shared" si="16"/>
        <v>0</v>
      </c>
      <c r="X37" s="16">
        <f t="shared" si="16"/>
        <v>0</v>
      </c>
      <c r="Y37" s="16">
        <f t="shared" si="16"/>
        <v>0</v>
      </c>
      <c r="Z37" s="16">
        <f t="shared" si="16"/>
        <v>0</v>
      </c>
      <c r="AA37" s="16">
        <f t="shared" si="16"/>
        <v>0</v>
      </c>
      <c r="AB37" s="16">
        <f t="shared" si="16"/>
        <v>0</v>
      </c>
      <c r="AC37" s="16">
        <f t="shared" si="16"/>
        <v>0</v>
      </c>
      <c r="AD37" s="16">
        <f t="shared" si="16"/>
        <v>0</v>
      </c>
      <c r="AE37" s="16">
        <f t="shared" si="16"/>
        <v>0</v>
      </c>
      <c r="AF37" s="16">
        <f t="shared" si="16"/>
        <v>0</v>
      </c>
      <c r="AG37" s="16">
        <f t="shared" si="16"/>
        <v>0</v>
      </c>
      <c r="AH37" s="16">
        <f t="shared" si="16"/>
        <v>0</v>
      </c>
      <c r="AI37" s="16">
        <f t="shared" si="16"/>
        <v>0</v>
      </c>
      <c r="AJ37" s="16">
        <f t="shared" si="16"/>
        <v>0</v>
      </c>
      <c r="AK37" s="16">
        <f t="shared" si="16"/>
        <v>0</v>
      </c>
      <c r="AL37" s="16">
        <f t="shared" si="16"/>
        <v>0</v>
      </c>
      <c r="AM37" s="16">
        <f t="shared" si="16"/>
        <v>0</v>
      </c>
      <c r="AN37" s="16">
        <f t="shared" si="16"/>
        <v>0</v>
      </c>
      <c r="AO37" s="16">
        <f t="shared" si="16"/>
        <v>0</v>
      </c>
      <c r="AP37" s="16">
        <f t="shared" si="16"/>
        <v>0</v>
      </c>
      <c r="AQ37" s="16">
        <f t="shared" si="16"/>
        <v>0</v>
      </c>
      <c r="AR37" s="16">
        <f t="shared" si="16"/>
        <v>0</v>
      </c>
    </row>
    <row r="38" spans="1:44" s="15" customFormat="1" x14ac:dyDescent="0.15">
      <c r="A38" s="19" t="s">
        <v>915</v>
      </c>
      <c r="B38" s="16">
        <f t="shared" ref="B38:AR38" si="17">B$45*$C7/$C$14</f>
        <v>0</v>
      </c>
      <c r="C38" s="16">
        <f t="shared" si="17"/>
        <v>0</v>
      </c>
      <c r="D38" s="16">
        <f t="shared" si="17"/>
        <v>0</v>
      </c>
      <c r="E38" s="16">
        <f t="shared" si="17"/>
        <v>0</v>
      </c>
      <c r="F38" s="16">
        <f t="shared" si="17"/>
        <v>0</v>
      </c>
      <c r="G38" s="16">
        <f t="shared" si="17"/>
        <v>0</v>
      </c>
      <c r="H38" s="16">
        <f t="shared" si="17"/>
        <v>0</v>
      </c>
      <c r="I38" s="16">
        <f t="shared" si="17"/>
        <v>0</v>
      </c>
      <c r="J38" s="16">
        <f t="shared" si="17"/>
        <v>0</v>
      </c>
      <c r="K38" s="16">
        <f t="shared" si="17"/>
        <v>0</v>
      </c>
      <c r="L38" s="16">
        <f t="shared" si="17"/>
        <v>0</v>
      </c>
      <c r="M38" s="16">
        <f t="shared" si="17"/>
        <v>0</v>
      </c>
      <c r="N38" s="16">
        <f t="shared" si="17"/>
        <v>0</v>
      </c>
      <c r="O38" s="16">
        <f t="shared" si="17"/>
        <v>0</v>
      </c>
      <c r="P38" s="16">
        <f t="shared" si="17"/>
        <v>0</v>
      </c>
      <c r="Q38" s="16">
        <f t="shared" si="17"/>
        <v>0</v>
      </c>
      <c r="R38" s="16">
        <f t="shared" si="17"/>
        <v>0</v>
      </c>
      <c r="S38" s="16">
        <f t="shared" si="17"/>
        <v>0</v>
      </c>
      <c r="T38" s="16">
        <f t="shared" si="17"/>
        <v>0</v>
      </c>
      <c r="U38" s="16">
        <f t="shared" si="17"/>
        <v>0</v>
      </c>
      <c r="V38" s="16">
        <f t="shared" si="17"/>
        <v>0</v>
      </c>
      <c r="W38" s="16">
        <f t="shared" si="17"/>
        <v>0</v>
      </c>
      <c r="X38" s="16">
        <f t="shared" si="17"/>
        <v>0</v>
      </c>
      <c r="Y38" s="16">
        <f t="shared" si="17"/>
        <v>0</v>
      </c>
      <c r="Z38" s="16">
        <f t="shared" si="17"/>
        <v>0</v>
      </c>
      <c r="AA38" s="16">
        <f t="shared" si="17"/>
        <v>0</v>
      </c>
      <c r="AB38" s="16">
        <f t="shared" si="17"/>
        <v>0</v>
      </c>
      <c r="AC38" s="16">
        <f t="shared" si="17"/>
        <v>0</v>
      </c>
      <c r="AD38" s="16">
        <f t="shared" si="17"/>
        <v>0</v>
      </c>
      <c r="AE38" s="16">
        <f t="shared" si="17"/>
        <v>0</v>
      </c>
      <c r="AF38" s="16">
        <f t="shared" si="17"/>
        <v>0</v>
      </c>
      <c r="AG38" s="16">
        <f t="shared" si="17"/>
        <v>0</v>
      </c>
      <c r="AH38" s="16">
        <f t="shared" si="17"/>
        <v>0</v>
      </c>
      <c r="AI38" s="16">
        <f t="shared" si="17"/>
        <v>0</v>
      </c>
      <c r="AJ38" s="16">
        <f t="shared" si="17"/>
        <v>0</v>
      </c>
      <c r="AK38" s="16">
        <f t="shared" si="17"/>
        <v>0</v>
      </c>
      <c r="AL38" s="16">
        <f t="shared" si="17"/>
        <v>0</v>
      </c>
      <c r="AM38" s="16">
        <f t="shared" si="17"/>
        <v>0</v>
      </c>
      <c r="AN38" s="16">
        <f t="shared" si="17"/>
        <v>0</v>
      </c>
      <c r="AO38" s="16">
        <f t="shared" si="17"/>
        <v>0</v>
      </c>
      <c r="AP38" s="16">
        <f t="shared" si="17"/>
        <v>0</v>
      </c>
      <c r="AQ38" s="16">
        <f t="shared" si="17"/>
        <v>0</v>
      </c>
      <c r="AR38" s="16">
        <f t="shared" si="17"/>
        <v>0</v>
      </c>
    </row>
    <row r="39" spans="1:44" s="15" customFormat="1" x14ac:dyDescent="0.15">
      <c r="A39" s="19" t="s">
        <v>916</v>
      </c>
      <c r="B39" s="16">
        <f t="shared" ref="B39:AR39" si="18">B$45*$C8/$C$14</f>
        <v>0</v>
      </c>
      <c r="C39" s="16">
        <f t="shared" si="18"/>
        <v>0</v>
      </c>
      <c r="D39" s="16">
        <f t="shared" si="18"/>
        <v>0</v>
      </c>
      <c r="E39" s="16">
        <f t="shared" si="18"/>
        <v>0</v>
      </c>
      <c r="F39" s="16">
        <f t="shared" si="18"/>
        <v>0</v>
      </c>
      <c r="G39" s="16">
        <f t="shared" si="18"/>
        <v>0</v>
      </c>
      <c r="H39" s="16">
        <f t="shared" si="18"/>
        <v>0</v>
      </c>
      <c r="I39" s="16">
        <f t="shared" si="18"/>
        <v>0</v>
      </c>
      <c r="J39" s="16">
        <f t="shared" si="18"/>
        <v>0</v>
      </c>
      <c r="K39" s="16">
        <f t="shared" si="18"/>
        <v>0</v>
      </c>
      <c r="L39" s="16">
        <f t="shared" si="18"/>
        <v>0</v>
      </c>
      <c r="M39" s="16">
        <f t="shared" si="18"/>
        <v>0</v>
      </c>
      <c r="N39" s="16">
        <f t="shared" si="18"/>
        <v>0</v>
      </c>
      <c r="O39" s="16">
        <f t="shared" si="18"/>
        <v>0</v>
      </c>
      <c r="P39" s="16">
        <f t="shared" si="18"/>
        <v>0</v>
      </c>
      <c r="Q39" s="16">
        <f t="shared" si="18"/>
        <v>0</v>
      </c>
      <c r="R39" s="16">
        <f t="shared" si="18"/>
        <v>0</v>
      </c>
      <c r="S39" s="16">
        <f t="shared" si="18"/>
        <v>0</v>
      </c>
      <c r="T39" s="16">
        <f t="shared" si="18"/>
        <v>0</v>
      </c>
      <c r="U39" s="16">
        <f t="shared" si="18"/>
        <v>0</v>
      </c>
      <c r="V39" s="16">
        <f t="shared" si="18"/>
        <v>0</v>
      </c>
      <c r="W39" s="16">
        <f t="shared" si="18"/>
        <v>0</v>
      </c>
      <c r="X39" s="16">
        <f t="shared" si="18"/>
        <v>0</v>
      </c>
      <c r="Y39" s="16">
        <f t="shared" si="18"/>
        <v>0</v>
      </c>
      <c r="Z39" s="16">
        <f t="shared" si="18"/>
        <v>0</v>
      </c>
      <c r="AA39" s="16">
        <f t="shared" si="18"/>
        <v>0</v>
      </c>
      <c r="AB39" s="16">
        <f t="shared" si="18"/>
        <v>0</v>
      </c>
      <c r="AC39" s="16">
        <f t="shared" si="18"/>
        <v>0</v>
      </c>
      <c r="AD39" s="16">
        <f t="shared" si="18"/>
        <v>0</v>
      </c>
      <c r="AE39" s="16">
        <f t="shared" si="18"/>
        <v>0</v>
      </c>
      <c r="AF39" s="16">
        <f t="shared" si="18"/>
        <v>0</v>
      </c>
      <c r="AG39" s="16">
        <f t="shared" si="18"/>
        <v>0</v>
      </c>
      <c r="AH39" s="16">
        <f t="shared" si="18"/>
        <v>0</v>
      </c>
      <c r="AI39" s="16">
        <f t="shared" si="18"/>
        <v>0</v>
      </c>
      <c r="AJ39" s="16">
        <f t="shared" si="18"/>
        <v>0</v>
      </c>
      <c r="AK39" s="16">
        <f t="shared" si="18"/>
        <v>0</v>
      </c>
      <c r="AL39" s="16">
        <f t="shared" si="18"/>
        <v>0</v>
      </c>
      <c r="AM39" s="16">
        <f t="shared" si="18"/>
        <v>0</v>
      </c>
      <c r="AN39" s="16">
        <f t="shared" si="18"/>
        <v>0</v>
      </c>
      <c r="AO39" s="16">
        <f t="shared" si="18"/>
        <v>0</v>
      </c>
      <c r="AP39" s="16">
        <f t="shared" si="18"/>
        <v>0</v>
      </c>
      <c r="AQ39" s="16">
        <f t="shared" si="18"/>
        <v>0</v>
      </c>
      <c r="AR39" s="16">
        <f t="shared" si="18"/>
        <v>0</v>
      </c>
    </row>
    <row r="40" spans="1:44" s="15" customFormat="1" x14ac:dyDescent="0.15">
      <c r="A40" s="19" t="s">
        <v>917</v>
      </c>
      <c r="B40" s="16">
        <f t="shared" ref="B40:AR40" si="19">B$45*$C9/$C$14</f>
        <v>0</v>
      </c>
      <c r="C40" s="16">
        <f t="shared" si="19"/>
        <v>0</v>
      </c>
      <c r="D40" s="16">
        <f t="shared" si="19"/>
        <v>0</v>
      </c>
      <c r="E40" s="16">
        <f t="shared" si="19"/>
        <v>0</v>
      </c>
      <c r="F40" s="16">
        <f t="shared" si="19"/>
        <v>0</v>
      </c>
      <c r="G40" s="16">
        <f t="shared" si="19"/>
        <v>0</v>
      </c>
      <c r="H40" s="16">
        <f t="shared" si="19"/>
        <v>0</v>
      </c>
      <c r="I40" s="16">
        <f t="shared" si="19"/>
        <v>0</v>
      </c>
      <c r="J40" s="16">
        <f t="shared" si="19"/>
        <v>0</v>
      </c>
      <c r="K40" s="16">
        <f t="shared" si="19"/>
        <v>0</v>
      </c>
      <c r="L40" s="16">
        <f t="shared" si="19"/>
        <v>0</v>
      </c>
      <c r="M40" s="16">
        <f t="shared" si="19"/>
        <v>0</v>
      </c>
      <c r="N40" s="16">
        <f t="shared" si="19"/>
        <v>0</v>
      </c>
      <c r="O40" s="16">
        <f t="shared" si="19"/>
        <v>0</v>
      </c>
      <c r="P40" s="16">
        <f t="shared" si="19"/>
        <v>0</v>
      </c>
      <c r="Q40" s="16">
        <f t="shared" si="19"/>
        <v>0</v>
      </c>
      <c r="R40" s="16">
        <f t="shared" si="19"/>
        <v>0</v>
      </c>
      <c r="S40" s="16">
        <f t="shared" si="19"/>
        <v>0</v>
      </c>
      <c r="T40" s="16">
        <f t="shared" si="19"/>
        <v>0</v>
      </c>
      <c r="U40" s="16">
        <f t="shared" si="19"/>
        <v>0</v>
      </c>
      <c r="V40" s="16">
        <f t="shared" si="19"/>
        <v>0</v>
      </c>
      <c r="W40" s="16">
        <f t="shared" si="19"/>
        <v>0</v>
      </c>
      <c r="X40" s="16">
        <f t="shared" si="19"/>
        <v>0</v>
      </c>
      <c r="Y40" s="16">
        <f t="shared" si="19"/>
        <v>0</v>
      </c>
      <c r="Z40" s="16">
        <f t="shared" si="19"/>
        <v>0</v>
      </c>
      <c r="AA40" s="16">
        <f t="shared" si="19"/>
        <v>0</v>
      </c>
      <c r="AB40" s="16">
        <f t="shared" si="19"/>
        <v>0</v>
      </c>
      <c r="AC40" s="16">
        <f t="shared" si="19"/>
        <v>0</v>
      </c>
      <c r="AD40" s="16">
        <f t="shared" si="19"/>
        <v>0</v>
      </c>
      <c r="AE40" s="16">
        <f t="shared" si="19"/>
        <v>0</v>
      </c>
      <c r="AF40" s="16">
        <f t="shared" si="19"/>
        <v>0</v>
      </c>
      <c r="AG40" s="16">
        <f t="shared" si="19"/>
        <v>0</v>
      </c>
      <c r="AH40" s="16">
        <f t="shared" si="19"/>
        <v>0</v>
      </c>
      <c r="AI40" s="16">
        <f t="shared" si="19"/>
        <v>0</v>
      </c>
      <c r="AJ40" s="16">
        <f t="shared" si="19"/>
        <v>0</v>
      </c>
      <c r="AK40" s="16">
        <f t="shared" si="19"/>
        <v>0</v>
      </c>
      <c r="AL40" s="16">
        <f t="shared" si="19"/>
        <v>0</v>
      </c>
      <c r="AM40" s="16">
        <f t="shared" si="19"/>
        <v>0</v>
      </c>
      <c r="AN40" s="16">
        <f t="shared" si="19"/>
        <v>0</v>
      </c>
      <c r="AO40" s="16">
        <f t="shared" si="19"/>
        <v>0</v>
      </c>
      <c r="AP40" s="16">
        <f t="shared" si="19"/>
        <v>0</v>
      </c>
      <c r="AQ40" s="16">
        <f t="shared" si="19"/>
        <v>0</v>
      </c>
      <c r="AR40" s="16">
        <f t="shared" si="19"/>
        <v>0</v>
      </c>
    </row>
    <row r="41" spans="1:44" s="15" customFormat="1" x14ac:dyDescent="0.15">
      <c r="A41" s="19" t="s">
        <v>918</v>
      </c>
      <c r="B41" s="16">
        <f t="shared" ref="B41:AR41" si="20">B$45*$C10/$C$14</f>
        <v>0</v>
      </c>
      <c r="C41" s="16">
        <f t="shared" si="20"/>
        <v>0</v>
      </c>
      <c r="D41" s="16">
        <f t="shared" si="20"/>
        <v>0</v>
      </c>
      <c r="E41" s="16">
        <f t="shared" si="20"/>
        <v>0</v>
      </c>
      <c r="F41" s="16">
        <f t="shared" si="20"/>
        <v>0</v>
      </c>
      <c r="G41" s="16">
        <f t="shared" si="20"/>
        <v>0</v>
      </c>
      <c r="H41" s="16">
        <f t="shared" si="20"/>
        <v>0</v>
      </c>
      <c r="I41" s="16">
        <f t="shared" si="20"/>
        <v>0</v>
      </c>
      <c r="J41" s="16">
        <f t="shared" si="20"/>
        <v>0</v>
      </c>
      <c r="K41" s="16">
        <f t="shared" si="20"/>
        <v>0</v>
      </c>
      <c r="L41" s="16">
        <f t="shared" si="20"/>
        <v>0</v>
      </c>
      <c r="M41" s="16">
        <f t="shared" si="20"/>
        <v>0</v>
      </c>
      <c r="N41" s="16">
        <f t="shared" si="20"/>
        <v>0</v>
      </c>
      <c r="O41" s="16">
        <f t="shared" si="20"/>
        <v>0</v>
      </c>
      <c r="P41" s="16">
        <f t="shared" si="20"/>
        <v>0</v>
      </c>
      <c r="Q41" s="16">
        <f t="shared" si="20"/>
        <v>0</v>
      </c>
      <c r="R41" s="16">
        <f t="shared" si="20"/>
        <v>0</v>
      </c>
      <c r="S41" s="16">
        <f t="shared" si="20"/>
        <v>0</v>
      </c>
      <c r="T41" s="16">
        <f t="shared" si="20"/>
        <v>0</v>
      </c>
      <c r="U41" s="16">
        <f t="shared" si="20"/>
        <v>0</v>
      </c>
      <c r="V41" s="16">
        <f t="shared" si="20"/>
        <v>0</v>
      </c>
      <c r="W41" s="16">
        <f t="shared" si="20"/>
        <v>0</v>
      </c>
      <c r="X41" s="16">
        <f t="shared" si="20"/>
        <v>0</v>
      </c>
      <c r="Y41" s="16">
        <f t="shared" si="20"/>
        <v>0</v>
      </c>
      <c r="Z41" s="16">
        <f t="shared" si="20"/>
        <v>0</v>
      </c>
      <c r="AA41" s="16">
        <f t="shared" si="20"/>
        <v>0</v>
      </c>
      <c r="AB41" s="16">
        <f t="shared" si="20"/>
        <v>0</v>
      </c>
      <c r="AC41" s="16">
        <f t="shared" si="20"/>
        <v>0</v>
      </c>
      <c r="AD41" s="16">
        <f t="shared" si="20"/>
        <v>0</v>
      </c>
      <c r="AE41" s="16">
        <f t="shared" si="20"/>
        <v>0</v>
      </c>
      <c r="AF41" s="16">
        <f t="shared" si="20"/>
        <v>0</v>
      </c>
      <c r="AG41" s="16">
        <f t="shared" si="20"/>
        <v>0</v>
      </c>
      <c r="AH41" s="16">
        <f t="shared" si="20"/>
        <v>0</v>
      </c>
      <c r="AI41" s="16">
        <f t="shared" si="20"/>
        <v>0</v>
      </c>
      <c r="AJ41" s="16">
        <f t="shared" si="20"/>
        <v>0</v>
      </c>
      <c r="AK41" s="16">
        <f t="shared" si="20"/>
        <v>0</v>
      </c>
      <c r="AL41" s="16">
        <f t="shared" si="20"/>
        <v>0</v>
      </c>
      <c r="AM41" s="16">
        <f t="shared" si="20"/>
        <v>0</v>
      </c>
      <c r="AN41" s="16">
        <f t="shared" si="20"/>
        <v>0</v>
      </c>
      <c r="AO41" s="16">
        <f t="shared" si="20"/>
        <v>0</v>
      </c>
      <c r="AP41" s="16">
        <f t="shared" si="20"/>
        <v>0</v>
      </c>
      <c r="AQ41" s="16">
        <f t="shared" si="20"/>
        <v>0</v>
      </c>
      <c r="AR41" s="16">
        <f t="shared" si="20"/>
        <v>0</v>
      </c>
    </row>
    <row r="42" spans="1:44" s="15" customFormat="1" x14ac:dyDescent="0.15">
      <c r="A42" s="19" t="s">
        <v>919</v>
      </c>
      <c r="B42" s="16">
        <f t="shared" ref="B42:AR42" si="21">B$45*$C11/$C$14</f>
        <v>0</v>
      </c>
      <c r="C42" s="16">
        <f t="shared" si="21"/>
        <v>0</v>
      </c>
      <c r="D42" s="16">
        <f t="shared" si="21"/>
        <v>0</v>
      </c>
      <c r="E42" s="16">
        <f t="shared" si="21"/>
        <v>0</v>
      </c>
      <c r="F42" s="16">
        <f t="shared" si="21"/>
        <v>0</v>
      </c>
      <c r="G42" s="16">
        <f t="shared" si="21"/>
        <v>0</v>
      </c>
      <c r="H42" s="16">
        <f t="shared" si="21"/>
        <v>0</v>
      </c>
      <c r="I42" s="16">
        <f t="shared" si="21"/>
        <v>0</v>
      </c>
      <c r="J42" s="16">
        <f t="shared" si="21"/>
        <v>0</v>
      </c>
      <c r="K42" s="16">
        <f t="shared" si="21"/>
        <v>0</v>
      </c>
      <c r="L42" s="16">
        <f t="shared" si="21"/>
        <v>0</v>
      </c>
      <c r="M42" s="16">
        <f t="shared" si="21"/>
        <v>0</v>
      </c>
      <c r="N42" s="16">
        <f t="shared" si="21"/>
        <v>0</v>
      </c>
      <c r="O42" s="16">
        <f t="shared" si="21"/>
        <v>0</v>
      </c>
      <c r="P42" s="16">
        <f t="shared" si="21"/>
        <v>0</v>
      </c>
      <c r="Q42" s="16">
        <f t="shared" si="21"/>
        <v>0</v>
      </c>
      <c r="R42" s="16">
        <f t="shared" si="21"/>
        <v>0</v>
      </c>
      <c r="S42" s="16">
        <f t="shared" si="21"/>
        <v>0</v>
      </c>
      <c r="T42" s="16">
        <f t="shared" si="21"/>
        <v>0</v>
      </c>
      <c r="U42" s="16">
        <f t="shared" si="21"/>
        <v>0</v>
      </c>
      <c r="V42" s="16">
        <f t="shared" si="21"/>
        <v>0</v>
      </c>
      <c r="W42" s="16">
        <f t="shared" si="21"/>
        <v>0</v>
      </c>
      <c r="X42" s="16">
        <f t="shared" si="21"/>
        <v>0</v>
      </c>
      <c r="Y42" s="16">
        <f t="shared" si="21"/>
        <v>0</v>
      </c>
      <c r="Z42" s="16">
        <f t="shared" si="21"/>
        <v>0</v>
      </c>
      <c r="AA42" s="16">
        <f t="shared" si="21"/>
        <v>0</v>
      </c>
      <c r="AB42" s="16">
        <f t="shared" si="21"/>
        <v>0</v>
      </c>
      <c r="AC42" s="16">
        <f t="shared" si="21"/>
        <v>0</v>
      </c>
      <c r="AD42" s="16">
        <f t="shared" si="21"/>
        <v>0</v>
      </c>
      <c r="AE42" s="16">
        <f t="shared" si="21"/>
        <v>0</v>
      </c>
      <c r="AF42" s="16">
        <f t="shared" si="21"/>
        <v>0</v>
      </c>
      <c r="AG42" s="16">
        <f t="shared" si="21"/>
        <v>0</v>
      </c>
      <c r="AH42" s="16">
        <f t="shared" si="21"/>
        <v>0</v>
      </c>
      <c r="AI42" s="16">
        <f t="shared" si="21"/>
        <v>0</v>
      </c>
      <c r="AJ42" s="16">
        <f t="shared" si="21"/>
        <v>0</v>
      </c>
      <c r="AK42" s="16">
        <f t="shared" si="21"/>
        <v>0</v>
      </c>
      <c r="AL42" s="16">
        <f t="shared" si="21"/>
        <v>0</v>
      </c>
      <c r="AM42" s="16">
        <f t="shared" si="21"/>
        <v>0</v>
      </c>
      <c r="AN42" s="16">
        <f t="shared" si="21"/>
        <v>0</v>
      </c>
      <c r="AO42" s="16">
        <f t="shared" si="21"/>
        <v>0</v>
      </c>
      <c r="AP42" s="16">
        <f t="shared" si="21"/>
        <v>0</v>
      </c>
      <c r="AQ42" s="16">
        <f t="shared" si="21"/>
        <v>0</v>
      </c>
      <c r="AR42" s="16">
        <f t="shared" si="21"/>
        <v>0</v>
      </c>
    </row>
    <row r="43" spans="1:44" s="15" customFormat="1" x14ac:dyDescent="0.15">
      <c r="A43" s="19" t="s">
        <v>920</v>
      </c>
      <c r="B43" s="16">
        <f t="shared" ref="B43:AR43" si="22">B$45*$C12/$C$14</f>
        <v>0</v>
      </c>
      <c r="C43" s="16">
        <f t="shared" si="22"/>
        <v>0</v>
      </c>
      <c r="D43" s="16">
        <f t="shared" si="22"/>
        <v>0</v>
      </c>
      <c r="E43" s="16">
        <f t="shared" si="22"/>
        <v>0</v>
      </c>
      <c r="F43" s="16">
        <f t="shared" si="22"/>
        <v>0</v>
      </c>
      <c r="G43" s="16">
        <f t="shared" si="22"/>
        <v>0</v>
      </c>
      <c r="H43" s="16">
        <f t="shared" si="22"/>
        <v>0</v>
      </c>
      <c r="I43" s="16">
        <f t="shared" si="22"/>
        <v>0</v>
      </c>
      <c r="J43" s="16">
        <f t="shared" si="22"/>
        <v>0</v>
      </c>
      <c r="K43" s="16">
        <f t="shared" si="22"/>
        <v>0</v>
      </c>
      <c r="L43" s="16">
        <f t="shared" si="22"/>
        <v>0</v>
      </c>
      <c r="M43" s="16">
        <f t="shared" si="22"/>
        <v>0</v>
      </c>
      <c r="N43" s="16">
        <f t="shared" si="22"/>
        <v>0</v>
      </c>
      <c r="O43" s="16">
        <f t="shared" si="22"/>
        <v>0</v>
      </c>
      <c r="P43" s="16">
        <f t="shared" si="22"/>
        <v>0</v>
      </c>
      <c r="Q43" s="16">
        <f t="shared" si="22"/>
        <v>0</v>
      </c>
      <c r="R43" s="16">
        <f t="shared" si="22"/>
        <v>0</v>
      </c>
      <c r="S43" s="16">
        <f t="shared" si="22"/>
        <v>0</v>
      </c>
      <c r="T43" s="16">
        <f t="shared" si="22"/>
        <v>0</v>
      </c>
      <c r="U43" s="16">
        <f t="shared" si="22"/>
        <v>0</v>
      </c>
      <c r="V43" s="16">
        <f t="shared" si="22"/>
        <v>0</v>
      </c>
      <c r="W43" s="16">
        <f t="shared" si="22"/>
        <v>0</v>
      </c>
      <c r="X43" s="16">
        <f t="shared" si="22"/>
        <v>0</v>
      </c>
      <c r="Y43" s="16">
        <f t="shared" si="22"/>
        <v>0</v>
      </c>
      <c r="Z43" s="16">
        <f t="shared" si="22"/>
        <v>0</v>
      </c>
      <c r="AA43" s="16">
        <f t="shared" si="22"/>
        <v>0</v>
      </c>
      <c r="AB43" s="16">
        <f t="shared" si="22"/>
        <v>0</v>
      </c>
      <c r="AC43" s="16">
        <f t="shared" si="22"/>
        <v>0</v>
      </c>
      <c r="AD43" s="16">
        <f t="shared" si="22"/>
        <v>0</v>
      </c>
      <c r="AE43" s="16">
        <f t="shared" si="22"/>
        <v>0</v>
      </c>
      <c r="AF43" s="16">
        <f t="shared" si="22"/>
        <v>0</v>
      </c>
      <c r="AG43" s="16">
        <f t="shared" si="22"/>
        <v>0</v>
      </c>
      <c r="AH43" s="16">
        <f t="shared" si="22"/>
        <v>0</v>
      </c>
      <c r="AI43" s="16">
        <f t="shared" si="22"/>
        <v>0</v>
      </c>
      <c r="AJ43" s="16">
        <f t="shared" si="22"/>
        <v>0</v>
      </c>
      <c r="AK43" s="16">
        <f t="shared" si="22"/>
        <v>0</v>
      </c>
      <c r="AL43" s="16">
        <f t="shared" si="22"/>
        <v>0</v>
      </c>
      <c r="AM43" s="16">
        <f t="shared" si="22"/>
        <v>0</v>
      </c>
      <c r="AN43" s="16">
        <f t="shared" si="22"/>
        <v>0</v>
      </c>
      <c r="AO43" s="16">
        <f t="shared" si="22"/>
        <v>0</v>
      </c>
      <c r="AP43" s="16">
        <f t="shared" si="22"/>
        <v>0</v>
      </c>
      <c r="AQ43" s="16">
        <f t="shared" si="22"/>
        <v>0</v>
      </c>
      <c r="AR43" s="16">
        <f t="shared" si="22"/>
        <v>0</v>
      </c>
    </row>
    <row r="44" spans="1:44" s="15" customFormat="1" x14ac:dyDescent="0.15">
      <c r="A44" s="19" t="s">
        <v>921</v>
      </c>
      <c r="B44" s="16">
        <f t="shared" ref="B44:AR44" si="23">B$45*$C13/$C$14</f>
        <v>0</v>
      </c>
      <c r="C44" s="16">
        <f t="shared" si="23"/>
        <v>0</v>
      </c>
      <c r="D44" s="16">
        <f t="shared" si="23"/>
        <v>0</v>
      </c>
      <c r="E44" s="16">
        <f t="shared" si="23"/>
        <v>0</v>
      </c>
      <c r="F44" s="16">
        <f t="shared" si="23"/>
        <v>0</v>
      </c>
      <c r="G44" s="16">
        <f t="shared" si="23"/>
        <v>0</v>
      </c>
      <c r="H44" s="16">
        <f t="shared" si="23"/>
        <v>0</v>
      </c>
      <c r="I44" s="16">
        <f t="shared" si="23"/>
        <v>0</v>
      </c>
      <c r="J44" s="16">
        <f t="shared" si="23"/>
        <v>0</v>
      </c>
      <c r="K44" s="16">
        <f t="shared" si="23"/>
        <v>0</v>
      </c>
      <c r="L44" s="16">
        <f t="shared" si="23"/>
        <v>0</v>
      </c>
      <c r="M44" s="16">
        <f t="shared" si="23"/>
        <v>0</v>
      </c>
      <c r="N44" s="16">
        <f t="shared" si="23"/>
        <v>0</v>
      </c>
      <c r="O44" s="16">
        <f t="shared" si="23"/>
        <v>0</v>
      </c>
      <c r="P44" s="16">
        <f t="shared" si="23"/>
        <v>0</v>
      </c>
      <c r="Q44" s="16">
        <f t="shared" si="23"/>
        <v>0</v>
      </c>
      <c r="R44" s="16">
        <f t="shared" si="23"/>
        <v>0</v>
      </c>
      <c r="S44" s="16">
        <f t="shared" si="23"/>
        <v>0</v>
      </c>
      <c r="T44" s="16">
        <f t="shared" si="23"/>
        <v>0</v>
      </c>
      <c r="U44" s="16">
        <f t="shared" si="23"/>
        <v>0</v>
      </c>
      <c r="V44" s="16">
        <f t="shared" si="23"/>
        <v>0</v>
      </c>
      <c r="W44" s="16">
        <f t="shared" si="23"/>
        <v>0</v>
      </c>
      <c r="X44" s="16">
        <f t="shared" si="23"/>
        <v>0</v>
      </c>
      <c r="Y44" s="16">
        <f t="shared" si="23"/>
        <v>0</v>
      </c>
      <c r="Z44" s="16">
        <f t="shared" si="23"/>
        <v>0</v>
      </c>
      <c r="AA44" s="16">
        <f t="shared" si="23"/>
        <v>0</v>
      </c>
      <c r="AB44" s="16">
        <f t="shared" si="23"/>
        <v>0</v>
      </c>
      <c r="AC44" s="16">
        <f t="shared" si="23"/>
        <v>0</v>
      </c>
      <c r="AD44" s="16">
        <f t="shared" si="23"/>
        <v>0</v>
      </c>
      <c r="AE44" s="16">
        <f t="shared" si="23"/>
        <v>0</v>
      </c>
      <c r="AF44" s="16">
        <f t="shared" si="23"/>
        <v>0</v>
      </c>
      <c r="AG44" s="16">
        <f t="shared" si="23"/>
        <v>0</v>
      </c>
      <c r="AH44" s="16">
        <f t="shared" si="23"/>
        <v>0</v>
      </c>
      <c r="AI44" s="16">
        <f t="shared" si="23"/>
        <v>0</v>
      </c>
      <c r="AJ44" s="16">
        <f t="shared" si="23"/>
        <v>0</v>
      </c>
      <c r="AK44" s="16">
        <f t="shared" si="23"/>
        <v>0</v>
      </c>
      <c r="AL44" s="16">
        <f t="shared" si="23"/>
        <v>0</v>
      </c>
      <c r="AM44" s="16">
        <f t="shared" si="23"/>
        <v>0</v>
      </c>
      <c r="AN44" s="16">
        <f t="shared" si="23"/>
        <v>0</v>
      </c>
      <c r="AO44" s="16">
        <f t="shared" si="23"/>
        <v>0</v>
      </c>
      <c r="AP44" s="16">
        <f t="shared" si="23"/>
        <v>0</v>
      </c>
      <c r="AQ44" s="16">
        <f t="shared" si="23"/>
        <v>0</v>
      </c>
      <c r="AR44" s="16">
        <f t="shared" si="23"/>
        <v>0</v>
      </c>
    </row>
    <row r="45" spans="1:44" s="17" customFormat="1" x14ac:dyDescent="0.15">
      <c r="A45" s="19" t="s">
        <v>911</v>
      </c>
      <c r="B45" s="17">
        <f>BAU建筑总能耗计算!B$4*$C$16</f>
        <v>1385.8928388542049</v>
      </c>
      <c r="C45" s="17">
        <f>BAU建筑总能耗计算!C$4*$C$16</f>
        <v>1414.5183619126599</v>
      </c>
      <c r="D45" s="17">
        <f>BAU建筑总能耗计算!D$4*$C$16</f>
        <v>1452.3074856188271</v>
      </c>
      <c r="E45" s="17">
        <f>BAU建筑总能耗计算!E$4*$C$16</f>
        <v>1471.6534722163756</v>
      </c>
      <c r="F45" s="17">
        <f>BAU建筑总能耗计算!F$4*$C$16</f>
        <v>1490.5319103514901</v>
      </c>
      <c r="G45" s="17">
        <f>BAU建筑总能耗计算!G$4*$C$16</f>
        <v>1508.9323886916432</v>
      </c>
      <c r="H45" s="17">
        <f>BAU建筑总能耗计算!H$4*$C$16</f>
        <v>1526.8454809969112</v>
      </c>
      <c r="I45" s="17">
        <f>BAU建筑总能耗计算!I$4*$C$16</f>
        <v>1544.2628962781687</v>
      </c>
      <c r="J45" s="17">
        <f>BAU建筑总能耗计算!J$4*$C$16</f>
        <v>1561.1774081025233</v>
      </c>
      <c r="K45" s="17">
        <f>BAU建筑总能耗计算!K$4*$C$16</f>
        <v>1577.5830677818417</v>
      </c>
      <c r="L45" s="17">
        <f>BAU建筑总能耗计算!L$4*$C$16</f>
        <v>1593.4751376093066</v>
      </c>
      <c r="M45" s="17">
        <f>BAU建筑总能耗计算!M$4*$C$16</f>
        <v>1608.8502355955447</v>
      </c>
      <c r="N45" s="17">
        <f>BAU建筑总能耗计算!N$4*$C$16</f>
        <v>1623.7063867767204</v>
      </c>
      <c r="O45" s="17">
        <f>BAU建筑总能耗计算!O$4*$C$16</f>
        <v>1638.0430619355861</v>
      </c>
      <c r="P45" s="17">
        <f>BAU建筑总能耗计算!P$4*$C$16</f>
        <v>1651.8613358115128</v>
      </c>
      <c r="Q45" s="17">
        <f>BAU建筑总能耗计算!Q$4*$C$16</f>
        <v>1665.1638483160025</v>
      </c>
      <c r="R45" s="17">
        <f>BAU建筑总能耗计算!R$4*$C$16</f>
        <v>1677.9549815228445</v>
      </c>
      <c r="S45" s="17">
        <f>BAU建筑总能耗计算!S$4*$C$16</f>
        <v>1690.2408787733</v>
      </c>
      <c r="T45" s="17">
        <f>BAU建筑总能耗计算!T$4*$C$16</f>
        <v>1702.029554092466</v>
      </c>
      <c r="U45" s="17">
        <f>BAU建筑总能耗计算!U$4*$C$16</f>
        <v>1713.3310006597565</v>
      </c>
      <c r="V45" s="17">
        <f>BAU建筑总能耗计算!V$4*$C$16</f>
        <v>1724.1571990051709</v>
      </c>
      <c r="W45" s="17">
        <f>BAU建筑总能耗计算!W$4*$C$16</f>
        <v>1734.5222902330761</v>
      </c>
      <c r="X45" s="17">
        <f>BAU建筑总能耗计算!X$4*$C$16</f>
        <v>1744.4426433131039</v>
      </c>
      <c r="Y45" s="17">
        <f>BAU建筑总能耗计算!Y$4*$C$16</f>
        <v>1753.9369578344479</v>
      </c>
      <c r="Z45" s="17">
        <f>BAU建筑总能耗计算!Z$4*$C$16</f>
        <v>1763.0263177538257</v>
      </c>
      <c r="AA45" s="17">
        <f>BAU建筑总能耗计算!AA$4*$C$16</f>
        <v>1771.7343286721773</v>
      </c>
      <c r="AB45" s="17">
        <f>BAU建筑总能耗计算!AB$4*$C$16</f>
        <v>1780.0872714879506</v>
      </c>
      <c r="AC45" s="17">
        <f>BAU建筑总能耗计算!AC$4*$C$16</f>
        <v>1788.1141139214149</v>
      </c>
      <c r="AD45" s="17">
        <f>BAU建筑总能耗计算!AD$4*$C$16</f>
        <v>1795.8466460094617</v>
      </c>
      <c r="AE45" s="17">
        <f>BAU建筑总能耗计算!AE$4*$C$16</f>
        <v>1803.3196984177757</v>
      </c>
      <c r="AF45" s="17">
        <f>BAU建筑总能耗计算!AF$4*$C$16</f>
        <v>1810.5711028417763</v>
      </c>
      <c r="AG45" s="17">
        <f>BAU建筑总能耗计算!AG$4*$C$16</f>
        <v>1817.6418963055478</v>
      </c>
      <c r="AH45" s="17">
        <f>BAU建筑总能耗计算!AH$4*$C$16</f>
        <v>1824.5764810243465</v>
      </c>
      <c r="AI45" s="17">
        <f>BAU建筑总能耗计算!AI$4*$C$16</f>
        <v>1831.4226260159503</v>
      </c>
      <c r="AJ45" s="17">
        <f>BAU建筑总能耗计算!AJ$4*$C$16</f>
        <v>1838.2317726018537</v>
      </c>
      <c r="AK45" s="17">
        <f>BAU建筑总能耗计算!AK$4*$C$16</f>
        <v>1845.0589648079902</v>
      </c>
      <c r="AL45" s="17">
        <f>BAU建筑总能耗计算!AL$4*$C$16</f>
        <v>1851.9631878957191</v>
      </c>
      <c r="AM45" s="17">
        <f>BAU建筑总能耗计算!AM$4*$C$16</f>
        <v>1859.0073839901218</v>
      </c>
      <c r="AN45" s="17">
        <f>BAU建筑总能耗计算!AN$4*$C$16</f>
        <v>1866.25862236545</v>
      </c>
      <c r="AO45" s="17">
        <f>BAU建筑总能耗计算!AO$4*$C$16</f>
        <v>1873.7882548980647</v>
      </c>
      <c r="AP45" s="17">
        <f>BAU建筑总能耗计算!AP$4*$C$16</f>
        <v>1881.6720759419495</v>
      </c>
      <c r="AQ45" s="17">
        <f>BAU建筑总能耗计算!AQ$4*$C$16</f>
        <v>1889.9905245182626</v>
      </c>
      <c r="AR45" s="17">
        <f>BAU建筑总能耗计算!AR$4*$C$16</f>
        <v>1898.8287315860307</v>
      </c>
    </row>
    <row r="46" spans="1:44" s="15" customFormat="1" x14ac:dyDescent="0.15"/>
    <row r="47" spans="1:44" s="19" customFormat="1" x14ac:dyDescent="0.15">
      <c r="A47" s="18" t="s">
        <v>28</v>
      </c>
      <c r="B47" s="19">
        <v>2018</v>
      </c>
      <c r="C47" s="19">
        <v>2019</v>
      </c>
      <c r="D47" s="19">
        <v>2020</v>
      </c>
      <c r="E47" s="19">
        <v>2021</v>
      </c>
      <c r="F47" s="19">
        <v>2022</v>
      </c>
      <c r="G47" s="19">
        <v>2023</v>
      </c>
      <c r="H47" s="19">
        <v>2024</v>
      </c>
      <c r="I47" s="19">
        <v>2025</v>
      </c>
      <c r="J47" s="19">
        <v>2026</v>
      </c>
      <c r="K47" s="19">
        <v>2027</v>
      </c>
      <c r="L47" s="19">
        <v>2028</v>
      </c>
      <c r="M47" s="19">
        <v>2029</v>
      </c>
      <c r="N47" s="19">
        <v>2030</v>
      </c>
      <c r="O47" s="19">
        <v>2031</v>
      </c>
      <c r="P47" s="19">
        <v>2032</v>
      </c>
      <c r="Q47" s="19">
        <v>2033</v>
      </c>
      <c r="R47" s="19">
        <v>2034</v>
      </c>
      <c r="S47" s="19">
        <v>2035</v>
      </c>
      <c r="T47" s="19">
        <v>2036</v>
      </c>
      <c r="U47" s="19">
        <v>2037</v>
      </c>
      <c r="V47" s="19">
        <v>2038</v>
      </c>
      <c r="W47" s="19">
        <v>2039</v>
      </c>
      <c r="X47" s="19">
        <v>2040</v>
      </c>
      <c r="Y47" s="19">
        <v>2041</v>
      </c>
      <c r="Z47" s="19">
        <v>2042</v>
      </c>
      <c r="AA47" s="19">
        <v>2043</v>
      </c>
      <c r="AB47" s="19">
        <v>2044</v>
      </c>
      <c r="AC47" s="19">
        <v>2045</v>
      </c>
      <c r="AD47" s="19">
        <v>2046</v>
      </c>
      <c r="AE47" s="19">
        <v>2047</v>
      </c>
      <c r="AF47" s="19">
        <v>2048</v>
      </c>
      <c r="AG47" s="19">
        <v>2049</v>
      </c>
      <c r="AH47" s="19">
        <v>2050</v>
      </c>
      <c r="AI47" s="19">
        <v>2051</v>
      </c>
      <c r="AJ47" s="19">
        <v>2052</v>
      </c>
      <c r="AK47" s="19">
        <v>2053</v>
      </c>
      <c r="AL47" s="19">
        <v>2054</v>
      </c>
      <c r="AM47" s="19">
        <v>2055</v>
      </c>
      <c r="AN47" s="19">
        <v>2056</v>
      </c>
      <c r="AO47" s="19">
        <v>2057</v>
      </c>
      <c r="AP47" s="19">
        <v>2058</v>
      </c>
      <c r="AQ47" s="19">
        <v>2059</v>
      </c>
      <c r="AR47" s="19">
        <v>2060</v>
      </c>
    </row>
    <row r="48" spans="1:44" s="15" customFormat="1" x14ac:dyDescent="0.15">
      <c r="A48" s="19" t="s">
        <v>912</v>
      </c>
      <c r="B48" s="15">
        <f t="shared" ref="B48:B57" si="24">IFERROR(B$58*$D4/D$14,0)</f>
        <v>0</v>
      </c>
      <c r="C48" s="15">
        <f t="shared" ref="C48:C57" si="25">IFERROR(C$58*$D4/E$14,0)</f>
        <v>0</v>
      </c>
      <c r="D48" s="15">
        <f t="shared" ref="D48:D57" si="26">IFERROR(D$58*$D4/F$14,0)</f>
        <v>0</v>
      </c>
      <c r="E48" s="15">
        <f t="shared" ref="E48:E57" si="27">IFERROR(E$58*$D4/G$14,0)</f>
        <v>0</v>
      </c>
      <c r="F48" s="15">
        <f t="shared" ref="F48:F57" si="28">IFERROR(F$58*$D4/H$14,0)</f>
        <v>0</v>
      </c>
      <c r="G48" s="15">
        <f t="shared" ref="G48:G57" si="29">IFERROR(G$58*$D4/I$14,0)</f>
        <v>0</v>
      </c>
      <c r="H48" s="15">
        <f t="shared" ref="H48:H57" si="30">IFERROR(H$58*$D4/J$14,0)</f>
        <v>0</v>
      </c>
      <c r="I48" s="15">
        <f t="shared" ref="I48:I57" si="31">IFERROR(I$58*$D4/K$14,0)</f>
        <v>0</v>
      </c>
      <c r="J48" s="15">
        <f t="shared" ref="J48:J57" si="32">IFERROR(J$58*$D4/L$14,0)</f>
        <v>0</v>
      </c>
      <c r="K48" s="15">
        <f t="shared" ref="K48:K57" si="33">IFERROR(K$58*$D4/M$14,0)</f>
        <v>0</v>
      </c>
      <c r="L48" s="15">
        <f t="shared" ref="L48:L57" si="34">IFERROR(L$58*$D4/N$14,0)</f>
        <v>0</v>
      </c>
      <c r="M48" s="15">
        <f t="shared" ref="M48:M57" si="35">IFERROR(M$58*$D4/O$14,0)</f>
        <v>0</v>
      </c>
      <c r="N48" s="15">
        <f t="shared" ref="N48:N57" si="36">IFERROR(N$58*$D4/P$14,0)</f>
        <v>0</v>
      </c>
      <c r="O48" s="15">
        <f t="shared" ref="O48:O57" si="37">IFERROR(O$58*$D4/Q$14,0)</f>
        <v>0</v>
      </c>
      <c r="P48" s="15">
        <f t="shared" ref="P48:P57" si="38">IFERROR(P$58*$D4/R$14,0)</f>
        <v>0</v>
      </c>
      <c r="Q48" s="15">
        <f t="shared" ref="Q48:Q57" si="39">IFERROR(Q$58*$D4/S$14,0)</f>
        <v>0</v>
      </c>
      <c r="R48" s="15">
        <f t="shared" ref="R48:R57" si="40">IFERROR(R$58*$D4/T$14,0)</f>
        <v>0</v>
      </c>
      <c r="S48" s="15">
        <f t="shared" ref="S48:S57" si="41">IFERROR(S$58*$D4/U$14,0)</f>
        <v>0</v>
      </c>
      <c r="T48" s="15">
        <f t="shared" ref="T48:T57" si="42">IFERROR(T$58*$D4/V$14,0)</f>
        <v>0</v>
      </c>
      <c r="U48" s="15">
        <f t="shared" ref="U48:U57" si="43">IFERROR(U$58*$D4/W$14,0)</f>
        <v>0</v>
      </c>
      <c r="V48" s="15">
        <f t="shared" ref="V48:V57" si="44">IFERROR(V$58*$D4/X$14,0)</f>
        <v>0</v>
      </c>
      <c r="W48" s="15">
        <f t="shared" ref="W48:W57" si="45">IFERROR(W$58*$D4/Y$14,0)</f>
        <v>0</v>
      </c>
      <c r="X48" s="15">
        <f t="shared" ref="X48:X57" si="46">IFERROR(X$58*$D4/Z$14,0)</f>
        <v>0</v>
      </c>
      <c r="Y48" s="15">
        <f t="shared" ref="Y48:Y57" si="47">IFERROR(Y$58*$D4/AA$14,0)</f>
        <v>0</v>
      </c>
      <c r="Z48" s="15">
        <f t="shared" ref="Z48:Z57" si="48">IFERROR(Z$58*$D4/AB$14,0)</f>
        <v>0</v>
      </c>
      <c r="AA48" s="15">
        <f t="shared" ref="AA48:AA57" si="49">IFERROR(AA$58*$D4/AC$14,0)</f>
        <v>0</v>
      </c>
      <c r="AB48" s="15">
        <f t="shared" ref="AB48:AB57" si="50">IFERROR(AB$58*$D4/AD$14,0)</f>
        <v>0</v>
      </c>
      <c r="AC48" s="15">
        <f t="shared" ref="AC48:AC57" si="51">IFERROR(AC$58*$D4/AE$14,0)</f>
        <v>0</v>
      </c>
      <c r="AD48" s="15">
        <f t="shared" ref="AD48:AD57" si="52">IFERROR(AD$58*$D4/AF$14,0)</f>
        <v>0</v>
      </c>
      <c r="AE48" s="15">
        <f t="shared" ref="AE48:AE57" si="53">IFERROR(AE$58*$D4/AG$14,0)</f>
        <v>0</v>
      </c>
      <c r="AF48" s="15">
        <f t="shared" ref="AF48:AF57" si="54">IFERROR(AF$58*$D4/AH$14,0)</f>
        <v>0</v>
      </c>
      <c r="AG48" s="15">
        <f t="shared" ref="AG48:AG57" si="55">IFERROR(AG$58*$D4/AI$14,0)</f>
        <v>0</v>
      </c>
      <c r="AH48" s="15">
        <f t="shared" ref="AH48:AH57" si="56">IFERROR(AH$58*$D4/AJ$14,0)</f>
        <v>0</v>
      </c>
      <c r="AI48" s="15">
        <f t="shared" ref="AI48:AI57" si="57">IFERROR(AI$58*$D4/AK$14,0)</f>
        <v>0</v>
      </c>
      <c r="AJ48" s="15">
        <f t="shared" ref="AJ48:AJ57" si="58">IFERROR(AJ$58*$D4/AL$14,0)</f>
        <v>0</v>
      </c>
      <c r="AK48" s="15">
        <f t="shared" ref="AK48:AK57" si="59">IFERROR(AK$58*$D4/AM$14,0)</f>
        <v>0</v>
      </c>
      <c r="AL48" s="15">
        <f t="shared" ref="AL48:AL57" si="60">IFERROR(AL$58*$D4/AN$14,0)</f>
        <v>0</v>
      </c>
      <c r="AM48" s="15">
        <f t="shared" ref="AM48:AM57" si="61">IFERROR(AM$58*$D4/AO$14,0)</f>
        <v>0</v>
      </c>
      <c r="AN48" s="15">
        <f t="shared" ref="AN48:AN57" si="62">IFERROR(AN$58*$D4/AP$14,0)</f>
        <v>0</v>
      </c>
      <c r="AO48" s="15">
        <f t="shared" ref="AO48:AO57" si="63">IFERROR(AO$58*$D4/AQ$14,0)</f>
        <v>0</v>
      </c>
      <c r="AP48" s="15">
        <f t="shared" ref="AP48:AP57" si="64">IFERROR(AP$58*$D4/AR$14,0)</f>
        <v>0</v>
      </c>
      <c r="AQ48" s="15">
        <f t="shared" ref="AQ48:AQ57" si="65">IFERROR(AQ$58*$D4/AS$14,0)</f>
        <v>0</v>
      </c>
      <c r="AR48" s="15">
        <f t="shared" ref="AR48:AR57" si="66">IFERROR(AR$58*$D4/AT$14,0)</f>
        <v>0</v>
      </c>
    </row>
    <row r="49" spans="1:44" s="15" customFormat="1" x14ac:dyDescent="0.15">
      <c r="A49" s="19" t="s">
        <v>913</v>
      </c>
      <c r="B49" s="15">
        <f t="shared" si="24"/>
        <v>0</v>
      </c>
      <c r="C49" s="15">
        <f t="shared" si="25"/>
        <v>0</v>
      </c>
      <c r="D49" s="15">
        <f t="shared" si="26"/>
        <v>0</v>
      </c>
      <c r="E49" s="15">
        <f t="shared" si="27"/>
        <v>0</v>
      </c>
      <c r="F49" s="15">
        <f t="shared" si="28"/>
        <v>0</v>
      </c>
      <c r="G49" s="15">
        <f t="shared" si="29"/>
        <v>0</v>
      </c>
      <c r="H49" s="15">
        <f t="shared" si="30"/>
        <v>0</v>
      </c>
      <c r="I49" s="15">
        <f t="shared" si="31"/>
        <v>0</v>
      </c>
      <c r="J49" s="15">
        <f t="shared" si="32"/>
        <v>0</v>
      </c>
      <c r="K49" s="15">
        <f t="shared" si="33"/>
        <v>0</v>
      </c>
      <c r="L49" s="15">
        <f t="shared" si="34"/>
        <v>0</v>
      </c>
      <c r="M49" s="15">
        <f t="shared" si="35"/>
        <v>0</v>
      </c>
      <c r="N49" s="15">
        <f t="shared" si="36"/>
        <v>0</v>
      </c>
      <c r="O49" s="15">
        <f t="shared" si="37"/>
        <v>0</v>
      </c>
      <c r="P49" s="15">
        <f t="shared" si="38"/>
        <v>0</v>
      </c>
      <c r="Q49" s="15">
        <f t="shared" si="39"/>
        <v>0</v>
      </c>
      <c r="R49" s="15">
        <f t="shared" si="40"/>
        <v>0</v>
      </c>
      <c r="S49" s="15">
        <f t="shared" si="41"/>
        <v>0</v>
      </c>
      <c r="T49" s="15">
        <f t="shared" si="42"/>
        <v>0</v>
      </c>
      <c r="U49" s="15">
        <f t="shared" si="43"/>
        <v>0</v>
      </c>
      <c r="V49" s="15">
        <f t="shared" si="44"/>
        <v>0</v>
      </c>
      <c r="W49" s="15">
        <f t="shared" si="45"/>
        <v>0</v>
      </c>
      <c r="X49" s="15">
        <f t="shared" si="46"/>
        <v>0</v>
      </c>
      <c r="Y49" s="15">
        <f t="shared" si="47"/>
        <v>0</v>
      </c>
      <c r="Z49" s="15">
        <f t="shared" si="48"/>
        <v>0</v>
      </c>
      <c r="AA49" s="15">
        <f t="shared" si="49"/>
        <v>0</v>
      </c>
      <c r="AB49" s="15">
        <f t="shared" si="50"/>
        <v>0</v>
      </c>
      <c r="AC49" s="15">
        <f t="shared" si="51"/>
        <v>0</v>
      </c>
      <c r="AD49" s="15">
        <f t="shared" si="52"/>
        <v>0</v>
      </c>
      <c r="AE49" s="15">
        <f t="shared" si="53"/>
        <v>0</v>
      </c>
      <c r="AF49" s="15">
        <f t="shared" si="54"/>
        <v>0</v>
      </c>
      <c r="AG49" s="15">
        <f t="shared" si="55"/>
        <v>0</v>
      </c>
      <c r="AH49" s="15">
        <f t="shared" si="56"/>
        <v>0</v>
      </c>
      <c r="AI49" s="15">
        <f t="shared" si="57"/>
        <v>0</v>
      </c>
      <c r="AJ49" s="15">
        <f t="shared" si="58"/>
        <v>0</v>
      </c>
      <c r="AK49" s="15">
        <f t="shared" si="59"/>
        <v>0</v>
      </c>
      <c r="AL49" s="15">
        <f t="shared" si="60"/>
        <v>0</v>
      </c>
      <c r="AM49" s="15">
        <f t="shared" si="61"/>
        <v>0</v>
      </c>
      <c r="AN49" s="15">
        <f t="shared" si="62"/>
        <v>0</v>
      </c>
      <c r="AO49" s="15">
        <f t="shared" si="63"/>
        <v>0</v>
      </c>
      <c r="AP49" s="15">
        <f t="shared" si="64"/>
        <v>0</v>
      </c>
      <c r="AQ49" s="15">
        <f t="shared" si="65"/>
        <v>0</v>
      </c>
      <c r="AR49" s="15">
        <f t="shared" si="66"/>
        <v>0</v>
      </c>
    </row>
    <row r="50" spans="1:44" s="15" customFormat="1" x14ac:dyDescent="0.15">
      <c r="A50" s="19" t="s">
        <v>914</v>
      </c>
      <c r="B50" s="15">
        <f t="shared" si="24"/>
        <v>0</v>
      </c>
      <c r="C50" s="15">
        <f t="shared" si="25"/>
        <v>0</v>
      </c>
      <c r="D50" s="15">
        <f t="shared" si="26"/>
        <v>0</v>
      </c>
      <c r="E50" s="15">
        <f t="shared" si="27"/>
        <v>0</v>
      </c>
      <c r="F50" s="15">
        <f t="shared" si="28"/>
        <v>0</v>
      </c>
      <c r="G50" s="15">
        <f t="shared" si="29"/>
        <v>0</v>
      </c>
      <c r="H50" s="15">
        <f t="shared" si="30"/>
        <v>0</v>
      </c>
      <c r="I50" s="15">
        <f t="shared" si="31"/>
        <v>0</v>
      </c>
      <c r="J50" s="15">
        <f t="shared" si="32"/>
        <v>0</v>
      </c>
      <c r="K50" s="15">
        <f t="shared" si="33"/>
        <v>0</v>
      </c>
      <c r="L50" s="15">
        <f t="shared" si="34"/>
        <v>0</v>
      </c>
      <c r="M50" s="15">
        <f t="shared" si="35"/>
        <v>0</v>
      </c>
      <c r="N50" s="15">
        <f t="shared" si="36"/>
        <v>0</v>
      </c>
      <c r="O50" s="15">
        <f t="shared" si="37"/>
        <v>0</v>
      </c>
      <c r="P50" s="15">
        <f t="shared" si="38"/>
        <v>0</v>
      </c>
      <c r="Q50" s="15">
        <f t="shared" si="39"/>
        <v>0</v>
      </c>
      <c r="R50" s="15">
        <f t="shared" si="40"/>
        <v>0</v>
      </c>
      <c r="S50" s="15">
        <f t="shared" si="41"/>
        <v>0</v>
      </c>
      <c r="T50" s="15">
        <f t="shared" si="42"/>
        <v>0</v>
      </c>
      <c r="U50" s="15">
        <f t="shared" si="43"/>
        <v>0</v>
      </c>
      <c r="V50" s="15">
        <f t="shared" si="44"/>
        <v>0</v>
      </c>
      <c r="W50" s="15">
        <f t="shared" si="45"/>
        <v>0</v>
      </c>
      <c r="X50" s="15">
        <f t="shared" si="46"/>
        <v>0</v>
      </c>
      <c r="Y50" s="15">
        <f t="shared" si="47"/>
        <v>0</v>
      </c>
      <c r="Z50" s="15">
        <f t="shared" si="48"/>
        <v>0</v>
      </c>
      <c r="AA50" s="15">
        <f t="shared" si="49"/>
        <v>0</v>
      </c>
      <c r="AB50" s="15">
        <f t="shared" si="50"/>
        <v>0</v>
      </c>
      <c r="AC50" s="15">
        <f t="shared" si="51"/>
        <v>0</v>
      </c>
      <c r="AD50" s="15">
        <f t="shared" si="52"/>
        <v>0</v>
      </c>
      <c r="AE50" s="15">
        <f t="shared" si="53"/>
        <v>0</v>
      </c>
      <c r="AF50" s="15">
        <f t="shared" si="54"/>
        <v>0</v>
      </c>
      <c r="AG50" s="15">
        <f t="shared" si="55"/>
        <v>0</v>
      </c>
      <c r="AH50" s="15">
        <f t="shared" si="56"/>
        <v>0</v>
      </c>
      <c r="AI50" s="15">
        <f t="shared" si="57"/>
        <v>0</v>
      </c>
      <c r="AJ50" s="15">
        <f t="shared" si="58"/>
        <v>0</v>
      </c>
      <c r="AK50" s="15">
        <f t="shared" si="59"/>
        <v>0</v>
      </c>
      <c r="AL50" s="15">
        <f t="shared" si="60"/>
        <v>0</v>
      </c>
      <c r="AM50" s="15">
        <f t="shared" si="61"/>
        <v>0</v>
      </c>
      <c r="AN50" s="15">
        <f t="shared" si="62"/>
        <v>0</v>
      </c>
      <c r="AO50" s="15">
        <f t="shared" si="63"/>
        <v>0</v>
      </c>
      <c r="AP50" s="15">
        <f t="shared" si="64"/>
        <v>0</v>
      </c>
      <c r="AQ50" s="15">
        <f t="shared" si="65"/>
        <v>0</v>
      </c>
      <c r="AR50" s="15">
        <f t="shared" si="66"/>
        <v>0</v>
      </c>
    </row>
    <row r="51" spans="1:44" s="15" customFormat="1" x14ac:dyDescent="0.15">
      <c r="A51" s="19" t="s">
        <v>915</v>
      </c>
      <c r="B51" s="15">
        <f t="shared" si="24"/>
        <v>0</v>
      </c>
      <c r="C51" s="15">
        <f t="shared" si="25"/>
        <v>0</v>
      </c>
      <c r="D51" s="15">
        <f t="shared" si="26"/>
        <v>0</v>
      </c>
      <c r="E51" s="15">
        <f t="shared" si="27"/>
        <v>0</v>
      </c>
      <c r="F51" s="15">
        <f t="shared" si="28"/>
        <v>0</v>
      </c>
      <c r="G51" s="15">
        <f t="shared" si="29"/>
        <v>0</v>
      </c>
      <c r="H51" s="15">
        <f t="shared" si="30"/>
        <v>0</v>
      </c>
      <c r="I51" s="15">
        <f t="shared" si="31"/>
        <v>0</v>
      </c>
      <c r="J51" s="15">
        <f t="shared" si="32"/>
        <v>0</v>
      </c>
      <c r="K51" s="15">
        <f t="shared" si="33"/>
        <v>0</v>
      </c>
      <c r="L51" s="15">
        <f t="shared" si="34"/>
        <v>0</v>
      </c>
      <c r="M51" s="15">
        <f t="shared" si="35"/>
        <v>0</v>
      </c>
      <c r="N51" s="15">
        <f t="shared" si="36"/>
        <v>0</v>
      </c>
      <c r="O51" s="15">
        <f t="shared" si="37"/>
        <v>0</v>
      </c>
      <c r="P51" s="15">
        <f t="shared" si="38"/>
        <v>0</v>
      </c>
      <c r="Q51" s="15">
        <f t="shared" si="39"/>
        <v>0</v>
      </c>
      <c r="R51" s="15">
        <f t="shared" si="40"/>
        <v>0</v>
      </c>
      <c r="S51" s="15">
        <f t="shared" si="41"/>
        <v>0</v>
      </c>
      <c r="T51" s="15">
        <f t="shared" si="42"/>
        <v>0</v>
      </c>
      <c r="U51" s="15">
        <f t="shared" si="43"/>
        <v>0</v>
      </c>
      <c r="V51" s="15">
        <f t="shared" si="44"/>
        <v>0</v>
      </c>
      <c r="W51" s="15">
        <f t="shared" si="45"/>
        <v>0</v>
      </c>
      <c r="X51" s="15">
        <f t="shared" si="46"/>
        <v>0</v>
      </c>
      <c r="Y51" s="15">
        <f t="shared" si="47"/>
        <v>0</v>
      </c>
      <c r="Z51" s="15">
        <f t="shared" si="48"/>
        <v>0</v>
      </c>
      <c r="AA51" s="15">
        <f t="shared" si="49"/>
        <v>0</v>
      </c>
      <c r="AB51" s="15">
        <f t="shared" si="50"/>
        <v>0</v>
      </c>
      <c r="AC51" s="15">
        <f t="shared" si="51"/>
        <v>0</v>
      </c>
      <c r="AD51" s="15">
        <f t="shared" si="52"/>
        <v>0</v>
      </c>
      <c r="AE51" s="15">
        <f t="shared" si="53"/>
        <v>0</v>
      </c>
      <c r="AF51" s="15">
        <f t="shared" si="54"/>
        <v>0</v>
      </c>
      <c r="AG51" s="15">
        <f t="shared" si="55"/>
        <v>0</v>
      </c>
      <c r="AH51" s="15">
        <f t="shared" si="56"/>
        <v>0</v>
      </c>
      <c r="AI51" s="15">
        <f t="shared" si="57"/>
        <v>0</v>
      </c>
      <c r="AJ51" s="15">
        <f t="shared" si="58"/>
        <v>0</v>
      </c>
      <c r="AK51" s="15">
        <f t="shared" si="59"/>
        <v>0</v>
      </c>
      <c r="AL51" s="15">
        <f t="shared" si="60"/>
        <v>0</v>
      </c>
      <c r="AM51" s="15">
        <f t="shared" si="61"/>
        <v>0</v>
      </c>
      <c r="AN51" s="15">
        <f t="shared" si="62"/>
        <v>0</v>
      </c>
      <c r="AO51" s="15">
        <f t="shared" si="63"/>
        <v>0</v>
      </c>
      <c r="AP51" s="15">
        <f t="shared" si="64"/>
        <v>0</v>
      </c>
      <c r="AQ51" s="15">
        <f t="shared" si="65"/>
        <v>0</v>
      </c>
      <c r="AR51" s="15">
        <f t="shared" si="66"/>
        <v>0</v>
      </c>
    </row>
    <row r="52" spans="1:44" s="15" customFormat="1" x14ac:dyDescent="0.15">
      <c r="A52" s="19" t="s">
        <v>916</v>
      </c>
      <c r="B52" s="15">
        <f t="shared" si="24"/>
        <v>0</v>
      </c>
      <c r="C52" s="15">
        <f t="shared" si="25"/>
        <v>0</v>
      </c>
      <c r="D52" s="15">
        <f t="shared" si="26"/>
        <v>0</v>
      </c>
      <c r="E52" s="15">
        <f t="shared" si="27"/>
        <v>0</v>
      </c>
      <c r="F52" s="15">
        <f t="shared" si="28"/>
        <v>0</v>
      </c>
      <c r="G52" s="15">
        <f t="shared" si="29"/>
        <v>0</v>
      </c>
      <c r="H52" s="15">
        <f t="shared" si="30"/>
        <v>0</v>
      </c>
      <c r="I52" s="15">
        <f t="shared" si="31"/>
        <v>0</v>
      </c>
      <c r="J52" s="15">
        <f t="shared" si="32"/>
        <v>0</v>
      </c>
      <c r="K52" s="15">
        <f t="shared" si="33"/>
        <v>0</v>
      </c>
      <c r="L52" s="15">
        <f t="shared" si="34"/>
        <v>0</v>
      </c>
      <c r="M52" s="15">
        <f t="shared" si="35"/>
        <v>0</v>
      </c>
      <c r="N52" s="15">
        <f t="shared" si="36"/>
        <v>0</v>
      </c>
      <c r="O52" s="15">
        <f t="shared" si="37"/>
        <v>0</v>
      </c>
      <c r="P52" s="15">
        <f t="shared" si="38"/>
        <v>0</v>
      </c>
      <c r="Q52" s="15">
        <f t="shared" si="39"/>
        <v>0</v>
      </c>
      <c r="R52" s="15">
        <f t="shared" si="40"/>
        <v>0</v>
      </c>
      <c r="S52" s="15">
        <f t="shared" si="41"/>
        <v>0</v>
      </c>
      <c r="T52" s="15">
        <f t="shared" si="42"/>
        <v>0</v>
      </c>
      <c r="U52" s="15">
        <f t="shared" si="43"/>
        <v>0</v>
      </c>
      <c r="V52" s="15">
        <f t="shared" si="44"/>
        <v>0</v>
      </c>
      <c r="W52" s="15">
        <f t="shared" si="45"/>
        <v>0</v>
      </c>
      <c r="X52" s="15">
        <f t="shared" si="46"/>
        <v>0</v>
      </c>
      <c r="Y52" s="15">
        <f t="shared" si="47"/>
        <v>0</v>
      </c>
      <c r="Z52" s="15">
        <f t="shared" si="48"/>
        <v>0</v>
      </c>
      <c r="AA52" s="15">
        <f t="shared" si="49"/>
        <v>0</v>
      </c>
      <c r="AB52" s="15">
        <f t="shared" si="50"/>
        <v>0</v>
      </c>
      <c r="AC52" s="15">
        <f t="shared" si="51"/>
        <v>0</v>
      </c>
      <c r="AD52" s="15">
        <f t="shared" si="52"/>
        <v>0</v>
      </c>
      <c r="AE52" s="15">
        <f t="shared" si="53"/>
        <v>0</v>
      </c>
      <c r="AF52" s="15">
        <f t="shared" si="54"/>
        <v>0</v>
      </c>
      <c r="AG52" s="15">
        <f t="shared" si="55"/>
        <v>0</v>
      </c>
      <c r="AH52" s="15">
        <f t="shared" si="56"/>
        <v>0</v>
      </c>
      <c r="AI52" s="15">
        <f t="shared" si="57"/>
        <v>0</v>
      </c>
      <c r="AJ52" s="15">
        <f t="shared" si="58"/>
        <v>0</v>
      </c>
      <c r="AK52" s="15">
        <f t="shared" si="59"/>
        <v>0</v>
      </c>
      <c r="AL52" s="15">
        <f t="shared" si="60"/>
        <v>0</v>
      </c>
      <c r="AM52" s="15">
        <f t="shared" si="61"/>
        <v>0</v>
      </c>
      <c r="AN52" s="15">
        <f t="shared" si="62"/>
        <v>0</v>
      </c>
      <c r="AO52" s="15">
        <f t="shared" si="63"/>
        <v>0</v>
      </c>
      <c r="AP52" s="15">
        <f t="shared" si="64"/>
        <v>0</v>
      </c>
      <c r="AQ52" s="15">
        <f t="shared" si="65"/>
        <v>0</v>
      </c>
      <c r="AR52" s="15">
        <f t="shared" si="66"/>
        <v>0</v>
      </c>
    </row>
    <row r="53" spans="1:44" s="15" customFormat="1" x14ac:dyDescent="0.15">
      <c r="A53" s="19" t="s">
        <v>917</v>
      </c>
      <c r="B53" s="15">
        <f t="shared" si="24"/>
        <v>0</v>
      </c>
      <c r="C53" s="15">
        <f t="shared" si="25"/>
        <v>0</v>
      </c>
      <c r="D53" s="15">
        <f t="shared" si="26"/>
        <v>0</v>
      </c>
      <c r="E53" s="15">
        <f t="shared" si="27"/>
        <v>0</v>
      </c>
      <c r="F53" s="15">
        <f t="shared" si="28"/>
        <v>0</v>
      </c>
      <c r="G53" s="15">
        <f t="shared" si="29"/>
        <v>0</v>
      </c>
      <c r="H53" s="15">
        <f t="shared" si="30"/>
        <v>0</v>
      </c>
      <c r="I53" s="15">
        <f t="shared" si="31"/>
        <v>0</v>
      </c>
      <c r="J53" s="15">
        <f t="shared" si="32"/>
        <v>0</v>
      </c>
      <c r="K53" s="15">
        <f t="shared" si="33"/>
        <v>0</v>
      </c>
      <c r="L53" s="15">
        <f t="shared" si="34"/>
        <v>0</v>
      </c>
      <c r="M53" s="15">
        <f t="shared" si="35"/>
        <v>0</v>
      </c>
      <c r="N53" s="15">
        <f t="shared" si="36"/>
        <v>0</v>
      </c>
      <c r="O53" s="15">
        <f t="shared" si="37"/>
        <v>0</v>
      </c>
      <c r="P53" s="15">
        <f t="shared" si="38"/>
        <v>0</v>
      </c>
      <c r="Q53" s="15">
        <f t="shared" si="39"/>
        <v>0</v>
      </c>
      <c r="R53" s="15">
        <f t="shared" si="40"/>
        <v>0</v>
      </c>
      <c r="S53" s="15">
        <f t="shared" si="41"/>
        <v>0</v>
      </c>
      <c r="T53" s="15">
        <f t="shared" si="42"/>
        <v>0</v>
      </c>
      <c r="U53" s="15">
        <f t="shared" si="43"/>
        <v>0</v>
      </c>
      <c r="V53" s="15">
        <f t="shared" si="44"/>
        <v>0</v>
      </c>
      <c r="W53" s="15">
        <f t="shared" si="45"/>
        <v>0</v>
      </c>
      <c r="X53" s="15">
        <f t="shared" si="46"/>
        <v>0</v>
      </c>
      <c r="Y53" s="15">
        <f t="shared" si="47"/>
        <v>0</v>
      </c>
      <c r="Z53" s="15">
        <f t="shared" si="48"/>
        <v>0</v>
      </c>
      <c r="AA53" s="15">
        <f t="shared" si="49"/>
        <v>0</v>
      </c>
      <c r="AB53" s="15">
        <f t="shared" si="50"/>
        <v>0</v>
      </c>
      <c r="AC53" s="15">
        <f t="shared" si="51"/>
        <v>0</v>
      </c>
      <c r="AD53" s="15">
        <f t="shared" si="52"/>
        <v>0</v>
      </c>
      <c r="AE53" s="15">
        <f t="shared" si="53"/>
        <v>0</v>
      </c>
      <c r="AF53" s="15">
        <f t="shared" si="54"/>
        <v>0</v>
      </c>
      <c r="AG53" s="15">
        <f t="shared" si="55"/>
        <v>0</v>
      </c>
      <c r="AH53" s="15">
        <f t="shared" si="56"/>
        <v>0</v>
      </c>
      <c r="AI53" s="15">
        <f t="shared" si="57"/>
        <v>0</v>
      </c>
      <c r="AJ53" s="15">
        <f t="shared" si="58"/>
        <v>0</v>
      </c>
      <c r="AK53" s="15">
        <f t="shared" si="59"/>
        <v>0</v>
      </c>
      <c r="AL53" s="15">
        <f t="shared" si="60"/>
        <v>0</v>
      </c>
      <c r="AM53" s="15">
        <f t="shared" si="61"/>
        <v>0</v>
      </c>
      <c r="AN53" s="15">
        <f t="shared" si="62"/>
        <v>0</v>
      </c>
      <c r="AO53" s="15">
        <f t="shared" si="63"/>
        <v>0</v>
      </c>
      <c r="AP53" s="15">
        <f t="shared" si="64"/>
        <v>0</v>
      </c>
      <c r="AQ53" s="15">
        <f t="shared" si="65"/>
        <v>0</v>
      </c>
      <c r="AR53" s="15">
        <f t="shared" si="66"/>
        <v>0</v>
      </c>
    </row>
    <row r="54" spans="1:44" s="15" customFormat="1" x14ac:dyDescent="0.15">
      <c r="A54" s="19" t="s">
        <v>918</v>
      </c>
      <c r="B54" s="15">
        <f t="shared" si="24"/>
        <v>0</v>
      </c>
      <c r="C54" s="15">
        <f t="shared" si="25"/>
        <v>0</v>
      </c>
      <c r="D54" s="15">
        <f t="shared" si="26"/>
        <v>0</v>
      </c>
      <c r="E54" s="15">
        <f t="shared" si="27"/>
        <v>0</v>
      </c>
      <c r="F54" s="15">
        <f t="shared" si="28"/>
        <v>0</v>
      </c>
      <c r="G54" s="15">
        <f t="shared" si="29"/>
        <v>0</v>
      </c>
      <c r="H54" s="15">
        <f t="shared" si="30"/>
        <v>0</v>
      </c>
      <c r="I54" s="15">
        <f t="shared" si="31"/>
        <v>0</v>
      </c>
      <c r="J54" s="15">
        <f t="shared" si="32"/>
        <v>0</v>
      </c>
      <c r="K54" s="15">
        <f t="shared" si="33"/>
        <v>0</v>
      </c>
      <c r="L54" s="15">
        <f t="shared" si="34"/>
        <v>0</v>
      </c>
      <c r="M54" s="15">
        <f t="shared" si="35"/>
        <v>0</v>
      </c>
      <c r="N54" s="15">
        <f t="shared" si="36"/>
        <v>0</v>
      </c>
      <c r="O54" s="15">
        <f t="shared" si="37"/>
        <v>0</v>
      </c>
      <c r="P54" s="15">
        <f t="shared" si="38"/>
        <v>0</v>
      </c>
      <c r="Q54" s="15">
        <f t="shared" si="39"/>
        <v>0</v>
      </c>
      <c r="R54" s="15">
        <f t="shared" si="40"/>
        <v>0</v>
      </c>
      <c r="S54" s="15">
        <f t="shared" si="41"/>
        <v>0</v>
      </c>
      <c r="T54" s="15">
        <f t="shared" si="42"/>
        <v>0</v>
      </c>
      <c r="U54" s="15">
        <f t="shared" si="43"/>
        <v>0</v>
      </c>
      <c r="V54" s="15">
        <f t="shared" si="44"/>
        <v>0</v>
      </c>
      <c r="W54" s="15">
        <f t="shared" si="45"/>
        <v>0</v>
      </c>
      <c r="X54" s="15">
        <f t="shared" si="46"/>
        <v>0</v>
      </c>
      <c r="Y54" s="15">
        <f t="shared" si="47"/>
        <v>0</v>
      </c>
      <c r="Z54" s="15">
        <f t="shared" si="48"/>
        <v>0</v>
      </c>
      <c r="AA54" s="15">
        <f t="shared" si="49"/>
        <v>0</v>
      </c>
      <c r="AB54" s="15">
        <f t="shared" si="50"/>
        <v>0</v>
      </c>
      <c r="AC54" s="15">
        <f t="shared" si="51"/>
        <v>0</v>
      </c>
      <c r="AD54" s="15">
        <f t="shared" si="52"/>
        <v>0</v>
      </c>
      <c r="AE54" s="15">
        <f t="shared" si="53"/>
        <v>0</v>
      </c>
      <c r="AF54" s="15">
        <f t="shared" si="54"/>
        <v>0</v>
      </c>
      <c r="AG54" s="15">
        <f t="shared" si="55"/>
        <v>0</v>
      </c>
      <c r="AH54" s="15">
        <f t="shared" si="56"/>
        <v>0</v>
      </c>
      <c r="AI54" s="15">
        <f t="shared" si="57"/>
        <v>0</v>
      </c>
      <c r="AJ54" s="15">
        <f t="shared" si="58"/>
        <v>0</v>
      </c>
      <c r="AK54" s="15">
        <f t="shared" si="59"/>
        <v>0</v>
      </c>
      <c r="AL54" s="15">
        <f t="shared" si="60"/>
        <v>0</v>
      </c>
      <c r="AM54" s="15">
        <f t="shared" si="61"/>
        <v>0</v>
      </c>
      <c r="AN54" s="15">
        <f t="shared" si="62"/>
        <v>0</v>
      </c>
      <c r="AO54" s="15">
        <f t="shared" si="63"/>
        <v>0</v>
      </c>
      <c r="AP54" s="15">
        <f t="shared" si="64"/>
        <v>0</v>
      </c>
      <c r="AQ54" s="15">
        <f t="shared" si="65"/>
        <v>0</v>
      </c>
      <c r="AR54" s="15">
        <f t="shared" si="66"/>
        <v>0</v>
      </c>
    </row>
    <row r="55" spans="1:44" s="15" customFormat="1" x14ac:dyDescent="0.15">
      <c r="A55" s="19" t="s">
        <v>919</v>
      </c>
      <c r="B55" s="15">
        <f t="shared" si="24"/>
        <v>0</v>
      </c>
      <c r="C55" s="15">
        <f t="shared" si="25"/>
        <v>0</v>
      </c>
      <c r="D55" s="15">
        <f t="shared" si="26"/>
        <v>0</v>
      </c>
      <c r="E55" s="15">
        <f t="shared" si="27"/>
        <v>0</v>
      </c>
      <c r="F55" s="15">
        <f t="shared" si="28"/>
        <v>0</v>
      </c>
      <c r="G55" s="15">
        <f t="shared" si="29"/>
        <v>0</v>
      </c>
      <c r="H55" s="15">
        <f t="shared" si="30"/>
        <v>0</v>
      </c>
      <c r="I55" s="15">
        <f t="shared" si="31"/>
        <v>0</v>
      </c>
      <c r="J55" s="15">
        <f t="shared" si="32"/>
        <v>0</v>
      </c>
      <c r="K55" s="15">
        <f t="shared" si="33"/>
        <v>0</v>
      </c>
      <c r="L55" s="15">
        <f t="shared" si="34"/>
        <v>0</v>
      </c>
      <c r="M55" s="15">
        <f t="shared" si="35"/>
        <v>0</v>
      </c>
      <c r="N55" s="15">
        <f t="shared" si="36"/>
        <v>0</v>
      </c>
      <c r="O55" s="15">
        <f t="shared" si="37"/>
        <v>0</v>
      </c>
      <c r="P55" s="15">
        <f t="shared" si="38"/>
        <v>0</v>
      </c>
      <c r="Q55" s="15">
        <f t="shared" si="39"/>
        <v>0</v>
      </c>
      <c r="R55" s="15">
        <f t="shared" si="40"/>
        <v>0</v>
      </c>
      <c r="S55" s="15">
        <f t="shared" si="41"/>
        <v>0</v>
      </c>
      <c r="T55" s="15">
        <f t="shared" si="42"/>
        <v>0</v>
      </c>
      <c r="U55" s="15">
        <f t="shared" si="43"/>
        <v>0</v>
      </c>
      <c r="V55" s="15">
        <f t="shared" si="44"/>
        <v>0</v>
      </c>
      <c r="W55" s="15">
        <f t="shared" si="45"/>
        <v>0</v>
      </c>
      <c r="X55" s="15">
        <f t="shared" si="46"/>
        <v>0</v>
      </c>
      <c r="Y55" s="15">
        <f t="shared" si="47"/>
        <v>0</v>
      </c>
      <c r="Z55" s="15">
        <f t="shared" si="48"/>
        <v>0</v>
      </c>
      <c r="AA55" s="15">
        <f t="shared" si="49"/>
        <v>0</v>
      </c>
      <c r="AB55" s="15">
        <f t="shared" si="50"/>
        <v>0</v>
      </c>
      <c r="AC55" s="15">
        <f t="shared" si="51"/>
        <v>0</v>
      </c>
      <c r="AD55" s="15">
        <f t="shared" si="52"/>
        <v>0</v>
      </c>
      <c r="AE55" s="15">
        <f t="shared" si="53"/>
        <v>0</v>
      </c>
      <c r="AF55" s="15">
        <f t="shared" si="54"/>
        <v>0</v>
      </c>
      <c r="AG55" s="15">
        <f t="shared" si="55"/>
        <v>0</v>
      </c>
      <c r="AH55" s="15">
        <f t="shared" si="56"/>
        <v>0</v>
      </c>
      <c r="AI55" s="15">
        <f t="shared" si="57"/>
        <v>0</v>
      </c>
      <c r="AJ55" s="15">
        <f t="shared" si="58"/>
        <v>0</v>
      </c>
      <c r="AK55" s="15">
        <f t="shared" si="59"/>
        <v>0</v>
      </c>
      <c r="AL55" s="15">
        <f t="shared" si="60"/>
        <v>0</v>
      </c>
      <c r="AM55" s="15">
        <f t="shared" si="61"/>
        <v>0</v>
      </c>
      <c r="AN55" s="15">
        <f t="shared" si="62"/>
        <v>0</v>
      </c>
      <c r="AO55" s="15">
        <f t="shared" si="63"/>
        <v>0</v>
      </c>
      <c r="AP55" s="15">
        <f t="shared" si="64"/>
        <v>0</v>
      </c>
      <c r="AQ55" s="15">
        <f t="shared" si="65"/>
        <v>0</v>
      </c>
      <c r="AR55" s="15">
        <f t="shared" si="66"/>
        <v>0</v>
      </c>
    </row>
    <row r="56" spans="1:44" s="15" customFormat="1" x14ac:dyDescent="0.15">
      <c r="A56" s="19" t="s">
        <v>920</v>
      </c>
      <c r="B56" s="15">
        <f t="shared" si="24"/>
        <v>0</v>
      </c>
      <c r="C56" s="15">
        <f t="shared" si="25"/>
        <v>0</v>
      </c>
      <c r="D56" s="15">
        <f t="shared" si="26"/>
        <v>0</v>
      </c>
      <c r="E56" s="15">
        <f t="shared" si="27"/>
        <v>0</v>
      </c>
      <c r="F56" s="15">
        <f t="shared" si="28"/>
        <v>0</v>
      </c>
      <c r="G56" s="15">
        <f t="shared" si="29"/>
        <v>0</v>
      </c>
      <c r="H56" s="15">
        <f t="shared" si="30"/>
        <v>0</v>
      </c>
      <c r="I56" s="15">
        <f t="shared" si="31"/>
        <v>0</v>
      </c>
      <c r="J56" s="15">
        <f t="shared" si="32"/>
        <v>0</v>
      </c>
      <c r="K56" s="15">
        <f t="shared" si="33"/>
        <v>0</v>
      </c>
      <c r="L56" s="15">
        <f t="shared" si="34"/>
        <v>0</v>
      </c>
      <c r="M56" s="15">
        <f t="shared" si="35"/>
        <v>0</v>
      </c>
      <c r="N56" s="15">
        <f t="shared" si="36"/>
        <v>0</v>
      </c>
      <c r="O56" s="15">
        <f t="shared" si="37"/>
        <v>0</v>
      </c>
      <c r="P56" s="15">
        <f t="shared" si="38"/>
        <v>0</v>
      </c>
      <c r="Q56" s="15">
        <f t="shared" si="39"/>
        <v>0</v>
      </c>
      <c r="R56" s="15">
        <f t="shared" si="40"/>
        <v>0</v>
      </c>
      <c r="S56" s="15">
        <f t="shared" si="41"/>
        <v>0</v>
      </c>
      <c r="T56" s="15">
        <f t="shared" si="42"/>
        <v>0</v>
      </c>
      <c r="U56" s="15">
        <f t="shared" si="43"/>
        <v>0</v>
      </c>
      <c r="V56" s="15">
        <f t="shared" si="44"/>
        <v>0</v>
      </c>
      <c r="W56" s="15">
        <f t="shared" si="45"/>
        <v>0</v>
      </c>
      <c r="X56" s="15">
        <f t="shared" si="46"/>
        <v>0</v>
      </c>
      <c r="Y56" s="15">
        <f t="shared" si="47"/>
        <v>0</v>
      </c>
      <c r="Z56" s="15">
        <f t="shared" si="48"/>
        <v>0</v>
      </c>
      <c r="AA56" s="15">
        <f t="shared" si="49"/>
        <v>0</v>
      </c>
      <c r="AB56" s="15">
        <f t="shared" si="50"/>
        <v>0</v>
      </c>
      <c r="AC56" s="15">
        <f t="shared" si="51"/>
        <v>0</v>
      </c>
      <c r="AD56" s="15">
        <f t="shared" si="52"/>
        <v>0</v>
      </c>
      <c r="AE56" s="15">
        <f t="shared" si="53"/>
        <v>0</v>
      </c>
      <c r="AF56" s="15">
        <f t="shared" si="54"/>
        <v>0</v>
      </c>
      <c r="AG56" s="15">
        <f t="shared" si="55"/>
        <v>0</v>
      </c>
      <c r="AH56" s="15">
        <f t="shared" si="56"/>
        <v>0</v>
      </c>
      <c r="AI56" s="15">
        <f t="shared" si="57"/>
        <v>0</v>
      </c>
      <c r="AJ56" s="15">
        <f t="shared" si="58"/>
        <v>0</v>
      </c>
      <c r="AK56" s="15">
        <f t="shared" si="59"/>
        <v>0</v>
      </c>
      <c r="AL56" s="15">
        <f t="shared" si="60"/>
        <v>0</v>
      </c>
      <c r="AM56" s="15">
        <f t="shared" si="61"/>
        <v>0</v>
      </c>
      <c r="AN56" s="15">
        <f t="shared" si="62"/>
        <v>0</v>
      </c>
      <c r="AO56" s="15">
        <f t="shared" si="63"/>
        <v>0</v>
      </c>
      <c r="AP56" s="15">
        <f t="shared" si="64"/>
        <v>0</v>
      </c>
      <c r="AQ56" s="15">
        <f t="shared" si="65"/>
        <v>0</v>
      </c>
      <c r="AR56" s="15">
        <f t="shared" si="66"/>
        <v>0</v>
      </c>
    </row>
    <row r="57" spans="1:44" s="15" customFormat="1" x14ac:dyDescent="0.15">
      <c r="A57" s="19" t="s">
        <v>921</v>
      </c>
      <c r="B57" s="15">
        <f t="shared" si="24"/>
        <v>0</v>
      </c>
      <c r="C57" s="15">
        <f t="shared" si="25"/>
        <v>0</v>
      </c>
      <c r="D57" s="15">
        <f t="shared" si="26"/>
        <v>0</v>
      </c>
      <c r="E57" s="15">
        <f t="shared" si="27"/>
        <v>0</v>
      </c>
      <c r="F57" s="15">
        <f t="shared" si="28"/>
        <v>0</v>
      </c>
      <c r="G57" s="15">
        <f t="shared" si="29"/>
        <v>0</v>
      </c>
      <c r="H57" s="15">
        <f t="shared" si="30"/>
        <v>0</v>
      </c>
      <c r="I57" s="15">
        <f t="shared" si="31"/>
        <v>0</v>
      </c>
      <c r="J57" s="15">
        <f t="shared" si="32"/>
        <v>0</v>
      </c>
      <c r="K57" s="15">
        <f t="shared" si="33"/>
        <v>0</v>
      </c>
      <c r="L57" s="15">
        <f t="shared" si="34"/>
        <v>0</v>
      </c>
      <c r="M57" s="15">
        <f t="shared" si="35"/>
        <v>0</v>
      </c>
      <c r="N57" s="15">
        <f t="shared" si="36"/>
        <v>0</v>
      </c>
      <c r="O57" s="15">
        <f t="shared" si="37"/>
        <v>0</v>
      </c>
      <c r="P57" s="15">
        <f t="shared" si="38"/>
        <v>0</v>
      </c>
      <c r="Q57" s="15">
        <f t="shared" si="39"/>
        <v>0</v>
      </c>
      <c r="R57" s="15">
        <f t="shared" si="40"/>
        <v>0</v>
      </c>
      <c r="S57" s="15">
        <f t="shared" si="41"/>
        <v>0</v>
      </c>
      <c r="T57" s="15">
        <f t="shared" si="42"/>
        <v>0</v>
      </c>
      <c r="U57" s="15">
        <f t="shared" si="43"/>
        <v>0</v>
      </c>
      <c r="V57" s="15">
        <f t="shared" si="44"/>
        <v>0</v>
      </c>
      <c r="W57" s="15">
        <f t="shared" si="45"/>
        <v>0</v>
      </c>
      <c r="X57" s="15">
        <f t="shared" si="46"/>
        <v>0</v>
      </c>
      <c r="Y57" s="15">
        <f t="shared" si="47"/>
        <v>0</v>
      </c>
      <c r="Z57" s="15">
        <f t="shared" si="48"/>
        <v>0</v>
      </c>
      <c r="AA57" s="15">
        <f t="shared" si="49"/>
        <v>0</v>
      </c>
      <c r="AB57" s="15">
        <f t="shared" si="50"/>
        <v>0</v>
      </c>
      <c r="AC57" s="15">
        <f t="shared" si="51"/>
        <v>0</v>
      </c>
      <c r="AD57" s="15">
        <f t="shared" si="52"/>
        <v>0</v>
      </c>
      <c r="AE57" s="15">
        <f t="shared" si="53"/>
        <v>0</v>
      </c>
      <c r="AF57" s="15">
        <f t="shared" si="54"/>
        <v>0</v>
      </c>
      <c r="AG57" s="15">
        <f t="shared" si="55"/>
        <v>0</v>
      </c>
      <c r="AH57" s="15">
        <f t="shared" si="56"/>
        <v>0</v>
      </c>
      <c r="AI57" s="15">
        <f t="shared" si="57"/>
        <v>0</v>
      </c>
      <c r="AJ57" s="15">
        <f t="shared" si="58"/>
        <v>0</v>
      </c>
      <c r="AK57" s="15">
        <f t="shared" si="59"/>
        <v>0</v>
      </c>
      <c r="AL57" s="15">
        <f t="shared" si="60"/>
        <v>0</v>
      </c>
      <c r="AM57" s="15">
        <f t="shared" si="61"/>
        <v>0</v>
      </c>
      <c r="AN57" s="15">
        <f t="shared" si="62"/>
        <v>0</v>
      </c>
      <c r="AO57" s="15">
        <f t="shared" si="63"/>
        <v>0</v>
      </c>
      <c r="AP57" s="15">
        <f t="shared" si="64"/>
        <v>0</v>
      </c>
      <c r="AQ57" s="15">
        <f t="shared" si="65"/>
        <v>0</v>
      </c>
      <c r="AR57" s="15">
        <f t="shared" si="66"/>
        <v>0</v>
      </c>
    </row>
    <row r="58" spans="1:44" s="15" customFormat="1" x14ac:dyDescent="0.15">
      <c r="A58" s="19" t="s">
        <v>911</v>
      </c>
      <c r="B58" s="15">
        <f>BAU建筑总能耗计算!B$4*$D$16</f>
        <v>0</v>
      </c>
      <c r="C58" s="15">
        <f>BAU建筑总能耗计算!C$4*$D$16</f>
        <v>0</v>
      </c>
      <c r="D58" s="15">
        <f>BAU建筑总能耗计算!D$4*$D$16</f>
        <v>0</v>
      </c>
      <c r="E58" s="15">
        <f>BAU建筑总能耗计算!E$4*$D$16</f>
        <v>0</v>
      </c>
      <c r="F58" s="15">
        <f>BAU建筑总能耗计算!F$4*$D$16</f>
        <v>0</v>
      </c>
      <c r="G58" s="15">
        <f>BAU建筑总能耗计算!G$4*$D$16</f>
        <v>0</v>
      </c>
      <c r="H58" s="15">
        <f>BAU建筑总能耗计算!H$4*$D$16</f>
        <v>0</v>
      </c>
      <c r="I58" s="15">
        <f>BAU建筑总能耗计算!I$4*$D$16</f>
        <v>0</v>
      </c>
      <c r="J58" s="15">
        <f>BAU建筑总能耗计算!J$4*$D$16</f>
        <v>0</v>
      </c>
      <c r="K58" s="15">
        <f>BAU建筑总能耗计算!K$4*$D$16</f>
        <v>0</v>
      </c>
      <c r="L58" s="15">
        <f>BAU建筑总能耗计算!L$4*$D$16</f>
        <v>0</v>
      </c>
      <c r="M58" s="15">
        <f>BAU建筑总能耗计算!M$4*$D$16</f>
        <v>0</v>
      </c>
      <c r="N58" s="15">
        <f>BAU建筑总能耗计算!N$4*$D$16</f>
        <v>0</v>
      </c>
      <c r="O58" s="15">
        <f>BAU建筑总能耗计算!O$4*$D$16</f>
        <v>0</v>
      </c>
      <c r="P58" s="15">
        <f>BAU建筑总能耗计算!P$4*$D$16</f>
        <v>0</v>
      </c>
      <c r="Q58" s="15">
        <f>BAU建筑总能耗计算!Q$4*$D$16</f>
        <v>0</v>
      </c>
      <c r="R58" s="15">
        <f>BAU建筑总能耗计算!R$4*$D$16</f>
        <v>0</v>
      </c>
      <c r="S58" s="15">
        <f>BAU建筑总能耗计算!S$4*$D$16</f>
        <v>0</v>
      </c>
      <c r="T58" s="15">
        <f>BAU建筑总能耗计算!T$4*$D$16</f>
        <v>0</v>
      </c>
      <c r="U58" s="15">
        <f>BAU建筑总能耗计算!U$4*$D$16</f>
        <v>0</v>
      </c>
      <c r="V58" s="15">
        <f>BAU建筑总能耗计算!V$4*$D$16</f>
        <v>0</v>
      </c>
      <c r="W58" s="15">
        <f>BAU建筑总能耗计算!W$4*$D$16</f>
        <v>0</v>
      </c>
      <c r="X58" s="15">
        <f>BAU建筑总能耗计算!X$4*$D$16</f>
        <v>0</v>
      </c>
      <c r="Y58" s="15">
        <f>BAU建筑总能耗计算!Y$4*$D$16</f>
        <v>0</v>
      </c>
      <c r="Z58" s="15">
        <f>BAU建筑总能耗计算!Z$4*$D$16</f>
        <v>0</v>
      </c>
      <c r="AA58" s="15">
        <f>BAU建筑总能耗计算!AA$4*$D$16</f>
        <v>0</v>
      </c>
      <c r="AB58" s="15">
        <f>BAU建筑总能耗计算!AB$4*$D$16</f>
        <v>0</v>
      </c>
      <c r="AC58" s="15">
        <f>BAU建筑总能耗计算!AC$4*$D$16</f>
        <v>0</v>
      </c>
      <c r="AD58" s="15">
        <f>BAU建筑总能耗计算!AD$4*$D$16</f>
        <v>0</v>
      </c>
      <c r="AE58" s="15">
        <f>BAU建筑总能耗计算!AE$4*$D$16</f>
        <v>0</v>
      </c>
      <c r="AF58" s="15">
        <f>BAU建筑总能耗计算!AF$4*$D$16</f>
        <v>0</v>
      </c>
      <c r="AG58" s="15">
        <f>BAU建筑总能耗计算!AG$4*$D$16</f>
        <v>0</v>
      </c>
      <c r="AH58" s="15">
        <f>BAU建筑总能耗计算!AH$4*$D$16</f>
        <v>0</v>
      </c>
      <c r="AI58" s="15">
        <f>BAU建筑总能耗计算!AI$4*$D$16</f>
        <v>0</v>
      </c>
      <c r="AJ58" s="15">
        <f>BAU建筑总能耗计算!AJ$4*$D$16</f>
        <v>0</v>
      </c>
      <c r="AK58" s="15">
        <f>BAU建筑总能耗计算!AK$4*$D$16</f>
        <v>0</v>
      </c>
      <c r="AL58" s="15">
        <f>BAU建筑总能耗计算!AL$4*$D$16</f>
        <v>0</v>
      </c>
      <c r="AM58" s="15">
        <f>BAU建筑总能耗计算!AM$4*$D$16</f>
        <v>0</v>
      </c>
      <c r="AN58" s="15">
        <f>BAU建筑总能耗计算!AN$4*$D$16</f>
        <v>0</v>
      </c>
      <c r="AO58" s="15">
        <f>BAU建筑总能耗计算!AO$4*$D$16</f>
        <v>0</v>
      </c>
      <c r="AP58" s="15">
        <f>BAU建筑总能耗计算!AP$4*$D$16</f>
        <v>0</v>
      </c>
      <c r="AQ58" s="15">
        <f>BAU建筑总能耗计算!AQ$4*$D$16</f>
        <v>0</v>
      </c>
      <c r="AR58" s="15">
        <f>BAU建筑总能耗计算!AR$4*$D$16</f>
        <v>0</v>
      </c>
    </row>
    <row r="59" spans="1:44" s="15" customFormat="1" x14ac:dyDescent="0.15"/>
    <row r="60" spans="1:44" s="19" customFormat="1" x14ac:dyDescent="0.15">
      <c r="A60" s="18" t="s">
        <v>13</v>
      </c>
      <c r="B60" s="19">
        <v>2018</v>
      </c>
      <c r="C60" s="19">
        <v>2019</v>
      </c>
      <c r="D60" s="19">
        <v>2020</v>
      </c>
      <c r="E60" s="19">
        <v>2021</v>
      </c>
      <c r="F60" s="19">
        <v>2022</v>
      </c>
      <c r="G60" s="19">
        <v>2023</v>
      </c>
      <c r="H60" s="19">
        <v>2024</v>
      </c>
      <c r="I60" s="19">
        <v>2025</v>
      </c>
      <c r="J60" s="19">
        <v>2026</v>
      </c>
      <c r="K60" s="19">
        <v>2027</v>
      </c>
      <c r="L60" s="19">
        <v>2028</v>
      </c>
      <c r="M60" s="19">
        <v>2029</v>
      </c>
      <c r="N60" s="19">
        <v>2030</v>
      </c>
      <c r="O60" s="19">
        <v>2031</v>
      </c>
      <c r="P60" s="19">
        <v>2032</v>
      </c>
      <c r="Q60" s="19">
        <v>2033</v>
      </c>
      <c r="R60" s="19">
        <v>2034</v>
      </c>
      <c r="S60" s="19">
        <v>2035</v>
      </c>
      <c r="T60" s="19">
        <v>2036</v>
      </c>
      <c r="U60" s="19">
        <v>2037</v>
      </c>
      <c r="V60" s="19">
        <v>2038</v>
      </c>
      <c r="W60" s="19">
        <v>2039</v>
      </c>
      <c r="X60" s="19">
        <v>2040</v>
      </c>
      <c r="Y60" s="19">
        <v>2041</v>
      </c>
      <c r="Z60" s="19">
        <v>2042</v>
      </c>
      <c r="AA60" s="19">
        <v>2043</v>
      </c>
      <c r="AB60" s="19">
        <v>2044</v>
      </c>
      <c r="AC60" s="19">
        <v>2045</v>
      </c>
      <c r="AD60" s="19">
        <v>2046</v>
      </c>
      <c r="AE60" s="19">
        <v>2047</v>
      </c>
      <c r="AF60" s="19">
        <v>2048</v>
      </c>
      <c r="AG60" s="19">
        <v>2049</v>
      </c>
      <c r="AH60" s="19">
        <v>2050</v>
      </c>
      <c r="AI60" s="19">
        <v>2051</v>
      </c>
      <c r="AJ60" s="19">
        <v>2052</v>
      </c>
      <c r="AK60" s="19">
        <v>2053</v>
      </c>
      <c r="AL60" s="19">
        <v>2054</v>
      </c>
      <c r="AM60" s="19">
        <v>2055</v>
      </c>
      <c r="AN60" s="19">
        <v>2056</v>
      </c>
      <c r="AO60" s="19">
        <v>2057</v>
      </c>
      <c r="AP60" s="19">
        <v>2058</v>
      </c>
      <c r="AQ60" s="19">
        <v>2059</v>
      </c>
      <c r="AR60" s="19">
        <v>2060</v>
      </c>
    </row>
    <row r="61" spans="1:44" s="15" customFormat="1" x14ac:dyDescent="0.15">
      <c r="A61" s="19" t="s">
        <v>912</v>
      </c>
      <c r="B61" s="16">
        <f t="shared" ref="B61:AR61" si="67">B$71*$E4/$E$14</f>
        <v>1002.5607770434673</v>
      </c>
      <c r="C61" s="16">
        <f t="shared" si="67"/>
        <v>1023.26860223469</v>
      </c>
      <c r="D61" s="16">
        <f t="shared" si="67"/>
        <v>1050.605415128513</v>
      </c>
      <c r="E61" s="16">
        <f t="shared" si="67"/>
        <v>1064.6003841565268</v>
      </c>
      <c r="F61" s="16">
        <f t="shared" si="67"/>
        <v>1078.2571266372479</v>
      </c>
      <c r="G61" s="16">
        <f t="shared" si="67"/>
        <v>1091.5681109684224</v>
      </c>
      <c r="H61" s="16">
        <f t="shared" si="67"/>
        <v>1104.5265181679781</v>
      </c>
      <c r="I61" s="16">
        <f t="shared" si="67"/>
        <v>1117.1263504991007</v>
      </c>
      <c r="J61" s="16">
        <f t="shared" si="67"/>
        <v>1129.3623803294847</v>
      </c>
      <c r="K61" s="16">
        <f t="shared" si="67"/>
        <v>1141.2303043528213</v>
      </c>
      <c r="L61" s="16">
        <f t="shared" si="67"/>
        <v>1152.7266952918385</v>
      </c>
      <c r="M61" s="16">
        <f t="shared" si="67"/>
        <v>1163.8491066010322</v>
      </c>
      <c r="N61" s="16">
        <f t="shared" si="67"/>
        <v>1174.5961095831592</v>
      </c>
      <c r="O61" s="16">
        <f t="shared" si="67"/>
        <v>1184.9673214002112</v>
      </c>
      <c r="P61" s="16">
        <f t="shared" si="67"/>
        <v>1194.9635195232217</v>
      </c>
      <c r="Q61" s="16">
        <f t="shared" si="67"/>
        <v>1204.5866136754059</v>
      </c>
      <c r="R61" s="16">
        <f t="shared" si="67"/>
        <v>1213.8397738675894</v>
      </c>
      <c r="S61" s="16">
        <f t="shared" si="67"/>
        <v>1222.7274442189828</v>
      </c>
      <c r="T61" s="16">
        <f t="shared" si="67"/>
        <v>1231.2554221094433</v>
      </c>
      <c r="U61" s="16">
        <f t="shared" si="67"/>
        <v>1239.4309366474833</v>
      </c>
      <c r="V61" s="16">
        <f t="shared" si="67"/>
        <v>1247.2626545994851</v>
      </c>
      <c r="W61" s="16">
        <f t="shared" si="67"/>
        <v>1254.760805700523</v>
      </c>
      <c r="X61" s="16">
        <f t="shared" si="67"/>
        <v>1261.9372313328834</v>
      </c>
      <c r="Y61" s="16">
        <f t="shared" si="67"/>
        <v>1268.8054588589621</v>
      </c>
      <c r="Z61" s="16">
        <f t="shared" si="67"/>
        <v>1275.3807405027671</v>
      </c>
      <c r="AA61" s="16">
        <f t="shared" si="67"/>
        <v>1281.6801526564684</v>
      </c>
      <c r="AB61" s="16">
        <f t="shared" si="67"/>
        <v>1287.7227070338363</v>
      </c>
      <c r="AC61" s="16">
        <f t="shared" si="67"/>
        <v>1293.5293590069807</v>
      </c>
      <c r="AD61" s="16">
        <f t="shared" si="67"/>
        <v>1299.1231056238657</v>
      </c>
      <c r="AE61" s="16">
        <f t="shared" si="67"/>
        <v>1304.5291435362631</v>
      </c>
      <c r="AF61" s="16">
        <f t="shared" si="67"/>
        <v>1309.7748403536252</v>
      </c>
      <c r="AG61" s="16">
        <f t="shared" si="67"/>
        <v>1314.8898824338003</v>
      </c>
      <c r="AH61" s="16">
        <f t="shared" si="67"/>
        <v>1319.9063905282505</v>
      </c>
      <c r="AI61" s="16">
        <f t="shared" si="67"/>
        <v>1324.8589209477086</v>
      </c>
      <c r="AJ61" s="16">
        <f t="shared" si="67"/>
        <v>1329.7846865630429</v>
      </c>
      <c r="AK61" s="16">
        <f t="shared" si="67"/>
        <v>1334.7235064568438</v>
      </c>
      <c r="AL61" s="16">
        <f t="shared" si="67"/>
        <v>1339.7180508181796</v>
      </c>
      <c r="AM61" s="16">
        <f t="shared" si="67"/>
        <v>1344.8138522481729</v>
      </c>
      <c r="AN61" s="16">
        <f t="shared" si="67"/>
        <v>1350.0594289452188</v>
      </c>
      <c r="AO61" s="16">
        <f t="shared" si="67"/>
        <v>1355.5063971603017</v>
      </c>
      <c r="AP61" s="16">
        <f t="shared" si="67"/>
        <v>1361.2095868516228</v>
      </c>
      <c r="AQ61" s="16">
        <f t="shared" si="67"/>
        <v>1367.2271879493812</v>
      </c>
      <c r="AR61" s="16">
        <f t="shared" si="67"/>
        <v>1373.6207845515964</v>
      </c>
    </row>
    <row r="62" spans="1:44" s="15" customFormat="1" x14ac:dyDescent="0.15">
      <c r="A62" s="19" t="s">
        <v>913</v>
      </c>
      <c r="B62" s="16">
        <f t="shared" ref="B62:AR62" si="68">B$71*$E5/$E$14</f>
        <v>0</v>
      </c>
      <c r="C62" s="16">
        <f t="shared" si="68"/>
        <v>0</v>
      </c>
      <c r="D62" s="16">
        <f t="shared" si="68"/>
        <v>0</v>
      </c>
      <c r="E62" s="16">
        <f t="shared" si="68"/>
        <v>0</v>
      </c>
      <c r="F62" s="16">
        <f t="shared" si="68"/>
        <v>0</v>
      </c>
      <c r="G62" s="16">
        <f t="shared" si="68"/>
        <v>0</v>
      </c>
      <c r="H62" s="16">
        <f t="shared" si="68"/>
        <v>0</v>
      </c>
      <c r="I62" s="16">
        <f t="shared" si="68"/>
        <v>0</v>
      </c>
      <c r="J62" s="16">
        <f t="shared" si="68"/>
        <v>0</v>
      </c>
      <c r="K62" s="16">
        <f t="shared" si="68"/>
        <v>0</v>
      </c>
      <c r="L62" s="16">
        <f t="shared" si="68"/>
        <v>0</v>
      </c>
      <c r="M62" s="16">
        <f t="shared" si="68"/>
        <v>0</v>
      </c>
      <c r="N62" s="16">
        <f t="shared" si="68"/>
        <v>0</v>
      </c>
      <c r="O62" s="16">
        <f t="shared" si="68"/>
        <v>0</v>
      </c>
      <c r="P62" s="16">
        <f t="shared" si="68"/>
        <v>0</v>
      </c>
      <c r="Q62" s="16">
        <f t="shared" si="68"/>
        <v>0</v>
      </c>
      <c r="R62" s="16">
        <f t="shared" si="68"/>
        <v>0</v>
      </c>
      <c r="S62" s="16">
        <f t="shared" si="68"/>
        <v>0</v>
      </c>
      <c r="T62" s="16">
        <f t="shared" si="68"/>
        <v>0</v>
      </c>
      <c r="U62" s="16">
        <f t="shared" si="68"/>
        <v>0</v>
      </c>
      <c r="V62" s="16">
        <f t="shared" si="68"/>
        <v>0</v>
      </c>
      <c r="W62" s="16">
        <f t="shared" si="68"/>
        <v>0</v>
      </c>
      <c r="X62" s="16">
        <f t="shared" si="68"/>
        <v>0</v>
      </c>
      <c r="Y62" s="16">
        <f t="shared" si="68"/>
        <v>0</v>
      </c>
      <c r="Z62" s="16">
        <f t="shared" si="68"/>
        <v>0</v>
      </c>
      <c r="AA62" s="16">
        <f t="shared" si="68"/>
        <v>0</v>
      </c>
      <c r="AB62" s="16">
        <f t="shared" si="68"/>
        <v>0</v>
      </c>
      <c r="AC62" s="16">
        <f t="shared" si="68"/>
        <v>0</v>
      </c>
      <c r="AD62" s="16">
        <f t="shared" si="68"/>
        <v>0</v>
      </c>
      <c r="AE62" s="16">
        <f t="shared" si="68"/>
        <v>0</v>
      </c>
      <c r="AF62" s="16">
        <f t="shared" si="68"/>
        <v>0</v>
      </c>
      <c r="AG62" s="16">
        <f t="shared" si="68"/>
        <v>0</v>
      </c>
      <c r="AH62" s="16">
        <f t="shared" si="68"/>
        <v>0</v>
      </c>
      <c r="AI62" s="16">
        <f t="shared" si="68"/>
        <v>0</v>
      </c>
      <c r="AJ62" s="16">
        <f t="shared" si="68"/>
        <v>0</v>
      </c>
      <c r="AK62" s="16">
        <f t="shared" si="68"/>
        <v>0</v>
      </c>
      <c r="AL62" s="16">
        <f t="shared" si="68"/>
        <v>0</v>
      </c>
      <c r="AM62" s="16">
        <f t="shared" si="68"/>
        <v>0</v>
      </c>
      <c r="AN62" s="16">
        <f t="shared" si="68"/>
        <v>0</v>
      </c>
      <c r="AO62" s="16">
        <f t="shared" si="68"/>
        <v>0</v>
      </c>
      <c r="AP62" s="16">
        <f t="shared" si="68"/>
        <v>0</v>
      </c>
      <c r="AQ62" s="16">
        <f t="shared" si="68"/>
        <v>0</v>
      </c>
      <c r="AR62" s="16">
        <f t="shared" si="68"/>
        <v>0</v>
      </c>
    </row>
    <row r="63" spans="1:44" s="15" customFormat="1" x14ac:dyDescent="0.15">
      <c r="A63" s="19" t="s">
        <v>914</v>
      </c>
      <c r="B63" s="16">
        <f t="shared" ref="B63:AR63" si="69">B$71*$E6/$E$14</f>
        <v>0</v>
      </c>
      <c r="C63" s="16">
        <f t="shared" si="69"/>
        <v>0</v>
      </c>
      <c r="D63" s="16">
        <f t="shared" si="69"/>
        <v>0</v>
      </c>
      <c r="E63" s="16">
        <f t="shared" si="69"/>
        <v>0</v>
      </c>
      <c r="F63" s="16">
        <f t="shared" si="69"/>
        <v>0</v>
      </c>
      <c r="G63" s="16">
        <f t="shared" si="69"/>
        <v>0</v>
      </c>
      <c r="H63" s="16">
        <f t="shared" si="69"/>
        <v>0</v>
      </c>
      <c r="I63" s="16">
        <f t="shared" si="69"/>
        <v>0</v>
      </c>
      <c r="J63" s="16">
        <f t="shared" si="69"/>
        <v>0</v>
      </c>
      <c r="K63" s="16">
        <f t="shared" si="69"/>
        <v>0</v>
      </c>
      <c r="L63" s="16">
        <f t="shared" si="69"/>
        <v>0</v>
      </c>
      <c r="M63" s="16">
        <f t="shared" si="69"/>
        <v>0</v>
      </c>
      <c r="N63" s="16">
        <f t="shared" si="69"/>
        <v>0</v>
      </c>
      <c r="O63" s="16">
        <f t="shared" si="69"/>
        <v>0</v>
      </c>
      <c r="P63" s="16">
        <f t="shared" si="69"/>
        <v>0</v>
      </c>
      <c r="Q63" s="16">
        <f t="shared" si="69"/>
        <v>0</v>
      </c>
      <c r="R63" s="16">
        <f t="shared" si="69"/>
        <v>0</v>
      </c>
      <c r="S63" s="16">
        <f t="shared" si="69"/>
        <v>0</v>
      </c>
      <c r="T63" s="16">
        <f t="shared" si="69"/>
        <v>0</v>
      </c>
      <c r="U63" s="16">
        <f t="shared" si="69"/>
        <v>0</v>
      </c>
      <c r="V63" s="16">
        <f t="shared" si="69"/>
        <v>0</v>
      </c>
      <c r="W63" s="16">
        <f t="shared" si="69"/>
        <v>0</v>
      </c>
      <c r="X63" s="16">
        <f t="shared" si="69"/>
        <v>0</v>
      </c>
      <c r="Y63" s="16">
        <f t="shared" si="69"/>
        <v>0</v>
      </c>
      <c r="Z63" s="16">
        <f t="shared" si="69"/>
        <v>0</v>
      </c>
      <c r="AA63" s="16">
        <f t="shared" si="69"/>
        <v>0</v>
      </c>
      <c r="AB63" s="16">
        <f t="shared" si="69"/>
        <v>0</v>
      </c>
      <c r="AC63" s="16">
        <f t="shared" si="69"/>
        <v>0</v>
      </c>
      <c r="AD63" s="16">
        <f t="shared" si="69"/>
        <v>0</v>
      </c>
      <c r="AE63" s="16">
        <f t="shared" si="69"/>
        <v>0</v>
      </c>
      <c r="AF63" s="16">
        <f t="shared" si="69"/>
        <v>0</v>
      </c>
      <c r="AG63" s="16">
        <f t="shared" si="69"/>
        <v>0</v>
      </c>
      <c r="AH63" s="16">
        <f t="shared" si="69"/>
        <v>0</v>
      </c>
      <c r="AI63" s="16">
        <f t="shared" si="69"/>
        <v>0</v>
      </c>
      <c r="AJ63" s="16">
        <f t="shared" si="69"/>
        <v>0</v>
      </c>
      <c r="AK63" s="16">
        <f t="shared" si="69"/>
        <v>0</v>
      </c>
      <c r="AL63" s="16">
        <f t="shared" si="69"/>
        <v>0</v>
      </c>
      <c r="AM63" s="16">
        <f t="shared" si="69"/>
        <v>0</v>
      </c>
      <c r="AN63" s="16">
        <f t="shared" si="69"/>
        <v>0</v>
      </c>
      <c r="AO63" s="16">
        <f t="shared" si="69"/>
        <v>0</v>
      </c>
      <c r="AP63" s="16">
        <f t="shared" si="69"/>
        <v>0</v>
      </c>
      <c r="AQ63" s="16">
        <f t="shared" si="69"/>
        <v>0</v>
      </c>
      <c r="AR63" s="16">
        <f t="shared" si="69"/>
        <v>0</v>
      </c>
    </row>
    <row r="64" spans="1:44" s="15" customFormat="1" x14ac:dyDescent="0.15">
      <c r="A64" s="19" t="s">
        <v>915</v>
      </c>
      <c r="B64" s="16">
        <f t="shared" ref="B64:AR64" si="70">B$71*$E7/$E$14</f>
        <v>0</v>
      </c>
      <c r="C64" s="16">
        <f t="shared" si="70"/>
        <v>0</v>
      </c>
      <c r="D64" s="16">
        <f t="shared" si="70"/>
        <v>0</v>
      </c>
      <c r="E64" s="16">
        <f t="shared" si="70"/>
        <v>0</v>
      </c>
      <c r="F64" s="16">
        <f t="shared" si="70"/>
        <v>0</v>
      </c>
      <c r="G64" s="16">
        <f t="shared" si="70"/>
        <v>0</v>
      </c>
      <c r="H64" s="16">
        <f t="shared" si="70"/>
        <v>0</v>
      </c>
      <c r="I64" s="16">
        <f t="shared" si="70"/>
        <v>0</v>
      </c>
      <c r="J64" s="16">
        <f t="shared" si="70"/>
        <v>0</v>
      </c>
      <c r="K64" s="16">
        <f t="shared" si="70"/>
        <v>0</v>
      </c>
      <c r="L64" s="16">
        <f t="shared" si="70"/>
        <v>0</v>
      </c>
      <c r="M64" s="16">
        <f t="shared" si="70"/>
        <v>0</v>
      </c>
      <c r="N64" s="16">
        <f t="shared" si="70"/>
        <v>0</v>
      </c>
      <c r="O64" s="16">
        <f t="shared" si="70"/>
        <v>0</v>
      </c>
      <c r="P64" s="16">
        <f t="shared" si="70"/>
        <v>0</v>
      </c>
      <c r="Q64" s="16">
        <f t="shared" si="70"/>
        <v>0</v>
      </c>
      <c r="R64" s="16">
        <f t="shared" si="70"/>
        <v>0</v>
      </c>
      <c r="S64" s="16">
        <f t="shared" si="70"/>
        <v>0</v>
      </c>
      <c r="T64" s="16">
        <f t="shared" si="70"/>
        <v>0</v>
      </c>
      <c r="U64" s="16">
        <f t="shared" si="70"/>
        <v>0</v>
      </c>
      <c r="V64" s="16">
        <f t="shared" si="70"/>
        <v>0</v>
      </c>
      <c r="W64" s="16">
        <f t="shared" si="70"/>
        <v>0</v>
      </c>
      <c r="X64" s="16">
        <f t="shared" si="70"/>
        <v>0</v>
      </c>
      <c r="Y64" s="16">
        <f t="shared" si="70"/>
        <v>0</v>
      </c>
      <c r="Z64" s="16">
        <f t="shared" si="70"/>
        <v>0</v>
      </c>
      <c r="AA64" s="16">
        <f t="shared" si="70"/>
        <v>0</v>
      </c>
      <c r="AB64" s="16">
        <f t="shared" si="70"/>
        <v>0</v>
      </c>
      <c r="AC64" s="16">
        <f t="shared" si="70"/>
        <v>0</v>
      </c>
      <c r="AD64" s="16">
        <f t="shared" si="70"/>
        <v>0</v>
      </c>
      <c r="AE64" s="16">
        <f t="shared" si="70"/>
        <v>0</v>
      </c>
      <c r="AF64" s="16">
        <f t="shared" si="70"/>
        <v>0</v>
      </c>
      <c r="AG64" s="16">
        <f t="shared" si="70"/>
        <v>0</v>
      </c>
      <c r="AH64" s="16">
        <f t="shared" si="70"/>
        <v>0</v>
      </c>
      <c r="AI64" s="16">
        <f t="shared" si="70"/>
        <v>0</v>
      </c>
      <c r="AJ64" s="16">
        <f t="shared" si="70"/>
        <v>0</v>
      </c>
      <c r="AK64" s="16">
        <f t="shared" si="70"/>
        <v>0</v>
      </c>
      <c r="AL64" s="16">
        <f t="shared" si="70"/>
        <v>0</v>
      </c>
      <c r="AM64" s="16">
        <f t="shared" si="70"/>
        <v>0</v>
      </c>
      <c r="AN64" s="16">
        <f t="shared" si="70"/>
        <v>0</v>
      </c>
      <c r="AO64" s="16">
        <f t="shared" si="70"/>
        <v>0</v>
      </c>
      <c r="AP64" s="16">
        <f t="shared" si="70"/>
        <v>0</v>
      </c>
      <c r="AQ64" s="16">
        <f t="shared" si="70"/>
        <v>0</v>
      </c>
      <c r="AR64" s="16">
        <f t="shared" si="70"/>
        <v>0</v>
      </c>
    </row>
    <row r="65" spans="1:44" s="15" customFormat="1" x14ac:dyDescent="0.15">
      <c r="A65" s="19" t="s">
        <v>916</v>
      </c>
      <c r="B65" s="16">
        <f t="shared" ref="B65:AR65" si="71">B$71*$E8/$E$14</f>
        <v>0</v>
      </c>
      <c r="C65" s="16">
        <f t="shared" si="71"/>
        <v>0</v>
      </c>
      <c r="D65" s="16">
        <f t="shared" si="71"/>
        <v>0</v>
      </c>
      <c r="E65" s="16">
        <f t="shared" si="71"/>
        <v>0</v>
      </c>
      <c r="F65" s="16">
        <f t="shared" si="71"/>
        <v>0</v>
      </c>
      <c r="G65" s="16">
        <f t="shared" si="71"/>
        <v>0</v>
      </c>
      <c r="H65" s="16">
        <f t="shared" si="71"/>
        <v>0</v>
      </c>
      <c r="I65" s="16">
        <f t="shared" si="71"/>
        <v>0</v>
      </c>
      <c r="J65" s="16">
        <f t="shared" si="71"/>
        <v>0</v>
      </c>
      <c r="K65" s="16">
        <f t="shared" si="71"/>
        <v>0</v>
      </c>
      <c r="L65" s="16">
        <f t="shared" si="71"/>
        <v>0</v>
      </c>
      <c r="M65" s="16">
        <f t="shared" si="71"/>
        <v>0</v>
      </c>
      <c r="N65" s="16">
        <f t="shared" si="71"/>
        <v>0</v>
      </c>
      <c r="O65" s="16">
        <f t="shared" si="71"/>
        <v>0</v>
      </c>
      <c r="P65" s="16">
        <f t="shared" si="71"/>
        <v>0</v>
      </c>
      <c r="Q65" s="16">
        <f t="shared" si="71"/>
        <v>0</v>
      </c>
      <c r="R65" s="16">
        <f t="shared" si="71"/>
        <v>0</v>
      </c>
      <c r="S65" s="16">
        <f t="shared" si="71"/>
        <v>0</v>
      </c>
      <c r="T65" s="16">
        <f t="shared" si="71"/>
        <v>0</v>
      </c>
      <c r="U65" s="16">
        <f t="shared" si="71"/>
        <v>0</v>
      </c>
      <c r="V65" s="16">
        <f t="shared" si="71"/>
        <v>0</v>
      </c>
      <c r="W65" s="16">
        <f t="shared" si="71"/>
        <v>0</v>
      </c>
      <c r="X65" s="16">
        <f t="shared" si="71"/>
        <v>0</v>
      </c>
      <c r="Y65" s="16">
        <f t="shared" si="71"/>
        <v>0</v>
      </c>
      <c r="Z65" s="16">
        <f t="shared" si="71"/>
        <v>0</v>
      </c>
      <c r="AA65" s="16">
        <f t="shared" si="71"/>
        <v>0</v>
      </c>
      <c r="AB65" s="16">
        <f t="shared" si="71"/>
        <v>0</v>
      </c>
      <c r="AC65" s="16">
        <f t="shared" si="71"/>
        <v>0</v>
      </c>
      <c r="AD65" s="16">
        <f t="shared" si="71"/>
        <v>0</v>
      </c>
      <c r="AE65" s="16">
        <f t="shared" si="71"/>
        <v>0</v>
      </c>
      <c r="AF65" s="16">
        <f t="shared" si="71"/>
        <v>0</v>
      </c>
      <c r="AG65" s="16">
        <f t="shared" si="71"/>
        <v>0</v>
      </c>
      <c r="AH65" s="16">
        <f t="shared" si="71"/>
        <v>0</v>
      </c>
      <c r="AI65" s="16">
        <f t="shared" si="71"/>
        <v>0</v>
      </c>
      <c r="AJ65" s="16">
        <f t="shared" si="71"/>
        <v>0</v>
      </c>
      <c r="AK65" s="16">
        <f t="shared" si="71"/>
        <v>0</v>
      </c>
      <c r="AL65" s="16">
        <f t="shared" si="71"/>
        <v>0</v>
      </c>
      <c r="AM65" s="16">
        <f t="shared" si="71"/>
        <v>0</v>
      </c>
      <c r="AN65" s="16">
        <f t="shared" si="71"/>
        <v>0</v>
      </c>
      <c r="AO65" s="16">
        <f t="shared" si="71"/>
        <v>0</v>
      </c>
      <c r="AP65" s="16">
        <f t="shared" si="71"/>
        <v>0</v>
      </c>
      <c r="AQ65" s="16">
        <f t="shared" si="71"/>
        <v>0</v>
      </c>
      <c r="AR65" s="16">
        <f t="shared" si="71"/>
        <v>0</v>
      </c>
    </row>
    <row r="66" spans="1:44" s="15" customFormat="1" x14ac:dyDescent="0.15">
      <c r="A66" s="19" t="s">
        <v>917</v>
      </c>
      <c r="B66" s="16">
        <f t="shared" ref="B66:AR66" si="72">B$71*$E9/$E$14</f>
        <v>0</v>
      </c>
      <c r="C66" s="16">
        <f t="shared" si="72"/>
        <v>0</v>
      </c>
      <c r="D66" s="16">
        <f t="shared" si="72"/>
        <v>0</v>
      </c>
      <c r="E66" s="16">
        <f t="shared" si="72"/>
        <v>0</v>
      </c>
      <c r="F66" s="16">
        <f t="shared" si="72"/>
        <v>0</v>
      </c>
      <c r="G66" s="16">
        <f t="shared" si="72"/>
        <v>0</v>
      </c>
      <c r="H66" s="16">
        <f t="shared" si="72"/>
        <v>0</v>
      </c>
      <c r="I66" s="16">
        <f t="shared" si="72"/>
        <v>0</v>
      </c>
      <c r="J66" s="16">
        <f t="shared" si="72"/>
        <v>0</v>
      </c>
      <c r="K66" s="16">
        <f t="shared" si="72"/>
        <v>0</v>
      </c>
      <c r="L66" s="16">
        <f t="shared" si="72"/>
        <v>0</v>
      </c>
      <c r="M66" s="16">
        <f t="shared" si="72"/>
        <v>0</v>
      </c>
      <c r="N66" s="16">
        <f t="shared" si="72"/>
        <v>0</v>
      </c>
      <c r="O66" s="16">
        <f t="shared" si="72"/>
        <v>0</v>
      </c>
      <c r="P66" s="16">
        <f t="shared" si="72"/>
        <v>0</v>
      </c>
      <c r="Q66" s="16">
        <f t="shared" si="72"/>
        <v>0</v>
      </c>
      <c r="R66" s="16">
        <f t="shared" si="72"/>
        <v>0</v>
      </c>
      <c r="S66" s="16">
        <f t="shared" si="72"/>
        <v>0</v>
      </c>
      <c r="T66" s="16">
        <f t="shared" si="72"/>
        <v>0</v>
      </c>
      <c r="U66" s="16">
        <f t="shared" si="72"/>
        <v>0</v>
      </c>
      <c r="V66" s="16">
        <f t="shared" si="72"/>
        <v>0</v>
      </c>
      <c r="W66" s="16">
        <f t="shared" si="72"/>
        <v>0</v>
      </c>
      <c r="X66" s="16">
        <f t="shared" si="72"/>
        <v>0</v>
      </c>
      <c r="Y66" s="16">
        <f t="shared" si="72"/>
        <v>0</v>
      </c>
      <c r="Z66" s="16">
        <f t="shared" si="72"/>
        <v>0</v>
      </c>
      <c r="AA66" s="16">
        <f t="shared" si="72"/>
        <v>0</v>
      </c>
      <c r="AB66" s="16">
        <f t="shared" si="72"/>
        <v>0</v>
      </c>
      <c r="AC66" s="16">
        <f t="shared" si="72"/>
        <v>0</v>
      </c>
      <c r="AD66" s="16">
        <f t="shared" si="72"/>
        <v>0</v>
      </c>
      <c r="AE66" s="16">
        <f t="shared" si="72"/>
        <v>0</v>
      </c>
      <c r="AF66" s="16">
        <f t="shared" si="72"/>
        <v>0</v>
      </c>
      <c r="AG66" s="16">
        <f t="shared" si="72"/>
        <v>0</v>
      </c>
      <c r="AH66" s="16">
        <f t="shared" si="72"/>
        <v>0</v>
      </c>
      <c r="AI66" s="16">
        <f t="shared" si="72"/>
        <v>0</v>
      </c>
      <c r="AJ66" s="16">
        <f t="shared" si="72"/>
        <v>0</v>
      </c>
      <c r="AK66" s="16">
        <f t="shared" si="72"/>
        <v>0</v>
      </c>
      <c r="AL66" s="16">
        <f t="shared" si="72"/>
        <v>0</v>
      </c>
      <c r="AM66" s="16">
        <f t="shared" si="72"/>
        <v>0</v>
      </c>
      <c r="AN66" s="16">
        <f t="shared" si="72"/>
        <v>0</v>
      </c>
      <c r="AO66" s="16">
        <f t="shared" si="72"/>
        <v>0</v>
      </c>
      <c r="AP66" s="16">
        <f t="shared" si="72"/>
        <v>0</v>
      </c>
      <c r="AQ66" s="16">
        <f t="shared" si="72"/>
        <v>0</v>
      </c>
      <c r="AR66" s="16">
        <f t="shared" si="72"/>
        <v>0</v>
      </c>
    </row>
    <row r="67" spans="1:44" s="15" customFormat="1" x14ac:dyDescent="0.15">
      <c r="A67" s="19" t="s">
        <v>918</v>
      </c>
      <c r="B67" s="16">
        <f t="shared" ref="B67:AR67" si="73">B$71*$E10/$E$14</f>
        <v>0</v>
      </c>
      <c r="C67" s="16">
        <f t="shared" si="73"/>
        <v>0</v>
      </c>
      <c r="D67" s="16">
        <f t="shared" si="73"/>
        <v>0</v>
      </c>
      <c r="E67" s="16">
        <f t="shared" si="73"/>
        <v>0</v>
      </c>
      <c r="F67" s="16">
        <f t="shared" si="73"/>
        <v>0</v>
      </c>
      <c r="G67" s="16">
        <f t="shared" si="73"/>
        <v>0</v>
      </c>
      <c r="H67" s="16">
        <f t="shared" si="73"/>
        <v>0</v>
      </c>
      <c r="I67" s="16">
        <f t="shared" si="73"/>
        <v>0</v>
      </c>
      <c r="J67" s="16">
        <f t="shared" si="73"/>
        <v>0</v>
      </c>
      <c r="K67" s="16">
        <f t="shared" si="73"/>
        <v>0</v>
      </c>
      <c r="L67" s="16">
        <f t="shared" si="73"/>
        <v>0</v>
      </c>
      <c r="M67" s="16">
        <f t="shared" si="73"/>
        <v>0</v>
      </c>
      <c r="N67" s="16">
        <f t="shared" si="73"/>
        <v>0</v>
      </c>
      <c r="O67" s="16">
        <f t="shared" si="73"/>
        <v>0</v>
      </c>
      <c r="P67" s="16">
        <f t="shared" si="73"/>
        <v>0</v>
      </c>
      <c r="Q67" s="16">
        <f t="shared" si="73"/>
        <v>0</v>
      </c>
      <c r="R67" s="16">
        <f t="shared" si="73"/>
        <v>0</v>
      </c>
      <c r="S67" s="16">
        <f t="shared" si="73"/>
        <v>0</v>
      </c>
      <c r="T67" s="16">
        <f t="shared" si="73"/>
        <v>0</v>
      </c>
      <c r="U67" s="16">
        <f t="shared" si="73"/>
        <v>0</v>
      </c>
      <c r="V67" s="16">
        <f t="shared" si="73"/>
        <v>0</v>
      </c>
      <c r="W67" s="16">
        <f t="shared" si="73"/>
        <v>0</v>
      </c>
      <c r="X67" s="16">
        <f t="shared" si="73"/>
        <v>0</v>
      </c>
      <c r="Y67" s="16">
        <f t="shared" si="73"/>
        <v>0</v>
      </c>
      <c r="Z67" s="16">
        <f t="shared" si="73"/>
        <v>0</v>
      </c>
      <c r="AA67" s="16">
        <f t="shared" si="73"/>
        <v>0</v>
      </c>
      <c r="AB67" s="16">
        <f t="shared" si="73"/>
        <v>0</v>
      </c>
      <c r="AC67" s="16">
        <f t="shared" si="73"/>
        <v>0</v>
      </c>
      <c r="AD67" s="16">
        <f t="shared" si="73"/>
        <v>0</v>
      </c>
      <c r="AE67" s="16">
        <f t="shared" si="73"/>
        <v>0</v>
      </c>
      <c r="AF67" s="16">
        <f t="shared" si="73"/>
        <v>0</v>
      </c>
      <c r="AG67" s="16">
        <f t="shared" si="73"/>
        <v>0</v>
      </c>
      <c r="AH67" s="16">
        <f t="shared" si="73"/>
        <v>0</v>
      </c>
      <c r="AI67" s="16">
        <f t="shared" si="73"/>
        <v>0</v>
      </c>
      <c r="AJ67" s="16">
        <f t="shared" si="73"/>
        <v>0</v>
      </c>
      <c r="AK67" s="16">
        <f t="shared" si="73"/>
        <v>0</v>
      </c>
      <c r="AL67" s="16">
        <f t="shared" si="73"/>
        <v>0</v>
      </c>
      <c r="AM67" s="16">
        <f t="shared" si="73"/>
        <v>0</v>
      </c>
      <c r="AN67" s="16">
        <f t="shared" si="73"/>
        <v>0</v>
      </c>
      <c r="AO67" s="16">
        <f t="shared" si="73"/>
        <v>0</v>
      </c>
      <c r="AP67" s="16">
        <f t="shared" si="73"/>
        <v>0</v>
      </c>
      <c r="AQ67" s="16">
        <f t="shared" si="73"/>
        <v>0</v>
      </c>
      <c r="AR67" s="16">
        <f t="shared" si="73"/>
        <v>0</v>
      </c>
    </row>
    <row r="68" spans="1:44" s="15" customFormat="1" x14ac:dyDescent="0.15">
      <c r="A68" s="19" t="s">
        <v>919</v>
      </c>
      <c r="B68" s="16">
        <f t="shared" ref="B68:AR68" si="74">B$71*$E11/$E$14</f>
        <v>0</v>
      </c>
      <c r="C68" s="16">
        <f t="shared" si="74"/>
        <v>0</v>
      </c>
      <c r="D68" s="16">
        <f t="shared" si="74"/>
        <v>0</v>
      </c>
      <c r="E68" s="16">
        <f t="shared" si="74"/>
        <v>0</v>
      </c>
      <c r="F68" s="16">
        <f t="shared" si="74"/>
        <v>0</v>
      </c>
      <c r="G68" s="16">
        <f t="shared" si="74"/>
        <v>0</v>
      </c>
      <c r="H68" s="16">
        <f t="shared" si="74"/>
        <v>0</v>
      </c>
      <c r="I68" s="16">
        <f t="shared" si="74"/>
        <v>0</v>
      </c>
      <c r="J68" s="16">
        <f t="shared" si="74"/>
        <v>0</v>
      </c>
      <c r="K68" s="16">
        <f t="shared" si="74"/>
        <v>0</v>
      </c>
      <c r="L68" s="16">
        <f t="shared" si="74"/>
        <v>0</v>
      </c>
      <c r="M68" s="16">
        <f t="shared" si="74"/>
        <v>0</v>
      </c>
      <c r="N68" s="16">
        <f t="shared" si="74"/>
        <v>0</v>
      </c>
      <c r="O68" s="16">
        <f t="shared" si="74"/>
        <v>0</v>
      </c>
      <c r="P68" s="16">
        <f t="shared" si="74"/>
        <v>0</v>
      </c>
      <c r="Q68" s="16">
        <f t="shared" si="74"/>
        <v>0</v>
      </c>
      <c r="R68" s="16">
        <f t="shared" si="74"/>
        <v>0</v>
      </c>
      <c r="S68" s="16">
        <f t="shared" si="74"/>
        <v>0</v>
      </c>
      <c r="T68" s="16">
        <f t="shared" si="74"/>
        <v>0</v>
      </c>
      <c r="U68" s="16">
        <f t="shared" si="74"/>
        <v>0</v>
      </c>
      <c r="V68" s="16">
        <f t="shared" si="74"/>
        <v>0</v>
      </c>
      <c r="W68" s="16">
        <f t="shared" si="74"/>
        <v>0</v>
      </c>
      <c r="X68" s="16">
        <f t="shared" si="74"/>
        <v>0</v>
      </c>
      <c r="Y68" s="16">
        <f t="shared" si="74"/>
        <v>0</v>
      </c>
      <c r="Z68" s="16">
        <f t="shared" si="74"/>
        <v>0</v>
      </c>
      <c r="AA68" s="16">
        <f t="shared" si="74"/>
        <v>0</v>
      </c>
      <c r="AB68" s="16">
        <f t="shared" si="74"/>
        <v>0</v>
      </c>
      <c r="AC68" s="16">
        <f t="shared" si="74"/>
        <v>0</v>
      </c>
      <c r="AD68" s="16">
        <f t="shared" si="74"/>
        <v>0</v>
      </c>
      <c r="AE68" s="16">
        <f t="shared" si="74"/>
        <v>0</v>
      </c>
      <c r="AF68" s="16">
        <f t="shared" si="74"/>
        <v>0</v>
      </c>
      <c r="AG68" s="16">
        <f t="shared" si="74"/>
        <v>0</v>
      </c>
      <c r="AH68" s="16">
        <f t="shared" si="74"/>
        <v>0</v>
      </c>
      <c r="AI68" s="16">
        <f t="shared" si="74"/>
        <v>0</v>
      </c>
      <c r="AJ68" s="16">
        <f t="shared" si="74"/>
        <v>0</v>
      </c>
      <c r="AK68" s="16">
        <f t="shared" si="74"/>
        <v>0</v>
      </c>
      <c r="AL68" s="16">
        <f t="shared" si="74"/>
        <v>0</v>
      </c>
      <c r="AM68" s="16">
        <f t="shared" si="74"/>
        <v>0</v>
      </c>
      <c r="AN68" s="16">
        <f t="shared" si="74"/>
        <v>0</v>
      </c>
      <c r="AO68" s="16">
        <f t="shared" si="74"/>
        <v>0</v>
      </c>
      <c r="AP68" s="16">
        <f t="shared" si="74"/>
        <v>0</v>
      </c>
      <c r="AQ68" s="16">
        <f t="shared" si="74"/>
        <v>0</v>
      </c>
      <c r="AR68" s="16">
        <f t="shared" si="74"/>
        <v>0</v>
      </c>
    </row>
    <row r="69" spans="1:44" s="15" customFormat="1" x14ac:dyDescent="0.15">
      <c r="A69" s="19" t="s">
        <v>920</v>
      </c>
      <c r="B69" s="16">
        <f t="shared" ref="B69:AR69" si="75">B$71*$E12/$E$14</f>
        <v>0</v>
      </c>
      <c r="C69" s="16">
        <f t="shared" si="75"/>
        <v>0</v>
      </c>
      <c r="D69" s="16">
        <f t="shared" si="75"/>
        <v>0</v>
      </c>
      <c r="E69" s="16">
        <f t="shared" si="75"/>
        <v>0</v>
      </c>
      <c r="F69" s="16">
        <f t="shared" si="75"/>
        <v>0</v>
      </c>
      <c r="G69" s="16">
        <f t="shared" si="75"/>
        <v>0</v>
      </c>
      <c r="H69" s="16">
        <f t="shared" si="75"/>
        <v>0</v>
      </c>
      <c r="I69" s="16">
        <f t="shared" si="75"/>
        <v>0</v>
      </c>
      <c r="J69" s="16">
        <f t="shared" si="75"/>
        <v>0</v>
      </c>
      <c r="K69" s="16">
        <f t="shared" si="75"/>
        <v>0</v>
      </c>
      <c r="L69" s="16">
        <f t="shared" si="75"/>
        <v>0</v>
      </c>
      <c r="M69" s="16">
        <f t="shared" si="75"/>
        <v>0</v>
      </c>
      <c r="N69" s="16">
        <f t="shared" si="75"/>
        <v>0</v>
      </c>
      <c r="O69" s="16">
        <f t="shared" si="75"/>
        <v>0</v>
      </c>
      <c r="P69" s="16">
        <f t="shared" si="75"/>
        <v>0</v>
      </c>
      <c r="Q69" s="16">
        <f t="shared" si="75"/>
        <v>0</v>
      </c>
      <c r="R69" s="16">
        <f t="shared" si="75"/>
        <v>0</v>
      </c>
      <c r="S69" s="16">
        <f t="shared" si="75"/>
        <v>0</v>
      </c>
      <c r="T69" s="16">
        <f t="shared" si="75"/>
        <v>0</v>
      </c>
      <c r="U69" s="16">
        <f t="shared" si="75"/>
        <v>0</v>
      </c>
      <c r="V69" s="16">
        <f t="shared" si="75"/>
        <v>0</v>
      </c>
      <c r="W69" s="16">
        <f t="shared" si="75"/>
        <v>0</v>
      </c>
      <c r="X69" s="16">
        <f t="shared" si="75"/>
        <v>0</v>
      </c>
      <c r="Y69" s="16">
        <f t="shared" si="75"/>
        <v>0</v>
      </c>
      <c r="Z69" s="16">
        <f t="shared" si="75"/>
        <v>0</v>
      </c>
      <c r="AA69" s="16">
        <f t="shared" si="75"/>
        <v>0</v>
      </c>
      <c r="AB69" s="16">
        <f t="shared" si="75"/>
        <v>0</v>
      </c>
      <c r="AC69" s="16">
        <f t="shared" si="75"/>
        <v>0</v>
      </c>
      <c r="AD69" s="16">
        <f t="shared" si="75"/>
        <v>0</v>
      </c>
      <c r="AE69" s="16">
        <f t="shared" si="75"/>
        <v>0</v>
      </c>
      <c r="AF69" s="16">
        <f t="shared" si="75"/>
        <v>0</v>
      </c>
      <c r="AG69" s="16">
        <f t="shared" si="75"/>
        <v>0</v>
      </c>
      <c r="AH69" s="16">
        <f t="shared" si="75"/>
        <v>0</v>
      </c>
      <c r="AI69" s="16">
        <f t="shared" si="75"/>
        <v>0</v>
      </c>
      <c r="AJ69" s="16">
        <f t="shared" si="75"/>
        <v>0</v>
      </c>
      <c r="AK69" s="16">
        <f t="shared" si="75"/>
        <v>0</v>
      </c>
      <c r="AL69" s="16">
        <f t="shared" si="75"/>
        <v>0</v>
      </c>
      <c r="AM69" s="16">
        <f t="shared" si="75"/>
        <v>0</v>
      </c>
      <c r="AN69" s="16">
        <f t="shared" si="75"/>
        <v>0</v>
      </c>
      <c r="AO69" s="16">
        <f t="shared" si="75"/>
        <v>0</v>
      </c>
      <c r="AP69" s="16">
        <f t="shared" si="75"/>
        <v>0</v>
      </c>
      <c r="AQ69" s="16">
        <f t="shared" si="75"/>
        <v>0</v>
      </c>
      <c r="AR69" s="16">
        <f t="shared" si="75"/>
        <v>0</v>
      </c>
    </row>
    <row r="70" spans="1:44" s="15" customFormat="1" x14ac:dyDescent="0.15">
      <c r="A70" s="19" t="s">
        <v>921</v>
      </c>
      <c r="B70" s="16">
        <f t="shared" ref="B70:AR70" si="76">B$71*$E13/$E$14</f>
        <v>0</v>
      </c>
      <c r="C70" s="16">
        <f t="shared" si="76"/>
        <v>0</v>
      </c>
      <c r="D70" s="16">
        <f t="shared" si="76"/>
        <v>0</v>
      </c>
      <c r="E70" s="16">
        <f t="shared" si="76"/>
        <v>0</v>
      </c>
      <c r="F70" s="16">
        <f t="shared" si="76"/>
        <v>0</v>
      </c>
      <c r="G70" s="16">
        <f t="shared" si="76"/>
        <v>0</v>
      </c>
      <c r="H70" s="16">
        <f t="shared" si="76"/>
        <v>0</v>
      </c>
      <c r="I70" s="16">
        <f t="shared" si="76"/>
        <v>0</v>
      </c>
      <c r="J70" s="16">
        <f t="shared" si="76"/>
        <v>0</v>
      </c>
      <c r="K70" s="16">
        <f t="shared" si="76"/>
        <v>0</v>
      </c>
      <c r="L70" s="16">
        <f t="shared" si="76"/>
        <v>0</v>
      </c>
      <c r="M70" s="16">
        <f t="shared" si="76"/>
        <v>0</v>
      </c>
      <c r="N70" s="16">
        <f t="shared" si="76"/>
        <v>0</v>
      </c>
      <c r="O70" s="16">
        <f t="shared" si="76"/>
        <v>0</v>
      </c>
      <c r="P70" s="16">
        <f t="shared" si="76"/>
        <v>0</v>
      </c>
      <c r="Q70" s="16">
        <f t="shared" si="76"/>
        <v>0</v>
      </c>
      <c r="R70" s="16">
        <f t="shared" si="76"/>
        <v>0</v>
      </c>
      <c r="S70" s="16">
        <f t="shared" si="76"/>
        <v>0</v>
      </c>
      <c r="T70" s="16">
        <f t="shared" si="76"/>
        <v>0</v>
      </c>
      <c r="U70" s="16">
        <f t="shared" si="76"/>
        <v>0</v>
      </c>
      <c r="V70" s="16">
        <f t="shared" si="76"/>
        <v>0</v>
      </c>
      <c r="W70" s="16">
        <f t="shared" si="76"/>
        <v>0</v>
      </c>
      <c r="X70" s="16">
        <f t="shared" si="76"/>
        <v>0</v>
      </c>
      <c r="Y70" s="16">
        <f t="shared" si="76"/>
        <v>0</v>
      </c>
      <c r="Z70" s="16">
        <f t="shared" si="76"/>
        <v>0</v>
      </c>
      <c r="AA70" s="16">
        <f t="shared" si="76"/>
        <v>0</v>
      </c>
      <c r="AB70" s="16">
        <f t="shared" si="76"/>
        <v>0</v>
      </c>
      <c r="AC70" s="16">
        <f t="shared" si="76"/>
        <v>0</v>
      </c>
      <c r="AD70" s="16">
        <f t="shared" si="76"/>
        <v>0</v>
      </c>
      <c r="AE70" s="16">
        <f t="shared" si="76"/>
        <v>0</v>
      </c>
      <c r="AF70" s="16">
        <f t="shared" si="76"/>
        <v>0</v>
      </c>
      <c r="AG70" s="16">
        <f t="shared" si="76"/>
        <v>0</v>
      </c>
      <c r="AH70" s="16">
        <f t="shared" si="76"/>
        <v>0</v>
      </c>
      <c r="AI70" s="16">
        <f t="shared" si="76"/>
        <v>0</v>
      </c>
      <c r="AJ70" s="16">
        <f t="shared" si="76"/>
        <v>0</v>
      </c>
      <c r="AK70" s="16">
        <f t="shared" si="76"/>
        <v>0</v>
      </c>
      <c r="AL70" s="16">
        <f t="shared" si="76"/>
        <v>0</v>
      </c>
      <c r="AM70" s="16">
        <f t="shared" si="76"/>
        <v>0</v>
      </c>
      <c r="AN70" s="16">
        <f t="shared" si="76"/>
        <v>0</v>
      </c>
      <c r="AO70" s="16">
        <f t="shared" si="76"/>
        <v>0</v>
      </c>
      <c r="AP70" s="16">
        <f t="shared" si="76"/>
        <v>0</v>
      </c>
      <c r="AQ70" s="16">
        <f t="shared" si="76"/>
        <v>0</v>
      </c>
      <c r="AR70" s="16">
        <f t="shared" si="76"/>
        <v>0</v>
      </c>
    </row>
    <row r="71" spans="1:44" s="17" customFormat="1" x14ac:dyDescent="0.15">
      <c r="A71" s="19" t="s">
        <v>911</v>
      </c>
      <c r="B71" s="17">
        <f>BAU建筑总能耗计算!B$4*$E$16</f>
        <v>1002.5607770434672</v>
      </c>
      <c r="C71" s="17">
        <f>BAU建筑总能耗计算!C$4*$E$16</f>
        <v>1023.26860223469</v>
      </c>
      <c r="D71" s="17">
        <f>BAU建筑总能耗计算!D$4*$E$16</f>
        <v>1050.605415128513</v>
      </c>
      <c r="E71" s="17">
        <f>BAU建筑总能耗计算!E$4*$E$16</f>
        <v>1064.6003841565268</v>
      </c>
      <c r="F71" s="17">
        <f>BAU建筑总能耗计算!F$4*$E$16</f>
        <v>1078.2571266372479</v>
      </c>
      <c r="G71" s="17">
        <f>BAU建筑总能耗计算!G$4*$E$16</f>
        <v>1091.5681109684224</v>
      </c>
      <c r="H71" s="17">
        <f>BAU建筑总能耗计算!H$4*$E$16</f>
        <v>1104.5265181679781</v>
      </c>
      <c r="I71" s="17">
        <f>BAU建筑总能耗计算!I$4*$E$16</f>
        <v>1117.1263504991007</v>
      </c>
      <c r="J71" s="17">
        <f>BAU建筑总能耗计算!J$4*$E$16</f>
        <v>1129.3623803294847</v>
      </c>
      <c r="K71" s="17">
        <f>BAU建筑总能耗计算!K$4*$E$16</f>
        <v>1141.2303043528213</v>
      </c>
      <c r="L71" s="17">
        <f>BAU建筑总能耗计算!L$4*$E$16</f>
        <v>1152.7266952918385</v>
      </c>
      <c r="M71" s="17">
        <f>BAU建筑总能耗计算!M$4*$E$16</f>
        <v>1163.8491066010322</v>
      </c>
      <c r="N71" s="17">
        <f>BAU建筑总能耗计算!N$4*$E$16</f>
        <v>1174.5961095831592</v>
      </c>
      <c r="O71" s="17">
        <f>BAU建筑总能耗计算!O$4*$E$16</f>
        <v>1184.9673214002112</v>
      </c>
      <c r="P71" s="17">
        <f>BAU建筑总能耗计算!P$4*$E$16</f>
        <v>1194.9635195232217</v>
      </c>
      <c r="Q71" s="17">
        <f>BAU建筑总能耗计算!Q$4*$E$16</f>
        <v>1204.5866136754059</v>
      </c>
      <c r="R71" s="17">
        <f>BAU建筑总能耗计算!R$4*$E$16</f>
        <v>1213.8397738675894</v>
      </c>
      <c r="S71" s="17">
        <f>BAU建筑总能耗计算!S$4*$E$16</f>
        <v>1222.7274442189828</v>
      </c>
      <c r="T71" s="17">
        <f>BAU建筑总能耗计算!T$4*$E$16</f>
        <v>1231.2554221094433</v>
      </c>
      <c r="U71" s="17">
        <f>BAU建筑总能耗计算!U$4*$E$16</f>
        <v>1239.4309366474833</v>
      </c>
      <c r="V71" s="17">
        <f>BAU建筑总能耗计算!V$4*$E$16</f>
        <v>1247.2626545994851</v>
      </c>
      <c r="W71" s="17">
        <f>BAU建筑总能耗计算!W$4*$E$16</f>
        <v>1254.760805700523</v>
      </c>
      <c r="X71" s="17">
        <f>BAU建筑总能耗计算!X$4*$E$16</f>
        <v>1261.9372313328834</v>
      </c>
      <c r="Y71" s="17">
        <f>BAU建筑总能耗计算!Y$4*$E$16</f>
        <v>1268.8054588589621</v>
      </c>
      <c r="Z71" s="17">
        <f>BAU建筑总能耗计算!Z$4*$E$16</f>
        <v>1275.3807405027671</v>
      </c>
      <c r="AA71" s="17">
        <f>BAU建筑总能耗计算!AA$4*$E$16</f>
        <v>1281.6801526564684</v>
      </c>
      <c r="AB71" s="17">
        <f>BAU建筑总能耗计算!AB$4*$E$16</f>
        <v>1287.7227070338363</v>
      </c>
      <c r="AC71" s="17">
        <f>BAU建筑总能耗计算!AC$4*$E$16</f>
        <v>1293.5293590069807</v>
      </c>
      <c r="AD71" s="17">
        <f>BAU建筑总能耗计算!AD$4*$E$16</f>
        <v>1299.1231056238657</v>
      </c>
      <c r="AE71" s="17">
        <f>BAU建筑总能耗计算!AE$4*$E$16</f>
        <v>1304.5291435362631</v>
      </c>
      <c r="AF71" s="17">
        <f>BAU建筑总能耗计算!AF$4*$E$16</f>
        <v>1309.7748403536252</v>
      </c>
      <c r="AG71" s="17">
        <f>BAU建筑总能耗计算!AG$4*$E$16</f>
        <v>1314.8898824338003</v>
      </c>
      <c r="AH71" s="17">
        <f>BAU建筑总能耗计算!AH$4*$E$16</f>
        <v>1319.9063905282505</v>
      </c>
      <c r="AI71" s="17">
        <f>BAU建筑总能耗计算!AI$4*$E$16</f>
        <v>1324.8589209477086</v>
      </c>
      <c r="AJ71" s="17">
        <f>BAU建筑总能耗计算!AJ$4*$E$16</f>
        <v>1329.7846865630429</v>
      </c>
      <c r="AK71" s="17">
        <f>BAU建筑总能耗计算!AK$4*$E$16</f>
        <v>1334.7235064568438</v>
      </c>
      <c r="AL71" s="17">
        <f>BAU建筑总能耗计算!AL$4*$E$16</f>
        <v>1339.7180508181796</v>
      </c>
      <c r="AM71" s="17">
        <f>BAU建筑总能耗计算!AM$4*$E$16</f>
        <v>1344.8138522481729</v>
      </c>
      <c r="AN71" s="17">
        <f>BAU建筑总能耗计算!AN$4*$E$16</f>
        <v>1350.0594289452188</v>
      </c>
      <c r="AO71" s="17">
        <f>BAU建筑总能耗计算!AO$4*$E$16</f>
        <v>1355.5063971603017</v>
      </c>
      <c r="AP71" s="17">
        <f>BAU建筑总能耗计算!AP$4*$E$16</f>
        <v>1361.2095868516228</v>
      </c>
      <c r="AQ71" s="17">
        <f>BAU建筑总能耗计算!AQ$4*$E$16</f>
        <v>1367.2271879493812</v>
      </c>
      <c r="AR71" s="17">
        <f>BAU建筑总能耗计算!AR$4*$E$16</f>
        <v>1373.6207845515964</v>
      </c>
    </row>
    <row r="72" spans="1:44" s="15" customFormat="1" x14ac:dyDescent="0.15"/>
    <row r="73" spans="1:44" s="19" customFormat="1" x14ac:dyDescent="0.15">
      <c r="A73" s="18" t="s">
        <v>14</v>
      </c>
      <c r="B73" s="19">
        <v>2018</v>
      </c>
      <c r="C73" s="19">
        <v>2019</v>
      </c>
      <c r="D73" s="19">
        <v>2020</v>
      </c>
      <c r="E73" s="19">
        <v>2021</v>
      </c>
      <c r="F73" s="19">
        <v>2022</v>
      </c>
      <c r="G73" s="19">
        <v>2023</v>
      </c>
      <c r="H73" s="19">
        <v>2024</v>
      </c>
      <c r="I73" s="19">
        <v>2025</v>
      </c>
      <c r="J73" s="19">
        <v>2026</v>
      </c>
      <c r="K73" s="19">
        <v>2027</v>
      </c>
      <c r="L73" s="19">
        <v>2028</v>
      </c>
      <c r="M73" s="19">
        <v>2029</v>
      </c>
      <c r="N73" s="19">
        <v>2030</v>
      </c>
      <c r="O73" s="19">
        <v>2031</v>
      </c>
      <c r="P73" s="19">
        <v>2032</v>
      </c>
      <c r="Q73" s="19">
        <v>2033</v>
      </c>
      <c r="R73" s="19">
        <v>2034</v>
      </c>
      <c r="S73" s="19">
        <v>2035</v>
      </c>
      <c r="T73" s="19">
        <v>2036</v>
      </c>
      <c r="U73" s="19">
        <v>2037</v>
      </c>
      <c r="V73" s="19">
        <v>2038</v>
      </c>
      <c r="W73" s="19">
        <v>2039</v>
      </c>
      <c r="X73" s="19">
        <v>2040</v>
      </c>
      <c r="Y73" s="19">
        <v>2041</v>
      </c>
      <c r="Z73" s="19">
        <v>2042</v>
      </c>
      <c r="AA73" s="19">
        <v>2043</v>
      </c>
      <c r="AB73" s="19">
        <v>2044</v>
      </c>
      <c r="AC73" s="19">
        <v>2045</v>
      </c>
      <c r="AD73" s="19">
        <v>2046</v>
      </c>
      <c r="AE73" s="19">
        <v>2047</v>
      </c>
      <c r="AF73" s="19">
        <v>2048</v>
      </c>
      <c r="AG73" s="19">
        <v>2049</v>
      </c>
      <c r="AH73" s="19">
        <v>2050</v>
      </c>
      <c r="AI73" s="19">
        <v>2051</v>
      </c>
      <c r="AJ73" s="19">
        <v>2052</v>
      </c>
      <c r="AK73" s="19">
        <v>2053</v>
      </c>
      <c r="AL73" s="19">
        <v>2054</v>
      </c>
      <c r="AM73" s="19">
        <v>2055</v>
      </c>
      <c r="AN73" s="19">
        <v>2056</v>
      </c>
      <c r="AO73" s="19">
        <v>2057</v>
      </c>
      <c r="AP73" s="19">
        <v>2058</v>
      </c>
      <c r="AQ73" s="19">
        <v>2059</v>
      </c>
      <c r="AR73" s="19">
        <v>2060</v>
      </c>
    </row>
    <row r="74" spans="1:44" s="15" customFormat="1" x14ac:dyDescent="0.15">
      <c r="A74" s="19" t="s">
        <v>912</v>
      </c>
      <c r="B74" s="16">
        <f t="shared" ref="B74:AR74" si="77">B$84*$F4/$F$14</f>
        <v>4010.2431081738691</v>
      </c>
      <c r="C74" s="16">
        <f t="shared" si="77"/>
        <v>4093.0744089387599</v>
      </c>
      <c r="D74" s="16">
        <f t="shared" si="77"/>
        <v>4202.4216605140518</v>
      </c>
      <c r="E74" s="16">
        <f t="shared" si="77"/>
        <v>4258.4015366261074</v>
      </c>
      <c r="F74" s="16">
        <f t="shared" si="77"/>
        <v>4313.0285065489916</v>
      </c>
      <c r="G74" s="16">
        <f t="shared" si="77"/>
        <v>4366.2724438736896</v>
      </c>
      <c r="H74" s="16">
        <f t="shared" si="77"/>
        <v>4418.1060726719124</v>
      </c>
      <c r="I74" s="16">
        <f t="shared" si="77"/>
        <v>4468.5054019964027</v>
      </c>
      <c r="J74" s="16">
        <f t="shared" si="77"/>
        <v>4517.4495213179389</v>
      </c>
      <c r="K74" s="16">
        <f t="shared" si="77"/>
        <v>4564.9212174112854</v>
      </c>
      <c r="L74" s="16">
        <f t="shared" si="77"/>
        <v>4610.906781167354</v>
      </c>
      <c r="M74" s="16">
        <f t="shared" si="77"/>
        <v>4655.3964264041288</v>
      </c>
      <c r="N74" s="16">
        <f t="shared" si="77"/>
        <v>4698.3844383326368</v>
      </c>
      <c r="O74" s="16">
        <f t="shared" si="77"/>
        <v>4739.8692856008447</v>
      </c>
      <c r="P74" s="16">
        <f t="shared" si="77"/>
        <v>4779.854078092887</v>
      </c>
      <c r="Q74" s="16">
        <f t="shared" si="77"/>
        <v>4818.3464547016238</v>
      </c>
      <c r="R74" s="16">
        <f t="shared" si="77"/>
        <v>4855.3590954703577</v>
      </c>
      <c r="S74" s="16">
        <f t="shared" si="77"/>
        <v>4890.9097768759311</v>
      </c>
      <c r="T74" s="16">
        <f t="shared" si="77"/>
        <v>4925.0216884377733</v>
      </c>
      <c r="U74" s="16">
        <f t="shared" si="77"/>
        <v>4957.7237465899334</v>
      </c>
      <c r="V74" s="16">
        <f t="shared" si="77"/>
        <v>4989.0506183979405</v>
      </c>
      <c r="W74" s="16">
        <f t="shared" si="77"/>
        <v>5019.0432228020918</v>
      </c>
      <c r="X74" s="16">
        <f t="shared" si="77"/>
        <v>5047.7489253315334</v>
      </c>
      <c r="Y74" s="16">
        <f t="shared" si="77"/>
        <v>5075.2218354358483</v>
      </c>
      <c r="Z74" s="16">
        <f t="shared" si="77"/>
        <v>5101.5229620110686</v>
      </c>
      <c r="AA74" s="16">
        <f t="shared" si="77"/>
        <v>5126.7206106258736</v>
      </c>
      <c r="AB74" s="16">
        <f t="shared" si="77"/>
        <v>5150.8908281353451</v>
      </c>
      <c r="AC74" s="16">
        <f t="shared" si="77"/>
        <v>5174.1174360279228</v>
      </c>
      <c r="AD74" s="16">
        <f t="shared" si="77"/>
        <v>5196.492422495463</v>
      </c>
      <c r="AE74" s="16">
        <f t="shared" si="77"/>
        <v>5218.1165741450523</v>
      </c>
      <c r="AF74" s="16">
        <f t="shared" si="77"/>
        <v>5239.0993614145009</v>
      </c>
      <c r="AG74" s="16">
        <f t="shared" si="77"/>
        <v>5259.5595297352011</v>
      </c>
      <c r="AH74" s="16">
        <f t="shared" si="77"/>
        <v>5279.6255621130022</v>
      </c>
      <c r="AI74" s="16">
        <f t="shared" si="77"/>
        <v>5299.4356837908344</v>
      </c>
      <c r="AJ74" s="16">
        <f t="shared" si="77"/>
        <v>5319.1387462521716</v>
      </c>
      <c r="AK74" s="16">
        <f t="shared" si="77"/>
        <v>5338.8940258273751</v>
      </c>
      <c r="AL74" s="16">
        <f t="shared" si="77"/>
        <v>5358.8722032727183</v>
      </c>
      <c r="AM74" s="16">
        <f t="shared" si="77"/>
        <v>5379.2554089926916</v>
      </c>
      <c r="AN74" s="16">
        <f t="shared" si="77"/>
        <v>5400.2377157808751</v>
      </c>
      <c r="AO74" s="16">
        <f t="shared" si="77"/>
        <v>5422.0255886412069</v>
      </c>
      <c r="AP74" s="16">
        <f t="shared" si="77"/>
        <v>5444.8383474064913</v>
      </c>
      <c r="AQ74" s="16">
        <f t="shared" si="77"/>
        <v>5468.9087517975249</v>
      </c>
      <c r="AR74" s="16">
        <f t="shared" si="77"/>
        <v>5494.4831382063858</v>
      </c>
    </row>
    <row r="75" spans="1:44" s="15" customFormat="1" x14ac:dyDescent="0.15">
      <c r="A75" s="19" t="s">
        <v>913</v>
      </c>
      <c r="B75" s="16">
        <f t="shared" ref="B75:AR75" si="78">B$84*$F5/$F$14</f>
        <v>0</v>
      </c>
      <c r="C75" s="16">
        <f t="shared" si="78"/>
        <v>0</v>
      </c>
      <c r="D75" s="16">
        <f t="shared" si="78"/>
        <v>0</v>
      </c>
      <c r="E75" s="16">
        <f t="shared" si="78"/>
        <v>0</v>
      </c>
      <c r="F75" s="16">
        <f t="shared" si="78"/>
        <v>0</v>
      </c>
      <c r="G75" s="16">
        <f t="shared" si="78"/>
        <v>0</v>
      </c>
      <c r="H75" s="16">
        <f t="shared" si="78"/>
        <v>0</v>
      </c>
      <c r="I75" s="16">
        <f t="shared" si="78"/>
        <v>0</v>
      </c>
      <c r="J75" s="16">
        <f t="shared" si="78"/>
        <v>0</v>
      </c>
      <c r="K75" s="16">
        <f t="shared" si="78"/>
        <v>0</v>
      </c>
      <c r="L75" s="16">
        <f t="shared" si="78"/>
        <v>0</v>
      </c>
      <c r="M75" s="16">
        <f t="shared" si="78"/>
        <v>0</v>
      </c>
      <c r="N75" s="16">
        <f t="shared" si="78"/>
        <v>0</v>
      </c>
      <c r="O75" s="16">
        <f t="shared" si="78"/>
        <v>0</v>
      </c>
      <c r="P75" s="16">
        <f t="shared" si="78"/>
        <v>0</v>
      </c>
      <c r="Q75" s="16">
        <f t="shared" si="78"/>
        <v>0</v>
      </c>
      <c r="R75" s="16">
        <f t="shared" si="78"/>
        <v>0</v>
      </c>
      <c r="S75" s="16">
        <f t="shared" si="78"/>
        <v>0</v>
      </c>
      <c r="T75" s="16">
        <f t="shared" si="78"/>
        <v>0</v>
      </c>
      <c r="U75" s="16">
        <f t="shared" si="78"/>
        <v>0</v>
      </c>
      <c r="V75" s="16">
        <f t="shared" si="78"/>
        <v>0</v>
      </c>
      <c r="W75" s="16">
        <f t="shared" si="78"/>
        <v>0</v>
      </c>
      <c r="X75" s="16">
        <f t="shared" si="78"/>
        <v>0</v>
      </c>
      <c r="Y75" s="16">
        <f t="shared" si="78"/>
        <v>0</v>
      </c>
      <c r="Z75" s="16">
        <f t="shared" si="78"/>
        <v>0</v>
      </c>
      <c r="AA75" s="16">
        <f t="shared" si="78"/>
        <v>0</v>
      </c>
      <c r="AB75" s="16">
        <f t="shared" si="78"/>
        <v>0</v>
      </c>
      <c r="AC75" s="16">
        <f t="shared" si="78"/>
        <v>0</v>
      </c>
      <c r="AD75" s="16">
        <f t="shared" si="78"/>
        <v>0</v>
      </c>
      <c r="AE75" s="16">
        <f t="shared" si="78"/>
        <v>0</v>
      </c>
      <c r="AF75" s="16">
        <f t="shared" si="78"/>
        <v>0</v>
      </c>
      <c r="AG75" s="16">
        <f t="shared" si="78"/>
        <v>0</v>
      </c>
      <c r="AH75" s="16">
        <f t="shared" si="78"/>
        <v>0</v>
      </c>
      <c r="AI75" s="16">
        <f t="shared" si="78"/>
        <v>0</v>
      </c>
      <c r="AJ75" s="16">
        <f t="shared" si="78"/>
        <v>0</v>
      </c>
      <c r="AK75" s="16">
        <f t="shared" si="78"/>
        <v>0</v>
      </c>
      <c r="AL75" s="16">
        <f t="shared" si="78"/>
        <v>0</v>
      </c>
      <c r="AM75" s="16">
        <f t="shared" si="78"/>
        <v>0</v>
      </c>
      <c r="AN75" s="16">
        <f t="shared" si="78"/>
        <v>0</v>
      </c>
      <c r="AO75" s="16">
        <f t="shared" si="78"/>
        <v>0</v>
      </c>
      <c r="AP75" s="16">
        <f t="shared" si="78"/>
        <v>0</v>
      </c>
      <c r="AQ75" s="16">
        <f t="shared" si="78"/>
        <v>0</v>
      </c>
      <c r="AR75" s="16">
        <f t="shared" si="78"/>
        <v>0</v>
      </c>
    </row>
    <row r="76" spans="1:44" s="15" customFormat="1" x14ac:dyDescent="0.15">
      <c r="A76" s="19" t="s">
        <v>914</v>
      </c>
      <c r="B76" s="16">
        <f t="shared" ref="B76:AR76" si="79">B$84*$F6/$F$14</f>
        <v>0</v>
      </c>
      <c r="C76" s="16">
        <f t="shared" si="79"/>
        <v>0</v>
      </c>
      <c r="D76" s="16">
        <f t="shared" si="79"/>
        <v>0</v>
      </c>
      <c r="E76" s="16">
        <f t="shared" si="79"/>
        <v>0</v>
      </c>
      <c r="F76" s="16">
        <f t="shared" si="79"/>
        <v>0</v>
      </c>
      <c r="G76" s="16">
        <f t="shared" si="79"/>
        <v>0</v>
      </c>
      <c r="H76" s="16">
        <f t="shared" si="79"/>
        <v>0</v>
      </c>
      <c r="I76" s="16">
        <f t="shared" si="79"/>
        <v>0</v>
      </c>
      <c r="J76" s="16">
        <f t="shared" si="79"/>
        <v>0</v>
      </c>
      <c r="K76" s="16">
        <f t="shared" si="79"/>
        <v>0</v>
      </c>
      <c r="L76" s="16">
        <f t="shared" si="79"/>
        <v>0</v>
      </c>
      <c r="M76" s="16">
        <f t="shared" si="79"/>
        <v>0</v>
      </c>
      <c r="N76" s="16">
        <f t="shared" si="79"/>
        <v>0</v>
      </c>
      <c r="O76" s="16">
        <f t="shared" si="79"/>
        <v>0</v>
      </c>
      <c r="P76" s="16">
        <f t="shared" si="79"/>
        <v>0</v>
      </c>
      <c r="Q76" s="16">
        <f t="shared" si="79"/>
        <v>0</v>
      </c>
      <c r="R76" s="16">
        <f t="shared" si="79"/>
        <v>0</v>
      </c>
      <c r="S76" s="16">
        <f t="shared" si="79"/>
        <v>0</v>
      </c>
      <c r="T76" s="16">
        <f t="shared" si="79"/>
        <v>0</v>
      </c>
      <c r="U76" s="16">
        <f t="shared" si="79"/>
        <v>0</v>
      </c>
      <c r="V76" s="16">
        <f t="shared" si="79"/>
        <v>0</v>
      </c>
      <c r="W76" s="16">
        <f t="shared" si="79"/>
        <v>0</v>
      </c>
      <c r="X76" s="16">
        <f t="shared" si="79"/>
        <v>0</v>
      </c>
      <c r="Y76" s="16">
        <f t="shared" si="79"/>
        <v>0</v>
      </c>
      <c r="Z76" s="16">
        <f t="shared" si="79"/>
        <v>0</v>
      </c>
      <c r="AA76" s="16">
        <f t="shared" si="79"/>
        <v>0</v>
      </c>
      <c r="AB76" s="16">
        <f t="shared" si="79"/>
        <v>0</v>
      </c>
      <c r="AC76" s="16">
        <f t="shared" si="79"/>
        <v>0</v>
      </c>
      <c r="AD76" s="16">
        <f t="shared" si="79"/>
        <v>0</v>
      </c>
      <c r="AE76" s="16">
        <f t="shared" si="79"/>
        <v>0</v>
      </c>
      <c r="AF76" s="16">
        <f t="shared" si="79"/>
        <v>0</v>
      </c>
      <c r="AG76" s="16">
        <f t="shared" si="79"/>
        <v>0</v>
      </c>
      <c r="AH76" s="16">
        <f t="shared" si="79"/>
        <v>0</v>
      </c>
      <c r="AI76" s="16">
        <f t="shared" si="79"/>
        <v>0</v>
      </c>
      <c r="AJ76" s="16">
        <f t="shared" si="79"/>
        <v>0</v>
      </c>
      <c r="AK76" s="16">
        <f t="shared" si="79"/>
        <v>0</v>
      </c>
      <c r="AL76" s="16">
        <f t="shared" si="79"/>
        <v>0</v>
      </c>
      <c r="AM76" s="16">
        <f t="shared" si="79"/>
        <v>0</v>
      </c>
      <c r="AN76" s="16">
        <f t="shared" si="79"/>
        <v>0</v>
      </c>
      <c r="AO76" s="16">
        <f t="shared" si="79"/>
        <v>0</v>
      </c>
      <c r="AP76" s="16">
        <f t="shared" si="79"/>
        <v>0</v>
      </c>
      <c r="AQ76" s="16">
        <f t="shared" si="79"/>
        <v>0</v>
      </c>
      <c r="AR76" s="16">
        <f t="shared" si="79"/>
        <v>0</v>
      </c>
    </row>
    <row r="77" spans="1:44" s="15" customFormat="1" x14ac:dyDescent="0.15">
      <c r="A77" s="19" t="s">
        <v>915</v>
      </c>
      <c r="B77" s="16">
        <f t="shared" ref="B77:AR77" si="80">B$84*$F7/$F$14</f>
        <v>0</v>
      </c>
      <c r="C77" s="16">
        <f t="shared" si="80"/>
        <v>0</v>
      </c>
      <c r="D77" s="16">
        <f t="shared" si="80"/>
        <v>0</v>
      </c>
      <c r="E77" s="16">
        <f t="shared" si="80"/>
        <v>0</v>
      </c>
      <c r="F77" s="16">
        <f t="shared" si="80"/>
        <v>0</v>
      </c>
      <c r="G77" s="16">
        <f t="shared" si="80"/>
        <v>0</v>
      </c>
      <c r="H77" s="16">
        <f t="shared" si="80"/>
        <v>0</v>
      </c>
      <c r="I77" s="16">
        <f t="shared" si="80"/>
        <v>0</v>
      </c>
      <c r="J77" s="16">
        <f t="shared" si="80"/>
        <v>0</v>
      </c>
      <c r="K77" s="16">
        <f t="shared" si="80"/>
        <v>0</v>
      </c>
      <c r="L77" s="16">
        <f t="shared" si="80"/>
        <v>0</v>
      </c>
      <c r="M77" s="16">
        <f t="shared" si="80"/>
        <v>0</v>
      </c>
      <c r="N77" s="16">
        <f t="shared" si="80"/>
        <v>0</v>
      </c>
      <c r="O77" s="16">
        <f t="shared" si="80"/>
        <v>0</v>
      </c>
      <c r="P77" s="16">
        <f t="shared" si="80"/>
        <v>0</v>
      </c>
      <c r="Q77" s="16">
        <f t="shared" si="80"/>
        <v>0</v>
      </c>
      <c r="R77" s="16">
        <f t="shared" si="80"/>
        <v>0</v>
      </c>
      <c r="S77" s="16">
        <f t="shared" si="80"/>
        <v>0</v>
      </c>
      <c r="T77" s="16">
        <f t="shared" si="80"/>
        <v>0</v>
      </c>
      <c r="U77" s="16">
        <f t="shared" si="80"/>
        <v>0</v>
      </c>
      <c r="V77" s="16">
        <f t="shared" si="80"/>
        <v>0</v>
      </c>
      <c r="W77" s="16">
        <f t="shared" si="80"/>
        <v>0</v>
      </c>
      <c r="X77" s="16">
        <f t="shared" si="80"/>
        <v>0</v>
      </c>
      <c r="Y77" s="16">
        <f t="shared" si="80"/>
        <v>0</v>
      </c>
      <c r="Z77" s="16">
        <f t="shared" si="80"/>
        <v>0</v>
      </c>
      <c r="AA77" s="16">
        <f t="shared" si="80"/>
        <v>0</v>
      </c>
      <c r="AB77" s="16">
        <f t="shared" si="80"/>
        <v>0</v>
      </c>
      <c r="AC77" s="16">
        <f t="shared" si="80"/>
        <v>0</v>
      </c>
      <c r="AD77" s="16">
        <f t="shared" si="80"/>
        <v>0</v>
      </c>
      <c r="AE77" s="16">
        <f t="shared" si="80"/>
        <v>0</v>
      </c>
      <c r="AF77" s="16">
        <f t="shared" si="80"/>
        <v>0</v>
      </c>
      <c r="AG77" s="16">
        <f t="shared" si="80"/>
        <v>0</v>
      </c>
      <c r="AH77" s="16">
        <f t="shared" si="80"/>
        <v>0</v>
      </c>
      <c r="AI77" s="16">
        <f t="shared" si="80"/>
        <v>0</v>
      </c>
      <c r="AJ77" s="16">
        <f t="shared" si="80"/>
        <v>0</v>
      </c>
      <c r="AK77" s="16">
        <f t="shared" si="80"/>
        <v>0</v>
      </c>
      <c r="AL77" s="16">
        <f t="shared" si="80"/>
        <v>0</v>
      </c>
      <c r="AM77" s="16">
        <f t="shared" si="80"/>
        <v>0</v>
      </c>
      <c r="AN77" s="16">
        <f t="shared" si="80"/>
        <v>0</v>
      </c>
      <c r="AO77" s="16">
        <f t="shared" si="80"/>
        <v>0</v>
      </c>
      <c r="AP77" s="16">
        <f t="shared" si="80"/>
        <v>0</v>
      </c>
      <c r="AQ77" s="16">
        <f t="shared" si="80"/>
        <v>0</v>
      </c>
      <c r="AR77" s="16">
        <f t="shared" si="80"/>
        <v>0</v>
      </c>
    </row>
    <row r="78" spans="1:44" s="15" customFormat="1" x14ac:dyDescent="0.15">
      <c r="A78" s="19" t="s">
        <v>916</v>
      </c>
      <c r="B78" s="16">
        <f t="shared" ref="B78:AR78" si="81">B$84*$F8/$F$14</f>
        <v>0</v>
      </c>
      <c r="C78" s="16">
        <f t="shared" si="81"/>
        <v>0</v>
      </c>
      <c r="D78" s="16">
        <f t="shared" si="81"/>
        <v>0</v>
      </c>
      <c r="E78" s="16">
        <f t="shared" si="81"/>
        <v>0</v>
      </c>
      <c r="F78" s="16">
        <f t="shared" si="81"/>
        <v>0</v>
      </c>
      <c r="G78" s="16">
        <f t="shared" si="81"/>
        <v>0</v>
      </c>
      <c r="H78" s="16">
        <f t="shared" si="81"/>
        <v>0</v>
      </c>
      <c r="I78" s="16">
        <f t="shared" si="81"/>
        <v>0</v>
      </c>
      <c r="J78" s="16">
        <f t="shared" si="81"/>
        <v>0</v>
      </c>
      <c r="K78" s="16">
        <f t="shared" si="81"/>
        <v>0</v>
      </c>
      <c r="L78" s="16">
        <f t="shared" si="81"/>
        <v>0</v>
      </c>
      <c r="M78" s="16">
        <f t="shared" si="81"/>
        <v>0</v>
      </c>
      <c r="N78" s="16">
        <f t="shared" si="81"/>
        <v>0</v>
      </c>
      <c r="O78" s="16">
        <f t="shared" si="81"/>
        <v>0</v>
      </c>
      <c r="P78" s="16">
        <f t="shared" si="81"/>
        <v>0</v>
      </c>
      <c r="Q78" s="16">
        <f t="shared" si="81"/>
        <v>0</v>
      </c>
      <c r="R78" s="16">
        <f t="shared" si="81"/>
        <v>0</v>
      </c>
      <c r="S78" s="16">
        <f t="shared" si="81"/>
        <v>0</v>
      </c>
      <c r="T78" s="16">
        <f t="shared" si="81"/>
        <v>0</v>
      </c>
      <c r="U78" s="16">
        <f t="shared" si="81"/>
        <v>0</v>
      </c>
      <c r="V78" s="16">
        <f t="shared" si="81"/>
        <v>0</v>
      </c>
      <c r="W78" s="16">
        <f t="shared" si="81"/>
        <v>0</v>
      </c>
      <c r="X78" s="16">
        <f t="shared" si="81"/>
        <v>0</v>
      </c>
      <c r="Y78" s="16">
        <f t="shared" si="81"/>
        <v>0</v>
      </c>
      <c r="Z78" s="16">
        <f t="shared" si="81"/>
        <v>0</v>
      </c>
      <c r="AA78" s="16">
        <f t="shared" si="81"/>
        <v>0</v>
      </c>
      <c r="AB78" s="16">
        <f t="shared" si="81"/>
        <v>0</v>
      </c>
      <c r="AC78" s="16">
        <f t="shared" si="81"/>
        <v>0</v>
      </c>
      <c r="AD78" s="16">
        <f t="shared" si="81"/>
        <v>0</v>
      </c>
      <c r="AE78" s="16">
        <f t="shared" si="81"/>
        <v>0</v>
      </c>
      <c r="AF78" s="16">
        <f t="shared" si="81"/>
        <v>0</v>
      </c>
      <c r="AG78" s="16">
        <f t="shared" si="81"/>
        <v>0</v>
      </c>
      <c r="AH78" s="16">
        <f t="shared" si="81"/>
        <v>0</v>
      </c>
      <c r="AI78" s="16">
        <f t="shared" si="81"/>
        <v>0</v>
      </c>
      <c r="AJ78" s="16">
        <f t="shared" si="81"/>
        <v>0</v>
      </c>
      <c r="AK78" s="16">
        <f t="shared" si="81"/>
        <v>0</v>
      </c>
      <c r="AL78" s="16">
        <f t="shared" si="81"/>
        <v>0</v>
      </c>
      <c r="AM78" s="16">
        <f t="shared" si="81"/>
        <v>0</v>
      </c>
      <c r="AN78" s="16">
        <f t="shared" si="81"/>
        <v>0</v>
      </c>
      <c r="AO78" s="16">
        <f t="shared" si="81"/>
        <v>0</v>
      </c>
      <c r="AP78" s="16">
        <f t="shared" si="81"/>
        <v>0</v>
      </c>
      <c r="AQ78" s="16">
        <f t="shared" si="81"/>
        <v>0</v>
      </c>
      <c r="AR78" s="16">
        <f t="shared" si="81"/>
        <v>0</v>
      </c>
    </row>
    <row r="79" spans="1:44" s="15" customFormat="1" x14ac:dyDescent="0.15">
      <c r="A79" s="19" t="s">
        <v>917</v>
      </c>
      <c r="B79" s="16">
        <f t="shared" ref="B79:AR79" si="82">B$84*$F9/$F$14</f>
        <v>0</v>
      </c>
      <c r="C79" s="16">
        <f t="shared" si="82"/>
        <v>0</v>
      </c>
      <c r="D79" s="16">
        <f t="shared" si="82"/>
        <v>0</v>
      </c>
      <c r="E79" s="16">
        <f t="shared" si="82"/>
        <v>0</v>
      </c>
      <c r="F79" s="16">
        <f t="shared" si="82"/>
        <v>0</v>
      </c>
      <c r="G79" s="16">
        <f t="shared" si="82"/>
        <v>0</v>
      </c>
      <c r="H79" s="16">
        <f t="shared" si="82"/>
        <v>0</v>
      </c>
      <c r="I79" s="16">
        <f t="shared" si="82"/>
        <v>0</v>
      </c>
      <c r="J79" s="16">
        <f t="shared" si="82"/>
        <v>0</v>
      </c>
      <c r="K79" s="16">
        <f t="shared" si="82"/>
        <v>0</v>
      </c>
      <c r="L79" s="16">
        <f t="shared" si="82"/>
        <v>0</v>
      </c>
      <c r="M79" s="16">
        <f t="shared" si="82"/>
        <v>0</v>
      </c>
      <c r="N79" s="16">
        <f t="shared" si="82"/>
        <v>0</v>
      </c>
      <c r="O79" s="16">
        <f t="shared" si="82"/>
        <v>0</v>
      </c>
      <c r="P79" s="16">
        <f t="shared" si="82"/>
        <v>0</v>
      </c>
      <c r="Q79" s="16">
        <f t="shared" si="82"/>
        <v>0</v>
      </c>
      <c r="R79" s="16">
        <f t="shared" si="82"/>
        <v>0</v>
      </c>
      <c r="S79" s="16">
        <f t="shared" si="82"/>
        <v>0</v>
      </c>
      <c r="T79" s="16">
        <f t="shared" si="82"/>
        <v>0</v>
      </c>
      <c r="U79" s="16">
        <f t="shared" si="82"/>
        <v>0</v>
      </c>
      <c r="V79" s="16">
        <f t="shared" si="82"/>
        <v>0</v>
      </c>
      <c r="W79" s="16">
        <f t="shared" si="82"/>
        <v>0</v>
      </c>
      <c r="X79" s="16">
        <f t="shared" si="82"/>
        <v>0</v>
      </c>
      <c r="Y79" s="16">
        <f t="shared" si="82"/>
        <v>0</v>
      </c>
      <c r="Z79" s="16">
        <f t="shared" si="82"/>
        <v>0</v>
      </c>
      <c r="AA79" s="16">
        <f t="shared" si="82"/>
        <v>0</v>
      </c>
      <c r="AB79" s="16">
        <f t="shared" si="82"/>
        <v>0</v>
      </c>
      <c r="AC79" s="16">
        <f t="shared" si="82"/>
        <v>0</v>
      </c>
      <c r="AD79" s="16">
        <f t="shared" si="82"/>
        <v>0</v>
      </c>
      <c r="AE79" s="16">
        <f t="shared" si="82"/>
        <v>0</v>
      </c>
      <c r="AF79" s="16">
        <f t="shared" si="82"/>
        <v>0</v>
      </c>
      <c r="AG79" s="16">
        <f t="shared" si="82"/>
        <v>0</v>
      </c>
      <c r="AH79" s="16">
        <f t="shared" si="82"/>
        <v>0</v>
      </c>
      <c r="AI79" s="16">
        <f t="shared" si="82"/>
        <v>0</v>
      </c>
      <c r="AJ79" s="16">
        <f t="shared" si="82"/>
        <v>0</v>
      </c>
      <c r="AK79" s="16">
        <f t="shared" si="82"/>
        <v>0</v>
      </c>
      <c r="AL79" s="16">
        <f t="shared" si="82"/>
        <v>0</v>
      </c>
      <c r="AM79" s="16">
        <f t="shared" si="82"/>
        <v>0</v>
      </c>
      <c r="AN79" s="16">
        <f t="shared" si="82"/>
        <v>0</v>
      </c>
      <c r="AO79" s="16">
        <f t="shared" si="82"/>
        <v>0</v>
      </c>
      <c r="AP79" s="16">
        <f t="shared" si="82"/>
        <v>0</v>
      </c>
      <c r="AQ79" s="16">
        <f t="shared" si="82"/>
        <v>0</v>
      </c>
      <c r="AR79" s="16">
        <f t="shared" si="82"/>
        <v>0</v>
      </c>
    </row>
    <row r="80" spans="1:44" s="15" customFormat="1" x14ac:dyDescent="0.15">
      <c r="A80" s="19" t="s">
        <v>918</v>
      </c>
      <c r="B80" s="16">
        <f t="shared" ref="B80:AR80" si="83">B$84*$F10/$F$14</f>
        <v>0</v>
      </c>
      <c r="C80" s="16">
        <f t="shared" si="83"/>
        <v>0</v>
      </c>
      <c r="D80" s="16">
        <f t="shared" si="83"/>
        <v>0</v>
      </c>
      <c r="E80" s="16">
        <f t="shared" si="83"/>
        <v>0</v>
      </c>
      <c r="F80" s="16">
        <f t="shared" si="83"/>
        <v>0</v>
      </c>
      <c r="G80" s="16">
        <f t="shared" si="83"/>
        <v>0</v>
      </c>
      <c r="H80" s="16">
        <f t="shared" si="83"/>
        <v>0</v>
      </c>
      <c r="I80" s="16">
        <f t="shared" si="83"/>
        <v>0</v>
      </c>
      <c r="J80" s="16">
        <f t="shared" si="83"/>
        <v>0</v>
      </c>
      <c r="K80" s="16">
        <f t="shared" si="83"/>
        <v>0</v>
      </c>
      <c r="L80" s="16">
        <f t="shared" si="83"/>
        <v>0</v>
      </c>
      <c r="M80" s="16">
        <f t="shared" si="83"/>
        <v>0</v>
      </c>
      <c r="N80" s="16">
        <f t="shared" si="83"/>
        <v>0</v>
      </c>
      <c r="O80" s="16">
        <f t="shared" si="83"/>
        <v>0</v>
      </c>
      <c r="P80" s="16">
        <f t="shared" si="83"/>
        <v>0</v>
      </c>
      <c r="Q80" s="16">
        <f t="shared" si="83"/>
        <v>0</v>
      </c>
      <c r="R80" s="16">
        <f t="shared" si="83"/>
        <v>0</v>
      </c>
      <c r="S80" s="16">
        <f t="shared" si="83"/>
        <v>0</v>
      </c>
      <c r="T80" s="16">
        <f t="shared" si="83"/>
        <v>0</v>
      </c>
      <c r="U80" s="16">
        <f t="shared" si="83"/>
        <v>0</v>
      </c>
      <c r="V80" s="16">
        <f t="shared" si="83"/>
        <v>0</v>
      </c>
      <c r="W80" s="16">
        <f t="shared" si="83"/>
        <v>0</v>
      </c>
      <c r="X80" s="16">
        <f t="shared" si="83"/>
        <v>0</v>
      </c>
      <c r="Y80" s="16">
        <f t="shared" si="83"/>
        <v>0</v>
      </c>
      <c r="Z80" s="16">
        <f t="shared" si="83"/>
        <v>0</v>
      </c>
      <c r="AA80" s="16">
        <f t="shared" si="83"/>
        <v>0</v>
      </c>
      <c r="AB80" s="16">
        <f t="shared" si="83"/>
        <v>0</v>
      </c>
      <c r="AC80" s="16">
        <f t="shared" si="83"/>
        <v>0</v>
      </c>
      <c r="AD80" s="16">
        <f t="shared" si="83"/>
        <v>0</v>
      </c>
      <c r="AE80" s="16">
        <f t="shared" si="83"/>
        <v>0</v>
      </c>
      <c r="AF80" s="16">
        <f t="shared" si="83"/>
        <v>0</v>
      </c>
      <c r="AG80" s="16">
        <f t="shared" si="83"/>
        <v>0</v>
      </c>
      <c r="AH80" s="16">
        <f t="shared" si="83"/>
        <v>0</v>
      </c>
      <c r="AI80" s="16">
        <f t="shared" si="83"/>
        <v>0</v>
      </c>
      <c r="AJ80" s="16">
        <f t="shared" si="83"/>
        <v>0</v>
      </c>
      <c r="AK80" s="16">
        <f t="shared" si="83"/>
        <v>0</v>
      </c>
      <c r="AL80" s="16">
        <f t="shared" si="83"/>
        <v>0</v>
      </c>
      <c r="AM80" s="16">
        <f t="shared" si="83"/>
        <v>0</v>
      </c>
      <c r="AN80" s="16">
        <f t="shared" si="83"/>
        <v>0</v>
      </c>
      <c r="AO80" s="16">
        <f t="shared" si="83"/>
        <v>0</v>
      </c>
      <c r="AP80" s="16">
        <f t="shared" si="83"/>
        <v>0</v>
      </c>
      <c r="AQ80" s="16">
        <f t="shared" si="83"/>
        <v>0</v>
      </c>
      <c r="AR80" s="16">
        <f t="shared" si="83"/>
        <v>0</v>
      </c>
    </row>
    <row r="81" spans="1:44" s="15" customFormat="1" x14ac:dyDescent="0.15">
      <c r="A81" s="19" t="s">
        <v>919</v>
      </c>
      <c r="B81" s="16">
        <f t="shared" ref="B81:AR81" si="84">B$84*$F11/$F$14</f>
        <v>0</v>
      </c>
      <c r="C81" s="16">
        <f t="shared" si="84"/>
        <v>0</v>
      </c>
      <c r="D81" s="16">
        <f t="shared" si="84"/>
        <v>0</v>
      </c>
      <c r="E81" s="16">
        <f t="shared" si="84"/>
        <v>0</v>
      </c>
      <c r="F81" s="16">
        <f t="shared" si="84"/>
        <v>0</v>
      </c>
      <c r="G81" s="16">
        <f t="shared" si="84"/>
        <v>0</v>
      </c>
      <c r="H81" s="16">
        <f t="shared" si="84"/>
        <v>0</v>
      </c>
      <c r="I81" s="16">
        <f t="shared" si="84"/>
        <v>0</v>
      </c>
      <c r="J81" s="16">
        <f t="shared" si="84"/>
        <v>0</v>
      </c>
      <c r="K81" s="16">
        <f t="shared" si="84"/>
        <v>0</v>
      </c>
      <c r="L81" s="16">
        <f t="shared" si="84"/>
        <v>0</v>
      </c>
      <c r="M81" s="16">
        <f t="shared" si="84"/>
        <v>0</v>
      </c>
      <c r="N81" s="16">
        <f t="shared" si="84"/>
        <v>0</v>
      </c>
      <c r="O81" s="16">
        <f t="shared" si="84"/>
        <v>0</v>
      </c>
      <c r="P81" s="16">
        <f t="shared" si="84"/>
        <v>0</v>
      </c>
      <c r="Q81" s="16">
        <f t="shared" si="84"/>
        <v>0</v>
      </c>
      <c r="R81" s="16">
        <f t="shared" si="84"/>
        <v>0</v>
      </c>
      <c r="S81" s="16">
        <f t="shared" si="84"/>
        <v>0</v>
      </c>
      <c r="T81" s="16">
        <f t="shared" si="84"/>
        <v>0</v>
      </c>
      <c r="U81" s="16">
        <f t="shared" si="84"/>
        <v>0</v>
      </c>
      <c r="V81" s="16">
        <f t="shared" si="84"/>
        <v>0</v>
      </c>
      <c r="W81" s="16">
        <f t="shared" si="84"/>
        <v>0</v>
      </c>
      <c r="X81" s="16">
        <f t="shared" si="84"/>
        <v>0</v>
      </c>
      <c r="Y81" s="16">
        <f t="shared" si="84"/>
        <v>0</v>
      </c>
      <c r="Z81" s="16">
        <f t="shared" si="84"/>
        <v>0</v>
      </c>
      <c r="AA81" s="16">
        <f t="shared" si="84"/>
        <v>0</v>
      </c>
      <c r="AB81" s="16">
        <f t="shared" si="84"/>
        <v>0</v>
      </c>
      <c r="AC81" s="16">
        <f t="shared" si="84"/>
        <v>0</v>
      </c>
      <c r="AD81" s="16">
        <f t="shared" si="84"/>
        <v>0</v>
      </c>
      <c r="AE81" s="16">
        <f t="shared" si="84"/>
        <v>0</v>
      </c>
      <c r="AF81" s="16">
        <f t="shared" si="84"/>
        <v>0</v>
      </c>
      <c r="AG81" s="16">
        <f t="shared" si="84"/>
        <v>0</v>
      </c>
      <c r="AH81" s="16">
        <f t="shared" si="84"/>
        <v>0</v>
      </c>
      <c r="AI81" s="16">
        <f t="shared" si="84"/>
        <v>0</v>
      </c>
      <c r="AJ81" s="16">
        <f t="shared" si="84"/>
        <v>0</v>
      </c>
      <c r="AK81" s="16">
        <f t="shared" si="84"/>
        <v>0</v>
      </c>
      <c r="AL81" s="16">
        <f t="shared" si="84"/>
        <v>0</v>
      </c>
      <c r="AM81" s="16">
        <f t="shared" si="84"/>
        <v>0</v>
      </c>
      <c r="AN81" s="16">
        <f t="shared" si="84"/>
        <v>0</v>
      </c>
      <c r="AO81" s="16">
        <f t="shared" si="84"/>
        <v>0</v>
      </c>
      <c r="AP81" s="16">
        <f t="shared" si="84"/>
        <v>0</v>
      </c>
      <c r="AQ81" s="16">
        <f t="shared" si="84"/>
        <v>0</v>
      </c>
      <c r="AR81" s="16">
        <f t="shared" si="84"/>
        <v>0</v>
      </c>
    </row>
    <row r="82" spans="1:44" s="15" customFormat="1" x14ac:dyDescent="0.15">
      <c r="A82" s="19" t="s">
        <v>920</v>
      </c>
      <c r="B82" s="16">
        <f t="shared" ref="B82:AR82" si="85">B$84*$F12/$F$14</f>
        <v>0</v>
      </c>
      <c r="C82" s="16">
        <f t="shared" si="85"/>
        <v>0</v>
      </c>
      <c r="D82" s="16">
        <f t="shared" si="85"/>
        <v>0</v>
      </c>
      <c r="E82" s="16">
        <f t="shared" si="85"/>
        <v>0</v>
      </c>
      <c r="F82" s="16">
        <f t="shared" si="85"/>
        <v>0</v>
      </c>
      <c r="G82" s="16">
        <f t="shared" si="85"/>
        <v>0</v>
      </c>
      <c r="H82" s="16">
        <f t="shared" si="85"/>
        <v>0</v>
      </c>
      <c r="I82" s="16">
        <f t="shared" si="85"/>
        <v>0</v>
      </c>
      <c r="J82" s="16">
        <f t="shared" si="85"/>
        <v>0</v>
      </c>
      <c r="K82" s="16">
        <f t="shared" si="85"/>
        <v>0</v>
      </c>
      <c r="L82" s="16">
        <f t="shared" si="85"/>
        <v>0</v>
      </c>
      <c r="M82" s="16">
        <f t="shared" si="85"/>
        <v>0</v>
      </c>
      <c r="N82" s="16">
        <f t="shared" si="85"/>
        <v>0</v>
      </c>
      <c r="O82" s="16">
        <f t="shared" si="85"/>
        <v>0</v>
      </c>
      <c r="P82" s="16">
        <f t="shared" si="85"/>
        <v>0</v>
      </c>
      <c r="Q82" s="16">
        <f t="shared" si="85"/>
        <v>0</v>
      </c>
      <c r="R82" s="16">
        <f t="shared" si="85"/>
        <v>0</v>
      </c>
      <c r="S82" s="16">
        <f t="shared" si="85"/>
        <v>0</v>
      </c>
      <c r="T82" s="16">
        <f t="shared" si="85"/>
        <v>0</v>
      </c>
      <c r="U82" s="16">
        <f t="shared" si="85"/>
        <v>0</v>
      </c>
      <c r="V82" s="16">
        <f t="shared" si="85"/>
        <v>0</v>
      </c>
      <c r="W82" s="16">
        <f t="shared" si="85"/>
        <v>0</v>
      </c>
      <c r="X82" s="16">
        <f t="shared" si="85"/>
        <v>0</v>
      </c>
      <c r="Y82" s="16">
        <f t="shared" si="85"/>
        <v>0</v>
      </c>
      <c r="Z82" s="16">
        <f t="shared" si="85"/>
        <v>0</v>
      </c>
      <c r="AA82" s="16">
        <f t="shared" si="85"/>
        <v>0</v>
      </c>
      <c r="AB82" s="16">
        <f t="shared" si="85"/>
        <v>0</v>
      </c>
      <c r="AC82" s="16">
        <f t="shared" si="85"/>
        <v>0</v>
      </c>
      <c r="AD82" s="16">
        <f t="shared" si="85"/>
        <v>0</v>
      </c>
      <c r="AE82" s="16">
        <f t="shared" si="85"/>
        <v>0</v>
      </c>
      <c r="AF82" s="16">
        <f t="shared" si="85"/>
        <v>0</v>
      </c>
      <c r="AG82" s="16">
        <f t="shared" si="85"/>
        <v>0</v>
      </c>
      <c r="AH82" s="16">
        <f t="shared" si="85"/>
        <v>0</v>
      </c>
      <c r="AI82" s="16">
        <f t="shared" si="85"/>
        <v>0</v>
      </c>
      <c r="AJ82" s="16">
        <f t="shared" si="85"/>
        <v>0</v>
      </c>
      <c r="AK82" s="16">
        <f t="shared" si="85"/>
        <v>0</v>
      </c>
      <c r="AL82" s="16">
        <f t="shared" si="85"/>
        <v>0</v>
      </c>
      <c r="AM82" s="16">
        <f t="shared" si="85"/>
        <v>0</v>
      </c>
      <c r="AN82" s="16">
        <f t="shared" si="85"/>
        <v>0</v>
      </c>
      <c r="AO82" s="16">
        <f t="shared" si="85"/>
        <v>0</v>
      </c>
      <c r="AP82" s="16">
        <f t="shared" si="85"/>
        <v>0</v>
      </c>
      <c r="AQ82" s="16">
        <f t="shared" si="85"/>
        <v>0</v>
      </c>
      <c r="AR82" s="16">
        <f t="shared" si="85"/>
        <v>0</v>
      </c>
    </row>
    <row r="83" spans="1:44" s="15" customFormat="1" x14ac:dyDescent="0.15">
      <c r="A83" s="19" t="s">
        <v>921</v>
      </c>
      <c r="B83" s="16">
        <f t="shared" ref="B83:AR83" si="86">B$84*$F13/$F$14</f>
        <v>0</v>
      </c>
      <c r="C83" s="16">
        <f t="shared" si="86"/>
        <v>0</v>
      </c>
      <c r="D83" s="16">
        <f t="shared" si="86"/>
        <v>0</v>
      </c>
      <c r="E83" s="16">
        <f t="shared" si="86"/>
        <v>0</v>
      </c>
      <c r="F83" s="16">
        <f t="shared" si="86"/>
        <v>0</v>
      </c>
      <c r="G83" s="16">
        <f t="shared" si="86"/>
        <v>0</v>
      </c>
      <c r="H83" s="16">
        <f t="shared" si="86"/>
        <v>0</v>
      </c>
      <c r="I83" s="16">
        <f t="shared" si="86"/>
        <v>0</v>
      </c>
      <c r="J83" s="16">
        <f t="shared" si="86"/>
        <v>0</v>
      </c>
      <c r="K83" s="16">
        <f t="shared" si="86"/>
        <v>0</v>
      </c>
      <c r="L83" s="16">
        <f t="shared" si="86"/>
        <v>0</v>
      </c>
      <c r="M83" s="16">
        <f t="shared" si="86"/>
        <v>0</v>
      </c>
      <c r="N83" s="16">
        <f t="shared" si="86"/>
        <v>0</v>
      </c>
      <c r="O83" s="16">
        <f t="shared" si="86"/>
        <v>0</v>
      </c>
      <c r="P83" s="16">
        <f t="shared" si="86"/>
        <v>0</v>
      </c>
      <c r="Q83" s="16">
        <f t="shared" si="86"/>
        <v>0</v>
      </c>
      <c r="R83" s="16">
        <f t="shared" si="86"/>
        <v>0</v>
      </c>
      <c r="S83" s="16">
        <f t="shared" si="86"/>
        <v>0</v>
      </c>
      <c r="T83" s="16">
        <f t="shared" si="86"/>
        <v>0</v>
      </c>
      <c r="U83" s="16">
        <f t="shared" si="86"/>
        <v>0</v>
      </c>
      <c r="V83" s="16">
        <f t="shared" si="86"/>
        <v>0</v>
      </c>
      <c r="W83" s="16">
        <f t="shared" si="86"/>
        <v>0</v>
      </c>
      <c r="X83" s="16">
        <f t="shared" si="86"/>
        <v>0</v>
      </c>
      <c r="Y83" s="16">
        <f t="shared" si="86"/>
        <v>0</v>
      </c>
      <c r="Z83" s="16">
        <f t="shared" si="86"/>
        <v>0</v>
      </c>
      <c r="AA83" s="16">
        <f t="shared" si="86"/>
        <v>0</v>
      </c>
      <c r="AB83" s="16">
        <f t="shared" si="86"/>
        <v>0</v>
      </c>
      <c r="AC83" s="16">
        <f t="shared" si="86"/>
        <v>0</v>
      </c>
      <c r="AD83" s="16">
        <f t="shared" si="86"/>
        <v>0</v>
      </c>
      <c r="AE83" s="16">
        <f t="shared" si="86"/>
        <v>0</v>
      </c>
      <c r="AF83" s="16">
        <f t="shared" si="86"/>
        <v>0</v>
      </c>
      <c r="AG83" s="16">
        <f t="shared" si="86"/>
        <v>0</v>
      </c>
      <c r="AH83" s="16">
        <f t="shared" si="86"/>
        <v>0</v>
      </c>
      <c r="AI83" s="16">
        <f t="shared" si="86"/>
        <v>0</v>
      </c>
      <c r="AJ83" s="16">
        <f t="shared" si="86"/>
        <v>0</v>
      </c>
      <c r="AK83" s="16">
        <f t="shared" si="86"/>
        <v>0</v>
      </c>
      <c r="AL83" s="16">
        <f t="shared" si="86"/>
        <v>0</v>
      </c>
      <c r="AM83" s="16">
        <f t="shared" si="86"/>
        <v>0</v>
      </c>
      <c r="AN83" s="16">
        <f t="shared" si="86"/>
        <v>0</v>
      </c>
      <c r="AO83" s="16">
        <f t="shared" si="86"/>
        <v>0</v>
      </c>
      <c r="AP83" s="16">
        <f t="shared" si="86"/>
        <v>0</v>
      </c>
      <c r="AQ83" s="16">
        <f t="shared" si="86"/>
        <v>0</v>
      </c>
      <c r="AR83" s="16">
        <f t="shared" si="86"/>
        <v>0</v>
      </c>
    </row>
    <row r="84" spans="1:44" s="17" customFormat="1" x14ac:dyDescent="0.15">
      <c r="A84" s="19" t="s">
        <v>911</v>
      </c>
      <c r="B84" s="17">
        <f>BAU建筑总能耗计算!B$4*$F$16</f>
        <v>4010.2431081738687</v>
      </c>
      <c r="C84" s="17">
        <f>BAU建筑总能耗计算!C$4*$F$16</f>
        <v>4093.0744089387599</v>
      </c>
      <c r="D84" s="17">
        <f>BAU建筑总能耗计算!D$4*$F$16</f>
        <v>4202.4216605140518</v>
      </c>
      <c r="E84" s="17">
        <f>BAU建筑总能耗计算!E$4*$F$16</f>
        <v>4258.4015366261074</v>
      </c>
      <c r="F84" s="17">
        <f>BAU建筑总能耗计算!F$4*$F$16</f>
        <v>4313.0285065489916</v>
      </c>
      <c r="G84" s="17">
        <f>BAU建筑总能耗计算!G$4*$F$16</f>
        <v>4366.2724438736896</v>
      </c>
      <c r="H84" s="17">
        <f>BAU建筑总能耗计算!H$4*$F$16</f>
        <v>4418.1060726719124</v>
      </c>
      <c r="I84" s="17">
        <f>BAU建筑总能耗计算!I$4*$F$16</f>
        <v>4468.5054019964027</v>
      </c>
      <c r="J84" s="17">
        <f>BAU建筑总能耗计算!J$4*$F$16</f>
        <v>4517.4495213179389</v>
      </c>
      <c r="K84" s="17">
        <f>BAU建筑总能耗计算!K$4*$F$16</f>
        <v>4564.9212174112854</v>
      </c>
      <c r="L84" s="17">
        <f>BAU建筑总能耗计算!L$4*$F$16</f>
        <v>4610.906781167354</v>
      </c>
      <c r="M84" s="17">
        <f>BAU建筑总能耗计算!M$4*$F$16</f>
        <v>4655.3964264041288</v>
      </c>
      <c r="N84" s="17">
        <f>BAU建筑总能耗计算!N$4*$F$16</f>
        <v>4698.3844383326368</v>
      </c>
      <c r="O84" s="17">
        <f>BAU建筑总能耗计算!O$4*$F$16</f>
        <v>4739.8692856008447</v>
      </c>
      <c r="P84" s="17">
        <f>BAU建筑总能耗计算!P$4*$F$16</f>
        <v>4779.854078092887</v>
      </c>
      <c r="Q84" s="17">
        <f>BAU建筑总能耗计算!Q$4*$F$16</f>
        <v>4818.3464547016238</v>
      </c>
      <c r="R84" s="17">
        <f>BAU建筑总能耗计算!R$4*$F$16</f>
        <v>4855.3590954703577</v>
      </c>
      <c r="S84" s="17">
        <f>BAU建筑总能耗计算!S$4*$F$16</f>
        <v>4890.9097768759311</v>
      </c>
      <c r="T84" s="17">
        <f>BAU建筑总能耗计算!T$4*$F$16</f>
        <v>4925.0216884377733</v>
      </c>
      <c r="U84" s="17">
        <f>BAU建筑总能耗计算!U$4*$F$16</f>
        <v>4957.7237465899334</v>
      </c>
      <c r="V84" s="17">
        <f>BAU建筑总能耗计算!V$4*$F$16</f>
        <v>4989.0506183979405</v>
      </c>
      <c r="W84" s="17">
        <f>BAU建筑总能耗计算!W$4*$F$16</f>
        <v>5019.0432228020918</v>
      </c>
      <c r="X84" s="17">
        <f>BAU建筑总能耗计算!X$4*$F$16</f>
        <v>5047.7489253315334</v>
      </c>
      <c r="Y84" s="17">
        <f>BAU建筑总能耗计算!Y$4*$F$16</f>
        <v>5075.2218354358483</v>
      </c>
      <c r="Z84" s="17">
        <f>BAU建筑总能耗计算!Z$4*$F$16</f>
        <v>5101.5229620110686</v>
      </c>
      <c r="AA84" s="17">
        <f>BAU建筑总能耗计算!AA$4*$F$16</f>
        <v>5126.7206106258736</v>
      </c>
      <c r="AB84" s="17">
        <f>BAU建筑总能耗计算!AB$4*$F$16</f>
        <v>5150.8908281353451</v>
      </c>
      <c r="AC84" s="17">
        <f>BAU建筑总能耗计算!AC$4*$F$16</f>
        <v>5174.1174360279228</v>
      </c>
      <c r="AD84" s="17">
        <f>BAU建筑总能耗计算!AD$4*$F$16</f>
        <v>5196.492422495463</v>
      </c>
      <c r="AE84" s="17">
        <f>BAU建筑总能耗计算!AE$4*$F$16</f>
        <v>5218.1165741450523</v>
      </c>
      <c r="AF84" s="17">
        <f>BAU建筑总能耗计算!AF$4*$F$16</f>
        <v>5239.0993614145009</v>
      </c>
      <c r="AG84" s="17">
        <f>BAU建筑总能耗计算!AG$4*$F$16</f>
        <v>5259.5595297352011</v>
      </c>
      <c r="AH84" s="17">
        <f>BAU建筑总能耗计算!AH$4*$F$16</f>
        <v>5279.6255621130022</v>
      </c>
      <c r="AI84" s="17">
        <f>BAU建筑总能耗计算!AI$4*$F$16</f>
        <v>5299.4356837908344</v>
      </c>
      <c r="AJ84" s="17">
        <f>BAU建筑总能耗计算!AJ$4*$F$16</f>
        <v>5319.1387462521716</v>
      </c>
      <c r="AK84" s="17">
        <f>BAU建筑总能耗计算!AK$4*$F$16</f>
        <v>5338.8940258273751</v>
      </c>
      <c r="AL84" s="17">
        <f>BAU建筑总能耗计算!AL$4*$F$16</f>
        <v>5358.8722032727183</v>
      </c>
      <c r="AM84" s="17">
        <f>BAU建筑总能耗计算!AM$4*$F$16</f>
        <v>5379.2554089926916</v>
      </c>
      <c r="AN84" s="17">
        <f>BAU建筑总能耗计算!AN$4*$F$16</f>
        <v>5400.2377157808751</v>
      </c>
      <c r="AO84" s="17">
        <f>BAU建筑总能耗计算!AO$4*$F$16</f>
        <v>5422.0255886412069</v>
      </c>
      <c r="AP84" s="17">
        <f>BAU建筑总能耗计算!AP$4*$F$16</f>
        <v>5444.8383474064913</v>
      </c>
      <c r="AQ84" s="17">
        <f>BAU建筑总能耗计算!AQ$4*$F$16</f>
        <v>5468.9087517975249</v>
      </c>
      <c r="AR84" s="17">
        <f>BAU建筑总能耗计算!AR$4*$F$16</f>
        <v>5494.4831382063858</v>
      </c>
    </row>
    <row r="85" spans="1:44" s="15" customFormat="1" x14ac:dyDescent="0.15"/>
    <row r="86" spans="1:44" s="19" customFormat="1" x14ac:dyDescent="0.15">
      <c r="A86" s="18" t="s">
        <v>15</v>
      </c>
      <c r="B86" s="19">
        <v>2018</v>
      </c>
      <c r="C86" s="19">
        <v>2019</v>
      </c>
      <c r="D86" s="19">
        <v>2020</v>
      </c>
      <c r="E86" s="19">
        <v>2021</v>
      </c>
      <c r="F86" s="19">
        <v>2022</v>
      </c>
      <c r="G86" s="19">
        <v>2023</v>
      </c>
      <c r="H86" s="19">
        <v>2024</v>
      </c>
      <c r="I86" s="19">
        <v>2025</v>
      </c>
      <c r="J86" s="19">
        <v>2026</v>
      </c>
      <c r="K86" s="19">
        <v>2027</v>
      </c>
      <c r="L86" s="19">
        <v>2028</v>
      </c>
      <c r="M86" s="19">
        <v>2029</v>
      </c>
      <c r="N86" s="19">
        <v>2030</v>
      </c>
      <c r="O86" s="19">
        <v>2031</v>
      </c>
      <c r="P86" s="19">
        <v>2032</v>
      </c>
      <c r="Q86" s="19">
        <v>2033</v>
      </c>
      <c r="R86" s="19">
        <v>2034</v>
      </c>
      <c r="S86" s="19">
        <v>2035</v>
      </c>
      <c r="T86" s="19">
        <v>2036</v>
      </c>
      <c r="U86" s="19">
        <v>2037</v>
      </c>
      <c r="V86" s="19">
        <v>2038</v>
      </c>
      <c r="W86" s="19">
        <v>2039</v>
      </c>
      <c r="X86" s="19">
        <v>2040</v>
      </c>
      <c r="Y86" s="19">
        <v>2041</v>
      </c>
      <c r="Z86" s="19">
        <v>2042</v>
      </c>
      <c r="AA86" s="19">
        <v>2043</v>
      </c>
      <c r="AB86" s="19">
        <v>2044</v>
      </c>
      <c r="AC86" s="19">
        <v>2045</v>
      </c>
      <c r="AD86" s="19">
        <v>2046</v>
      </c>
      <c r="AE86" s="19">
        <v>2047</v>
      </c>
      <c r="AF86" s="19">
        <v>2048</v>
      </c>
      <c r="AG86" s="19">
        <v>2049</v>
      </c>
      <c r="AH86" s="19">
        <v>2050</v>
      </c>
      <c r="AI86" s="19">
        <v>2051</v>
      </c>
      <c r="AJ86" s="19">
        <v>2052</v>
      </c>
      <c r="AK86" s="19">
        <v>2053</v>
      </c>
      <c r="AL86" s="19">
        <v>2054</v>
      </c>
      <c r="AM86" s="19">
        <v>2055</v>
      </c>
      <c r="AN86" s="19">
        <v>2056</v>
      </c>
      <c r="AO86" s="19">
        <v>2057</v>
      </c>
      <c r="AP86" s="19">
        <v>2058</v>
      </c>
      <c r="AQ86" s="19">
        <v>2059</v>
      </c>
      <c r="AR86" s="19">
        <v>2060</v>
      </c>
    </row>
    <row r="87" spans="1:44" s="15" customFormat="1" x14ac:dyDescent="0.15">
      <c r="A87" s="19" t="s">
        <v>912</v>
      </c>
      <c r="B87" s="16">
        <f t="shared" ref="B87:AR87" si="87">B$97*$G4/$G$14</f>
        <v>2516.2309698345844</v>
      </c>
      <c r="C87" s="16">
        <f t="shared" si="87"/>
        <v>2568.203550706673</v>
      </c>
      <c r="D87" s="16">
        <f t="shared" si="87"/>
        <v>2636.8135909107777</v>
      </c>
      <c r="E87" s="16">
        <f t="shared" si="87"/>
        <v>2671.9382190595188</v>
      </c>
      <c r="F87" s="16">
        <f t="shared" si="87"/>
        <v>2706.2139648934854</v>
      </c>
      <c r="G87" s="16">
        <f t="shared" si="87"/>
        <v>2739.6219255678061</v>
      </c>
      <c r="H87" s="16">
        <f t="shared" si="87"/>
        <v>2772.1449867745332</v>
      </c>
      <c r="I87" s="16">
        <f t="shared" si="87"/>
        <v>2803.768095370292</v>
      </c>
      <c r="J87" s="16">
        <f t="shared" si="87"/>
        <v>2834.4781310230205</v>
      </c>
      <c r="K87" s="16">
        <f t="shared" si="87"/>
        <v>2864.2642932776694</v>
      </c>
      <c r="L87" s="16">
        <f t="shared" si="87"/>
        <v>2893.1179803403015</v>
      </c>
      <c r="M87" s="16">
        <f t="shared" si="87"/>
        <v>2921.0330518614137</v>
      </c>
      <c r="N87" s="16">
        <f t="shared" si="87"/>
        <v>2948.0059220910666</v>
      </c>
      <c r="O87" s="16">
        <f t="shared" si="87"/>
        <v>2974.0356301809225</v>
      </c>
      <c r="P87" s="16">
        <f t="shared" si="87"/>
        <v>2999.1241274308313</v>
      </c>
      <c r="Q87" s="16">
        <f t="shared" si="87"/>
        <v>3023.276206871607</v>
      </c>
      <c r="R87" s="16">
        <f t="shared" si="87"/>
        <v>3046.4998246088521</v>
      </c>
      <c r="S87" s="16">
        <f t="shared" si="87"/>
        <v>3068.8061345103879</v>
      </c>
      <c r="T87" s="16">
        <f t="shared" si="87"/>
        <v>3090.2096868629164</v>
      </c>
      <c r="U87" s="16">
        <f t="shared" si="87"/>
        <v>3110.7286253113307</v>
      </c>
      <c r="V87" s="16">
        <f t="shared" si="87"/>
        <v>3130.3847017398843</v>
      </c>
      <c r="W87" s="16">
        <f t="shared" si="87"/>
        <v>3149.2035907777831</v>
      </c>
      <c r="X87" s="16">
        <f t="shared" si="87"/>
        <v>3167.2150119727271</v>
      </c>
      <c r="Y87" s="16">
        <f t="shared" si="87"/>
        <v>3184.4529163519051</v>
      </c>
      <c r="Z87" s="16">
        <f t="shared" si="87"/>
        <v>3200.9555840069456</v>
      </c>
      <c r="AA87" s="16">
        <f t="shared" si="87"/>
        <v>3216.7658733338822</v>
      </c>
      <c r="AB87" s="16">
        <f t="shared" si="87"/>
        <v>3231.9315000064917</v>
      </c>
      <c r="AC87" s="16">
        <f t="shared" si="87"/>
        <v>3246.5050578998735</v>
      </c>
      <c r="AD87" s="16">
        <f t="shared" si="87"/>
        <v>3260.5442650951923</v>
      </c>
      <c r="AE87" s="16">
        <f t="shared" si="87"/>
        <v>3274.112360247876</v>
      </c>
      <c r="AF87" s="16">
        <f t="shared" si="87"/>
        <v>3287.2780306914519</v>
      </c>
      <c r="AG87" s="16">
        <f t="shared" si="87"/>
        <v>3300.1157833632637</v>
      </c>
      <c r="AH87" s="16">
        <f t="shared" si="87"/>
        <v>3312.7062350512961</v>
      </c>
      <c r="AI87" s="16">
        <f t="shared" si="87"/>
        <v>3325.1361153197395</v>
      </c>
      <c r="AJ87" s="16">
        <f t="shared" si="87"/>
        <v>3337.4988211778336</v>
      </c>
      <c r="AK87" s="16">
        <f t="shared" si="87"/>
        <v>3349.8942907152159</v>
      </c>
      <c r="AL87" s="16">
        <f t="shared" si="87"/>
        <v>3362.4296177397455</v>
      </c>
      <c r="AM87" s="16">
        <f t="shared" si="87"/>
        <v>3375.2190801522775</v>
      </c>
      <c r="AN87" s="16">
        <f t="shared" si="87"/>
        <v>3388.3844491174123</v>
      </c>
      <c r="AO87" s="16">
        <f t="shared" si="87"/>
        <v>3402.0552713042871</v>
      </c>
      <c r="AP87" s="16">
        <f t="shared" si="87"/>
        <v>3416.369159157015</v>
      </c>
      <c r="AQ87" s="16">
        <f t="shared" si="87"/>
        <v>3431.472157990604</v>
      </c>
      <c r="AR87" s="16">
        <f t="shared" si="87"/>
        <v>3447.5188318157716</v>
      </c>
    </row>
    <row r="88" spans="1:44" s="15" customFormat="1" x14ac:dyDescent="0.15">
      <c r="A88" s="19" t="s">
        <v>913</v>
      </c>
      <c r="B88" s="16">
        <f t="shared" ref="B88:AR88" si="88">B$97*$G5/$G$14</f>
        <v>77.282879622995964</v>
      </c>
      <c r="C88" s="16">
        <f t="shared" si="88"/>
        <v>78.879152286112472</v>
      </c>
      <c r="D88" s="16">
        <f t="shared" si="88"/>
        <v>80.986423654118596</v>
      </c>
      <c r="E88" s="16">
        <f t="shared" si="88"/>
        <v>82.065232571727663</v>
      </c>
      <c r="F88" s="16">
        <f t="shared" si="88"/>
        <v>83.117969133287815</v>
      </c>
      <c r="G88" s="16">
        <f t="shared" si="88"/>
        <v>84.144052761617473</v>
      </c>
      <c r="H88" s="16">
        <f t="shared" si="88"/>
        <v>85.14295781220433</v>
      </c>
      <c r="I88" s="16">
        <f t="shared" si="88"/>
        <v>86.114221946621853</v>
      </c>
      <c r="J88" s="16">
        <f t="shared" si="88"/>
        <v>87.057442190319804</v>
      </c>
      <c r="K88" s="16">
        <f t="shared" si="88"/>
        <v>87.972286820861967</v>
      </c>
      <c r="L88" s="16">
        <f t="shared" si="88"/>
        <v>88.858491644931661</v>
      </c>
      <c r="M88" s="16">
        <f t="shared" si="88"/>
        <v>89.71586806939213</v>
      </c>
      <c r="N88" s="16">
        <f t="shared" si="88"/>
        <v>90.544305962429419</v>
      </c>
      <c r="O88" s="16">
        <f t="shared" si="88"/>
        <v>91.343775812791492</v>
      </c>
      <c r="P88" s="16">
        <f t="shared" si="88"/>
        <v>92.114337552206862</v>
      </c>
      <c r="Q88" s="16">
        <f t="shared" si="88"/>
        <v>92.856138392607946</v>
      </c>
      <c r="R88" s="16">
        <f t="shared" si="88"/>
        <v>93.569422695803652</v>
      </c>
      <c r="S88" s="16">
        <f t="shared" si="88"/>
        <v>94.254533038860529</v>
      </c>
      <c r="T88" s="16">
        <f t="shared" si="88"/>
        <v>94.911916315592748</v>
      </c>
      <c r="U88" s="16">
        <f t="shared" si="88"/>
        <v>95.542129785306415</v>
      </c>
      <c r="V88" s="16">
        <f t="shared" si="88"/>
        <v>96.145841529855915</v>
      </c>
      <c r="W88" s="16">
        <f t="shared" si="88"/>
        <v>96.723840113288844</v>
      </c>
      <c r="X88" s="16">
        <f t="shared" si="88"/>
        <v>97.277038334253234</v>
      </c>
      <c r="Y88" s="16">
        <f t="shared" si="88"/>
        <v>97.806478955984502</v>
      </c>
      <c r="Z88" s="16">
        <f t="shared" si="88"/>
        <v>98.313337703505056</v>
      </c>
      <c r="AA88" s="16">
        <f t="shared" si="88"/>
        <v>98.798930918717204</v>
      </c>
      <c r="AB88" s="16">
        <f t="shared" si="88"/>
        <v>99.26472412871955</v>
      </c>
      <c r="AC88" s="16">
        <f t="shared" si="88"/>
        <v>99.712332688448498</v>
      </c>
      <c r="AD88" s="16">
        <f t="shared" si="88"/>
        <v>100.14352933640545</v>
      </c>
      <c r="AE88" s="16">
        <f t="shared" si="88"/>
        <v>100.56025636860915</v>
      </c>
      <c r="AF88" s="16">
        <f t="shared" si="88"/>
        <v>100.96462343039512</v>
      </c>
      <c r="AG88" s="16">
        <f t="shared" si="88"/>
        <v>101.35891890893407</v>
      </c>
      <c r="AH88" s="16">
        <f t="shared" si="88"/>
        <v>101.74561884779909</v>
      </c>
      <c r="AI88" s="16">
        <f t="shared" si="88"/>
        <v>102.12738703682091</v>
      </c>
      <c r="AJ88" s="16">
        <f t="shared" si="88"/>
        <v>102.50709204804585</v>
      </c>
      <c r="AK88" s="16">
        <f t="shared" si="88"/>
        <v>102.8878033546041</v>
      </c>
      <c r="AL88" s="16">
        <f t="shared" si="88"/>
        <v>103.27281020853981</v>
      </c>
      <c r="AM88" s="16">
        <f t="shared" si="88"/>
        <v>103.66562251230678</v>
      </c>
      <c r="AN88" s="16">
        <f t="shared" si="88"/>
        <v>104.06998031456041</v>
      </c>
      <c r="AO88" s="16">
        <f t="shared" si="88"/>
        <v>104.48986247882975</v>
      </c>
      <c r="AP88" s="16">
        <f t="shared" si="88"/>
        <v>104.92949559881002</v>
      </c>
      <c r="AQ88" s="16">
        <f t="shared" si="88"/>
        <v>105.39336527325382</v>
      </c>
      <c r="AR88" s="16">
        <f t="shared" si="88"/>
        <v>105.88621874197233</v>
      </c>
    </row>
    <row r="89" spans="1:44" s="15" customFormat="1" x14ac:dyDescent="0.15">
      <c r="A89" s="19" t="s">
        <v>914</v>
      </c>
      <c r="B89" s="16">
        <f t="shared" ref="B89:AR89" si="89">B$97*$G6/$G$14</f>
        <v>3994.409761567073</v>
      </c>
      <c r="C89" s="16">
        <f t="shared" si="89"/>
        <v>4076.9140256263272</v>
      </c>
      <c r="D89" s="16">
        <f t="shared" si="89"/>
        <v>4185.8295495262664</v>
      </c>
      <c r="E89" s="16">
        <f t="shared" si="89"/>
        <v>4241.5884044289887</v>
      </c>
      <c r="F89" s="16">
        <f t="shared" si="89"/>
        <v>4295.9996947221007</v>
      </c>
      <c r="G89" s="16">
        <f t="shared" si="89"/>
        <v>4349.0334129424627</v>
      </c>
      <c r="H89" s="16">
        <f t="shared" si="89"/>
        <v>4400.6623908533165</v>
      </c>
      <c r="I89" s="16">
        <f t="shared" si="89"/>
        <v>4450.8627322290922</v>
      </c>
      <c r="J89" s="16">
        <f t="shared" si="89"/>
        <v>4499.6136091000635</v>
      </c>
      <c r="K89" s="16">
        <f t="shared" si="89"/>
        <v>4546.8978762027018</v>
      </c>
      <c r="L89" s="16">
        <f t="shared" si="89"/>
        <v>4592.7018785545824</v>
      </c>
      <c r="M89" s="16">
        <f t="shared" si="89"/>
        <v>4637.0158686117456</v>
      </c>
      <c r="N89" s="16">
        <f t="shared" si="89"/>
        <v>4679.8341541485024</v>
      </c>
      <c r="O89" s="16">
        <f t="shared" si="89"/>
        <v>4721.1552098589391</v>
      </c>
      <c r="P89" s="16">
        <f t="shared" si="89"/>
        <v>4760.9821333486661</v>
      </c>
      <c r="Q89" s="16">
        <f t="shared" si="89"/>
        <v>4799.3225333504679</v>
      </c>
      <c r="R89" s="16">
        <f t="shared" si="89"/>
        <v>4836.1890398439682</v>
      </c>
      <c r="S89" s="16">
        <f t="shared" si="89"/>
        <v>4871.5993591204588</v>
      </c>
      <c r="T89" s="16">
        <f t="shared" si="89"/>
        <v>4905.5765891419032</v>
      </c>
      <c r="U89" s="16">
        <f t="shared" si="89"/>
        <v>4938.1495321737293</v>
      </c>
      <c r="V89" s="16">
        <f t="shared" si="89"/>
        <v>4969.352718408054</v>
      </c>
      <c r="W89" s="16">
        <f t="shared" si="89"/>
        <v>4999.2269052279444</v>
      </c>
      <c r="X89" s="16">
        <f t="shared" si="89"/>
        <v>5027.8192711527263</v>
      </c>
      <c r="Y89" s="16">
        <f t="shared" si="89"/>
        <v>5055.1837119956399</v>
      </c>
      <c r="Z89" s="16">
        <f t="shared" si="89"/>
        <v>5081.3809957758031</v>
      </c>
      <c r="AA89" s="16">
        <f t="shared" si="89"/>
        <v>5106.4791583760616</v>
      </c>
      <c r="AB89" s="16">
        <f t="shared" si="89"/>
        <v>5130.5539464013191</v>
      </c>
      <c r="AC89" s="16">
        <f t="shared" si="89"/>
        <v>5153.6888503938217</v>
      </c>
      <c r="AD89" s="16">
        <f t="shared" si="89"/>
        <v>5175.9754953552474</v>
      </c>
      <c r="AE89" s="16">
        <f t="shared" si="89"/>
        <v>5197.5142699643666</v>
      </c>
      <c r="AF89" s="16">
        <f t="shared" si="89"/>
        <v>5218.4142124449445</v>
      </c>
      <c r="AG89" s="16">
        <f t="shared" si="89"/>
        <v>5238.7935993945612</v>
      </c>
      <c r="AH89" s="16">
        <f t="shared" si="89"/>
        <v>5258.7804065391056</v>
      </c>
      <c r="AI89" s="16">
        <f t="shared" si="89"/>
        <v>5278.5123133769921</v>
      </c>
      <c r="AJ89" s="16">
        <f t="shared" si="89"/>
        <v>5298.1375836923789</v>
      </c>
      <c r="AK89" s="16">
        <f t="shared" si="89"/>
        <v>5317.8148649566601</v>
      </c>
      <c r="AL89" s="16">
        <f t="shared" si="89"/>
        <v>5337.7141640398868</v>
      </c>
      <c r="AM89" s="16">
        <f t="shared" si="89"/>
        <v>5358.0168922545281</v>
      </c>
      <c r="AN89" s="16">
        <f t="shared" si="89"/>
        <v>5378.9163561508894</v>
      </c>
      <c r="AO89" s="16">
        <f t="shared" si="89"/>
        <v>5400.6182055623885</v>
      </c>
      <c r="AP89" s="16">
        <f t="shared" si="89"/>
        <v>5423.3408943975355</v>
      </c>
      <c r="AQ89" s="16">
        <f t="shared" si="89"/>
        <v>5447.3162633891161</v>
      </c>
      <c r="AR89" s="16">
        <f t="shared" si="89"/>
        <v>5472.7896763374301</v>
      </c>
    </row>
    <row r="90" spans="1:44" s="15" customFormat="1" x14ac:dyDescent="0.15">
      <c r="A90" s="19" t="s">
        <v>915</v>
      </c>
      <c r="B90" s="16">
        <f t="shared" ref="B90:AR90" si="90">B$97*$G7/$G$14</f>
        <v>0</v>
      </c>
      <c r="C90" s="16">
        <f t="shared" si="90"/>
        <v>0</v>
      </c>
      <c r="D90" s="16">
        <f t="shared" si="90"/>
        <v>0</v>
      </c>
      <c r="E90" s="16">
        <f t="shared" si="90"/>
        <v>0</v>
      </c>
      <c r="F90" s="16">
        <f t="shared" si="90"/>
        <v>0</v>
      </c>
      <c r="G90" s="16">
        <f t="shared" si="90"/>
        <v>0</v>
      </c>
      <c r="H90" s="16">
        <f t="shared" si="90"/>
        <v>0</v>
      </c>
      <c r="I90" s="16">
        <f t="shared" si="90"/>
        <v>0</v>
      </c>
      <c r="J90" s="16">
        <f t="shared" si="90"/>
        <v>0</v>
      </c>
      <c r="K90" s="16">
        <f t="shared" si="90"/>
        <v>0</v>
      </c>
      <c r="L90" s="16">
        <f t="shared" si="90"/>
        <v>0</v>
      </c>
      <c r="M90" s="16">
        <f t="shared" si="90"/>
        <v>0</v>
      </c>
      <c r="N90" s="16">
        <f t="shared" si="90"/>
        <v>0</v>
      </c>
      <c r="O90" s="16">
        <f t="shared" si="90"/>
        <v>0</v>
      </c>
      <c r="P90" s="16">
        <f t="shared" si="90"/>
        <v>0</v>
      </c>
      <c r="Q90" s="16">
        <f t="shared" si="90"/>
        <v>0</v>
      </c>
      <c r="R90" s="16">
        <f t="shared" si="90"/>
        <v>0</v>
      </c>
      <c r="S90" s="16">
        <f t="shared" si="90"/>
        <v>0</v>
      </c>
      <c r="T90" s="16">
        <f t="shared" si="90"/>
        <v>0</v>
      </c>
      <c r="U90" s="16">
        <f t="shared" si="90"/>
        <v>0</v>
      </c>
      <c r="V90" s="16">
        <f t="shared" si="90"/>
        <v>0</v>
      </c>
      <c r="W90" s="16">
        <f t="shared" si="90"/>
        <v>0</v>
      </c>
      <c r="X90" s="16">
        <f t="shared" si="90"/>
        <v>0</v>
      </c>
      <c r="Y90" s="16">
        <f t="shared" si="90"/>
        <v>0</v>
      </c>
      <c r="Z90" s="16">
        <f t="shared" si="90"/>
        <v>0</v>
      </c>
      <c r="AA90" s="16">
        <f t="shared" si="90"/>
        <v>0</v>
      </c>
      <c r="AB90" s="16">
        <f t="shared" si="90"/>
        <v>0</v>
      </c>
      <c r="AC90" s="16">
        <f t="shared" si="90"/>
        <v>0</v>
      </c>
      <c r="AD90" s="16">
        <f t="shared" si="90"/>
        <v>0</v>
      </c>
      <c r="AE90" s="16">
        <f t="shared" si="90"/>
        <v>0</v>
      </c>
      <c r="AF90" s="16">
        <f t="shared" si="90"/>
        <v>0</v>
      </c>
      <c r="AG90" s="16">
        <f t="shared" si="90"/>
        <v>0</v>
      </c>
      <c r="AH90" s="16">
        <f t="shared" si="90"/>
        <v>0</v>
      </c>
      <c r="AI90" s="16">
        <f t="shared" si="90"/>
        <v>0</v>
      </c>
      <c r="AJ90" s="16">
        <f t="shared" si="90"/>
        <v>0</v>
      </c>
      <c r="AK90" s="16">
        <f t="shared" si="90"/>
        <v>0</v>
      </c>
      <c r="AL90" s="16">
        <f t="shared" si="90"/>
        <v>0</v>
      </c>
      <c r="AM90" s="16">
        <f t="shared" si="90"/>
        <v>0</v>
      </c>
      <c r="AN90" s="16">
        <f t="shared" si="90"/>
        <v>0</v>
      </c>
      <c r="AO90" s="16">
        <f t="shared" si="90"/>
        <v>0</v>
      </c>
      <c r="AP90" s="16">
        <f t="shared" si="90"/>
        <v>0</v>
      </c>
      <c r="AQ90" s="16">
        <f t="shared" si="90"/>
        <v>0</v>
      </c>
      <c r="AR90" s="16">
        <f t="shared" si="90"/>
        <v>0</v>
      </c>
    </row>
    <row r="91" spans="1:44" s="15" customFormat="1" x14ac:dyDescent="0.15">
      <c r="A91" s="19" t="s">
        <v>916</v>
      </c>
      <c r="B91" s="16">
        <f t="shared" ref="B91:AR91" si="91">B$97*$G8/$G$14</f>
        <v>0</v>
      </c>
      <c r="C91" s="16">
        <f t="shared" si="91"/>
        <v>0</v>
      </c>
      <c r="D91" s="16">
        <f t="shared" si="91"/>
        <v>0</v>
      </c>
      <c r="E91" s="16">
        <f t="shared" si="91"/>
        <v>0</v>
      </c>
      <c r="F91" s="16">
        <f t="shared" si="91"/>
        <v>0</v>
      </c>
      <c r="G91" s="16">
        <f t="shared" si="91"/>
        <v>0</v>
      </c>
      <c r="H91" s="16">
        <f t="shared" si="91"/>
        <v>0</v>
      </c>
      <c r="I91" s="16">
        <f t="shared" si="91"/>
        <v>0</v>
      </c>
      <c r="J91" s="16">
        <f t="shared" si="91"/>
        <v>0</v>
      </c>
      <c r="K91" s="16">
        <f t="shared" si="91"/>
        <v>0</v>
      </c>
      <c r="L91" s="16">
        <f t="shared" si="91"/>
        <v>0</v>
      </c>
      <c r="M91" s="16">
        <f t="shared" si="91"/>
        <v>0</v>
      </c>
      <c r="N91" s="16">
        <f t="shared" si="91"/>
        <v>0</v>
      </c>
      <c r="O91" s="16">
        <f t="shared" si="91"/>
        <v>0</v>
      </c>
      <c r="P91" s="16">
        <f t="shared" si="91"/>
        <v>0</v>
      </c>
      <c r="Q91" s="16">
        <f t="shared" si="91"/>
        <v>0</v>
      </c>
      <c r="R91" s="16">
        <f t="shared" si="91"/>
        <v>0</v>
      </c>
      <c r="S91" s="16">
        <f t="shared" si="91"/>
        <v>0</v>
      </c>
      <c r="T91" s="16">
        <f t="shared" si="91"/>
        <v>0</v>
      </c>
      <c r="U91" s="16">
        <f t="shared" si="91"/>
        <v>0</v>
      </c>
      <c r="V91" s="16">
        <f t="shared" si="91"/>
        <v>0</v>
      </c>
      <c r="W91" s="16">
        <f t="shared" si="91"/>
        <v>0</v>
      </c>
      <c r="X91" s="16">
        <f t="shared" si="91"/>
        <v>0</v>
      </c>
      <c r="Y91" s="16">
        <f t="shared" si="91"/>
        <v>0</v>
      </c>
      <c r="Z91" s="16">
        <f t="shared" si="91"/>
        <v>0</v>
      </c>
      <c r="AA91" s="16">
        <f t="shared" si="91"/>
        <v>0</v>
      </c>
      <c r="AB91" s="16">
        <f t="shared" si="91"/>
        <v>0</v>
      </c>
      <c r="AC91" s="16">
        <f t="shared" si="91"/>
        <v>0</v>
      </c>
      <c r="AD91" s="16">
        <f t="shared" si="91"/>
        <v>0</v>
      </c>
      <c r="AE91" s="16">
        <f t="shared" si="91"/>
        <v>0</v>
      </c>
      <c r="AF91" s="16">
        <f t="shared" si="91"/>
        <v>0</v>
      </c>
      <c r="AG91" s="16">
        <f t="shared" si="91"/>
        <v>0</v>
      </c>
      <c r="AH91" s="16">
        <f t="shared" si="91"/>
        <v>0</v>
      </c>
      <c r="AI91" s="16">
        <f t="shared" si="91"/>
        <v>0</v>
      </c>
      <c r="AJ91" s="16">
        <f t="shared" si="91"/>
        <v>0</v>
      </c>
      <c r="AK91" s="16">
        <f t="shared" si="91"/>
        <v>0</v>
      </c>
      <c r="AL91" s="16">
        <f t="shared" si="91"/>
        <v>0</v>
      </c>
      <c r="AM91" s="16">
        <f t="shared" si="91"/>
        <v>0</v>
      </c>
      <c r="AN91" s="16">
        <f t="shared" si="91"/>
        <v>0</v>
      </c>
      <c r="AO91" s="16">
        <f t="shared" si="91"/>
        <v>0</v>
      </c>
      <c r="AP91" s="16">
        <f t="shared" si="91"/>
        <v>0</v>
      </c>
      <c r="AQ91" s="16">
        <f t="shared" si="91"/>
        <v>0</v>
      </c>
      <c r="AR91" s="16">
        <f t="shared" si="91"/>
        <v>0</v>
      </c>
    </row>
    <row r="92" spans="1:44" s="15" customFormat="1" x14ac:dyDescent="0.15">
      <c r="A92" s="19" t="s">
        <v>917</v>
      </c>
      <c r="B92" s="16">
        <f t="shared" ref="B92:AR92" si="92">B$97*$G9/$G$14</f>
        <v>51.849099701594504</v>
      </c>
      <c r="C92" s="16">
        <f t="shared" si="92"/>
        <v>52.92003935685328</v>
      </c>
      <c r="D92" s="16">
        <f t="shared" si="92"/>
        <v>54.333808147445218</v>
      </c>
      <c r="E92" s="16">
        <f t="shared" si="92"/>
        <v>55.057581270301753</v>
      </c>
      <c r="F92" s="16">
        <f t="shared" si="92"/>
        <v>55.763862444167394</v>
      </c>
      <c r="G92" s="16">
        <f t="shared" si="92"/>
        <v>56.45226215969258</v>
      </c>
      <c r="H92" s="16">
        <f t="shared" si="92"/>
        <v>57.122427761866817</v>
      </c>
      <c r="I92" s="16">
        <f t="shared" si="92"/>
        <v>57.774049067745437</v>
      </c>
      <c r="J92" s="16">
        <f t="shared" si="92"/>
        <v>58.406855721620509</v>
      </c>
      <c r="K92" s="16">
        <f t="shared" si="92"/>
        <v>59.020625170841896</v>
      </c>
      <c r="L92" s="16">
        <f t="shared" si="92"/>
        <v>59.61518016805956</v>
      </c>
      <c r="M92" s="16">
        <f t="shared" si="92"/>
        <v>60.190394186099589</v>
      </c>
      <c r="N92" s="16">
        <f t="shared" si="92"/>
        <v>60.746193337505545</v>
      </c>
      <c r="O92" s="16">
        <f t="shared" si="92"/>
        <v>61.282557823172397</v>
      </c>
      <c r="P92" s="16">
        <f t="shared" si="92"/>
        <v>61.799527851309044</v>
      </c>
      <c r="Q92" s="16">
        <f t="shared" si="92"/>
        <v>62.297202186430972</v>
      </c>
      <c r="R92" s="16">
        <f t="shared" si="92"/>
        <v>62.77574477092562</v>
      </c>
      <c r="S92" s="16">
        <f t="shared" si="92"/>
        <v>63.235385439816774</v>
      </c>
      <c r="T92" s="16">
        <f t="shared" si="92"/>
        <v>63.676424014255559</v>
      </c>
      <c r="U92" s="16">
        <f t="shared" si="92"/>
        <v>64.099234359624063</v>
      </c>
      <c r="V92" s="16">
        <f t="shared" si="92"/>
        <v>64.504264692174687</v>
      </c>
      <c r="W92" s="16">
        <f t="shared" si="92"/>
        <v>64.892044059687748</v>
      </c>
      <c r="X92" s="16">
        <f t="shared" si="92"/>
        <v>65.263184858962418</v>
      </c>
      <c r="Y92" s="16">
        <f t="shared" si="92"/>
        <v>65.618386680066024</v>
      </c>
      <c r="Z92" s="16">
        <f t="shared" si="92"/>
        <v>65.958438317155881</v>
      </c>
      <c r="AA92" s="16">
        <f t="shared" si="92"/>
        <v>66.284222904282743</v>
      </c>
      <c r="AB92" s="16">
        <f t="shared" si="92"/>
        <v>66.596723663875963</v>
      </c>
      <c r="AC92" s="16">
        <f t="shared" si="92"/>
        <v>66.897024337891835</v>
      </c>
      <c r="AD92" s="16">
        <f t="shared" si="92"/>
        <v>67.186314256952514</v>
      </c>
      <c r="AE92" s="16">
        <f t="shared" si="92"/>
        <v>67.465896507853145</v>
      </c>
      <c r="AF92" s="16">
        <f t="shared" si="92"/>
        <v>67.737186452079598</v>
      </c>
      <c r="AG92" s="16">
        <f t="shared" si="92"/>
        <v>68.001719369051429</v>
      </c>
      <c r="AH92" s="16">
        <f t="shared" si="92"/>
        <v>68.261156436906845</v>
      </c>
      <c r="AI92" s="16">
        <f t="shared" si="92"/>
        <v>68.517284792786569</v>
      </c>
      <c r="AJ92" s="16">
        <f t="shared" si="92"/>
        <v>68.772028962261572</v>
      </c>
      <c r="AK92" s="16">
        <f t="shared" si="92"/>
        <v>69.027448255480948</v>
      </c>
      <c r="AL92" s="16">
        <f t="shared" si="92"/>
        <v>69.285749432311974</v>
      </c>
      <c r="AM92" s="16">
        <f t="shared" si="92"/>
        <v>69.549287287026772</v>
      </c>
      <c r="AN92" s="16">
        <f t="shared" si="92"/>
        <v>69.820571019031078</v>
      </c>
      <c r="AO92" s="16">
        <f t="shared" si="92"/>
        <v>70.102270048678051</v>
      </c>
      <c r="AP92" s="16">
        <f t="shared" si="92"/>
        <v>70.397219998539882</v>
      </c>
      <c r="AQ92" s="16">
        <f t="shared" si="92"/>
        <v>70.708430257734548</v>
      </c>
      <c r="AR92" s="16">
        <f t="shared" si="92"/>
        <v>71.039085750419616</v>
      </c>
    </row>
    <row r="93" spans="1:44" s="15" customFormat="1" x14ac:dyDescent="0.15">
      <c r="A93" s="19" t="s">
        <v>918</v>
      </c>
      <c r="B93" s="16">
        <f t="shared" ref="B93:AR93" si="93">B$97*$G10/$G$14</f>
        <v>0</v>
      </c>
      <c r="C93" s="16">
        <f t="shared" si="93"/>
        <v>0</v>
      </c>
      <c r="D93" s="16">
        <f t="shared" si="93"/>
        <v>0</v>
      </c>
      <c r="E93" s="16">
        <f t="shared" si="93"/>
        <v>0</v>
      </c>
      <c r="F93" s="16">
        <f t="shared" si="93"/>
        <v>0</v>
      </c>
      <c r="G93" s="16">
        <f t="shared" si="93"/>
        <v>0</v>
      </c>
      <c r="H93" s="16">
        <f t="shared" si="93"/>
        <v>0</v>
      </c>
      <c r="I93" s="16">
        <f t="shared" si="93"/>
        <v>0</v>
      </c>
      <c r="J93" s="16">
        <f t="shared" si="93"/>
        <v>0</v>
      </c>
      <c r="K93" s="16">
        <f t="shared" si="93"/>
        <v>0</v>
      </c>
      <c r="L93" s="16">
        <f t="shared" si="93"/>
        <v>0</v>
      </c>
      <c r="M93" s="16">
        <f t="shared" si="93"/>
        <v>0</v>
      </c>
      <c r="N93" s="16">
        <f t="shared" si="93"/>
        <v>0</v>
      </c>
      <c r="O93" s="16">
        <f t="shared" si="93"/>
        <v>0</v>
      </c>
      <c r="P93" s="16">
        <f t="shared" si="93"/>
        <v>0</v>
      </c>
      <c r="Q93" s="16">
        <f t="shared" si="93"/>
        <v>0</v>
      </c>
      <c r="R93" s="16">
        <f t="shared" si="93"/>
        <v>0</v>
      </c>
      <c r="S93" s="16">
        <f t="shared" si="93"/>
        <v>0</v>
      </c>
      <c r="T93" s="16">
        <f t="shared" si="93"/>
        <v>0</v>
      </c>
      <c r="U93" s="16">
        <f t="shared" si="93"/>
        <v>0</v>
      </c>
      <c r="V93" s="16">
        <f t="shared" si="93"/>
        <v>0</v>
      </c>
      <c r="W93" s="16">
        <f t="shared" si="93"/>
        <v>0</v>
      </c>
      <c r="X93" s="16">
        <f t="shared" si="93"/>
        <v>0</v>
      </c>
      <c r="Y93" s="16">
        <f t="shared" si="93"/>
        <v>0</v>
      </c>
      <c r="Z93" s="16">
        <f t="shared" si="93"/>
        <v>0</v>
      </c>
      <c r="AA93" s="16">
        <f t="shared" si="93"/>
        <v>0</v>
      </c>
      <c r="AB93" s="16">
        <f t="shared" si="93"/>
        <v>0</v>
      </c>
      <c r="AC93" s="16">
        <f t="shared" si="93"/>
        <v>0</v>
      </c>
      <c r="AD93" s="16">
        <f t="shared" si="93"/>
        <v>0</v>
      </c>
      <c r="AE93" s="16">
        <f t="shared" si="93"/>
        <v>0</v>
      </c>
      <c r="AF93" s="16">
        <f t="shared" si="93"/>
        <v>0</v>
      </c>
      <c r="AG93" s="16">
        <f t="shared" si="93"/>
        <v>0</v>
      </c>
      <c r="AH93" s="16">
        <f t="shared" si="93"/>
        <v>0</v>
      </c>
      <c r="AI93" s="16">
        <f t="shared" si="93"/>
        <v>0</v>
      </c>
      <c r="AJ93" s="16">
        <f t="shared" si="93"/>
        <v>0</v>
      </c>
      <c r="AK93" s="16">
        <f t="shared" si="93"/>
        <v>0</v>
      </c>
      <c r="AL93" s="16">
        <f t="shared" si="93"/>
        <v>0</v>
      </c>
      <c r="AM93" s="16">
        <f t="shared" si="93"/>
        <v>0</v>
      </c>
      <c r="AN93" s="16">
        <f t="shared" si="93"/>
        <v>0</v>
      </c>
      <c r="AO93" s="16">
        <f t="shared" si="93"/>
        <v>0</v>
      </c>
      <c r="AP93" s="16">
        <f t="shared" si="93"/>
        <v>0</v>
      </c>
      <c r="AQ93" s="16">
        <f t="shared" si="93"/>
        <v>0</v>
      </c>
      <c r="AR93" s="16">
        <f t="shared" si="93"/>
        <v>0</v>
      </c>
    </row>
    <row r="94" spans="1:44" s="15" customFormat="1" x14ac:dyDescent="0.15">
      <c r="A94" s="19" t="s">
        <v>919</v>
      </c>
      <c r="B94" s="16">
        <f t="shared" ref="B94:AR94" si="94">B$97*$G11/$G$14</f>
        <v>0</v>
      </c>
      <c r="C94" s="16">
        <f t="shared" si="94"/>
        <v>0</v>
      </c>
      <c r="D94" s="16">
        <f t="shared" si="94"/>
        <v>0</v>
      </c>
      <c r="E94" s="16">
        <f t="shared" si="94"/>
        <v>0</v>
      </c>
      <c r="F94" s="16">
        <f t="shared" si="94"/>
        <v>0</v>
      </c>
      <c r="G94" s="16">
        <f t="shared" si="94"/>
        <v>0</v>
      </c>
      <c r="H94" s="16">
        <f t="shared" si="94"/>
        <v>0</v>
      </c>
      <c r="I94" s="16">
        <f t="shared" si="94"/>
        <v>0</v>
      </c>
      <c r="J94" s="16">
        <f t="shared" si="94"/>
        <v>0</v>
      </c>
      <c r="K94" s="16">
        <f t="shared" si="94"/>
        <v>0</v>
      </c>
      <c r="L94" s="16">
        <f t="shared" si="94"/>
        <v>0</v>
      </c>
      <c r="M94" s="16">
        <f t="shared" si="94"/>
        <v>0</v>
      </c>
      <c r="N94" s="16">
        <f t="shared" si="94"/>
        <v>0</v>
      </c>
      <c r="O94" s="16">
        <f t="shared" si="94"/>
        <v>0</v>
      </c>
      <c r="P94" s="16">
        <f t="shared" si="94"/>
        <v>0</v>
      </c>
      <c r="Q94" s="16">
        <f t="shared" si="94"/>
        <v>0</v>
      </c>
      <c r="R94" s="16">
        <f t="shared" si="94"/>
        <v>0</v>
      </c>
      <c r="S94" s="16">
        <f t="shared" si="94"/>
        <v>0</v>
      </c>
      <c r="T94" s="16">
        <f t="shared" si="94"/>
        <v>0</v>
      </c>
      <c r="U94" s="16">
        <f t="shared" si="94"/>
        <v>0</v>
      </c>
      <c r="V94" s="16">
        <f t="shared" si="94"/>
        <v>0</v>
      </c>
      <c r="W94" s="16">
        <f t="shared" si="94"/>
        <v>0</v>
      </c>
      <c r="X94" s="16">
        <f t="shared" si="94"/>
        <v>0</v>
      </c>
      <c r="Y94" s="16">
        <f t="shared" si="94"/>
        <v>0</v>
      </c>
      <c r="Z94" s="16">
        <f t="shared" si="94"/>
        <v>0</v>
      </c>
      <c r="AA94" s="16">
        <f t="shared" si="94"/>
        <v>0</v>
      </c>
      <c r="AB94" s="16">
        <f t="shared" si="94"/>
        <v>0</v>
      </c>
      <c r="AC94" s="16">
        <f t="shared" si="94"/>
        <v>0</v>
      </c>
      <c r="AD94" s="16">
        <f t="shared" si="94"/>
        <v>0</v>
      </c>
      <c r="AE94" s="16">
        <f t="shared" si="94"/>
        <v>0</v>
      </c>
      <c r="AF94" s="16">
        <f t="shared" si="94"/>
        <v>0</v>
      </c>
      <c r="AG94" s="16">
        <f t="shared" si="94"/>
        <v>0</v>
      </c>
      <c r="AH94" s="16">
        <f t="shared" si="94"/>
        <v>0</v>
      </c>
      <c r="AI94" s="16">
        <f t="shared" si="94"/>
        <v>0</v>
      </c>
      <c r="AJ94" s="16">
        <f t="shared" si="94"/>
        <v>0</v>
      </c>
      <c r="AK94" s="16">
        <f t="shared" si="94"/>
        <v>0</v>
      </c>
      <c r="AL94" s="16">
        <f t="shared" si="94"/>
        <v>0</v>
      </c>
      <c r="AM94" s="16">
        <f t="shared" si="94"/>
        <v>0</v>
      </c>
      <c r="AN94" s="16">
        <f t="shared" si="94"/>
        <v>0</v>
      </c>
      <c r="AO94" s="16">
        <f t="shared" si="94"/>
        <v>0</v>
      </c>
      <c r="AP94" s="16">
        <f t="shared" si="94"/>
        <v>0</v>
      </c>
      <c r="AQ94" s="16">
        <f t="shared" si="94"/>
        <v>0</v>
      </c>
      <c r="AR94" s="16">
        <f t="shared" si="94"/>
        <v>0</v>
      </c>
    </row>
    <row r="95" spans="1:44" s="15" customFormat="1" x14ac:dyDescent="0.15">
      <c r="A95" s="19" t="s">
        <v>920</v>
      </c>
      <c r="B95" s="16">
        <f t="shared" ref="B95:AR95" si="95">B$97*$G12/$G$14</f>
        <v>2252.8220332855103</v>
      </c>
      <c r="C95" s="16">
        <f t="shared" si="95"/>
        <v>2299.3539203495393</v>
      </c>
      <c r="D95" s="16">
        <f t="shared" si="95"/>
        <v>2360.7815921846777</v>
      </c>
      <c r="E95" s="16">
        <f t="shared" si="95"/>
        <v>2392.2292363608585</v>
      </c>
      <c r="F95" s="16">
        <f t="shared" si="95"/>
        <v>2422.9168625556549</v>
      </c>
      <c r="G95" s="16">
        <f t="shared" si="95"/>
        <v>2452.827546748209</v>
      </c>
      <c r="H95" s="16">
        <f t="shared" si="95"/>
        <v>2481.9459662235186</v>
      </c>
      <c r="I95" s="16">
        <f t="shared" si="95"/>
        <v>2510.2586436603551</v>
      </c>
      <c r="J95" s="16">
        <f t="shared" si="95"/>
        <v>2537.7538322145278</v>
      </c>
      <c r="K95" s="16">
        <f t="shared" si="95"/>
        <v>2564.4218620650231</v>
      </c>
      <c r="L95" s="16">
        <f t="shared" si="95"/>
        <v>2590.2550318874642</v>
      </c>
      <c r="M95" s="16">
        <f t="shared" si="95"/>
        <v>2615.247844128241</v>
      </c>
      <c r="N95" s="16">
        <f t="shared" si="95"/>
        <v>2639.3970884077944</v>
      </c>
      <c r="O95" s="16">
        <f t="shared" si="95"/>
        <v>2662.7019044631634</v>
      </c>
      <c r="P95" s="16">
        <f t="shared" si="95"/>
        <v>2685.1640393244684</v>
      </c>
      <c r="Q95" s="16">
        <f t="shared" si="95"/>
        <v>2706.7877842692419</v>
      </c>
      <c r="R95" s="16">
        <f t="shared" si="95"/>
        <v>2727.5802625267143</v>
      </c>
      <c r="S95" s="16">
        <f t="shared" si="95"/>
        <v>2747.5514603340357</v>
      </c>
      <c r="T95" s="16">
        <f t="shared" si="95"/>
        <v>2766.7144047967718</v>
      </c>
      <c r="U95" s="16">
        <f t="shared" si="95"/>
        <v>2785.0853402118364</v>
      </c>
      <c r="V95" s="16">
        <f t="shared" si="95"/>
        <v>2802.6837413908434</v>
      </c>
      <c r="W95" s="16">
        <f t="shared" si="95"/>
        <v>2819.5325952420148</v>
      </c>
      <c r="X95" s="16">
        <f t="shared" si="95"/>
        <v>2835.6585101541191</v>
      </c>
      <c r="Y95" s="16">
        <f t="shared" si="95"/>
        <v>2851.0918830275295</v>
      </c>
      <c r="Z95" s="16">
        <f t="shared" si="95"/>
        <v>2865.8669866435962</v>
      </c>
      <c r="AA95" s="16">
        <f t="shared" si="95"/>
        <v>2880.0221928131969</v>
      </c>
      <c r="AB95" s="16">
        <f t="shared" si="95"/>
        <v>2893.6002221460458</v>
      </c>
      <c r="AC95" s="16">
        <f t="shared" si="95"/>
        <v>2906.6481627839162</v>
      </c>
      <c r="AD95" s="16">
        <f t="shared" si="95"/>
        <v>2919.2176906526374</v>
      </c>
      <c r="AE95" s="16">
        <f t="shared" si="95"/>
        <v>2931.3654243369147</v>
      </c>
      <c r="AF95" s="16">
        <f t="shared" si="95"/>
        <v>2943.152860710537</v>
      </c>
      <c r="AG95" s="16">
        <f t="shared" si="95"/>
        <v>2954.6467070321364</v>
      </c>
      <c r="AH95" s="16">
        <f t="shared" si="95"/>
        <v>2965.9191408078318</v>
      </c>
      <c r="AI95" s="16">
        <f t="shared" si="95"/>
        <v>2977.0478124105389</v>
      </c>
      <c r="AJ95" s="16">
        <f t="shared" si="95"/>
        <v>2988.1163416838958</v>
      </c>
      <c r="AK95" s="16">
        <f t="shared" si="95"/>
        <v>2999.2142048059654</v>
      </c>
      <c r="AL95" s="16">
        <f t="shared" si="95"/>
        <v>3010.4372845843509</v>
      </c>
      <c r="AM95" s="16">
        <f t="shared" si="95"/>
        <v>3021.8878958605978</v>
      </c>
      <c r="AN95" s="16">
        <f t="shared" si="95"/>
        <v>3033.6750623157263</v>
      </c>
      <c r="AO95" s="16">
        <f t="shared" si="95"/>
        <v>3045.9147691649528</v>
      </c>
      <c r="AP95" s="16">
        <f t="shared" si="95"/>
        <v>3058.7302230414789</v>
      </c>
      <c r="AQ95" s="16">
        <f t="shared" si="95"/>
        <v>3072.2521806633713</v>
      </c>
      <c r="AR95" s="16">
        <f t="shared" si="95"/>
        <v>3086.619025673891</v>
      </c>
    </row>
    <row r="96" spans="1:44" s="15" customFormat="1" x14ac:dyDescent="0.15">
      <c r="A96" s="19" t="s">
        <v>921</v>
      </c>
      <c r="B96" s="16">
        <f t="shared" ref="B96:AR96" si="96">B$97*$G13/$G$14</f>
        <v>0</v>
      </c>
      <c r="C96" s="16">
        <f t="shared" si="96"/>
        <v>0</v>
      </c>
      <c r="D96" s="16">
        <f t="shared" si="96"/>
        <v>0</v>
      </c>
      <c r="E96" s="16">
        <f t="shared" si="96"/>
        <v>0</v>
      </c>
      <c r="F96" s="16">
        <f t="shared" si="96"/>
        <v>0</v>
      </c>
      <c r="G96" s="16">
        <f t="shared" si="96"/>
        <v>0</v>
      </c>
      <c r="H96" s="16">
        <f t="shared" si="96"/>
        <v>0</v>
      </c>
      <c r="I96" s="16">
        <f t="shared" si="96"/>
        <v>0</v>
      </c>
      <c r="J96" s="16">
        <f t="shared" si="96"/>
        <v>0</v>
      </c>
      <c r="K96" s="16">
        <f t="shared" si="96"/>
        <v>0</v>
      </c>
      <c r="L96" s="16">
        <f t="shared" si="96"/>
        <v>0</v>
      </c>
      <c r="M96" s="16">
        <f t="shared" si="96"/>
        <v>0</v>
      </c>
      <c r="N96" s="16">
        <f t="shared" si="96"/>
        <v>0</v>
      </c>
      <c r="O96" s="16">
        <f t="shared" si="96"/>
        <v>0</v>
      </c>
      <c r="P96" s="16">
        <f t="shared" si="96"/>
        <v>0</v>
      </c>
      <c r="Q96" s="16">
        <f t="shared" si="96"/>
        <v>0</v>
      </c>
      <c r="R96" s="16">
        <f t="shared" si="96"/>
        <v>0</v>
      </c>
      <c r="S96" s="16">
        <f t="shared" si="96"/>
        <v>0</v>
      </c>
      <c r="T96" s="16">
        <f t="shared" si="96"/>
        <v>0</v>
      </c>
      <c r="U96" s="16">
        <f t="shared" si="96"/>
        <v>0</v>
      </c>
      <c r="V96" s="16">
        <f t="shared" si="96"/>
        <v>0</v>
      </c>
      <c r="W96" s="16">
        <f t="shared" si="96"/>
        <v>0</v>
      </c>
      <c r="X96" s="16">
        <f t="shared" si="96"/>
        <v>0</v>
      </c>
      <c r="Y96" s="16">
        <f t="shared" si="96"/>
        <v>0</v>
      </c>
      <c r="Z96" s="16">
        <f t="shared" si="96"/>
        <v>0</v>
      </c>
      <c r="AA96" s="16">
        <f t="shared" si="96"/>
        <v>0</v>
      </c>
      <c r="AB96" s="16">
        <f t="shared" si="96"/>
        <v>0</v>
      </c>
      <c r="AC96" s="16">
        <f t="shared" si="96"/>
        <v>0</v>
      </c>
      <c r="AD96" s="16">
        <f t="shared" si="96"/>
        <v>0</v>
      </c>
      <c r="AE96" s="16">
        <f t="shared" si="96"/>
        <v>0</v>
      </c>
      <c r="AF96" s="16">
        <f t="shared" si="96"/>
        <v>0</v>
      </c>
      <c r="AG96" s="16">
        <f t="shared" si="96"/>
        <v>0</v>
      </c>
      <c r="AH96" s="16">
        <f t="shared" si="96"/>
        <v>0</v>
      </c>
      <c r="AI96" s="16">
        <f t="shared" si="96"/>
        <v>0</v>
      </c>
      <c r="AJ96" s="16">
        <f t="shared" si="96"/>
        <v>0</v>
      </c>
      <c r="AK96" s="16">
        <f t="shared" si="96"/>
        <v>0</v>
      </c>
      <c r="AL96" s="16">
        <f t="shared" si="96"/>
        <v>0</v>
      </c>
      <c r="AM96" s="16">
        <f t="shared" si="96"/>
        <v>0</v>
      </c>
      <c r="AN96" s="16">
        <f t="shared" si="96"/>
        <v>0</v>
      </c>
      <c r="AO96" s="16">
        <f t="shared" si="96"/>
        <v>0</v>
      </c>
      <c r="AP96" s="16">
        <f t="shared" si="96"/>
        <v>0</v>
      </c>
      <c r="AQ96" s="16">
        <f t="shared" si="96"/>
        <v>0</v>
      </c>
      <c r="AR96" s="16">
        <f t="shared" si="96"/>
        <v>0</v>
      </c>
    </row>
    <row r="97" spans="1:44" s="17" customFormat="1" x14ac:dyDescent="0.15">
      <c r="A97" s="19" t="s">
        <v>911</v>
      </c>
      <c r="B97" s="17">
        <f>BAU建筑总能耗计算!B$4*$G$16</f>
        <v>8892.5947440117598</v>
      </c>
      <c r="C97" s="17">
        <f>BAU建筑总能耗计算!C$4*$G$16</f>
        <v>9076.2706883255069</v>
      </c>
      <c r="D97" s="17">
        <f>BAU建筑总能耗计算!D$4*$G$16</f>
        <v>9318.7449644232875</v>
      </c>
      <c r="E97" s="17">
        <f>BAU建筑总能耗计算!E$4*$G$16</f>
        <v>9442.8786736913971</v>
      </c>
      <c r="F97" s="17">
        <f>BAU建筑总能耗计算!F$4*$G$16</f>
        <v>9564.0123537486979</v>
      </c>
      <c r="G97" s="17">
        <f>BAU建筑总能耗计算!G$4*$G$16</f>
        <v>9682.079200179789</v>
      </c>
      <c r="H97" s="17">
        <f>BAU建筑总能耗计算!H$4*$G$16</f>
        <v>9797.0187294254411</v>
      </c>
      <c r="I97" s="17">
        <f>BAU建筑总能耗计算!I$4*$G$16</f>
        <v>9908.7777422741074</v>
      </c>
      <c r="J97" s="17">
        <f>BAU建筑总能耗计算!J$4*$G$16</f>
        <v>10017.309870249554</v>
      </c>
      <c r="K97" s="17">
        <f>BAU建筑总能耗计算!K$4*$G$16</f>
        <v>10122.5769435371</v>
      </c>
      <c r="L97" s="17">
        <f>BAU建筑总能耗计算!L$4*$G$16</f>
        <v>10224.548562595341</v>
      </c>
      <c r="M97" s="17">
        <f>BAU建筑总能耗计算!M$4*$G$16</f>
        <v>10323.203026856894</v>
      </c>
      <c r="N97" s="17">
        <f>BAU建筑总能耗计算!N$4*$G$16</f>
        <v>10418.5276639473</v>
      </c>
      <c r="O97" s="17">
        <f>BAU建筑总能耗计算!O$4*$G$16</f>
        <v>10510.51907813899</v>
      </c>
      <c r="P97" s="17">
        <f>BAU建筑总能耗计算!P$4*$G$16</f>
        <v>10599.184165507484</v>
      </c>
      <c r="Q97" s="17">
        <f>BAU建筑总能耗计算!Q$4*$G$16</f>
        <v>10684.539865070357</v>
      </c>
      <c r="R97" s="17">
        <f>BAU建筑总能耗计算!R$4*$G$16</f>
        <v>10766.614294446264</v>
      </c>
      <c r="S97" s="17">
        <f>BAU建筑总能耗计算!S$4*$G$16</f>
        <v>10845.446872443561</v>
      </c>
      <c r="T97" s="17">
        <f>BAU建筑总能耗计算!T$4*$G$16</f>
        <v>10921.089021131442</v>
      </c>
      <c r="U97" s="17">
        <f>BAU建筑总能耗计算!U$4*$G$16</f>
        <v>10993.604861841828</v>
      </c>
      <c r="V97" s="17">
        <f>BAU建筑总能耗计算!V$4*$G$16</f>
        <v>11063.071267760813</v>
      </c>
      <c r="W97" s="17">
        <f>BAU建筑总能耗计算!W$4*$G$16</f>
        <v>11129.57897542072</v>
      </c>
      <c r="X97" s="17">
        <f>BAU建筑总能耗计算!X$4*$G$16</f>
        <v>11193.23301647279</v>
      </c>
      <c r="Y97" s="17">
        <f>BAU建筑总能耗计算!Y$4*$G$16</f>
        <v>11254.153377011127</v>
      </c>
      <c r="Z97" s="17">
        <f>BAU建筑总能耗计算!Z$4*$G$16</f>
        <v>11312.475342447007</v>
      </c>
      <c r="AA97" s="17">
        <f>BAU建筑总能耗计算!AA$4*$G$16</f>
        <v>11368.350378346142</v>
      </c>
      <c r="AB97" s="17">
        <f>BAU建筑总能耗计算!AB$4*$G$16</f>
        <v>11421.947116346453</v>
      </c>
      <c r="AC97" s="17">
        <f>BAU建筑总能耗计算!AC$4*$G$16</f>
        <v>11473.451428103954</v>
      </c>
      <c r="AD97" s="17">
        <f>BAU建筑总能耗计算!AD$4*$G$16</f>
        <v>11523.067294696437</v>
      </c>
      <c r="AE97" s="17">
        <f>BAU建筑总能耗计算!AE$4*$G$16</f>
        <v>11571.018207425621</v>
      </c>
      <c r="AF97" s="17">
        <f>BAU建筑总能耗计算!AF$4*$G$16</f>
        <v>11617.546913729409</v>
      </c>
      <c r="AG97" s="17">
        <f>BAU建筑总能耗计算!AG$4*$G$16</f>
        <v>11662.916728067948</v>
      </c>
      <c r="AH97" s="17">
        <f>BAU建筑总能耗计算!AH$4*$G$16</f>
        <v>11707.412557682941</v>
      </c>
      <c r="AI97" s="17">
        <f>BAU建筑总能耗计算!AI$4*$G$16</f>
        <v>11751.340912936879</v>
      </c>
      <c r="AJ97" s="17">
        <f>BAU建筑总能耗计算!AJ$4*$G$16</f>
        <v>11795.031867564418</v>
      </c>
      <c r="AK97" s="17">
        <f>BAU建筑总能耗计算!AK$4*$G$16</f>
        <v>11838.838612087928</v>
      </c>
      <c r="AL97" s="17">
        <f>BAU建筑总能耗计算!AL$4*$G$16</f>
        <v>11883.139626004837</v>
      </c>
      <c r="AM97" s="17">
        <f>BAU建筑总能耗计算!AM$4*$G$16</f>
        <v>11928.338778066738</v>
      </c>
      <c r="AN97" s="17">
        <f>BAU建筑总能耗计算!AN$4*$G$16</f>
        <v>11974.866418917622</v>
      </c>
      <c r="AO97" s="17">
        <f>BAU建筑总能耗计算!AO$4*$G$16</f>
        <v>12023.180378559138</v>
      </c>
      <c r="AP97" s="17">
        <f>BAU建筑总能耗计算!AP$4*$G$16</f>
        <v>12073.766992193381</v>
      </c>
      <c r="AQ97" s="17">
        <f>BAU建筑总能耗计算!AQ$4*$G$16</f>
        <v>12127.142397574082</v>
      </c>
      <c r="AR97" s="17">
        <f>BAU建筑总能耗计算!AR$4*$G$16</f>
        <v>12183.852838319486</v>
      </c>
    </row>
    <row r="98" spans="1:44" s="15" customFormat="1" x14ac:dyDescent="0.15"/>
    <row r="99" spans="1:44" s="19" customFormat="1" x14ac:dyDescent="0.15">
      <c r="A99" s="18" t="s">
        <v>16</v>
      </c>
      <c r="B99" s="19">
        <v>2018</v>
      </c>
      <c r="C99" s="19">
        <v>2019</v>
      </c>
      <c r="D99" s="19">
        <v>2020</v>
      </c>
      <c r="E99" s="19">
        <v>2021</v>
      </c>
      <c r="F99" s="19">
        <v>2022</v>
      </c>
      <c r="G99" s="19">
        <v>2023</v>
      </c>
      <c r="H99" s="19">
        <v>2024</v>
      </c>
      <c r="I99" s="19">
        <v>2025</v>
      </c>
      <c r="J99" s="19">
        <v>2026</v>
      </c>
      <c r="K99" s="19">
        <v>2027</v>
      </c>
      <c r="L99" s="19">
        <v>2028</v>
      </c>
      <c r="M99" s="19">
        <v>2029</v>
      </c>
      <c r="N99" s="19">
        <v>2030</v>
      </c>
      <c r="O99" s="19">
        <v>2031</v>
      </c>
      <c r="P99" s="19">
        <v>2032</v>
      </c>
      <c r="Q99" s="19">
        <v>2033</v>
      </c>
      <c r="R99" s="19">
        <v>2034</v>
      </c>
      <c r="S99" s="19">
        <v>2035</v>
      </c>
      <c r="T99" s="19">
        <v>2036</v>
      </c>
      <c r="U99" s="19">
        <v>2037</v>
      </c>
      <c r="V99" s="19">
        <v>2038</v>
      </c>
      <c r="W99" s="19">
        <v>2039</v>
      </c>
      <c r="X99" s="19">
        <v>2040</v>
      </c>
      <c r="Y99" s="19">
        <v>2041</v>
      </c>
      <c r="Z99" s="19">
        <v>2042</v>
      </c>
      <c r="AA99" s="19">
        <v>2043</v>
      </c>
      <c r="AB99" s="19">
        <v>2044</v>
      </c>
      <c r="AC99" s="19">
        <v>2045</v>
      </c>
      <c r="AD99" s="19">
        <v>2046</v>
      </c>
      <c r="AE99" s="19">
        <v>2047</v>
      </c>
      <c r="AF99" s="19">
        <v>2048</v>
      </c>
      <c r="AG99" s="19">
        <v>2049</v>
      </c>
      <c r="AH99" s="19">
        <v>2050</v>
      </c>
      <c r="AI99" s="19">
        <v>2051</v>
      </c>
      <c r="AJ99" s="19">
        <v>2052</v>
      </c>
      <c r="AK99" s="19">
        <v>2053</v>
      </c>
      <c r="AL99" s="19">
        <v>2054</v>
      </c>
      <c r="AM99" s="19">
        <v>2055</v>
      </c>
      <c r="AN99" s="19">
        <v>2056</v>
      </c>
      <c r="AO99" s="19">
        <v>2057</v>
      </c>
      <c r="AP99" s="19">
        <v>2058</v>
      </c>
      <c r="AQ99" s="19">
        <v>2059</v>
      </c>
      <c r="AR99" s="19">
        <v>2060</v>
      </c>
    </row>
    <row r="100" spans="1:44" s="15" customFormat="1" x14ac:dyDescent="0.15">
      <c r="A100" s="19" t="s">
        <v>912</v>
      </c>
      <c r="B100" s="16">
        <f t="shared" ref="B100:AR100" si="97">B$110*$H4/$H$14</f>
        <v>1482.5739918414488</v>
      </c>
      <c r="C100" s="16">
        <f t="shared" si="97"/>
        <v>1472.0477164993747</v>
      </c>
      <c r="D100" s="16">
        <f t="shared" si="97"/>
        <v>1430.3695730260386</v>
      </c>
      <c r="E100" s="16">
        <f t="shared" si="97"/>
        <v>1403.7617927351259</v>
      </c>
      <c r="F100" s="16">
        <f t="shared" si="97"/>
        <v>1399.5318585761547</v>
      </c>
      <c r="G100" s="16">
        <f t="shared" si="97"/>
        <v>1394.6816784391829</v>
      </c>
      <c r="H100" s="16">
        <f t="shared" si="97"/>
        <v>1389.2224744101761</v>
      </c>
      <c r="I100" s="16">
        <f t="shared" si="97"/>
        <v>1383.1663154217711</v>
      </c>
      <c r="J100" s="16">
        <f t="shared" si="97"/>
        <v>1376.5260190141694</v>
      </c>
      <c r="K100" s="16">
        <f t="shared" si="97"/>
        <v>1369.315218458908</v>
      </c>
      <c r="L100" s="16">
        <f t="shared" si="97"/>
        <v>1361.5482631759451</v>
      </c>
      <c r="M100" s="16">
        <f t="shared" si="97"/>
        <v>1353.2402394614735</v>
      </c>
      <c r="N100" s="16">
        <f t="shared" si="97"/>
        <v>1344.4069339354421</v>
      </c>
      <c r="O100" s="16">
        <f t="shared" si="97"/>
        <v>1335.0647885697051</v>
      </c>
      <c r="P100" s="16">
        <f t="shared" si="97"/>
        <v>1325.2309166073649</v>
      </c>
      <c r="Q100" s="16">
        <f t="shared" si="97"/>
        <v>1314.9230105953507</v>
      </c>
      <c r="R100" s="16">
        <f t="shared" si="97"/>
        <v>1304.3967352532759</v>
      </c>
      <c r="S100" s="16">
        <f t="shared" si="97"/>
        <v>1293.4360152683371</v>
      </c>
      <c r="T100" s="16">
        <f t="shared" si="97"/>
        <v>1281.6756380197367</v>
      </c>
      <c r="U100" s="16">
        <f t="shared" si="97"/>
        <v>1269.1509851653354</v>
      </c>
      <c r="V100" s="16">
        <f t="shared" si="97"/>
        <v>1255.8983187391595</v>
      </c>
      <c r="W100" s="16">
        <f t="shared" si="97"/>
        <v>1241.9546367099663</v>
      </c>
      <c r="X100" s="16">
        <f t="shared" si="97"/>
        <v>1227.3576678209129</v>
      </c>
      <c r="Y100" s="16">
        <f t="shared" si="97"/>
        <v>1212.1457657015117</v>
      </c>
      <c r="Z100" s="16">
        <f t="shared" si="97"/>
        <v>1196.3578276838678</v>
      </c>
      <c r="AA100" s="16">
        <f t="shared" si="97"/>
        <v>1180.0331681542928</v>
      </c>
      <c r="AB100" s="16">
        <f t="shared" si="97"/>
        <v>1163.2114539572769</v>
      </c>
      <c r="AC100" s="16">
        <f t="shared" si="97"/>
        <v>1145.9326421045439</v>
      </c>
      <c r="AD100" s="16">
        <f t="shared" si="97"/>
        <v>1128.2368013094886</v>
      </c>
      <c r="AE100" s="16">
        <f t="shared" si="97"/>
        <v>1110.1640252106201</v>
      </c>
      <c r="AF100" s="16">
        <f t="shared" si="97"/>
        <v>1091.7543947220611</v>
      </c>
      <c r="AG100" s="16">
        <f t="shared" si="97"/>
        <v>1073.0477453519263</v>
      </c>
      <c r="AH100" s="16">
        <f t="shared" si="97"/>
        <v>1054.0836065567466</v>
      </c>
      <c r="AI100" s="16">
        <f t="shared" si="97"/>
        <v>1034.9010965648292</v>
      </c>
      <c r="AJ100" s="16">
        <f t="shared" si="97"/>
        <v>1015.5387042849006</v>
      </c>
      <c r="AK100" s="16">
        <f t="shared" si="97"/>
        <v>996.03426641781994</v>
      </c>
      <c r="AL100" s="16">
        <f t="shared" si="97"/>
        <v>976.42469020152419</v>
      </c>
      <c r="AM100" s="16">
        <f t="shared" si="97"/>
        <v>956.74593147892824</v>
      </c>
      <c r="AN100" s="16">
        <f t="shared" si="97"/>
        <v>937.0327576697307</v>
      </c>
      <c r="AO100" s="16">
        <f t="shared" si="97"/>
        <v>917.31860198732636</v>
      </c>
      <c r="AP100" s="16">
        <f t="shared" si="97"/>
        <v>897.63539877520611</v>
      </c>
      <c r="AQ100" s="16">
        <f t="shared" si="97"/>
        <v>878.01341213465139</v>
      </c>
      <c r="AR100" s="16">
        <f t="shared" si="97"/>
        <v>858.48107755867863</v>
      </c>
    </row>
    <row r="101" spans="1:44" s="15" customFormat="1" x14ac:dyDescent="0.15">
      <c r="A101" s="19" t="s">
        <v>913</v>
      </c>
      <c r="B101" s="16">
        <f t="shared" ref="B101:AR101" si="98">B$110*$H5/$H$14</f>
        <v>3567.0275285535572</v>
      </c>
      <c r="C101" s="16">
        <f t="shared" si="98"/>
        <v>3541.7016331008267</v>
      </c>
      <c r="D101" s="16">
        <f t="shared" si="98"/>
        <v>3441.4252988831054</v>
      </c>
      <c r="E101" s="16">
        <f t="shared" si="98"/>
        <v>3377.407796017359</v>
      </c>
      <c r="F101" s="16">
        <f t="shared" si="98"/>
        <v>3367.2307042350608</v>
      </c>
      <c r="G101" s="16">
        <f t="shared" si="98"/>
        <v>3355.5613196632103</v>
      </c>
      <c r="H101" s="16">
        <f t="shared" si="98"/>
        <v>3342.4266422962669</v>
      </c>
      <c r="I101" s="16">
        <f t="shared" si="98"/>
        <v>3327.8557096157965</v>
      </c>
      <c r="J101" s="16">
        <f t="shared" si="98"/>
        <v>3311.8793602301917</v>
      </c>
      <c r="K101" s="16">
        <f t="shared" si="98"/>
        <v>3294.5303953724047</v>
      </c>
      <c r="L101" s="16">
        <f t="shared" si="98"/>
        <v>3275.8433393065129</v>
      </c>
      <c r="M101" s="16">
        <f t="shared" si="98"/>
        <v>3255.8544891982042</v>
      </c>
      <c r="N101" s="16">
        <f t="shared" si="98"/>
        <v>3234.6018271706298</v>
      </c>
      <c r="O101" s="16">
        <f t="shared" si="98"/>
        <v>3212.1249121035157</v>
      </c>
      <c r="P101" s="16">
        <f t="shared" si="98"/>
        <v>3188.4649179346106</v>
      </c>
      <c r="Q101" s="16">
        <f t="shared" si="98"/>
        <v>3163.6644123888946</v>
      </c>
      <c r="R101" s="16">
        <f t="shared" si="98"/>
        <v>3138.3385169361645</v>
      </c>
      <c r="S101" s="16">
        <f t="shared" si="98"/>
        <v>3111.9673610045247</v>
      </c>
      <c r="T101" s="16">
        <f t="shared" si="98"/>
        <v>3083.6722542356347</v>
      </c>
      <c r="U101" s="16">
        <f t="shared" si="98"/>
        <v>3053.5383238125492</v>
      </c>
      <c r="V101" s="16">
        <f t="shared" si="98"/>
        <v>3021.6528150763602</v>
      </c>
      <c r="W101" s="16">
        <f t="shared" si="98"/>
        <v>2988.10474400454</v>
      </c>
      <c r="X101" s="16">
        <f t="shared" si="98"/>
        <v>2952.9848847953399</v>
      </c>
      <c r="Y101" s="16">
        <f t="shared" si="98"/>
        <v>2916.3855151044081</v>
      </c>
      <c r="Z101" s="16">
        <f t="shared" si="98"/>
        <v>2878.4002207191443</v>
      </c>
      <c r="AA101" s="16">
        <f t="shared" si="98"/>
        <v>2839.1235908465719</v>
      </c>
      <c r="AB101" s="16">
        <f t="shared" si="98"/>
        <v>2798.6510626972772</v>
      </c>
      <c r="AC101" s="16">
        <f t="shared" si="98"/>
        <v>2757.0787716153036</v>
      </c>
      <c r="AD101" s="16">
        <f t="shared" si="98"/>
        <v>2714.503121695489</v>
      </c>
      <c r="AE101" s="16">
        <f t="shared" si="98"/>
        <v>2671.0205770017315</v>
      </c>
      <c r="AF101" s="16">
        <f t="shared" si="98"/>
        <v>2626.7275709834448</v>
      </c>
      <c r="AG101" s="16">
        <f t="shared" si="98"/>
        <v>2581.7199466507186</v>
      </c>
      <c r="AH101" s="16">
        <f t="shared" si="98"/>
        <v>2536.0928106629244</v>
      </c>
      <c r="AI101" s="16">
        <f t="shared" si="98"/>
        <v>2489.9402802769464</v>
      </c>
      <c r="AJ101" s="16">
        <f t="shared" si="98"/>
        <v>2443.3549586260701</v>
      </c>
      <c r="AK101" s="16">
        <f t="shared" si="98"/>
        <v>2396.427879651465</v>
      </c>
      <c r="AL101" s="16">
        <f t="shared" si="98"/>
        <v>2349.2478410350336</v>
      </c>
      <c r="AM101" s="16">
        <f t="shared" si="98"/>
        <v>2301.9013514314511</v>
      </c>
      <c r="AN101" s="16">
        <f t="shared" si="98"/>
        <v>2254.472060185602</v>
      </c>
      <c r="AO101" s="16">
        <f t="shared" si="98"/>
        <v>2207.0404065829489</v>
      </c>
      <c r="AP101" s="16">
        <f t="shared" si="98"/>
        <v>2159.6832236739592</v>
      </c>
      <c r="AQ101" s="16">
        <f t="shared" si="98"/>
        <v>2112.4733259576001</v>
      </c>
      <c r="AR101" s="16">
        <f t="shared" si="98"/>
        <v>2065.4791283574682</v>
      </c>
    </row>
    <row r="102" spans="1:44" s="15" customFormat="1" x14ac:dyDescent="0.15">
      <c r="A102" s="19" t="s">
        <v>914</v>
      </c>
      <c r="B102" s="16">
        <f t="shared" ref="B102:AR102" si="99">B$110*$H6/$H$14</f>
        <v>752.57615880910578</v>
      </c>
      <c r="C102" s="16">
        <f t="shared" si="99"/>
        <v>747.23286808156115</v>
      </c>
      <c r="D102" s="16">
        <f t="shared" si="99"/>
        <v>726.07643521948205</v>
      </c>
      <c r="E102" s="16">
        <f t="shared" si="99"/>
        <v>712.56993827837482</v>
      </c>
      <c r="F102" s="16">
        <f t="shared" si="99"/>
        <v>710.42276207071723</v>
      </c>
      <c r="G102" s="16">
        <f t="shared" si="99"/>
        <v>707.96073996787391</v>
      </c>
      <c r="H102" s="16">
        <f t="shared" si="99"/>
        <v>705.18956846418234</v>
      </c>
      <c r="I102" s="16">
        <f t="shared" si="99"/>
        <v>702.11537392568914</v>
      </c>
      <c r="J102" s="16">
        <f t="shared" si="99"/>
        <v>698.74466272254722</v>
      </c>
      <c r="K102" s="16">
        <f t="shared" si="99"/>
        <v>695.08435530202053</v>
      </c>
      <c r="L102" s="16">
        <f t="shared" si="99"/>
        <v>691.14173563874533</v>
      </c>
      <c r="M102" s="16">
        <f t="shared" si="99"/>
        <v>686.92446175647126</v>
      </c>
      <c r="N102" s="16">
        <f t="shared" si="99"/>
        <v>682.44054717348899</v>
      </c>
      <c r="O102" s="16">
        <f t="shared" si="99"/>
        <v>677.69833807426551</v>
      </c>
      <c r="P102" s="16">
        <f t="shared" si="99"/>
        <v>672.70652139033302</v>
      </c>
      <c r="Q102" s="16">
        <f t="shared" si="99"/>
        <v>667.47407811628648</v>
      </c>
      <c r="R102" s="16">
        <f t="shared" si="99"/>
        <v>662.13078738874174</v>
      </c>
      <c r="S102" s="16">
        <f t="shared" si="99"/>
        <v>656.56696623078244</v>
      </c>
      <c r="T102" s="16">
        <f t="shared" si="99"/>
        <v>650.59722739508049</v>
      </c>
      <c r="U102" s="16">
        <f t="shared" si="99"/>
        <v>644.23953112666322</v>
      </c>
      <c r="V102" s="16">
        <f t="shared" si="99"/>
        <v>637.51228456232673</v>
      </c>
      <c r="W102" s="16">
        <f t="shared" si="99"/>
        <v>630.43426841005919</v>
      </c>
      <c r="X102" s="16">
        <f t="shared" si="99"/>
        <v>623.02463432958041</v>
      </c>
      <c r="Y102" s="16">
        <f t="shared" si="99"/>
        <v>615.30285118202914</v>
      </c>
      <c r="Z102" s="16">
        <f t="shared" si="99"/>
        <v>607.28866381990167</v>
      </c>
      <c r="AA102" s="16">
        <f t="shared" si="99"/>
        <v>599.00202879848553</v>
      </c>
      <c r="AB102" s="16">
        <f t="shared" si="99"/>
        <v>590.46308158597526</v>
      </c>
      <c r="AC102" s="16">
        <f t="shared" si="99"/>
        <v>581.69210494368053</v>
      </c>
      <c r="AD102" s="16">
        <f t="shared" si="99"/>
        <v>572.7094383343067</v>
      </c>
      <c r="AE102" s="16">
        <f t="shared" si="99"/>
        <v>563.53543387291052</v>
      </c>
      <c r="AF102" s="16">
        <f t="shared" si="99"/>
        <v>554.1904372154645</v>
      </c>
      <c r="AG102" s="16">
        <f t="shared" si="99"/>
        <v>544.69466944627618</v>
      </c>
      <c r="AH102" s="16">
        <f t="shared" si="99"/>
        <v>535.06819629341021</v>
      </c>
      <c r="AI102" s="16">
        <f t="shared" si="99"/>
        <v>525.3308747394932</v>
      </c>
      <c r="AJ102" s="16">
        <f t="shared" si="99"/>
        <v>515.5022423153639</v>
      </c>
      <c r="AK102" s="16">
        <f t="shared" si="99"/>
        <v>505.60150548164489</v>
      </c>
      <c r="AL102" s="16">
        <f t="shared" si="99"/>
        <v>495.64739889003766</v>
      </c>
      <c r="AM102" s="16">
        <f t="shared" si="99"/>
        <v>485.65817425026933</v>
      </c>
      <c r="AN102" s="16">
        <f t="shared" si="99"/>
        <v>475.65148001112692</v>
      </c>
      <c r="AO102" s="16">
        <f t="shared" si="99"/>
        <v>465.64428735883922</v>
      </c>
      <c r="AP102" s="16">
        <f t="shared" si="99"/>
        <v>455.6528066314338</v>
      </c>
      <c r="AQ102" s="16">
        <f t="shared" si="99"/>
        <v>445.69240032765748</v>
      </c>
      <c r="AR102" s="16">
        <f t="shared" si="99"/>
        <v>435.77750271806019</v>
      </c>
    </row>
    <row r="103" spans="1:44" s="15" customFormat="1" x14ac:dyDescent="0.15">
      <c r="A103" s="19" t="s">
        <v>915</v>
      </c>
      <c r="B103" s="16">
        <f t="shared" ref="B103:AR103" si="100">B$110*$H7/$H$14</f>
        <v>0</v>
      </c>
      <c r="C103" s="16">
        <f t="shared" si="100"/>
        <v>0</v>
      </c>
      <c r="D103" s="16">
        <f t="shared" si="100"/>
        <v>0</v>
      </c>
      <c r="E103" s="16">
        <f t="shared" si="100"/>
        <v>0</v>
      </c>
      <c r="F103" s="16">
        <f t="shared" si="100"/>
        <v>0</v>
      </c>
      <c r="G103" s="16">
        <f t="shared" si="100"/>
        <v>0</v>
      </c>
      <c r="H103" s="16">
        <f t="shared" si="100"/>
        <v>0</v>
      </c>
      <c r="I103" s="16">
        <f t="shared" si="100"/>
        <v>0</v>
      </c>
      <c r="J103" s="16">
        <f t="shared" si="100"/>
        <v>0</v>
      </c>
      <c r="K103" s="16">
        <f t="shared" si="100"/>
        <v>0</v>
      </c>
      <c r="L103" s="16">
        <f t="shared" si="100"/>
        <v>0</v>
      </c>
      <c r="M103" s="16">
        <f t="shared" si="100"/>
        <v>0</v>
      </c>
      <c r="N103" s="16">
        <f t="shared" si="100"/>
        <v>0</v>
      </c>
      <c r="O103" s="16">
        <f t="shared" si="100"/>
        <v>0</v>
      </c>
      <c r="P103" s="16">
        <f t="shared" si="100"/>
        <v>0</v>
      </c>
      <c r="Q103" s="16">
        <f t="shared" si="100"/>
        <v>0</v>
      </c>
      <c r="R103" s="16">
        <f t="shared" si="100"/>
        <v>0</v>
      </c>
      <c r="S103" s="16">
        <f t="shared" si="100"/>
        <v>0</v>
      </c>
      <c r="T103" s="16">
        <f t="shared" si="100"/>
        <v>0</v>
      </c>
      <c r="U103" s="16">
        <f t="shared" si="100"/>
        <v>0</v>
      </c>
      <c r="V103" s="16">
        <f t="shared" si="100"/>
        <v>0</v>
      </c>
      <c r="W103" s="16">
        <f t="shared" si="100"/>
        <v>0</v>
      </c>
      <c r="X103" s="16">
        <f t="shared" si="100"/>
        <v>0</v>
      </c>
      <c r="Y103" s="16">
        <f t="shared" si="100"/>
        <v>0</v>
      </c>
      <c r="Z103" s="16">
        <f t="shared" si="100"/>
        <v>0</v>
      </c>
      <c r="AA103" s="16">
        <f t="shared" si="100"/>
        <v>0</v>
      </c>
      <c r="AB103" s="16">
        <f t="shared" si="100"/>
        <v>0</v>
      </c>
      <c r="AC103" s="16">
        <f t="shared" si="100"/>
        <v>0</v>
      </c>
      <c r="AD103" s="16">
        <f t="shared" si="100"/>
        <v>0</v>
      </c>
      <c r="AE103" s="16">
        <f t="shared" si="100"/>
        <v>0</v>
      </c>
      <c r="AF103" s="16">
        <f t="shared" si="100"/>
        <v>0</v>
      </c>
      <c r="AG103" s="16">
        <f t="shared" si="100"/>
        <v>0</v>
      </c>
      <c r="AH103" s="16">
        <f t="shared" si="100"/>
        <v>0</v>
      </c>
      <c r="AI103" s="16">
        <f t="shared" si="100"/>
        <v>0</v>
      </c>
      <c r="AJ103" s="16">
        <f t="shared" si="100"/>
        <v>0</v>
      </c>
      <c r="AK103" s="16">
        <f t="shared" si="100"/>
        <v>0</v>
      </c>
      <c r="AL103" s="16">
        <f t="shared" si="100"/>
        <v>0</v>
      </c>
      <c r="AM103" s="16">
        <f t="shared" si="100"/>
        <v>0</v>
      </c>
      <c r="AN103" s="16">
        <f t="shared" si="100"/>
        <v>0</v>
      </c>
      <c r="AO103" s="16">
        <f t="shared" si="100"/>
        <v>0</v>
      </c>
      <c r="AP103" s="16">
        <f t="shared" si="100"/>
        <v>0</v>
      </c>
      <c r="AQ103" s="16">
        <f t="shared" si="100"/>
        <v>0</v>
      </c>
      <c r="AR103" s="16">
        <f t="shared" si="100"/>
        <v>0</v>
      </c>
    </row>
    <row r="104" spans="1:44" s="15" customFormat="1" x14ac:dyDescent="0.15">
      <c r="A104" s="19" t="s">
        <v>916</v>
      </c>
      <c r="B104" s="16">
        <f t="shared" ref="B104:AR104" si="101">B$110*$H8/$H$14</f>
        <v>280.34340078957825</v>
      </c>
      <c r="C104" s="16">
        <f t="shared" si="101"/>
        <v>278.35296264397226</v>
      </c>
      <c r="D104" s="16">
        <f t="shared" si="101"/>
        <v>270.47194453343701</v>
      </c>
      <c r="E104" s="16">
        <f t="shared" si="101"/>
        <v>265.4406168187565</v>
      </c>
      <c r="F104" s="16">
        <f t="shared" si="101"/>
        <v>264.64076862651279</v>
      </c>
      <c r="G104" s="16">
        <f t="shared" si="101"/>
        <v>263.72363666445005</v>
      </c>
      <c r="H104" s="16">
        <f t="shared" si="101"/>
        <v>262.69134294318019</v>
      </c>
      <c r="I104" s="16">
        <f t="shared" si="101"/>
        <v>261.5461696055425</v>
      </c>
      <c r="J104" s="16">
        <f t="shared" si="101"/>
        <v>260.29054035034045</v>
      </c>
      <c r="K104" s="16">
        <f t="shared" si="101"/>
        <v>258.92703312493279</v>
      </c>
      <c r="L104" s="16">
        <f t="shared" si="101"/>
        <v>257.45836129486645</v>
      </c>
      <c r="M104" s="16">
        <f t="shared" si="101"/>
        <v>255.88737756334791</v>
      </c>
      <c r="N104" s="16">
        <f t="shared" si="101"/>
        <v>254.21706705944837</v>
      </c>
      <c r="O104" s="16">
        <f t="shared" si="101"/>
        <v>252.45053883427138</v>
      </c>
      <c r="P104" s="16">
        <f t="shared" si="101"/>
        <v>250.59102887117839</v>
      </c>
      <c r="Q104" s="16">
        <f t="shared" si="101"/>
        <v>248.64188269545318</v>
      </c>
      <c r="R104" s="16">
        <f t="shared" si="101"/>
        <v>246.6514445498471</v>
      </c>
      <c r="S104" s="16">
        <f t="shared" si="101"/>
        <v>244.57885624559421</v>
      </c>
      <c r="T104" s="16">
        <f t="shared" si="101"/>
        <v>242.35505886982477</v>
      </c>
      <c r="U104" s="16">
        <f t="shared" si="101"/>
        <v>239.98674282338544</v>
      </c>
      <c r="V104" s="16">
        <f t="shared" si="101"/>
        <v>237.48076497952118</v>
      </c>
      <c r="W104" s="16">
        <f t="shared" si="101"/>
        <v>234.84412137110525</v>
      </c>
      <c r="X104" s="16">
        <f t="shared" si="101"/>
        <v>232.08394621485942</v>
      </c>
      <c r="Y104" s="16">
        <f t="shared" si="101"/>
        <v>229.20749188873552</v>
      </c>
      <c r="Z104" s="16">
        <f t="shared" si="101"/>
        <v>226.22211358068634</v>
      </c>
      <c r="AA104" s="16">
        <f t="shared" si="101"/>
        <v>223.13524534042483</v>
      </c>
      <c r="AB104" s="16">
        <f t="shared" si="101"/>
        <v>219.95438786480952</v>
      </c>
      <c r="AC104" s="16">
        <f t="shared" si="101"/>
        <v>216.68709671910293</v>
      </c>
      <c r="AD104" s="16">
        <f t="shared" si="101"/>
        <v>213.34094859049924</v>
      </c>
      <c r="AE104" s="16">
        <f t="shared" si="101"/>
        <v>209.92352487934104</v>
      </c>
      <c r="AF104" s="16">
        <f t="shared" si="101"/>
        <v>206.44240457988681</v>
      </c>
      <c r="AG104" s="16">
        <f t="shared" si="101"/>
        <v>202.9051202819962</v>
      </c>
      <c r="AH104" s="16">
        <f t="shared" si="101"/>
        <v>199.3191467035154</v>
      </c>
      <c r="AI104" s="16">
        <f t="shared" si="101"/>
        <v>195.6918808021793</v>
      </c>
      <c r="AJ104" s="16">
        <f t="shared" si="101"/>
        <v>192.03060053620419</v>
      </c>
      <c r="AK104" s="16">
        <f t="shared" si="101"/>
        <v>188.34246053628763</v>
      </c>
      <c r="AL104" s="16">
        <f t="shared" si="101"/>
        <v>184.63443967879863</v>
      </c>
      <c r="AM104" s="16">
        <f t="shared" si="101"/>
        <v>180.91333693858539</v>
      </c>
      <c r="AN104" s="16">
        <f t="shared" si="101"/>
        <v>177.18572656875671</v>
      </c>
      <c r="AO104" s="16">
        <f t="shared" si="101"/>
        <v>173.45793053421554</v>
      </c>
      <c r="AP104" s="16">
        <f t="shared" si="101"/>
        <v>169.73598737503173</v>
      </c>
      <c r="AQ104" s="16">
        <f t="shared" si="101"/>
        <v>166.02561980124992</v>
      </c>
      <c r="AR104" s="16">
        <f t="shared" si="101"/>
        <v>162.33220474707991</v>
      </c>
    </row>
    <row r="105" spans="1:44" s="15" customFormat="1" x14ac:dyDescent="0.15">
      <c r="A105" s="19" t="s">
        <v>917</v>
      </c>
      <c r="B105" s="16">
        <f t="shared" ref="B105:AR105" si="102">B$110*$H9/$H$14</f>
        <v>166.8496295184529</v>
      </c>
      <c r="C105" s="16">
        <f t="shared" si="102"/>
        <v>165.66499714887189</v>
      </c>
      <c r="D105" s="16">
        <f t="shared" si="102"/>
        <v>160.97451772874814</v>
      </c>
      <c r="E105" s="16">
        <f t="shared" si="102"/>
        <v>157.98006463009835</v>
      </c>
      <c r="F105" s="16">
        <f t="shared" si="102"/>
        <v>157.50402569295554</v>
      </c>
      <c r="G105" s="16">
        <f t="shared" si="102"/>
        <v>156.9581839586443</v>
      </c>
      <c r="H105" s="16">
        <f t="shared" si="102"/>
        <v>156.34380236641491</v>
      </c>
      <c r="I105" s="16">
        <f t="shared" si="102"/>
        <v>155.66223916007189</v>
      </c>
      <c r="J105" s="16">
        <f t="shared" si="102"/>
        <v>154.91493683209504</v>
      </c>
      <c r="K105" s="16">
        <f t="shared" si="102"/>
        <v>154.10342967778266</v>
      </c>
      <c r="L105" s="16">
        <f t="shared" si="102"/>
        <v>153.22933258813981</v>
      </c>
      <c r="M105" s="16">
        <f t="shared" si="102"/>
        <v>152.29434338259711</v>
      </c>
      <c r="N105" s="16">
        <f t="shared" si="102"/>
        <v>151.30023869537601</v>
      </c>
      <c r="O105" s="16">
        <f t="shared" si="102"/>
        <v>150.24886891433414</v>
      </c>
      <c r="P105" s="16">
        <f t="shared" si="102"/>
        <v>149.14215997253598</v>
      </c>
      <c r="Q105" s="16">
        <f t="shared" si="102"/>
        <v>147.98210299819269</v>
      </c>
      <c r="R105" s="16">
        <f t="shared" si="102"/>
        <v>146.79747062861165</v>
      </c>
      <c r="S105" s="16">
        <f t="shared" si="102"/>
        <v>145.56394563842136</v>
      </c>
      <c r="T105" s="16">
        <f t="shared" si="102"/>
        <v>144.24042681391464</v>
      </c>
      <c r="U105" s="16">
        <f t="shared" si="102"/>
        <v>142.83089602482499</v>
      </c>
      <c r="V105" s="16">
        <f t="shared" si="102"/>
        <v>141.33943421886639</v>
      </c>
      <c r="W105" s="16">
        <f t="shared" si="102"/>
        <v>139.77020516622107</v>
      </c>
      <c r="X105" s="16">
        <f t="shared" si="102"/>
        <v>138.12745487879297</v>
      </c>
      <c r="Y105" s="16">
        <f t="shared" si="102"/>
        <v>136.41549969351377</v>
      </c>
      <c r="Z105" s="16">
        <f t="shared" si="102"/>
        <v>134.6387171358808</v>
      </c>
      <c r="AA105" s="16">
        <f t="shared" si="102"/>
        <v>132.80153166688345</v>
      </c>
      <c r="AB105" s="16">
        <f t="shared" si="102"/>
        <v>130.90840741333352</v>
      </c>
      <c r="AC105" s="16">
        <f t="shared" si="102"/>
        <v>128.96384115761043</v>
      </c>
      <c r="AD105" s="16">
        <f t="shared" si="102"/>
        <v>126.97234225305642</v>
      </c>
      <c r="AE105" s="16">
        <f t="shared" si="102"/>
        <v>124.93842285809875</v>
      </c>
      <c r="AF105" s="16">
        <f t="shared" si="102"/>
        <v>122.86659369915571</v>
      </c>
      <c r="AG105" s="16">
        <f t="shared" si="102"/>
        <v>120.76133788452897</v>
      </c>
      <c r="AH105" s="16">
        <f t="shared" si="102"/>
        <v>118.62710407931958</v>
      </c>
      <c r="AI105" s="16">
        <f t="shared" si="102"/>
        <v>116.46829466879558</v>
      </c>
      <c r="AJ105" s="16">
        <f t="shared" si="102"/>
        <v>114.28924121428003</v>
      </c>
      <c r="AK105" s="16">
        <f t="shared" si="102"/>
        <v>112.09420187729148</v>
      </c>
      <c r="AL105" s="16">
        <f t="shared" si="102"/>
        <v>109.88733021711958</v>
      </c>
      <c r="AM105" s="16">
        <f t="shared" si="102"/>
        <v>107.67267272257527</v>
      </c>
      <c r="AN105" s="16">
        <f t="shared" si="102"/>
        <v>105.45414213671752</v>
      </c>
      <c r="AO105" s="16">
        <f t="shared" si="102"/>
        <v>103.23550105035072</v>
      </c>
      <c r="AP105" s="16">
        <f t="shared" si="102"/>
        <v>101.02034337069956</v>
      </c>
      <c r="AQ105" s="16">
        <f t="shared" si="102"/>
        <v>98.812075035082671</v>
      </c>
      <c r="AR105" s="16">
        <f t="shared" si="102"/>
        <v>96.613896188316517</v>
      </c>
    </row>
    <row r="106" spans="1:44" s="15" customFormat="1" x14ac:dyDescent="0.15">
      <c r="A106" s="19" t="s">
        <v>918</v>
      </c>
      <c r="B106" s="16">
        <f t="shared" ref="B106:AR106" si="103">B$110*$H10/$H$14</f>
        <v>0</v>
      </c>
      <c r="C106" s="16">
        <f t="shared" si="103"/>
        <v>0</v>
      </c>
      <c r="D106" s="16">
        <f t="shared" si="103"/>
        <v>0</v>
      </c>
      <c r="E106" s="16">
        <f t="shared" si="103"/>
        <v>0</v>
      </c>
      <c r="F106" s="16">
        <f t="shared" si="103"/>
        <v>0</v>
      </c>
      <c r="G106" s="16">
        <f t="shared" si="103"/>
        <v>0</v>
      </c>
      <c r="H106" s="16">
        <f t="shared" si="103"/>
        <v>0</v>
      </c>
      <c r="I106" s="16">
        <f t="shared" si="103"/>
        <v>0</v>
      </c>
      <c r="J106" s="16">
        <f t="shared" si="103"/>
        <v>0</v>
      </c>
      <c r="K106" s="16">
        <f t="shared" si="103"/>
        <v>0</v>
      </c>
      <c r="L106" s="16">
        <f t="shared" si="103"/>
        <v>0</v>
      </c>
      <c r="M106" s="16">
        <f t="shared" si="103"/>
        <v>0</v>
      </c>
      <c r="N106" s="16">
        <f t="shared" si="103"/>
        <v>0</v>
      </c>
      <c r="O106" s="16">
        <f t="shared" si="103"/>
        <v>0</v>
      </c>
      <c r="P106" s="16">
        <f t="shared" si="103"/>
        <v>0</v>
      </c>
      <c r="Q106" s="16">
        <f t="shared" si="103"/>
        <v>0</v>
      </c>
      <c r="R106" s="16">
        <f t="shared" si="103"/>
        <v>0</v>
      </c>
      <c r="S106" s="16">
        <f t="shared" si="103"/>
        <v>0</v>
      </c>
      <c r="T106" s="16">
        <f t="shared" si="103"/>
        <v>0</v>
      </c>
      <c r="U106" s="16">
        <f t="shared" si="103"/>
        <v>0</v>
      </c>
      <c r="V106" s="16">
        <f t="shared" si="103"/>
        <v>0</v>
      </c>
      <c r="W106" s="16">
        <f t="shared" si="103"/>
        <v>0</v>
      </c>
      <c r="X106" s="16">
        <f t="shared" si="103"/>
        <v>0</v>
      </c>
      <c r="Y106" s="16">
        <f t="shared" si="103"/>
        <v>0</v>
      </c>
      <c r="Z106" s="16">
        <f t="shared" si="103"/>
        <v>0</v>
      </c>
      <c r="AA106" s="16">
        <f t="shared" si="103"/>
        <v>0</v>
      </c>
      <c r="AB106" s="16">
        <f t="shared" si="103"/>
        <v>0</v>
      </c>
      <c r="AC106" s="16">
        <f t="shared" si="103"/>
        <v>0</v>
      </c>
      <c r="AD106" s="16">
        <f t="shared" si="103"/>
        <v>0</v>
      </c>
      <c r="AE106" s="16">
        <f t="shared" si="103"/>
        <v>0</v>
      </c>
      <c r="AF106" s="16">
        <f t="shared" si="103"/>
        <v>0</v>
      </c>
      <c r="AG106" s="16">
        <f t="shared" si="103"/>
        <v>0</v>
      </c>
      <c r="AH106" s="16">
        <f t="shared" si="103"/>
        <v>0</v>
      </c>
      <c r="AI106" s="16">
        <f t="shared" si="103"/>
        <v>0</v>
      </c>
      <c r="AJ106" s="16">
        <f t="shared" si="103"/>
        <v>0</v>
      </c>
      <c r="AK106" s="16">
        <f t="shared" si="103"/>
        <v>0</v>
      </c>
      <c r="AL106" s="16">
        <f t="shared" si="103"/>
        <v>0</v>
      </c>
      <c r="AM106" s="16">
        <f t="shared" si="103"/>
        <v>0</v>
      </c>
      <c r="AN106" s="16">
        <f t="shared" si="103"/>
        <v>0</v>
      </c>
      <c r="AO106" s="16">
        <f t="shared" si="103"/>
        <v>0</v>
      </c>
      <c r="AP106" s="16">
        <f t="shared" si="103"/>
        <v>0</v>
      </c>
      <c r="AQ106" s="16">
        <f t="shared" si="103"/>
        <v>0</v>
      </c>
      <c r="AR106" s="16">
        <f t="shared" si="103"/>
        <v>0</v>
      </c>
    </row>
    <row r="107" spans="1:44" s="15" customFormat="1" x14ac:dyDescent="0.15">
      <c r="A107" s="19" t="s">
        <v>919</v>
      </c>
      <c r="B107" s="16">
        <f t="shared" ref="B107:AR107" si="104">B$110*$H11/$H$14</f>
        <v>0</v>
      </c>
      <c r="C107" s="16">
        <f t="shared" si="104"/>
        <v>0</v>
      </c>
      <c r="D107" s="16">
        <f t="shared" si="104"/>
        <v>0</v>
      </c>
      <c r="E107" s="16">
        <f t="shared" si="104"/>
        <v>0</v>
      </c>
      <c r="F107" s="16">
        <f t="shared" si="104"/>
        <v>0</v>
      </c>
      <c r="G107" s="16">
        <f t="shared" si="104"/>
        <v>0</v>
      </c>
      <c r="H107" s="16">
        <f t="shared" si="104"/>
        <v>0</v>
      </c>
      <c r="I107" s="16">
        <f t="shared" si="104"/>
        <v>0</v>
      </c>
      <c r="J107" s="16">
        <f t="shared" si="104"/>
        <v>0</v>
      </c>
      <c r="K107" s="16">
        <f t="shared" si="104"/>
        <v>0</v>
      </c>
      <c r="L107" s="16">
        <f t="shared" si="104"/>
        <v>0</v>
      </c>
      <c r="M107" s="16">
        <f t="shared" si="104"/>
        <v>0</v>
      </c>
      <c r="N107" s="16">
        <f t="shared" si="104"/>
        <v>0</v>
      </c>
      <c r="O107" s="16">
        <f t="shared" si="104"/>
        <v>0</v>
      </c>
      <c r="P107" s="16">
        <f t="shared" si="104"/>
        <v>0</v>
      </c>
      <c r="Q107" s="16">
        <f t="shared" si="104"/>
        <v>0</v>
      </c>
      <c r="R107" s="16">
        <f t="shared" si="104"/>
        <v>0</v>
      </c>
      <c r="S107" s="16">
        <f t="shared" si="104"/>
        <v>0</v>
      </c>
      <c r="T107" s="16">
        <f t="shared" si="104"/>
        <v>0</v>
      </c>
      <c r="U107" s="16">
        <f t="shared" si="104"/>
        <v>0</v>
      </c>
      <c r="V107" s="16">
        <f t="shared" si="104"/>
        <v>0</v>
      </c>
      <c r="W107" s="16">
        <f t="shared" si="104"/>
        <v>0</v>
      </c>
      <c r="X107" s="16">
        <f t="shared" si="104"/>
        <v>0</v>
      </c>
      <c r="Y107" s="16">
        <f t="shared" si="104"/>
        <v>0</v>
      </c>
      <c r="Z107" s="16">
        <f t="shared" si="104"/>
        <v>0</v>
      </c>
      <c r="AA107" s="16">
        <f t="shared" si="104"/>
        <v>0</v>
      </c>
      <c r="AB107" s="16">
        <f t="shared" si="104"/>
        <v>0</v>
      </c>
      <c r="AC107" s="16">
        <f t="shared" si="104"/>
        <v>0</v>
      </c>
      <c r="AD107" s="16">
        <f t="shared" si="104"/>
        <v>0</v>
      </c>
      <c r="AE107" s="16">
        <f t="shared" si="104"/>
        <v>0</v>
      </c>
      <c r="AF107" s="16">
        <f t="shared" si="104"/>
        <v>0</v>
      </c>
      <c r="AG107" s="16">
        <f t="shared" si="104"/>
        <v>0</v>
      </c>
      <c r="AH107" s="16">
        <f t="shared" si="104"/>
        <v>0</v>
      </c>
      <c r="AI107" s="16">
        <f t="shared" si="104"/>
        <v>0</v>
      </c>
      <c r="AJ107" s="16">
        <f t="shared" si="104"/>
        <v>0</v>
      </c>
      <c r="AK107" s="16">
        <f t="shared" si="104"/>
        <v>0</v>
      </c>
      <c r="AL107" s="16">
        <f t="shared" si="104"/>
        <v>0</v>
      </c>
      <c r="AM107" s="16">
        <f t="shared" si="104"/>
        <v>0</v>
      </c>
      <c r="AN107" s="16">
        <f t="shared" si="104"/>
        <v>0</v>
      </c>
      <c r="AO107" s="16">
        <f t="shared" si="104"/>
        <v>0</v>
      </c>
      <c r="AP107" s="16">
        <f t="shared" si="104"/>
        <v>0</v>
      </c>
      <c r="AQ107" s="16">
        <f t="shared" si="104"/>
        <v>0</v>
      </c>
      <c r="AR107" s="16">
        <f t="shared" si="104"/>
        <v>0</v>
      </c>
    </row>
    <row r="108" spans="1:44" s="15" customFormat="1" x14ac:dyDescent="0.15">
      <c r="A108" s="19" t="s">
        <v>920</v>
      </c>
      <c r="B108" s="16">
        <f t="shared" ref="B108:AR108" si="105">B$110*$H12/$H$14</f>
        <v>385.98826216874761</v>
      </c>
      <c r="C108" s="16">
        <f t="shared" si="105"/>
        <v>383.24774550734952</v>
      </c>
      <c r="D108" s="16">
        <f t="shared" si="105"/>
        <v>372.39683738524536</v>
      </c>
      <c r="E108" s="16">
        <f t="shared" si="105"/>
        <v>365.46949957197307</v>
      </c>
      <c r="F108" s="16">
        <f t="shared" si="105"/>
        <v>364.36823586163274</v>
      </c>
      <c r="G108" s="16">
        <f t="shared" si="105"/>
        <v>363.10549105929755</v>
      </c>
      <c r="H108" s="16">
        <f t="shared" si="105"/>
        <v>361.6841868359827</v>
      </c>
      <c r="I108" s="16">
        <f t="shared" si="105"/>
        <v>360.10746533930467</v>
      </c>
      <c r="J108" s="16">
        <f t="shared" si="105"/>
        <v>358.37866361692187</v>
      </c>
      <c r="K108" s="16">
        <f t="shared" si="105"/>
        <v>356.50133109221349</v>
      </c>
      <c r="L108" s="16">
        <f t="shared" si="105"/>
        <v>354.47920363785977</v>
      </c>
      <c r="M108" s="16">
        <f t="shared" si="105"/>
        <v>352.3162089723304</v>
      </c>
      <c r="N108" s="16">
        <f t="shared" si="105"/>
        <v>350.01645714344284</v>
      </c>
      <c r="O108" s="16">
        <f t="shared" si="105"/>
        <v>347.58422881993789</v>
      </c>
      <c r="P108" s="16">
        <f t="shared" si="105"/>
        <v>345.02397943608145</v>
      </c>
      <c r="Q108" s="16">
        <f t="shared" si="105"/>
        <v>342.34031524793903</v>
      </c>
      <c r="R108" s="16">
        <f t="shared" si="105"/>
        <v>339.59979858654089</v>
      </c>
      <c r="S108" s="16">
        <f t="shared" si="105"/>
        <v>336.74617422621463</v>
      </c>
      <c r="T108" s="16">
        <f t="shared" si="105"/>
        <v>333.6843590307397</v>
      </c>
      <c r="U108" s="16">
        <f t="shared" si="105"/>
        <v>330.42356461768475</v>
      </c>
      <c r="V108" s="16">
        <f t="shared" si="105"/>
        <v>326.97323181062649</v>
      </c>
      <c r="W108" s="16">
        <f t="shared" si="105"/>
        <v>323.3429930338105</v>
      </c>
      <c r="X108" s="16">
        <f t="shared" si="105"/>
        <v>319.54267096865749</v>
      </c>
      <c r="Y108" s="16">
        <f t="shared" si="105"/>
        <v>315.58225098580328</v>
      </c>
      <c r="Z108" s="16">
        <f t="shared" si="105"/>
        <v>311.47186000889889</v>
      </c>
      <c r="AA108" s="16">
        <f t="shared" si="105"/>
        <v>307.22173354169246</v>
      </c>
      <c r="AB108" s="16">
        <f t="shared" si="105"/>
        <v>302.84219885044865</v>
      </c>
      <c r="AC108" s="16">
        <f t="shared" si="105"/>
        <v>298.34365874649518</v>
      </c>
      <c r="AD108" s="16">
        <f t="shared" si="105"/>
        <v>293.73654512269923</v>
      </c>
      <c r="AE108" s="16">
        <f t="shared" si="105"/>
        <v>289.03129636118371</v>
      </c>
      <c r="AF108" s="16">
        <f t="shared" si="105"/>
        <v>284.23834753127625</v>
      </c>
      <c r="AG108" s="16">
        <f t="shared" si="105"/>
        <v>279.36806981083004</v>
      </c>
      <c r="AH108" s="16">
        <f t="shared" si="105"/>
        <v>274.43075469714285</v>
      </c>
      <c r="AI108" s="16">
        <f t="shared" si="105"/>
        <v>269.43658662421024</v>
      </c>
      <c r="AJ108" s="16">
        <f t="shared" si="105"/>
        <v>264.39558618262254</v>
      </c>
      <c r="AK108" s="16">
        <f t="shared" si="105"/>
        <v>259.31760416059745</v>
      </c>
      <c r="AL108" s="16">
        <f t="shared" si="105"/>
        <v>254.21224936060369</v>
      </c>
      <c r="AM108" s="16">
        <f t="shared" si="105"/>
        <v>249.08888288933679</v>
      </c>
      <c r="AN108" s="16">
        <f t="shared" si="105"/>
        <v>243.95655644740873</v>
      </c>
      <c r="AO108" s="16">
        <f t="shared" si="105"/>
        <v>238.82397437470962</v>
      </c>
      <c r="AP108" s="16">
        <f t="shared" si="105"/>
        <v>233.69945078022513</v>
      </c>
      <c r="AQ108" s="16">
        <f t="shared" si="105"/>
        <v>228.59086492524267</v>
      </c>
      <c r="AR108" s="16">
        <f t="shared" si="105"/>
        <v>223.50561999273575</v>
      </c>
    </row>
    <row r="109" spans="1:44" s="15" customFormat="1" x14ac:dyDescent="0.15">
      <c r="A109" s="19" t="s">
        <v>921</v>
      </c>
      <c r="B109" s="16">
        <f t="shared" ref="B109:AR109" si="106">B$110*$H13/$H$14</f>
        <v>0</v>
      </c>
      <c r="C109" s="16">
        <f t="shared" si="106"/>
        <v>0</v>
      </c>
      <c r="D109" s="16">
        <f t="shared" si="106"/>
        <v>0</v>
      </c>
      <c r="E109" s="16">
        <f t="shared" si="106"/>
        <v>0</v>
      </c>
      <c r="F109" s="16">
        <f t="shared" si="106"/>
        <v>0</v>
      </c>
      <c r="G109" s="16">
        <f t="shared" si="106"/>
        <v>0</v>
      </c>
      <c r="H109" s="16">
        <f t="shared" si="106"/>
        <v>0</v>
      </c>
      <c r="I109" s="16">
        <f t="shared" si="106"/>
        <v>0</v>
      </c>
      <c r="J109" s="16">
        <f t="shared" si="106"/>
        <v>0</v>
      </c>
      <c r="K109" s="16">
        <f t="shared" si="106"/>
        <v>0</v>
      </c>
      <c r="L109" s="16">
        <f t="shared" si="106"/>
        <v>0</v>
      </c>
      <c r="M109" s="16">
        <f t="shared" si="106"/>
        <v>0</v>
      </c>
      <c r="N109" s="16">
        <f t="shared" si="106"/>
        <v>0</v>
      </c>
      <c r="O109" s="16">
        <f t="shared" si="106"/>
        <v>0</v>
      </c>
      <c r="P109" s="16">
        <f t="shared" si="106"/>
        <v>0</v>
      </c>
      <c r="Q109" s="16">
        <f t="shared" si="106"/>
        <v>0</v>
      </c>
      <c r="R109" s="16">
        <f t="shared" si="106"/>
        <v>0</v>
      </c>
      <c r="S109" s="16">
        <f t="shared" si="106"/>
        <v>0</v>
      </c>
      <c r="T109" s="16">
        <f t="shared" si="106"/>
        <v>0</v>
      </c>
      <c r="U109" s="16">
        <f t="shared" si="106"/>
        <v>0</v>
      </c>
      <c r="V109" s="16">
        <f t="shared" si="106"/>
        <v>0</v>
      </c>
      <c r="W109" s="16">
        <f t="shared" si="106"/>
        <v>0</v>
      </c>
      <c r="X109" s="16">
        <f t="shared" si="106"/>
        <v>0</v>
      </c>
      <c r="Y109" s="16">
        <f t="shared" si="106"/>
        <v>0</v>
      </c>
      <c r="Z109" s="16">
        <f t="shared" si="106"/>
        <v>0</v>
      </c>
      <c r="AA109" s="16">
        <f t="shared" si="106"/>
        <v>0</v>
      </c>
      <c r="AB109" s="16">
        <f t="shared" si="106"/>
        <v>0</v>
      </c>
      <c r="AC109" s="16">
        <f t="shared" si="106"/>
        <v>0</v>
      </c>
      <c r="AD109" s="16">
        <f t="shared" si="106"/>
        <v>0</v>
      </c>
      <c r="AE109" s="16">
        <f t="shared" si="106"/>
        <v>0</v>
      </c>
      <c r="AF109" s="16">
        <f t="shared" si="106"/>
        <v>0</v>
      </c>
      <c r="AG109" s="16">
        <f t="shared" si="106"/>
        <v>0</v>
      </c>
      <c r="AH109" s="16">
        <f t="shared" si="106"/>
        <v>0</v>
      </c>
      <c r="AI109" s="16">
        <f t="shared" si="106"/>
        <v>0</v>
      </c>
      <c r="AJ109" s="16">
        <f t="shared" si="106"/>
        <v>0</v>
      </c>
      <c r="AK109" s="16">
        <f t="shared" si="106"/>
        <v>0</v>
      </c>
      <c r="AL109" s="16">
        <f t="shared" si="106"/>
        <v>0</v>
      </c>
      <c r="AM109" s="16">
        <f t="shared" si="106"/>
        <v>0</v>
      </c>
      <c r="AN109" s="16">
        <f t="shared" si="106"/>
        <v>0</v>
      </c>
      <c r="AO109" s="16">
        <f t="shared" si="106"/>
        <v>0</v>
      </c>
      <c r="AP109" s="16">
        <f t="shared" si="106"/>
        <v>0</v>
      </c>
      <c r="AQ109" s="16">
        <f t="shared" si="106"/>
        <v>0</v>
      </c>
      <c r="AR109" s="16">
        <f t="shared" si="106"/>
        <v>0</v>
      </c>
    </row>
    <row r="110" spans="1:44" s="17" customFormat="1" x14ac:dyDescent="0.15">
      <c r="A110" s="19" t="s">
        <v>911</v>
      </c>
      <c r="B110" s="17">
        <f>BAU建筑总能耗计算!B$5*$H$16</f>
        <v>6635.3589716808901</v>
      </c>
      <c r="C110" s="17">
        <f>BAU建筑总能耗计算!C$5*$H$16</f>
        <v>6588.2479229819564</v>
      </c>
      <c r="D110" s="17">
        <f>BAU建筑总能耗计算!D$5*$H$16</f>
        <v>6401.7146067760568</v>
      </c>
      <c r="E110" s="17">
        <f>BAU建筑总能耗计算!E$5*$H$16</f>
        <v>6282.6297080516879</v>
      </c>
      <c r="F110" s="17">
        <f>BAU建筑总能耗计算!F$5*$H$16</f>
        <v>6263.6983550630339</v>
      </c>
      <c r="G110" s="17">
        <f>BAU建筑总能耗计算!G$5*$H$16</f>
        <v>6241.9910497526589</v>
      </c>
      <c r="H110" s="17">
        <f>BAU建筑总能耗计算!H$5*$H$16</f>
        <v>6217.5580173162034</v>
      </c>
      <c r="I110" s="17">
        <f>BAU建筑总能耗计算!I$5*$H$16</f>
        <v>6190.4532730681758</v>
      </c>
      <c r="J110" s="17">
        <f>BAU建筑总能耗计算!J$5*$H$16</f>
        <v>6160.7341827662658</v>
      </c>
      <c r="K110" s="17">
        <f>BAU建筑总能耗计算!K$5*$H$16</f>
        <v>6128.4617630282628</v>
      </c>
      <c r="L110" s="17">
        <f>BAU建筑总能耗计算!L$5*$H$16</f>
        <v>6093.7002356420699</v>
      </c>
      <c r="M110" s="17">
        <f>BAU建筑总能耗计算!M$5*$H$16</f>
        <v>6056.5171203344244</v>
      </c>
      <c r="N110" s="17">
        <f>BAU建筑总能耗计算!N$5*$H$16</f>
        <v>6016.9830711778277</v>
      </c>
      <c r="O110" s="17">
        <f>BAU建筑总能耗计算!O$5*$H$16</f>
        <v>5975.1716753160299</v>
      </c>
      <c r="P110" s="17">
        <f>BAU建筑总能耗计算!P$5*$H$16</f>
        <v>5931.1595242121048</v>
      </c>
      <c r="Q110" s="17">
        <f>BAU建筑总能耗计算!Q$5*$H$16</f>
        <v>5885.025802042117</v>
      </c>
      <c r="R110" s="17">
        <f>BAU建筑总能耗计算!R$5*$H$16</f>
        <v>5837.9147533431815</v>
      </c>
      <c r="S110" s="17">
        <f>BAU建筑总能耗计算!S$5*$H$16</f>
        <v>5788.8593186138742</v>
      </c>
      <c r="T110" s="17">
        <f>BAU建筑总能耗计算!T$5*$H$16</f>
        <v>5736.2249643649311</v>
      </c>
      <c r="U110" s="17">
        <f>BAU建筑总能耗计算!U$5*$H$16</f>
        <v>5680.1700435704433</v>
      </c>
      <c r="V110" s="17">
        <f>BAU建筑总能耗计算!V$5*$H$16</f>
        <v>5620.8568493868606</v>
      </c>
      <c r="W110" s="17">
        <f>BAU建筑总能耗计算!W$5*$H$16</f>
        <v>5558.4509686957026</v>
      </c>
      <c r="X110" s="17">
        <f>BAU建筑总能耗计算!X$5*$H$16</f>
        <v>5493.1212590081432</v>
      </c>
      <c r="Y110" s="17">
        <f>BAU建筑总能耗计算!Y$5*$H$16</f>
        <v>5425.0393745560013</v>
      </c>
      <c r="Z110" s="17">
        <f>BAU建筑总能耗计算!Z$5*$H$16</f>
        <v>5354.3794029483797</v>
      </c>
      <c r="AA110" s="17">
        <f>BAU建筑总能耗计算!AA$5*$H$16</f>
        <v>5281.317298348351</v>
      </c>
      <c r="AB110" s="17">
        <f>BAU建筑总能耗计算!AB$5*$H$16</f>
        <v>5206.0305923691212</v>
      </c>
      <c r="AC110" s="17">
        <f>BAU建筑总能耗计算!AC$5*$H$16</f>
        <v>5128.6981152867365</v>
      </c>
      <c r="AD110" s="17">
        <f>BAU建筑总能耗计算!AD$5*$H$16</f>
        <v>5049.4991973055394</v>
      </c>
      <c r="AE110" s="17">
        <f>BAU建筑总能耗计算!AE$5*$H$16</f>
        <v>4968.6132801838858</v>
      </c>
      <c r="AF110" s="17">
        <f>BAU建筑总能耗计算!AF$5*$H$16</f>
        <v>4886.2197487312887</v>
      </c>
      <c r="AG110" s="17">
        <f>BAU建筑总能耗计算!AG$5*$H$16</f>
        <v>4802.4968894262765</v>
      </c>
      <c r="AH110" s="17">
        <f>BAU建筑总能耗计算!AH$5*$H$16</f>
        <v>4717.6216189930592</v>
      </c>
      <c r="AI110" s="17">
        <f>BAU建筑总能耗计算!AI$5*$H$16</f>
        <v>4631.7690136764541</v>
      </c>
      <c r="AJ110" s="17">
        <f>BAU建筑总能耗计算!AJ$5*$H$16</f>
        <v>4545.1113331594415</v>
      </c>
      <c r="AK110" s="17">
        <f>BAU建筑总能耗计算!AK$5*$H$16</f>
        <v>4457.8179181251062</v>
      </c>
      <c r="AL110" s="17">
        <f>BAU建筑总能耗计算!AL$5*$H$16</f>
        <v>4370.0539493831175</v>
      </c>
      <c r="AM110" s="17">
        <f>BAU建筑总能耗计算!AM$5*$H$16</f>
        <v>4281.9803497111461</v>
      </c>
      <c r="AN110" s="17">
        <f>BAU建筑总能耗计算!AN$5*$H$16</f>
        <v>4193.7527230193427</v>
      </c>
      <c r="AO110" s="17">
        <f>BAU建筑总能耗计算!AO$5*$H$16</f>
        <v>4105.5207018883902</v>
      </c>
      <c r="AP110" s="17">
        <f>BAU建筑总能耗计算!AP$5*$H$16</f>
        <v>4017.4272106065555</v>
      </c>
      <c r="AQ110" s="17">
        <f>BAU建筑总能耗计算!AQ$5*$H$16</f>
        <v>3929.6076981814845</v>
      </c>
      <c r="AR110" s="17">
        <f>BAU建筑总能耗计算!AR$5*$H$16</f>
        <v>3842.1894295623392</v>
      </c>
    </row>
    <row r="111" spans="1:44" s="15" customFormat="1" x14ac:dyDescent="0.15"/>
    <row r="112" spans="1:44" s="19" customFormat="1" x14ac:dyDescent="0.15">
      <c r="A112" s="18" t="s">
        <v>17</v>
      </c>
      <c r="B112" s="19">
        <v>2018</v>
      </c>
      <c r="C112" s="19">
        <v>2019</v>
      </c>
      <c r="D112" s="19">
        <v>2020</v>
      </c>
      <c r="E112" s="19">
        <v>2021</v>
      </c>
      <c r="F112" s="19">
        <v>2022</v>
      </c>
      <c r="G112" s="19">
        <v>2023</v>
      </c>
      <c r="H112" s="19">
        <v>2024</v>
      </c>
      <c r="I112" s="19">
        <v>2025</v>
      </c>
      <c r="J112" s="19">
        <v>2026</v>
      </c>
      <c r="K112" s="19">
        <v>2027</v>
      </c>
      <c r="L112" s="19">
        <v>2028</v>
      </c>
      <c r="M112" s="19">
        <v>2029</v>
      </c>
      <c r="N112" s="19">
        <v>2030</v>
      </c>
      <c r="O112" s="19">
        <v>2031</v>
      </c>
      <c r="P112" s="19">
        <v>2032</v>
      </c>
      <c r="Q112" s="19">
        <v>2033</v>
      </c>
      <c r="R112" s="19">
        <v>2034</v>
      </c>
      <c r="S112" s="19">
        <v>2035</v>
      </c>
      <c r="T112" s="19">
        <v>2036</v>
      </c>
      <c r="U112" s="19">
        <v>2037</v>
      </c>
      <c r="V112" s="19">
        <v>2038</v>
      </c>
      <c r="W112" s="19">
        <v>2039</v>
      </c>
      <c r="X112" s="19">
        <v>2040</v>
      </c>
      <c r="Y112" s="19">
        <v>2041</v>
      </c>
      <c r="Z112" s="19">
        <v>2042</v>
      </c>
      <c r="AA112" s="19">
        <v>2043</v>
      </c>
      <c r="AB112" s="19">
        <v>2044</v>
      </c>
      <c r="AC112" s="19">
        <v>2045</v>
      </c>
      <c r="AD112" s="19">
        <v>2046</v>
      </c>
      <c r="AE112" s="19">
        <v>2047</v>
      </c>
      <c r="AF112" s="19">
        <v>2048</v>
      </c>
      <c r="AG112" s="19">
        <v>2049</v>
      </c>
      <c r="AH112" s="19">
        <v>2050</v>
      </c>
      <c r="AI112" s="19">
        <v>2051</v>
      </c>
      <c r="AJ112" s="19">
        <v>2052</v>
      </c>
      <c r="AK112" s="19">
        <v>2053</v>
      </c>
      <c r="AL112" s="19">
        <v>2054</v>
      </c>
      <c r="AM112" s="19">
        <v>2055</v>
      </c>
      <c r="AN112" s="19">
        <v>2056</v>
      </c>
      <c r="AO112" s="19">
        <v>2057</v>
      </c>
      <c r="AP112" s="19">
        <v>2058</v>
      </c>
      <c r="AQ112" s="19">
        <v>2059</v>
      </c>
      <c r="AR112" s="19">
        <v>2060</v>
      </c>
    </row>
    <row r="113" spans="1:44" s="15" customFormat="1" x14ac:dyDescent="0.15">
      <c r="A113" s="19" t="s">
        <v>912</v>
      </c>
      <c r="B113" s="16">
        <f t="shared" ref="B113:AR113" si="107">B$123*$I4/$I$14</f>
        <v>129.08955601785701</v>
      </c>
      <c r="C113" s="16">
        <f t="shared" si="107"/>
        <v>128.17302017013026</v>
      </c>
      <c r="D113" s="16">
        <f t="shared" si="107"/>
        <v>124.54405253261021</v>
      </c>
      <c r="E113" s="16">
        <f t="shared" si="107"/>
        <v>122.22728010622467</v>
      </c>
      <c r="F113" s="16">
        <f t="shared" si="107"/>
        <v>121.85897449343825</v>
      </c>
      <c r="G113" s="16">
        <f t="shared" si="107"/>
        <v>121.43666329417687</v>
      </c>
      <c r="H113" s="16">
        <f t="shared" si="107"/>
        <v>120.96132362938208</v>
      </c>
      <c r="I113" s="16">
        <f t="shared" si="107"/>
        <v>120.43400635598533</v>
      </c>
      <c r="J113" s="16">
        <f t="shared" si="107"/>
        <v>119.85582751310709</v>
      </c>
      <c r="K113" s="16">
        <f t="shared" si="107"/>
        <v>119.22797416660678</v>
      </c>
      <c r="L113" s="16">
        <f t="shared" si="107"/>
        <v>118.55169573827489</v>
      </c>
      <c r="M113" s="16">
        <f t="shared" si="107"/>
        <v>117.8283058106296</v>
      </c>
      <c r="N113" s="16">
        <f t="shared" si="107"/>
        <v>117.05917894424692</v>
      </c>
      <c r="O113" s="16">
        <f t="shared" si="107"/>
        <v>116.24574676200599</v>
      </c>
      <c r="P113" s="16">
        <f t="shared" si="107"/>
        <v>115.38949933520591</v>
      </c>
      <c r="Q113" s="16">
        <f t="shared" si="107"/>
        <v>114.49197717584846</v>
      </c>
      <c r="R113" s="16">
        <f t="shared" si="107"/>
        <v>113.57544132812166</v>
      </c>
      <c r="S113" s="16">
        <f t="shared" si="107"/>
        <v>112.62107784658342</v>
      </c>
      <c r="T113" s="16">
        <f t="shared" si="107"/>
        <v>111.5970872154388</v>
      </c>
      <c r="U113" s="16">
        <f t="shared" si="107"/>
        <v>110.50655015951467</v>
      </c>
      <c r="V113" s="16">
        <f t="shared" si="107"/>
        <v>109.35262405908247</v>
      </c>
      <c r="W113" s="16">
        <f t="shared" si="107"/>
        <v>108.13853037316328</v>
      </c>
      <c r="X113" s="16">
        <f t="shared" si="107"/>
        <v>106.86755419021141</v>
      </c>
      <c r="Y113" s="16">
        <f t="shared" si="107"/>
        <v>105.54303500831102</v>
      </c>
      <c r="Z113" s="16">
        <f t="shared" si="107"/>
        <v>104.16835966640538</v>
      </c>
      <c r="AA113" s="16">
        <f t="shared" si="107"/>
        <v>102.74695131686452</v>
      </c>
      <c r="AB113" s="16">
        <f t="shared" si="107"/>
        <v>101.28226380102937</v>
      </c>
      <c r="AC113" s="16">
        <f t="shared" si="107"/>
        <v>99.777776225461608</v>
      </c>
      <c r="AD113" s="16">
        <f t="shared" si="107"/>
        <v>98.236977422725914</v>
      </c>
      <c r="AE113" s="16">
        <f t="shared" si="107"/>
        <v>96.663358395647663</v>
      </c>
      <c r="AF113" s="16">
        <f t="shared" si="107"/>
        <v>95.060409039124039</v>
      </c>
      <c r="AG113" s="16">
        <f t="shared" si="107"/>
        <v>93.431597880246869</v>
      </c>
      <c r="AH113" s="16">
        <f t="shared" si="107"/>
        <v>91.780366797816967</v>
      </c>
      <c r="AI113" s="16">
        <f t="shared" si="107"/>
        <v>90.110121864483801</v>
      </c>
      <c r="AJ113" s="16">
        <f t="shared" si="107"/>
        <v>88.424214357260482</v>
      </c>
      <c r="AK113" s="16">
        <f t="shared" si="107"/>
        <v>86.725938764612295</v>
      </c>
      <c r="AL113" s="16">
        <f t="shared" si="107"/>
        <v>85.018508645515283</v>
      </c>
      <c r="AM113" s="16">
        <f t="shared" si="107"/>
        <v>83.305054719801134</v>
      </c>
      <c r="AN113" s="16">
        <f t="shared" si="107"/>
        <v>81.58860422981823</v>
      </c>
      <c r="AO113" s="16">
        <f t="shared" si="107"/>
        <v>79.872068246917607</v>
      </c>
      <c r="AP113" s="16">
        <f t="shared" si="107"/>
        <v>78.158227333988918</v>
      </c>
      <c r="AQ113" s="16">
        <f t="shared" si="107"/>
        <v>76.449716623861477</v>
      </c>
      <c r="AR113" s="16">
        <f t="shared" si="107"/>
        <v>74.74901203017518</v>
      </c>
    </row>
    <row r="114" spans="1:44" s="15" customFormat="1" x14ac:dyDescent="0.15">
      <c r="A114" s="19" t="s">
        <v>913</v>
      </c>
      <c r="B114" s="16">
        <f t="shared" ref="B114:AR114" si="108">B$123*$I5/$I$14</f>
        <v>0</v>
      </c>
      <c r="C114" s="16">
        <f t="shared" si="108"/>
        <v>0</v>
      </c>
      <c r="D114" s="16">
        <f t="shared" si="108"/>
        <v>0</v>
      </c>
      <c r="E114" s="16">
        <f t="shared" si="108"/>
        <v>0</v>
      </c>
      <c r="F114" s="16">
        <f t="shared" si="108"/>
        <v>0</v>
      </c>
      <c r="G114" s="16">
        <f t="shared" si="108"/>
        <v>0</v>
      </c>
      <c r="H114" s="16">
        <f t="shared" si="108"/>
        <v>0</v>
      </c>
      <c r="I114" s="16">
        <f t="shared" si="108"/>
        <v>0</v>
      </c>
      <c r="J114" s="16">
        <f t="shared" si="108"/>
        <v>0</v>
      </c>
      <c r="K114" s="16">
        <f t="shared" si="108"/>
        <v>0</v>
      </c>
      <c r="L114" s="16">
        <f t="shared" si="108"/>
        <v>0</v>
      </c>
      <c r="M114" s="16">
        <f t="shared" si="108"/>
        <v>0</v>
      </c>
      <c r="N114" s="16">
        <f t="shared" si="108"/>
        <v>0</v>
      </c>
      <c r="O114" s="16">
        <f t="shared" si="108"/>
        <v>0</v>
      </c>
      <c r="P114" s="16">
        <f t="shared" si="108"/>
        <v>0</v>
      </c>
      <c r="Q114" s="16">
        <f t="shared" si="108"/>
        <v>0</v>
      </c>
      <c r="R114" s="16">
        <f t="shared" si="108"/>
        <v>0</v>
      </c>
      <c r="S114" s="16">
        <f t="shared" si="108"/>
        <v>0</v>
      </c>
      <c r="T114" s="16">
        <f t="shared" si="108"/>
        <v>0</v>
      </c>
      <c r="U114" s="16">
        <f t="shared" si="108"/>
        <v>0</v>
      </c>
      <c r="V114" s="16">
        <f t="shared" si="108"/>
        <v>0</v>
      </c>
      <c r="W114" s="16">
        <f t="shared" si="108"/>
        <v>0</v>
      </c>
      <c r="X114" s="16">
        <f t="shared" si="108"/>
        <v>0</v>
      </c>
      <c r="Y114" s="16">
        <f t="shared" si="108"/>
        <v>0</v>
      </c>
      <c r="Z114" s="16">
        <f t="shared" si="108"/>
        <v>0</v>
      </c>
      <c r="AA114" s="16">
        <f t="shared" si="108"/>
        <v>0</v>
      </c>
      <c r="AB114" s="16">
        <f t="shared" si="108"/>
        <v>0</v>
      </c>
      <c r="AC114" s="16">
        <f t="shared" si="108"/>
        <v>0</v>
      </c>
      <c r="AD114" s="16">
        <f t="shared" si="108"/>
        <v>0</v>
      </c>
      <c r="AE114" s="16">
        <f t="shared" si="108"/>
        <v>0</v>
      </c>
      <c r="AF114" s="16">
        <f t="shared" si="108"/>
        <v>0</v>
      </c>
      <c r="AG114" s="16">
        <f t="shared" si="108"/>
        <v>0</v>
      </c>
      <c r="AH114" s="16">
        <f t="shared" si="108"/>
        <v>0</v>
      </c>
      <c r="AI114" s="16">
        <f t="shared" si="108"/>
        <v>0</v>
      </c>
      <c r="AJ114" s="16">
        <f t="shared" si="108"/>
        <v>0</v>
      </c>
      <c r="AK114" s="16">
        <f t="shared" si="108"/>
        <v>0</v>
      </c>
      <c r="AL114" s="16">
        <f t="shared" si="108"/>
        <v>0</v>
      </c>
      <c r="AM114" s="16">
        <f t="shared" si="108"/>
        <v>0</v>
      </c>
      <c r="AN114" s="16">
        <f t="shared" si="108"/>
        <v>0</v>
      </c>
      <c r="AO114" s="16">
        <f t="shared" si="108"/>
        <v>0</v>
      </c>
      <c r="AP114" s="16">
        <f t="shared" si="108"/>
        <v>0</v>
      </c>
      <c r="AQ114" s="16">
        <f t="shared" si="108"/>
        <v>0</v>
      </c>
      <c r="AR114" s="16">
        <f t="shared" si="108"/>
        <v>0</v>
      </c>
    </row>
    <row r="115" spans="1:44" s="15" customFormat="1" x14ac:dyDescent="0.15">
      <c r="A115" s="19" t="s">
        <v>914</v>
      </c>
      <c r="B115" s="16">
        <f t="shared" ref="B115:AR115" si="109">B$123*$I6/$I$14</f>
        <v>0</v>
      </c>
      <c r="C115" s="16">
        <f t="shared" si="109"/>
        <v>0</v>
      </c>
      <c r="D115" s="16">
        <f t="shared" si="109"/>
        <v>0</v>
      </c>
      <c r="E115" s="16">
        <f t="shared" si="109"/>
        <v>0</v>
      </c>
      <c r="F115" s="16">
        <f t="shared" si="109"/>
        <v>0</v>
      </c>
      <c r="G115" s="16">
        <f t="shared" si="109"/>
        <v>0</v>
      </c>
      <c r="H115" s="16">
        <f t="shared" si="109"/>
        <v>0</v>
      </c>
      <c r="I115" s="16">
        <f t="shared" si="109"/>
        <v>0</v>
      </c>
      <c r="J115" s="16">
        <f t="shared" si="109"/>
        <v>0</v>
      </c>
      <c r="K115" s="16">
        <f t="shared" si="109"/>
        <v>0</v>
      </c>
      <c r="L115" s="16">
        <f t="shared" si="109"/>
        <v>0</v>
      </c>
      <c r="M115" s="16">
        <f t="shared" si="109"/>
        <v>0</v>
      </c>
      <c r="N115" s="16">
        <f t="shared" si="109"/>
        <v>0</v>
      </c>
      <c r="O115" s="16">
        <f t="shared" si="109"/>
        <v>0</v>
      </c>
      <c r="P115" s="16">
        <f t="shared" si="109"/>
        <v>0</v>
      </c>
      <c r="Q115" s="16">
        <f t="shared" si="109"/>
        <v>0</v>
      </c>
      <c r="R115" s="16">
        <f t="shared" si="109"/>
        <v>0</v>
      </c>
      <c r="S115" s="16">
        <f t="shared" si="109"/>
        <v>0</v>
      </c>
      <c r="T115" s="16">
        <f t="shared" si="109"/>
        <v>0</v>
      </c>
      <c r="U115" s="16">
        <f t="shared" si="109"/>
        <v>0</v>
      </c>
      <c r="V115" s="16">
        <f t="shared" si="109"/>
        <v>0</v>
      </c>
      <c r="W115" s="16">
        <f t="shared" si="109"/>
        <v>0</v>
      </c>
      <c r="X115" s="16">
        <f t="shared" si="109"/>
        <v>0</v>
      </c>
      <c r="Y115" s="16">
        <f t="shared" si="109"/>
        <v>0</v>
      </c>
      <c r="Z115" s="16">
        <f t="shared" si="109"/>
        <v>0</v>
      </c>
      <c r="AA115" s="16">
        <f t="shared" si="109"/>
        <v>0</v>
      </c>
      <c r="AB115" s="16">
        <f t="shared" si="109"/>
        <v>0</v>
      </c>
      <c r="AC115" s="16">
        <f t="shared" si="109"/>
        <v>0</v>
      </c>
      <c r="AD115" s="16">
        <f t="shared" si="109"/>
        <v>0</v>
      </c>
      <c r="AE115" s="16">
        <f t="shared" si="109"/>
        <v>0</v>
      </c>
      <c r="AF115" s="16">
        <f t="shared" si="109"/>
        <v>0</v>
      </c>
      <c r="AG115" s="16">
        <f t="shared" si="109"/>
        <v>0</v>
      </c>
      <c r="AH115" s="16">
        <f t="shared" si="109"/>
        <v>0</v>
      </c>
      <c r="AI115" s="16">
        <f t="shared" si="109"/>
        <v>0</v>
      </c>
      <c r="AJ115" s="16">
        <f t="shared" si="109"/>
        <v>0</v>
      </c>
      <c r="AK115" s="16">
        <f t="shared" si="109"/>
        <v>0</v>
      </c>
      <c r="AL115" s="16">
        <f t="shared" si="109"/>
        <v>0</v>
      </c>
      <c r="AM115" s="16">
        <f t="shared" si="109"/>
        <v>0</v>
      </c>
      <c r="AN115" s="16">
        <f t="shared" si="109"/>
        <v>0</v>
      </c>
      <c r="AO115" s="16">
        <f t="shared" si="109"/>
        <v>0</v>
      </c>
      <c r="AP115" s="16">
        <f t="shared" si="109"/>
        <v>0</v>
      </c>
      <c r="AQ115" s="16">
        <f t="shared" si="109"/>
        <v>0</v>
      </c>
      <c r="AR115" s="16">
        <f t="shared" si="109"/>
        <v>0</v>
      </c>
    </row>
    <row r="116" spans="1:44" s="15" customFormat="1" x14ac:dyDescent="0.15">
      <c r="A116" s="19" t="s">
        <v>915</v>
      </c>
      <c r="B116" s="16">
        <f t="shared" ref="B116:AR116" si="110">B$123*$I7/$I$14</f>
        <v>0</v>
      </c>
      <c r="C116" s="16">
        <f t="shared" si="110"/>
        <v>0</v>
      </c>
      <c r="D116" s="16">
        <f t="shared" si="110"/>
        <v>0</v>
      </c>
      <c r="E116" s="16">
        <f t="shared" si="110"/>
        <v>0</v>
      </c>
      <c r="F116" s="16">
        <f t="shared" si="110"/>
        <v>0</v>
      </c>
      <c r="G116" s="16">
        <f t="shared" si="110"/>
        <v>0</v>
      </c>
      <c r="H116" s="16">
        <f t="shared" si="110"/>
        <v>0</v>
      </c>
      <c r="I116" s="16">
        <f t="shared" si="110"/>
        <v>0</v>
      </c>
      <c r="J116" s="16">
        <f t="shared" si="110"/>
        <v>0</v>
      </c>
      <c r="K116" s="16">
        <f t="shared" si="110"/>
        <v>0</v>
      </c>
      <c r="L116" s="16">
        <f t="shared" si="110"/>
        <v>0</v>
      </c>
      <c r="M116" s="16">
        <f t="shared" si="110"/>
        <v>0</v>
      </c>
      <c r="N116" s="16">
        <f t="shared" si="110"/>
        <v>0</v>
      </c>
      <c r="O116" s="16">
        <f t="shared" si="110"/>
        <v>0</v>
      </c>
      <c r="P116" s="16">
        <f t="shared" si="110"/>
        <v>0</v>
      </c>
      <c r="Q116" s="16">
        <f t="shared" si="110"/>
        <v>0</v>
      </c>
      <c r="R116" s="16">
        <f t="shared" si="110"/>
        <v>0</v>
      </c>
      <c r="S116" s="16">
        <f t="shared" si="110"/>
        <v>0</v>
      </c>
      <c r="T116" s="16">
        <f t="shared" si="110"/>
        <v>0</v>
      </c>
      <c r="U116" s="16">
        <f t="shared" si="110"/>
        <v>0</v>
      </c>
      <c r="V116" s="16">
        <f t="shared" si="110"/>
        <v>0</v>
      </c>
      <c r="W116" s="16">
        <f t="shared" si="110"/>
        <v>0</v>
      </c>
      <c r="X116" s="16">
        <f t="shared" si="110"/>
        <v>0</v>
      </c>
      <c r="Y116" s="16">
        <f t="shared" si="110"/>
        <v>0</v>
      </c>
      <c r="Z116" s="16">
        <f t="shared" si="110"/>
        <v>0</v>
      </c>
      <c r="AA116" s="16">
        <f t="shared" si="110"/>
        <v>0</v>
      </c>
      <c r="AB116" s="16">
        <f t="shared" si="110"/>
        <v>0</v>
      </c>
      <c r="AC116" s="16">
        <f t="shared" si="110"/>
        <v>0</v>
      </c>
      <c r="AD116" s="16">
        <f t="shared" si="110"/>
        <v>0</v>
      </c>
      <c r="AE116" s="16">
        <f t="shared" si="110"/>
        <v>0</v>
      </c>
      <c r="AF116" s="16">
        <f t="shared" si="110"/>
        <v>0</v>
      </c>
      <c r="AG116" s="16">
        <f t="shared" si="110"/>
        <v>0</v>
      </c>
      <c r="AH116" s="16">
        <f t="shared" si="110"/>
        <v>0</v>
      </c>
      <c r="AI116" s="16">
        <f t="shared" si="110"/>
        <v>0</v>
      </c>
      <c r="AJ116" s="16">
        <f t="shared" si="110"/>
        <v>0</v>
      </c>
      <c r="AK116" s="16">
        <f t="shared" si="110"/>
        <v>0</v>
      </c>
      <c r="AL116" s="16">
        <f t="shared" si="110"/>
        <v>0</v>
      </c>
      <c r="AM116" s="16">
        <f t="shared" si="110"/>
        <v>0</v>
      </c>
      <c r="AN116" s="16">
        <f t="shared" si="110"/>
        <v>0</v>
      </c>
      <c r="AO116" s="16">
        <f t="shared" si="110"/>
        <v>0</v>
      </c>
      <c r="AP116" s="16">
        <f t="shared" si="110"/>
        <v>0</v>
      </c>
      <c r="AQ116" s="16">
        <f t="shared" si="110"/>
        <v>0</v>
      </c>
      <c r="AR116" s="16">
        <f t="shared" si="110"/>
        <v>0</v>
      </c>
    </row>
    <row r="117" spans="1:44" s="15" customFormat="1" x14ac:dyDescent="0.15">
      <c r="A117" s="19" t="s">
        <v>916</v>
      </c>
      <c r="B117" s="16">
        <f t="shared" ref="B117:AR117" si="111">B$123*$I8/$I$14</f>
        <v>0</v>
      </c>
      <c r="C117" s="16">
        <f t="shared" si="111"/>
        <v>0</v>
      </c>
      <c r="D117" s="16">
        <f t="shared" si="111"/>
        <v>0</v>
      </c>
      <c r="E117" s="16">
        <f t="shared" si="111"/>
        <v>0</v>
      </c>
      <c r="F117" s="16">
        <f t="shared" si="111"/>
        <v>0</v>
      </c>
      <c r="G117" s="16">
        <f t="shared" si="111"/>
        <v>0</v>
      </c>
      <c r="H117" s="16">
        <f t="shared" si="111"/>
        <v>0</v>
      </c>
      <c r="I117" s="16">
        <f t="shared" si="111"/>
        <v>0</v>
      </c>
      <c r="J117" s="16">
        <f t="shared" si="111"/>
        <v>0</v>
      </c>
      <c r="K117" s="16">
        <f t="shared" si="111"/>
        <v>0</v>
      </c>
      <c r="L117" s="16">
        <f t="shared" si="111"/>
        <v>0</v>
      </c>
      <c r="M117" s="16">
        <f t="shared" si="111"/>
        <v>0</v>
      </c>
      <c r="N117" s="16">
        <f t="shared" si="111"/>
        <v>0</v>
      </c>
      <c r="O117" s="16">
        <f t="shared" si="111"/>
        <v>0</v>
      </c>
      <c r="P117" s="16">
        <f t="shared" si="111"/>
        <v>0</v>
      </c>
      <c r="Q117" s="16">
        <f t="shared" si="111"/>
        <v>0</v>
      </c>
      <c r="R117" s="16">
        <f t="shared" si="111"/>
        <v>0</v>
      </c>
      <c r="S117" s="16">
        <f t="shared" si="111"/>
        <v>0</v>
      </c>
      <c r="T117" s="16">
        <f t="shared" si="111"/>
        <v>0</v>
      </c>
      <c r="U117" s="16">
        <f t="shared" si="111"/>
        <v>0</v>
      </c>
      <c r="V117" s="16">
        <f t="shared" si="111"/>
        <v>0</v>
      </c>
      <c r="W117" s="16">
        <f t="shared" si="111"/>
        <v>0</v>
      </c>
      <c r="X117" s="16">
        <f t="shared" si="111"/>
        <v>0</v>
      </c>
      <c r="Y117" s="16">
        <f t="shared" si="111"/>
        <v>0</v>
      </c>
      <c r="Z117" s="16">
        <f t="shared" si="111"/>
        <v>0</v>
      </c>
      <c r="AA117" s="16">
        <f t="shared" si="111"/>
        <v>0</v>
      </c>
      <c r="AB117" s="16">
        <f t="shared" si="111"/>
        <v>0</v>
      </c>
      <c r="AC117" s="16">
        <f t="shared" si="111"/>
        <v>0</v>
      </c>
      <c r="AD117" s="16">
        <f t="shared" si="111"/>
        <v>0</v>
      </c>
      <c r="AE117" s="16">
        <f t="shared" si="111"/>
        <v>0</v>
      </c>
      <c r="AF117" s="16">
        <f t="shared" si="111"/>
        <v>0</v>
      </c>
      <c r="AG117" s="16">
        <f t="shared" si="111"/>
        <v>0</v>
      </c>
      <c r="AH117" s="16">
        <f t="shared" si="111"/>
        <v>0</v>
      </c>
      <c r="AI117" s="16">
        <f t="shared" si="111"/>
        <v>0</v>
      </c>
      <c r="AJ117" s="16">
        <f t="shared" si="111"/>
        <v>0</v>
      </c>
      <c r="AK117" s="16">
        <f t="shared" si="111"/>
        <v>0</v>
      </c>
      <c r="AL117" s="16">
        <f t="shared" si="111"/>
        <v>0</v>
      </c>
      <c r="AM117" s="16">
        <f t="shared" si="111"/>
        <v>0</v>
      </c>
      <c r="AN117" s="16">
        <f t="shared" si="111"/>
        <v>0</v>
      </c>
      <c r="AO117" s="16">
        <f t="shared" si="111"/>
        <v>0</v>
      </c>
      <c r="AP117" s="16">
        <f t="shared" si="111"/>
        <v>0</v>
      </c>
      <c r="AQ117" s="16">
        <f t="shared" si="111"/>
        <v>0</v>
      </c>
      <c r="AR117" s="16">
        <f t="shared" si="111"/>
        <v>0</v>
      </c>
    </row>
    <row r="118" spans="1:44" s="15" customFormat="1" x14ac:dyDescent="0.15">
      <c r="A118" s="19" t="s">
        <v>917</v>
      </c>
      <c r="B118" s="16">
        <f t="shared" ref="B118:AR118" si="112">B$123*$I9/$I$14</f>
        <v>0</v>
      </c>
      <c r="C118" s="16">
        <f t="shared" si="112"/>
        <v>0</v>
      </c>
      <c r="D118" s="16">
        <f t="shared" si="112"/>
        <v>0</v>
      </c>
      <c r="E118" s="16">
        <f t="shared" si="112"/>
        <v>0</v>
      </c>
      <c r="F118" s="16">
        <f t="shared" si="112"/>
        <v>0</v>
      </c>
      <c r="G118" s="16">
        <f t="shared" si="112"/>
        <v>0</v>
      </c>
      <c r="H118" s="16">
        <f t="shared" si="112"/>
        <v>0</v>
      </c>
      <c r="I118" s="16">
        <f t="shared" si="112"/>
        <v>0</v>
      </c>
      <c r="J118" s="16">
        <f t="shared" si="112"/>
        <v>0</v>
      </c>
      <c r="K118" s="16">
        <f t="shared" si="112"/>
        <v>0</v>
      </c>
      <c r="L118" s="16">
        <f t="shared" si="112"/>
        <v>0</v>
      </c>
      <c r="M118" s="16">
        <f t="shared" si="112"/>
        <v>0</v>
      </c>
      <c r="N118" s="16">
        <f t="shared" si="112"/>
        <v>0</v>
      </c>
      <c r="O118" s="16">
        <f t="shared" si="112"/>
        <v>0</v>
      </c>
      <c r="P118" s="16">
        <f t="shared" si="112"/>
        <v>0</v>
      </c>
      <c r="Q118" s="16">
        <f t="shared" si="112"/>
        <v>0</v>
      </c>
      <c r="R118" s="16">
        <f t="shared" si="112"/>
        <v>0</v>
      </c>
      <c r="S118" s="16">
        <f t="shared" si="112"/>
        <v>0</v>
      </c>
      <c r="T118" s="16">
        <f t="shared" si="112"/>
        <v>0</v>
      </c>
      <c r="U118" s="16">
        <f t="shared" si="112"/>
        <v>0</v>
      </c>
      <c r="V118" s="16">
        <f t="shared" si="112"/>
        <v>0</v>
      </c>
      <c r="W118" s="16">
        <f t="shared" si="112"/>
        <v>0</v>
      </c>
      <c r="X118" s="16">
        <f t="shared" si="112"/>
        <v>0</v>
      </c>
      <c r="Y118" s="16">
        <f t="shared" si="112"/>
        <v>0</v>
      </c>
      <c r="Z118" s="16">
        <f t="shared" si="112"/>
        <v>0</v>
      </c>
      <c r="AA118" s="16">
        <f t="shared" si="112"/>
        <v>0</v>
      </c>
      <c r="AB118" s="16">
        <f t="shared" si="112"/>
        <v>0</v>
      </c>
      <c r="AC118" s="16">
        <f t="shared" si="112"/>
        <v>0</v>
      </c>
      <c r="AD118" s="16">
        <f t="shared" si="112"/>
        <v>0</v>
      </c>
      <c r="AE118" s="16">
        <f t="shared" si="112"/>
        <v>0</v>
      </c>
      <c r="AF118" s="16">
        <f t="shared" si="112"/>
        <v>0</v>
      </c>
      <c r="AG118" s="16">
        <f t="shared" si="112"/>
        <v>0</v>
      </c>
      <c r="AH118" s="16">
        <f t="shared" si="112"/>
        <v>0</v>
      </c>
      <c r="AI118" s="16">
        <f t="shared" si="112"/>
        <v>0</v>
      </c>
      <c r="AJ118" s="16">
        <f t="shared" si="112"/>
        <v>0</v>
      </c>
      <c r="AK118" s="16">
        <f t="shared" si="112"/>
        <v>0</v>
      </c>
      <c r="AL118" s="16">
        <f t="shared" si="112"/>
        <v>0</v>
      </c>
      <c r="AM118" s="16">
        <f t="shared" si="112"/>
        <v>0</v>
      </c>
      <c r="AN118" s="16">
        <f t="shared" si="112"/>
        <v>0</v>
      </c>
      <c r="AO118" s="16">
        <f t="shared" si="112"/>
        <v>0</v>
      </c>
      <c r="AP118" s="16">
        <f t="shared" si="112"/>
        <v>0</v>
      </c>
      <c r="AQ118" s="16">
        <f t="shared" si="112"/>
        <v>0</v>
      </c>
      <c r="AR118" s="16">
        <f t="shared" si="112"/>
        <v>0</v>
      </c>
    </row>
    <row r="119" spans="1:44" s="15" customFormat="1" x14ac:dyDescent="0.15">
      <c r="A119" s="19" t="s">
        <v>918</v>
      </c>
      <c r="B119" s="16">
        <f t="shared" ref="B119:AR119" si="113">B$123*$I10/$I$14</f>
        <v>0</v>
      </c>
      <c r="C119" s="16">
        <f t="shared" si="113"/>
        <v>0</v>
      </c>
      <c r="D119" s="16">
        <f t="shared" si="113"/>
        <v>0</v>
      </c>
      <c r="E119" s="16">
        <f t="shared" si="113"/>
        <v>0</v>
      </c>
      <c r="F119" s="16">
        <f t="shared" si="113"/>
        <v>0</v>
      </c>
      <c r="G119" s="16">
        <f t="shared" si="113"/>
        <v>0</v>
      </c>
      <c r="H119" s="16">
        <f t="shared" si="113"/>
        <v>0</v>
      </c>
      <c r="I119" s="16">
        <f t="shared" si="113"/>
        <v>0</v>
      </c>
      <c r="J119" s="16">
        <f t="shared" si="113"/>
        <v>0</v>
      </c>
      <c r="K119" s="16">
        <f t="shared" si="113"/>
        <v>0</v>
      </c>
      <c r="L119" s="16">
        <f t="shared" si="113"/>
        <v>0</v>
      </c>
      <c r="M119" s="16">
        <f t="shared" si="113"/>
        <v>0</v>
      </c>
      <c r="N119" s="16">
        <f t="shared" si="113"/>
        <v>0</v>
      </c>
      <c r="O119" s="16">
        <f t="shared" si="113"/>
        <v>0</v>
      </c>
      <c r="P119" s="16">
        <f t="shared" si="113"/>
        <v>0</v>
      </c>
      <c r="Q119" s="16">
        <f t="shared" si="113"/>
        <v>0</v>
      </c>
      <c r="R119" s="16">
        <f t="shared" si="113"/>
        <v>0</v>
      </c>
      <c r="S119" s="16">
        <f t="shared" si="113"/>
        <v>0</v>
      </c>
      <c r="T119" s="16">
        <f t="shared" si="113"/>
        <v>0</v>
      </c>
      <c r="U119" s="16">
        <f t="shared" si="113"/>
        <v>0</v>
      </c>
      <c r="V119" s="16">
        <f t="shared" si="113"/>
        <v>0</v>
      </c>
      <c r="W119" s="16">
        <f t="shared" si="113"/>
        <v>0</v>
      </c>
      <c r="X119" s="16">
        <f t="shared" si="113"/>
        <v>0</v>
      </c>
      <c r="Y119" s="16">
        <f t="shared" si="113"/>
        <v>0</v>
      </c>
      <c r="Z119" s="16">
        <f t="shared" si="113"/>
        <v>0</v>
      </c>
      <c r="AA119" s="16">
        <f t="shared" si="113"/>
        <v>0</v>
      </c>
      <c r="AB119" s="16">
        <f t="shared" si="113"/>
        <v>0</v>
      </c>
      <c r="AC119" s="16">
        <f t="shared" si="113"/>
        <v>0</v>
      </c>
      <c r="AD119" s="16">
        <f t="shared" si="113"/>
        <v>0</v>
      </c>
      <c r="AE119" s="16">
        <f t="shared" si="113"/>
        <v>0</v>
      </c>
      <c r="AF119" s="16">
        <f t="shared" si="113"/>
        <v>0</v>
      </c>
      <c r="AG119" s="16">
        <f t="shared" si="113"/>
        <v>0</v>
      </c>
      <c r="AH119" s="16">
        <f t="shared" si="113"/>
        <v>0</v>
      </c>
      <c r="AI119" s="16">
        <f t="shared" si="113"/>
        <v>0</v>
      </c>
      <c r="AJ119" s="16">
        <f t="shared" si="113"/>
        <v>0</v>
      </c>
      <c r="AK119" s="16">
        <f t="shared" si="113"/>
        <v>0</v>
      </c>
      <c r="AL119" s="16">
        <f t="shared" si="113"/>
        <v>0</v>
      </c>
      <c r="AM119" s="16">
        <f t="shared" si="113"/>
        <v>0</v>
      </c>
      <c r="AN119" s="16">
        <f t="shared" si="113"/>
        <v>0</v>
      </c>
      <c r="AO119" s="16">
        <f t="shared" si="113"/>
        <v>0</v>
      </c>
      <c r="AP119" s="16">
        <f t="shared" si="113"/>
        <v>0</v>
      </c>
      <c r="AQ119" s="16">
        <f t="shared" si="113"/>
        <v>0</v>
      </c>
      <c r="AR119" s="16">
        <f t="shared" si="113"/>
        <v>0</v>
      </c>
    </row>
    <row r="120" spans="1:44" s="15" customFormat="1" x14ac:dyDescent="0.15">
      <c r="A120" s="19" t="s">
        <v>919</v>
      </c>
      <c r="B120" s="16">
        <f t="shared" ref="B120:AR120" si="114">B$123*$I11/$I$14</f>
        <v>0</v>
      </c>
      <c r="C120" s="16">
        <f t="shared" si="114"/>
        <v>0</v>
      </c>
      <c r="D120" s="16">
        <f t="shared" si="114"/>
        <v>0</v>
      </c>
      <c r="E120" s="16">
        <f t="shared" si="114"/>
        <v>0</v>
      </c>
      <c r="F120" s="16">
        <f t="shared" si="114"/>
        <v>0</v>
      </c>
      <c r="G120" s="16">
        <f t="shared" si="114"/>
        <v>0</v>
      </c>
      <c r="H120" s="16">
        <f t="shared" si="114"/>
        <v>0</v>
      </c>
      <c r="I120" s="16">
        <f t="shared" si="114"/>
        <v>0</v>
      </c>
      <c r="J120" s="16">
        <f t="shared" si="114"/>
        <v>0</v>
      </c>
      <c r="K120" s="16">
        <f t="shared" si="114"/>
        <v>0</v>
      </c>
      <c r="L120" s="16">
        <f t="shared" si="114"/>
        <v>0</v>
      </c>
      <c r="M120" s="16">
        <f t="shared" si="114"/>
        <v>0</v>
      </c>
      <c r="N120" s="16">
        <f t="shared" si="114"/>
        <v>0</v>
      </c>
      <c r="O120" s="16">
        <f t="shared" si="114"/>
        <v>0</v>
      </c>
      <c r="P120" s="16">
        <f t="shared" si="114"/>
        <v>0</v>
      </c>
      <c r="Q120" s="16">
        <f t="shared" si="114"/>
        <v>0</v>
      </c>
      <c r="R120" s="16">
        <f t="shared" si="114"/>
        <v>0</v>
      </c>
      <c r="S120" s="16">
        <f t="shared" si="114"/>
        <v>0</v>
      </c>
      <c r="T120" s="16">
        <f t="shared" si="114"/>
        <v>0</v>
      </c>
      <c r="U120" s="16">
        <f t="shared" si="114"/>
        <v>0</v>
      </c>
      <c r="V120" s="16">
        <f t="shared" si="114"/>
        <v>0</v>
      </c>
      <c r="W120" s="16">
        <f t="shared" si="114"/>
        <v>0</v>
      </c>
      <c r="X120" s="16">
        <f t="shared" si="114"/>
        <v>0</v>
      </c>
      <c r="Y120" s="16">
        <f t="shared" si="114"/>
        <v>0</v>
      </c>
      <c r="Z120" s="16">
        <f t="shared" si="114"/>
        <v>0</v>
      </c>
      <c r="AA120" s="16">
        <f t="shared" si="114"/>
        <v>0</v>
      </c>
      <c r="AB120" s="16">
        <f t="shared" si="114"/>
        <v>0</v>
      </c>
      <c r="AC120" s="16">
        <f t="shared" si="114"/>
        <v>0</v>
      </c>
      <c r="AD120" s="16">
        <f t="shared" si="114"/>
        <v>0</v>
      </c>
      <c r="AE120" s="16">
        <f t="shared" si="114"/>
        <v>0</v>
      </c>
      <c r="AF120" s="16">
        <f t="shared" si="114"/>
        <v>0</v>
      </c>
      <c r="AG120" s="16">
        <f t="shared" si="114"/>
        <v>0</v>
      </c>
      <c r="AH120" s="16">
        <f t="shared" si="114"/>
        <v>0</v>
      </c>
      <c r="AI120" s="16">
        <f t="shared" si="114"/>
        <v>0</v>
      </c>
      <c r="AJ120" s="16">
        <f t="shared" si="114"/>
        <v>0</v>
      </c>
      <c r="AK120" s="16">
        <f t="shared" si="114"/>
        <v>0</v>
      </c>
      <c r="AL120" s="16">
        <f t="shared" si="114"/>
        <v>0</v>
      </c>
      <c r="AM120" s="16">
        <f t="shared" si="114"/>
        <v>0</v>
      </c>
      <c r="AN120" s="16">
        <f t="shared" si="114"/>
        <v>0</v>
      </c>
      <c r="AO120" s="16">
        <f t="shared" si="114"/>
        <v>0</v>
      </c>
      <c r="AP120" s="16">
        <f t="shared" si="114"/>
        <v>0</v>
      </c>
      <c r="AQ120" s="16">
        <f t="shared" si="114"/>
        <v>0</v>
      </c>
      <c r="AR120" s="16">
        <f t="shared" si="114"/>
        <v>0</v>
      </c>
    </row>
    <row r="121" spans="1:44" s="15" customFormat="1" x14ac:dyDescent="0.15">
      <c r="A121" s="19" t="s">
        <v>920</v>
      </c>
      <c r="B121" s="16">
        <f t="shared" ref="B121:AR121" si="115">B$123*$I12/$I$14</f>
        <v>0</v>
      </c>
      <c r="C121" s="16">
        <f t="shared" si="115"/>
        <v>0</v>
      </c>
      <c r="D121" s="16">
        <f t="shared" si="115"/>
        <v>0</v>
      </c>
      <c r="E121" s="16">
        <f t="shared" si="115"/>
        <v>0</v>
      </c>
      <c r="F121" s="16">
        <f t="shared" si="115"/>
        <v>0</v>
      </c>
      <c r="G121" s="16">
        <f t="shared" si="115"/>
        <v>0</v>
      </c>
      <c r="H121" s="16">
        <f t="shared" si="115"/>
        <v>0</v>
      </c>
      <c r="I121" s="16">
        <f t="shared" si="115"/>
        <v>0</v>
      </c>
      <c r="J121" s="16">
        <f t="shared" si="115"/>
        <v>0</v>
      </c>
      <c r="K121" s="16">
        <f t="shared" si="115"/>
        <v>0</v>
      </c>
      <c r="L121" s="16">
        <f t="shared" si="115"/>
        <v>0</v>
      </c>
      <c r="M121" s="16">
        <f t="shared" si="115"/>
        <v>0</v>
      </c>
      <c r="N121" s="16">
        <f t="shared" si="115"/>
        <v>0</v>
      </c>
      <c r="O121" s="16">
        <f t="shared" si="115"/>
        <v>0</v>
      </c>
      <c r="P121" s="16">
        <f t="shared" si="115"/>
        <v>0</v>
      </c>
      <c r="Q121" s="16">
        <f t="shared" si="115"/>
        <v>0</v>
      </c>
      <c r="R121" s="16">
        <f t="shared" si="115"/>
        <v>0</v>
      </c>
      <c r="S121" s="16">
        <f t="shared" si="115"/>
        <v>0</v>
      </c>
      <c r="T121" s="16">
        <f t="shared" si="115"/>
        <v>0</v>
      </c>
      <c r="U121" s="16">
        <f t="shared" si="115"/>
        <v>0</v>
      </c>
      <c r="V121" s="16">
        <f t="shared" si="115"/>
        <v>0</v>
      </c>
      <c r="W121" s="16">
        <f t="shared" si="115"/>
        <v>0</v>
      </c>
      <c r="X121" s="16">
        <f t="shared" si="115"/>
        <v>0</v>
      </c>
      <c r="Y121" s="16">
        <f t="shared" si="115"/>
        <v>0</v>
      </c>
      <c r="Z121" s="16">
        <f t="shared" si="115"/>
        <v>0</v>
      </c>
      <c r="AA121" s="16">
        <f t="shared" si="115"/>
        <v>0</v>
      </c>
      <c r="AB121" s="16">
        <f t="shared" si="115"/>
        <v>0</v>
      </c>
      <c r="AC121" s="16">
        <f t="shared" si="115"/>
        <v>0</v>
      </c>
      <c r="AD121" s="16">
        <f t="shared" si="115"/>
        <v>0</v>
      </c>
      <c r="AE121" s="16">
        <f t="shared" si="115"/>
        <v>0</v>
      </c>
      <c r="AF121" s="16">
        <f t="shared" si="115"/>
        <v>0</v>
      </c>
      <c r="AG121" s="16">
        <f t="shared" si="115"/>
        <v>0</v>
      </c>
      <c r="AH121" s="16">
        <f t="shared" si="115"/>
        <v>0</v>
      </c>
      <c r="AI121" s="16">
        <f t="shared" si="115"/>
        <v>0</v>
      </c>
      <c r="AJ121" s="16">
        <f t="shared" si="115"/>
        <v>0</v>
      </c>
      <c r="AK121" s="16">
        <f t="shared" si="115"/>
        <v>0</v>
      </c>
      <c r="AL121" s="16">
        <f t="shared" si="115"/>
        <v>0</v>
      </c>
      <c r="AM121" s="16">
        <f t="shared" si="115"/>
        <v>0</v>
      </c>
      <c r="AN121" s="16">
        <f t="shared" si="115"/>
        <v>0</v>
      </c>
      <c r="AO121" s="16">
        <f t="shared" si="115"/>
        <v>0</v>
      </c>
      <c r="AP121" s="16">
        <f t="shared" si="115"/>
        <v>0</v>
      </c>
      <c r="AQ121" s="16">
        <f t="shared" si="115"/>
        <v>0</v>
      </c>
      <c r="AR121" s="16">
        <f t="shared" si="115"/>
        <v>0</v>
      </c>
    </row>
    <row r="122" spans="1:44" s="15" customFormat="1" x14ac:dyDescent="0.15">
      <c r="A122" s="19" t="s">
        <v>921</v>
      </c>
      <c r="B122" s="16">
        <f t="shared" ref="B122:AR122" si="116">B$123*$I13/$I$14</f>
        <v>0</v>
      </c>
      <c r="C122" s="16">
        <f t="shared" si="116"/>
        <v>0</v>
      </c>
      <c r="D122" s="16">
        <f t="shared" si="116"/>
        <v>0</v>
      </c>
      <c r="E122" s="16">
        <f t="shared" si="116"/>
        <v>0</v>
      </c>
      <c r="F122" s="16">
        <f t="shared" si="116"/>
        <v>0</v>
      </c>
      <c r="G122" s="16">
        <f t="shared" si="116"/>
        <v>0</v>
      </c>
      <c r="H122" s="16">
        <f t="shared" si="116"/>
        <v>0</v>
      </c>
      <c r="I122" s="16">
        <f t="shared" si="116"/>
        <v>0</v>
      </c>
      <c r="J122" s="16">
        <f t="shared" si="116"/>
        <v>0</v>
      </c>
      <c r="K122" s="16">
        <f t="shared" si="116"/>
        <v>0</v>
      </c>
      <c r="L122" s="16">
        <f t="shared" si="116"/>
        <v>0</v>
      </c>
      <c r="M122" s="16">
        <f t="shared" si="116"/>
        <v>0</v>
      </c>
      <c r="N122" s="16">
        <f t="shared" si="116"/>
        <v>0</v>
      </c>
      <c r="O122" s="16">
        <f t="shared" si="116"/>
        <v>0</v>
      </c>
      <c r="P122" s="16">
        <f t="shared" si="116"/>
        <v>0</v>
      </c>
      <c r="Q122" s="16">
        <f t="shared" si="116"/>
        <v>0</v>
      </c>
      <c r="R122" s="16">
        <f t="shared" si="116"/>
        <v>0</v>
      </c>
      <c r="S122" s="16">
        <f t="shared" si="116"/>
        <v>0</v>
      </c>
      <c r="T122" s="16">
        <f t="shared" si="116"/>
        <v>0</v>
      </c>
      <c r="U122" s="16">
        <f t="shared" si="116"/>
        <v>0</v>
      </c>
      <c r="V122" s="16">
        <f t="shared" si="116"/>
        <v>0</v>
      </c>
      <c r="W122" s="16">
        <f t="shared" si="116"/>
        <v>0</v>
      </c>
      <c r="X122" s="16">
        <f t="shared" si="116"/>
        <v>0</v>
      </c>
      <c r="Y122" s="16">
        <f t="shared" si="116"/>
        <v>0</v>
      </c>
      <c r="Z122" s="16">
        <f t="shared" si="116"/>
        <v>0</v>
      </c>
      <c r="AA122" s="16">
        <f t="shared" si="116"/>
        <v>0</v>
      </c>
      <c r="AB122" s="16">
        <f t="shared" si="116"/>
        <v>0</v>
      </c>
      <c r="AC122" s="16">
        <f t="shared" si="116"/>
        <v>0</v>
      </c>
      <c r="AD122" s="16">
        <f t="shared" si="116"/>
        <v>0</v>
      </c>
      <c r="AE122" s="16">
        <f t="shared" si="116"/>
        <v>0</v>
      </c>
      <c r="AF122" s="16">
        <f t="shared" si="116"/>
        <v>0</v>
      </c>
      <c r="AG122" s="16">
        <f t="shared" si="116"/>
        <v>0</v>
      </c>
      <c r="AH122" s="16">
        <f t="shared" si="116"/>
        <v>0</v>
      </c>
      <c r="AI122" s="16">
        <f t="shared" si="116"/>
        <v>0</v>
      </c>
      <c r="AJ122" s="16">
        <f t="shared" si="116"/>
        <v>0</v>
      </c>
      <c r="AK122" s="16">
        <f t="shared" si="116"/>
        <v>0</v>
      </c>
      <c r="AL122" s="16">
        <f t="shared" si="116"/>
        <v>0</v>
      </c>
      <c r="AM122" s="16">
        <f t="shared" si="116"/>
        <v>0</v>
      </c>
      <c r="AN122" s="16">
        <f t="shared" si="116"/>
        <v>0</v>
      </c>
      <c r="AO122" s="16">
        <f t="shared" si="116"/>
        <v>0</v>
      </c>
      <c r="AP122" s="16">
        <f t="shared" si="116"/>
        <v>0</v>
      </c>
      <c r="AQ122" s="16">
        <f t="shared" si="116"/>
        <v>0</v>
      </c>
      <c r="AR122" s="16">
        <f t="shared" si="116"/>
        <v>0</v>
      </c>
    </row>
    <row r="123" spans="1:44" s="17" customFormat="1" x14ac:dyDescent="0.15">
      <c r="A123" s="19" t="s">
        <v>911</v>
      </c>
      <c r="B123" s="17">
        <f>BAU建筑总能耗计算!B$5*$I$16</f>
        <v>129.08955601785701</v>
      </c>
      <c r="C123" s="17">
        <f>BAU建筑总能耗计算!C$5*$I$16</f>
        <v>128.17302017013026</v>
      </c>
      <c r="D123" s="17">
        <f>BAU建筑总能耗计算!D$5*$I$16</f>
        <v>124.54405253261021</v>
      </c>
      <c r="E123" s="17">
        <f>BAU建筑总能耗计算!E$5*$I$16</f>
        <v>122.22728010622467</v>
      </c>
      <c r="F123" s="17">
        <f>BAU建筑总能耗计算!F$5*$I$16</f>
        <v>121.85897449343825</v>
      </c>
      <c r="G123" s="17">
        <f>BAU建筑总能耗计算!G$5*$I$16</f>
        <v>121.43666329417687</v>
      </c>
      <c r="H123" s="17">
        <f>BAU建筑总能耗计算!H$5*$I$16</f>
        <v>120.96132362938208</v>
      </c>
      <c r="I123" s="17">
        <f>BAU建筑总能耗计算!I$5*$I$16</f>
        <v>120.43400635598533</v>
      </c>
      <c r="J123" s="17">
        <f>BAU建筑总能耗计算!J$5*$I$16</f>
        <v>119.85582751310709</v>
      </c>
      <c r="K123" s="17">
        <f>BAU建筑总能耗计算!K$5*$I$16</f>
        <v>119.22797416660678</v>
      </c>
      <c r="L123" s="17">
        <f>BAU建筑总能耗计算!L$5*$I$16</f>
        <v>118.55169573827489</v>
      </c>
      <c r="M123" s="17">
        <f>BAU建筑总能耗计算!M$5*$I$16</f>
        <v>117.8283058106296</v>
      </c>
      <c r="N123" s="17">
        <f>BAU建筑总能耗计算!N$5*$I$16</f>
        <v>117.05917894424692</v>
      </c>
      <c r="O123" s="17">
        <f>BAU建筑总能耗计算!O$5*$I$16</f>
        <v>116.24574676200599</v>
      </c>
      <c r="P123" s="17">
        <f>BAU建筑总能耗计算!P$5*$I$16</f>
        <v>115.38949933520591</v>
      </c>
      <c r="Q123" s="17">
        <f>BAU建筑总能耗计算!Q$5*$I$16</f>
        <v>114.49197717584846</v>
      </c>
      <c r="R123" s="17">
        <f>BAU建筑总能耗计算!R$5*$I$16</f>
        <v>113.57544132812166</v>
      </c>
      <c r="S123" s="17">
        <f>BAU建筑总能耗计算!S$5*$I$16</f>
        <v>112.62107784658342</v>
      </c>
      <c r="T123" s="17">
        <f>BAU建筑总能耗计算!T$5*$I$16</f>
        <v>111.5970872154388</v>
      </c>
      <c r="U123" s="17">
        <f>BAU建筑总能耗计算!U$5*$I$16</f>
        <v>110.50655015951467</v>
      </c>
      <c r="V123" s="17">
        <f>BAU建筑总能耗计算!V$5*$I$16</f>
        <v>109.35262405908247</v>
      </c>
      <c r="W123" s="17">
        <f>BAU建筑总能耗计算!W$5*$I$16</f>
        <v>108.13853037316328</v>
      </c>
      <c r="X123" s="17">
        <f>BAU建筑总能耗计算!X$5*$I$16</f>
        <v>106.86755419021141</v>
      </c>
      <c r="Y123" s="17">
        <f>BAU建筑总能耗计算!Y$5*$I$16</f>
        <v>105.54303500831102</v>
      </c>
      <c r="Z123" s="17">
        <f>BAU建筑总能耗计算!Z$5*$I$16</f>
        <v>104.16835966640538</v>
      </c>
      <c r="AA123" s="17">
        <f>BAU建筑总能耗计算!AA$5*$I$16</f>
        <v>102.74695131686452</v>
      </c>
      <c r="AB123" s="17">
        <f>BAU建筑总能耗计算!AB$5*$I$16</f>
        <v>101.28226380102937</v>
      </c>
      <c r="AC123" s="17">
        <f>BAU建筑总能耗计算!AC$5*$I$16</f>
        <v>99.777776225461608</v>
      </c>
      <c r="AD123" s="17">
        <f>BAU建筑总能耗计算!AD$5*$I$16</f>
        <v>98.236977422725914</v>
      </c>
      <c r="AE123" s="17">
        <f>BAU建筑总能耗计算!AE$5*$I$16</f>
        <v>96.663358395647663</v>
      </c>
      <c r="AF123" s="17">
        <f>BAU建筑总能耗计算!AF$5*$I$16</f>
        <v>95.060409039124039</v>
      </c>
      <c r="AG123" s="17">
        <f>BAU建筑总能耗计算!AG$5*$I$16</f>
        <v>93.431597880246869</v>
      </c>
      <c r="AH123" s="17">
        <f>BAU建筑总能耗计算!AH$5*$I$16</f>
        <v>91.780366797816967</v>
      </c>
      <c r="AI123" s="17">
        <f>BAU建筑总能耗计算!AI$5*$I$16</f>
        <v>90.110121864483801</v>
      </c>
      <c r="AJ123" s="17">
        <f>BAU建筑总能耗计算!AJ$5*$I$16</f>
        <v>88.424214357260482</v>
      </c>
      <c r="AK123" s="17">
        <f>BAU建筑总能耗计算!AK$5*$I$16</f>
        <v>86.725938764612295</v>
      </c>
      <c r="AL123" s="17">
        <f>BAU建筑总能耗计算!AL$5*$I$16</f>
        <v>85.018508645515283</v>
      </c>
      <c r="AM123" s="17">
        <f>BAU建筑总能耗计算!AM$5*$I$16</f>
        <v>83.305054719801134</v>
      </c>
      <c r="AN123" s="17">
        <f>BAU建筑总能耗计算!AN$5*$I$16</f>
        <v>81.58860422981823</v>
      </c>
      <c r="AO123" s="17">
        <f>BAU建筑总能耗计算!AO$5*$I$16</f>
        <v>79.872068246917607</v>
      </c>
      <c r="AP123" s="17">
        <f>BAU建筑总能耗计算!AP$5*$I$16</f>
        <v>78.158227333988918</v>
      </c>
      <c r="AQ123" s="17">
        <f>BAU建筑总能耗计算!AQ$5*$I$16</f>
        <v>76.449716623861477</v>
      </c>
      <c r="AR123" s="17">
        <f>BAU建筑总能耗计算!AR$5*$I$16</f>
        <v>74.74901203017518</v>
      </c>
    </row>
    <row r="124" spans="1:44" s="15" customFormat="1" x14ac:dyDescent="0.15"/>
    <row r="125" spans="1:44" s="19" customFormat="1" x14ac:dyDescent="0.15">
      <c r="A125" s="18" t="s">
        <v>29</v>
      </c>
      <c r="B125" s="19">
        <v>2018</v>
      </c>
      <c r="C125" s="19">
        <v>2019</v>
      </c>
      <c r="D125" s="19">
        <v>2020</v>
      </c>
      <c r="E125" s="19">
        <v>2021</v>
      </c>
      <c r="F125" s="19">
        <v>2022</v>
      </c>
      <c r="G125" s="19">
        <v>2023</v>
      </c>
      <c r="H125" s="19">
        <v>2024</v>
      </c>
      <c r="I125" s="19">
        <v>2025</v>
      </c>
      <c r="J125" s="19">
        <v>2026</v>
      </c>
      <c r="K125" s="19">
        <v>2027</v>
      </c>
      <c r="L125" s="19">
        <v>2028</v>
      </c>
      <c r="M125" s="19">
        <v>2029</v>
      </c>
      <c r="N125" s="19">
        <v>2030</v>
      </c>
      <c r="O125" s="19">
        <v>2031</v>
      </c>
      <c r="P125" s="19">
        <v>2032</v>
      </c>
      <c r="Q125" s="19">
        <v>2033</v>
      </c>
      <c r="R125" s="19">
        <v>2034</v>
      </c>
      <c r="S125" s="19">
        <v>2035</v>
      </c>
      <c r="T125" s="19">
        <v>2036</v>
      </c>
      <c r="U125" s="19">
        <v>2037</v>
      </c>
      <c r="V125" s="19">
        <v>2038</v>
      </c>
      <c r="W125" s="19">
        <v>2039</v>
      </c>
      <c r="X125" s="19">
        <v>2040</v>
      </c>
      <c r="Y125" s="19">
        <v>2041</v>
      </c>
      <c r="Z125" s="19">
        <v>2042</v>
      </c>
      <c r="AA125" s="19">
        <v>2043</v>
      </c>
      <c r="AB125" s="19">
        <v>2044</v>
      </c>
      <c r="AC125" s="19">
        <v>2045</v>
      </c>
      <c r="AD125" s="19">
        <v>2046</v>
      </c>
      <c r="AE125" s="19">
        <v>2047</v>
      </c>
      <c r="AF125" s="19">
        <v>2048</v>
      </c>
      <c r="AG125" s="19">
        <v>2049</v>
      </c>
      <c r="AH125" s="19">
        <v>2050</v>
      </c>
      <c r="AI125" s="19">
        <v>2051</v>
      </c>
      <c r="AJ125" s="19">
        <v>2052</v>
      </c>
      <c r="AK125" s="19">
        <v>2053</v>
      </c>
      <c r="AL125" s="19">
        <v>2054</v>
      </c>
      <c r="AM125" s="19">
        <v>2055</v>
      </c>
      <c r="AN125" s="19">
        <v>2056</v>
      </c>
      <c r="AO125" s="19">
        <v>2057</v>
      </c>
      <c r="AP125" s="19">
        <v>2058</v>
      </c>
      <c r="AQ125" s="19">
        <v>2059</v>
      </c>
      <c r="AR125" s="19">
        <v>2060</v>
      </c>
    </row>
    <row r="126" spans="1:44" s="15" customFormat="1" x14ac:dyDescent="0.15">
      <c r="A126" s="19" t="s">
        <v>912</v>
      </c>
      <c r="B126" s="15">
        <f t="shared" ref="B126:AR126" si="117">IFERROR(B$136*$J4/$J$14,0)</f>
        <v>0</v>
      </c>
      <c r="C126" s="15">
        <f t="shared" si="117"/>
        <v>0</v>
      </c>
      <c r="D126" s="15">
        <f t="shared" si="117"/>
        <v>0</v>
      </c>
      <c r="E126" s="15">
        <f t="shared" si="117"/>
        <v>0</v>
      </c>
      <c r="F126" s="15">
        <f t="shared" si="117"/>
        <v>0</v>
      </c>
      <c r="G126" s="15">
        <f t="shared" si="117"/>
        <v>0</v>
      </c>
      <c r="H126" s="15">
        <f t="shared" si="117"/>
        <v>0</v>
      </c>
      <c r="I126" s="15">
        <f t="shared" si="117"/>
        <v>0</v>
      </c>
      <c r="J126" s="15">
        <f t="shared" si="117"/>
        <v>0</v>
      </c>
      <c r="K126" s="15">
        <f t="shared" si="117"/>
        <v>0</v>
      </c>
      <c r="L126" s="15">
        <f t="shared" si="117"/>
        <v>0</v>
      </c>
      <c r="M126" s="15">
        <f t="shared" si="117"/>
        <v>0</v>
      </c>
      <c r="N126" s="15">
        <f t="shared" si="117"/>
        <v>0</v>
      </c>
      <c r="O126" s="15">
        <f t="shared" si="117"/>
        <v>0</v>
      </c>
      <c r="P126" s="15">
        <f t="shared" si="117"/>
        <v>0</v>
      </c>
      <c r="Q126" s="15">
        <f t="shared" si="117"/>
        <v>0</v>
      </c>
      <c r="R126" s="15">
        <f t="shared" si="117"/>
        <v>0</v>
      </c>
      <c r="S126" s="15">
        <f t="shared" si="117"/>
        <v>0</v>
      </c>
      <c r="T126" s="15">
        <f t="shared" si="117"/>
        <v>0</v>
      </c>
      <c r="U126" s="15">
        <f t="shared" si="117"/>
        <v>0</v>
      </c>
      <c r="V126" s="15">
        <f t="shared" si="117"/>
        <v>0</v>
      </c>
      <c r="W126" s="15">
        <f t="shared" si="117"/>
        <v>0</v>
      </c>
      <c r="X126" s="15">
        <f t="shared" si="117"/>
        <v>0</v>
      </c>
      <c r="Y126" s="15">
        <f t="shared" si="117"/>
        <v>0</v>
      </c>
      <c r="Z126" s="15">
        <f t="shared" si="117"/>
        <v>0</v>
      </c>
      <c r="AA126" s="15">
        <f t="shared" si="117"/>
        <v>0</v>
      </c>
      <c r="AB126" s="15">
        <f t="shared" si="117"/>
        <v>0</v>
      </c>
      <c r="AC126" s="15">
        <f t="shared" si="117"/>
        <v>0</v>
      </c>
      <c r="AD126" s="15">
        <f t="shared" si="117"/>
        <v>0</v>
      </c>
      <c r="AE126" s="15">
        <f t="shared" si="117"/>
        <v>0</v>
      </c>
      <c r="AF126" s="15">
        <f t="shared" si="117"/>
        <v>0</v>
      </c>
      <c r="AG126" s="15">
        <f t="shared" si="117"/>
        <v>0</v>
      </c>
      <c r="AH126" s="15">
        <f t="shared" si="117"/>
        <v>0</v>
      </c>
      <c r="AI126" s="15">
        <f t="shared" si="117"/>
        <v>0</v>
      </c>
      <c r="AJ126" s="15">
        <f t="shared" si="117"/>
        <v>0</v>
      </c>
      <c r="AK126" s="15">
        <f t="shared" si="117"/>
        <v>0</v>
      </c>
      <c r="AL126" s="15">
        <f t="shared" si="117"/>
        <v>0</v>
      </c>
      <c r="AM126" s="15">
        <f t="shared" si="117"/>
        <v>0</v>
      </c>
      <c r="AN126" s="15">
        <f t="shared" si="117"/>
        <v>0</v>
      </c>
      <c r="AO126" s="15">
        <f t="shared" si="117"/>
        <v>0</v>
      </c>
      <c r="AP126" s="15">
        <f t="shared" si="117"/>
        <v>0</v>
      </c>
      <c r="AQ126" s="15">
        <f t="shared" si="117"/>
        <v>0</v>
      </c>
      <c r="AR126" s="15">
        <f t="shared" si="117"/>
        <v>0</v>
      </c>
    </row>
    <row r="127" spans="1:44" s="15" customFormat="1" x14ac:dyDescent="0.15">
      <c r="A127" s="19" t="s">
        <v>913</v>
      </c>
      <c r="B127" s="15">
        <f t="shared" ref="B127:AR127" si="118">IFERROR(B$136*$J5/$J$14,0)</f>
        <v>0</v>
      </c>
      <c r="C127" s="15">
        <f t="shared" si="118"/>
        <v>0</v>
      </c>
      <c r="D127" s="15">
        <f t="shared" si="118"/>
        <v>0</v>
      </c>
      <c r="E127" s="15">
        <f t="shared" si="118"/>
        <v>0</v>
      </c>
      <c r="F127" s="15">
        <f t="shared" si="118"/>
        <v>0</v>
      </c>
      <c r="G127" s="15">
        <f t="shared" si="118"/>
        <v>0</v>
      </c>
      <c r="H127" s="15">
        <f t="shared" si="118"/>
        <v>0</v>
      </c>
      <c r="I127" s="15">
        <f t="shared" si="118"/>
        <v>0</v>
      </c>
      <c r="J127" s="15">
        <f t="shared" si="118"/>
        <v>0</v>
      </c>
      <c r="K127" s="15">
        <f t="shared" si="118"/>
        <v>0</v>
      </c>
      <c r="L127" s="15">
        <f t="shared" si="118"/>
        <v>0</v>
      </c>
      <c r="M127" s="15">
        <f t="shared" si="118"/>
        <v>0</v>
      </c>
      <c r="N127" s="15">
        <f t="shared" si="118"/>
        <v>0</v>
      </c>
      <c r="O127" s="15">
        <f t="shared" si="118"/>
        <v>0</v>
      </c>
      <c r="P127" s="15">
        <f t="shared" si="118"/>
        <v>0</v>
      </c>
      <c r="Q127" s="15">
        <f t="shared" si="118"/>
        <v>0</v>
      </c>
      <c r="R127" s="15">
        <f t="shared" si="118"/>
        <v>0</v>
      </c>
      <c r="S127" s="15">
        <f t="shared" si="118"/>
        <v>0</v>
      </c>
      <c r="T127" s="15">
        <f t="shared" si="118"/>
        <v>0</v>
      </c>
      <c r="U127" s="15">
        <f t="shared" si="118"/>
        <v>0</v>
      </c>
      <c r="V127" s="15">
        <f t="shared" si="118"/>
        <v>0</v>
      </c>
      <c r="W127" s="15">
        <f t="shared" si="118"/>
        <v>0</v>
      </c>
      <c r="X127" s="15">
        <f t="shared" si="118"/>
        <v>0</v>
      </c>
      <c r="Y127" s="15">
        <f t="shared" si="118"/>
        <v>0</v>
      </c>
      <c r="Z127" s="15">
        <f t="shared" si="118"/>
        <v>0</v>
      </c>
      <c r="AA127" s="15">
        <f t="shared" si="118"/>
        <v>0</v>
      </c>
      <c r="AB127" s="15">
        <f t="shared" si="118"/>
        <v>0</v>
      </c>
      <c r="AC127" s="15">
        <f t="shared" si="118"/>
        <v>0</v>
      </c>
      <c r="AD127" s="15">
        <f t="shared" si="118"/>
        <v>0</v>
      </c>
      <c r="AE127" s="15">
        <f t="shared" si="118"/>
        <v>0</v>
      </c>
      <c r="AF127" s="15">
        <f t="shared" si="118"/>
        <v>0</v>
      </c>
      <c r="AG127" s="15">
        <f t="shared" si="118"/>
        <v>0</v>
      </c>
      <c r="AH127" s="15">
        <f t="shared" si="118"/>
        <v>0</v>
      </c>
      <c r="AI127" s="15">
        <f t="shared" si="118"/>
        <v>0</v>
      </c>
      <c r="AJ127" s="15">
        <f t="shared" si="118"/>
        <v>0</v>
      </c>
      <c r="AK127" s="15">
        <f t="shared" si="118"/>
        <v>0</v>
      </c>
      <c r="AL127" s="15">
        <f t="shared" si="118"/>
        <v>0</v>
      </c>
      <c r="AM127" s="15">
        <f t="shared" si="118"/>
        <v>0</v>
      </c>
      <c r="AN127" s="15">
        <f t="shared" si="118"/>
        <v>0</v>
      </c>
      <c r="AO127" s="15">
        <f t="shared" si="118"/>
        <v>0</v>
      </c>
      <c r="AP127" s="15">
        <f t="shared" si="118"/>
        <v>0</v>
      </c>
      <c r="AQ127" s="15">
        <f t="shared" si="118"/>
        <v>0</v>
      </c>
      <c r="AR127" s="15">
        <f t="shared" si="118"/>
        <v>0</v>
      </c>
    </row>
    <row r="128" spans="1:44" s="15" customFormat="1" x14ac:dyDescent="0.15">
      <c r="A128" s="19" t="s">
        <v>914</v>
      </c>
      <c r="B128" s="15">
        <f t="shared" ref="B128:AR128" si="119">IFERROR(B$136*$J6/$J$14,0)</f>
        <v>0</v>
      </c>
      <c r="C128" s="15">
        <f t="shared" si="119"/>
        <v>0</v>
      </c>
      <c r="D128" s="15">
        <f t="shared" si="119"/>
        <v>0</v>
      </c>
      <c r="E128" s="15">
        <f t="shared" si="119"/>
        <v>0</v>
      </c>
      <c r="F128" s="15">
        <f t="shared" si="119"/>
        <v>0</v>
      </c>
      <c r="G128" s="15">
        <f t="shared" si="119"/>
        <v>0</v>
      </c>
      <c r="H128" s="15">
        <f t="shared" si="119"/>
        <v>0</v>
      </c>
      <c r="I128" s="15">
        <f t="shared" si="119"/>
        <v>0</v>
      </c>
      <c r="J128" s="15">
        <f t="shared" si="119"/>
        <v>0</v>
      </c>
      <c r="K128" s="15">
        <f t="shared" si="119"/>
        <v>0</v>
      </c>
      <c r="L128" s="15">
        <f t="shared" si="119"/>
        <v>0</v>
      </c>
      <c r="M128" s="15">
        <f t="shared" si="119"/>
        <v>0</v>
      </c>
      <c r="N128" s="15">
        <f t="shared" si="119"/>
        <v>0</v>
      </c>
      <c r="O128" s="15">
        <f t="shared" si="119"/>
        <v>0</v>
      </c>
      <c r="P128" s="15">
        <f t="shared" si="119"/>
        <v>0</v>
      </c>
      <c r="Q128" s="15">
        <f t="shared" si="119"/>
        <v>0</v>
      </c>
      <c r="R128" s="15">
        <f t="shared" si="119"/>
        <v>0</v>
      </c>
      <c r="S128" s="15">
        <f t="shared" si="119"/>
        <v>0</v>
      </c>
      <c r="T128" s="15">
        <f t="shared" si="119"/>
        <v>0</v>
      </c>
      <c r="U128" s="15">
        <f t="shared" si="119"/>
        <v>0</v>
      </c>
      <c r="V128" s="15">
        <f t="shared" si="119"/>
        <v>0</v>
      </c>
      <c r="W128" s="15">
        <f t="shared" si="119"/>
        <v>0</v>
      </c>
      <c r="X128" s="15">
        <f t="shared" si="119"/>
        <v>0</v>
      </c>
      <c r="Y128" s="15">
        <f t="shared" si="119"/>
        <v>0</v>
      </c>
      <c r="Z128" s="15">
        <f t="shared" si="119"/>
        <v>0</v>
      </c>
      <c r="AA128" s="15">
        <f t="shared" si="119"/>
        <v>0</v>
      </c>
      <c r="AB128" s="15">
        <f t="shared" si="119"/>
        <v>0</v>
      </c>
      <c r="AC128" s="15">
        <f t="shared" si="119"/>
        <v>0</v>
      </c>
      <c r="AD128" s="15">
        <f t="shared" si="119"/>
        <v>0</v>
      </c>
      <c r="AE128" s="15">
        <f t="shared" si="119"/>
        <v>0</v>
      </c>
      <c r="AF128" s="15">
        <f t="shared" si="119"/>
        <v>0</v>
      </c>
      <c r="AG128" s="15">
        <f t="shared" si="119"/>
        <v>0</v>
      </c>
      <c r="AH128" s="15">
        <f t="shared" si="119"/>
        <v>0</v>
      </c>
      <c r="AI128" s="15">
        <f t="shared" si="119"/>
        <v>0</v>
      </c>
      <c r="AJ128" s="15">
        <f t="shared" si="119"/>
        <v>0</v>
      </c>
      <c r="AK128" s="15">
        <f t="shared" si="119"/>
        <v>0</v>
      </c>
      <c r="AL128" s="15">
        <f t="shared" si="119"/>
        <v>0</v>
      </c>
      <c r="AM128" s="15">
        <f t="shared" si="119"/>
        <v>0</v>
      </c>
      <c r="AN128" s="15">
        <f t="shared" si="119"/>
        <v>0</v>
      </c>
      <c r="AO128" s="15">
        <f t="shared" si="119"/>
        <v>0</v>
      </c>
      <c r="AP128" s="15">
        <f t="shared" si="119"/>
        <v>0</v>
      </c>
      <c r="AQ128" s="15">
        <f t="shared" si="119"/>
        <v>0</v>
      </c>
      <c r="AR128" s="15">
        <f t="shared" si="119"/>
        <v>0</v>
      </c>
    </row>
    <row r="129" spans="1:44" s="15" customFormat="1" x14ac:dyDescent="0.15">
      <c r="A129" s="19" t="s">
        <v>915</v>
      </c>
      <c r="B129" s="15">
        <f t="shared" ref="B129:AR129" si="120">IFERROR(B$136*$J7/$J$14,0)</f>
        <v>0</v>
      </c>
      <c r="C129" s="15">
        <f t="shared" si="120"/>
        <v>0</v>
      </c>
      <c r="D129" s="15">
        <f t="shared" si="120"/>
        <v>0</v>
      </c>
      <c r="E129" s="15">
        <f t="shared" si="120"/>
        <v>0</v>
      </c>
      <c r="F129" s="15">
        <f t="shared" si="120"/>
        <v>0</v>
      </c>
      <c r="G129" s="15">
        <f t="shared" si="120"/>
        <v>0</v>
      </c>
      <c r="H129" s="15">
        <f t="shared" si="120"/>
        <v>0</v>
      </c>
      <c r="I129" s="15">
        <f t="shared" si="120"/>
        <v>0</v>
      </c>
      <c r="J129" s="15">
        <f t="shared" si="120"/>
        <v>0</v>
      </c>
      <c r="K129" s="15">
        <f t="shared" si="120"/>
        <v>0</v>
      </c>
      <c r="L129" s="15">
        <f t="shared" si="120"/>
        <v>0</v>
      </c>
      <c r="M129" s="15">
        <f t="shared" si="120"/>
        <v>0</v>
      </c>
      <c r="N129" s="15">
        <f t="shared" si="120"/>
        <v>0</v>
      </c>
      <c r="O129" s="15">
        <f t="shared" si="120"/>
        <v>0</v>
      </c>
      <c r="P129" s="15">
        <f t="shared" si="120"/>
        <v>0</v>
      </c>
      <c r="Q129" s="15">
        <f t="shared" si="120"/>
        <v>0</v>
      </c>
      <c r="R129" s="15">
        <f t="shared" si="120"/>
        <v>0</v>
      </c>
      <c r="S129" s="15">
        <f t="shared" si="120"/>
        <v>0</v>
      </c>
      <c r="T129" s="15">
        <f t="shared" si="120"/>
        <v>0</v>
      </c>
      <c r="U129" s="15">
        <f t="shared" si="120"/>
        <v>0</v>
      </c>
      <c r="V129" s="15">
        <f t="shared" si="120"/>
        <v>0</v>
      </c>
      <c r="W129" s="15">
        <f t="shared" si="120"/>
        <v>0</v>
      </c>
      <c r="X129" s="15">
        <f t="shared" si="120"/>
        <v>0</v>
      </c>
      <c r="Y129" s="15">
        <f t="shared" si="120"/>
        <v>0</v>
      </c>
      <c r="Z129" s="15">
        <f t="shared" si="120"/>
        <v>0</v>
      </c>
      <c r="AA129" s="15">
        <f t="shared" si="120"/>
        <v>0</v>
      </c>
      <c r="AB129" s="15">
        <f t="shared" si="120"/>
        <v>0</v>
      </c>
      <c r="AC129" s="15">
        <f t="shared" si="120"/>
        <v>0</v>
      </c>
      <c r="AD129" s="15">
        <f t="shared" si="120"/>
        <v>0</v>
      </c>
      <c r="AE129" s="15">
        <f t="shared" si="120"/>
        <v>0</v>
      </c>
      <c r="AF129" s="15">
        <f t="shared" si="120"/>
        <v>0</v>
      </c>
      <c r="AG129" s="15">
        <f t="shared" si="120"/>
        <v>0</v>
      </c>
      <c r="AH129" s="15">
        <f t="shared" si="120"/>
        <v>0</v>
      </c>
      <c r="AI129" s="15">
        <f t="shared" si="120"/>
        <v>0</v>
      </c>
      <c r="AJ129" s="15">
        <f t="shared" si="120"/>
        <v>0</v>
      </c>
      <c r="AK129" s="15">
        <f t="shared" si="120"/>
        <v>0</v>
      </c>
      <c r="AL129" s="15">
        <f t="shared" si="120"/>
        <v>0</v>
      </c>
      <c r="AM129" s="15">
        <f t="shared" si="120"/>
        <v>0</v>
      </c>
      <c r="AN129" s="15">
        <f t="shared" si="120"/>
        <v>0</v>
      </c>
      <c r="AO129" s="15">
        <f t="shared" si="120"/>
        <v>0</v>
      </c>
      <c r="AP129" s="15">
        <f t="shared" si="120"/>
        <v>0</v>
      </c>
      <c r="AQ129" s="15">
        <f t="shared" si="120"/>
        <v>0</v>
      </c>
      <c r="AR129" s="15">
        <f t="shared" si="120"/>
        <v>0</v>
      </c>
    </row>
    <row r="130" spans="1:44" s="15" customFormat="1" x14ac:dyDescent="0.15">
      <c r="A130" s="19" t="s">
        <v>916</v>
      </c>
      <c r="B130" s="15">
        <f t="shared" ref="B130:AR130" si="121">IFERROR(B$136*$J8/$J$14,0)</f>
        <v>0</v>
      </c>
      <c r="C130" s="15">
        <f t="shared" si="121"/>
        <v>0</v>
      </c>
      <c r="D130" s="15">
        <f t="shared" si="121"/>
        <v>0</v>
      </c>
      <c r="E130" s="15">
        <f t="shared" si="121"/>
        <v>0</v>
      </c>
      <c r="F130" s="15">
        <f t="shared" si="121"/>
        <v>0</v>
      </c>
      <c r="G130" s="15">
        <f t="shared" si="121"/>
        <v>0</v>
      </c>
      <c r="H130" s="15">
        <f t="shared" si="121"/>
        <v>0</v>
      </c>
      <c r="I130" s="15">
        <f t="shared" si="121"/>
        <v>0</v>
      </c>
      <c r="J130" s="15">
        <f t="shared" si="121"/>
        <v>0</v>
      </c>
      <c r="K130" s="15">
        <f t="shared" si="121"/>
        <v>0</v>
      </c>
      <c r="L130" s="15">
        <f t="shared" si="121"/>
        <v>0</v>
      </c>
      <c r="M130" s="15">
        <f t="shared" si="121"/>
        <v>0</v>
      </c>
      <c r="N130" s="15">
        <f t="shared" si="121"/>
        <v>0</v>
      </c>
      <c r="O130" s="15">
        <f t="shared" si="121"/>
        <v>0</v>
      </c>
      <c r="P130" s="15">
        <f t="shared" si="121"/>
        <v>0</v>
      </c>
      <c r="Q130" s="15">
        <f t="shared" si="121"/>
        <v>0</v>
      </c>
      <c r="R130" s="15">
        <f t="shared" si="121"/>
        <v>0</v>
      </c>
      <c r="S130" s="15">
        <f t="shared" si="121"/>
        <v>0</v>
      </c>
      <c r="T130" s="15">
        <f t="shared" si="121"/>
        <v>0</v>
      </c>
      <c r="U130" s="15">
        <f t="shared" si="121"/>
        <v>0</v>
      </c>
      <c r="V130" s="15">
        <f t="shared" si="121"/>
        <v>0</v>
      </c>
      <c r="W130" s="15">
        <f t="shared" si="121"/>
        <v>0</v>
      </c>
      <c r="X130" s="15">
        <f t="shared" si="121"/>
        <v>0</v>
      </c>
      <c r="Y130" s="15">
        <f t="shared" si="121"/>
        <v>0</v>
      </c>
      <c r="Z130" s="15">
        <f t="shared" si="121"/>
        <v>0</v>
      </c>
      <c r="AA130" s="15">
        <f t="shared" si="121"/>
        <v>0</v>
      </c>
      <c r="AB130" s="15">
        <f t="shared" si="121"/>
        <v>0</v>
      </c>
      <c r="AC130" s="15">
        <f t="shared" si="121"/>
        <v>0</v>
      </c>
      <c r="AD130" s="15">
        <f t="shared" si="121"/>
        <v>0</v>
      </c>
      <c r="AE130" s="15">
        <f t="shared" si="121"/>
        <v>0</v>
      </c>
      <c r="AF130" s="15">
        <f t="shared" si="121"/>
        <v>0</v>
      </c>
      <c r="AG130" s="15">
        <f t="shared" si="121"/>
        <v>0</v>
      </c>
      <c r="AH130" s="15">
        <f t="shared" si="121"/>
        <v>0</v>
      </c>
      <c r="AI130" s="15">
        <f t="shared" si="121"/>
        <v>0</v>
      </c>
      <c r="AJ130" s="15">
        <f t="shared" si="121"/>
        <v>0</v>
      </c>
      <c r="AK130" s="15">
        <f t="shared" si="121"/>
        <v>0</v>
      </c>
      <c r="AL130" s="15">
        <f t="shared" si="121"/>
        <v>0</v>
      </c>
      <c r="AM130" s="15">
        <f t="shared" si="121"/>
        <v>0</v>
      </c>
      <c r="AN130" s="15">
        <f t="shared" si="121"/>
        <v>0</v>
      </c>
      <c r="AO130" s="15">
        <f t="shared" si="121"/>
        <v>0</v>
      </c>
      <c r="AP130" s="15">
        <f t="shared" si="121"/>
        <v>0</v>
      </c>
      <c r="AQ130" s="15">
        <f t="shared" si="121"/>
        <v>0</v>
      </c>
      <c r="AR130" s="15">
        <f t="shared" si="121"/>
        <v>0</v>
      </c>
    </row>
    <row r="131" spans="1:44" s="15" customFormat="1" x14ac:dyDescent="0.15">
      <c r="A131" s="19" t="s">
        <v>917</v>
      </c>
      <c r="B131" s="15">
        <f t="shared" ref="B131:AR131" si="122">IFERROR(B$136*$J9/$J$14,0)</f>
        <v>0</v>
      </c>
      <c r="C131" s="15">
        <f t="shared" si="122"/>
        <v>0</v>
      </c>
      <c r="D131" s="15">
        <f t="shared" si="122"/>
        <v>0</v>
      </c>
      <c r="E131" s="15">
        <f t="shared" si="122"/>
        <v>0</v>
      </c>
      <c r="F131" s="15">
        <f t="shared" si="122"/>
        <v>0</v>
      </c>
      <c r="G131" s="15">
        <f t="shared" si="122"/>
        <v>0</v>
      </c>
      <c r="H131" s="15">
        <f t="shared" si="122"/>
        <v>0</v>
      </c>
      <c r="I131" s="15">
        <f t="shared" si="122"/>
        <v>0</v>
      </c>
      <c r="J131" s="15">
        <f t="shared" si="122"/>
        <v>0</v>
      </c>
      <c r="K131" s="15">
        <f t="shared" si="122"/>
        <v>0</v>
      </c>
      <c r="L131" s="15">
        <f t="shared" si="122"/>
        <v>0</v>
      </c>
      <c r="M131" s="15">
        <f t="shared" si="122"/>
        <v>0</v>
      </c>
      <c r="N131" s="15">
        <f t="shared" si="122"/>
        <v>0</v>
      </c>
      <c r="O131" s="15">
        <f t="shared" si="122"/>
        <v>0</v>
      </c>
      <c r="P131" s="15">
        <f t="shared" si="122"/>
        <v>0</v>
      </c>
      <c r="Q131" s="15">
        <f t="shared" si="122"/>
        <v>0</v>
      </c>
      <c r="R131" s="15">
        <f t="shared" si="122"/>
        <v>0</v>
      </c>
      <c r="S131" s="15">
        <f t="shared" si="122"/>
        <v>0</v>
      </c>
      <c r="T131" s="15">
        <f t="shared" si="122"/>
        <v>0</v>
      </c>
      <c r="U131" s="15">
        <f t="shared" si="122"/>
        <v>0</v>
      </c>
      <c r="V131" s="15">
        <f t="shared" si="122"/>
        <v>0</v>
      </c>
      <c r="W131" s="15">
        <f t="shared" si="122"/>
        <v>0</v>
      </c>
      <c r="X131" s="15">
        <f t="shared" si="122"/>
        <v>0</v>
      </c>
      <c r="Y131" s="15">
        <f t="shared" si="122"/>
        <v>0</v>
      </c>
      <c r="Z131" s="15">
        <f t="shared" si="122"/>
        <v>0</v>
      </c>
      <c r="AA131" s="15">
        <f t="shared" si="122"/>
        <v>0</v>
      </c>
      <c r="AB131" s="15">
        <f t="shared" si="122"/>
        <v>0</v>
      </c>
      <c r="AC131" s="15">
        <f t="shared" si="122"/>
        <v>0</v>
      </c>
      <c r="AD131" s="15">
        <f t="shared" si="122"/>
        <v>0</v>
      </c>
      <c r="AE131" s="15">
        <f t="shared" si="122"/>
        <v>0</v>
      </c>
      <c r="AF131" s="15">
        <f t="shared" si="122"/>
        <v>0</v>
      </c>
      <c r="AG131" s="15">
        <f t="shared" si="122"/>
        <v>0</v>
      </c>
      <c r="AH131" s="15">
        <f t="shared" si="122"/>
        <v>0</v>
      </c>
      <c r="AI131" s="15">
        <f t="shared" si="122"/>
        <v>0</v>
      </c>
      <c r="AJ131" s="15">
        <f t="shared" si="122"/>
        <v>0</v>
      </c>
      <c r="AK131" s="15">
        <f t="shared" si="122"/>
        <v>0</v>
      </c>
      <c r="AL131" s="15">
        <f t="shared" si="122"/>
        <v>0</v>
      </c>
      <c r="AM131" s="15">
        <f t="shared" si="122"/>
        <v>0</v>
      </c>
      <c r="AN131" s="15">
        <f t="shared" si="122"/>
        <v>0</v>
      </c>
      <c r="AO131" s="15">
        <f t="shared" si="122"/>
        <v>0</v>
      </c>
      <c r="AP131" s="15">
        <f t="shared" si="122"/>
        <v>0</v>
      </c>
      <c r="AQ131" s="15">
        <f t="shared" si="122"/>
        <v>0</v>
      </c>
      <c r="AR131" s="15">
        <f t="shared" si="122"/>
        <v>0</v>
      </c>
    </row>
    <row r="132" spans="1:44" s="15" customFormat="1" x14ac:dyDescent="0.15">
      <c r="A132" s="19" t="s">
        <v>918</v>
      </c>
      <c r="B132" s="15">
        <f t="shared" ref="B132:AR132" si="123">IFERROR(B$136*$J10/$J$14,0)</f>
        <v>0</v>
      </c>
      <c r="C132" s="15">
        <f t="shared" si="123"/>
        <v>0</v>
      </c>
      <c r="D132" s="15">
        <f t="shared" si="123"/>
        <v>0</v>
      </c>
      <c r="E132" s="15">
        <f t="shared" si="123"/>
        <v>0</v>
      </c>
      <c r="F132" s="15">
        <f t="shared" si="123"/>
        <v>0</v>
      </c>
      <c r="G132" s="15">
        <f t="shared" si="123"/>
        <v>0</v>
      </c>
      <c r="H132" s="15">
        <f t="shared" si="123"/>
        <v>0</v>
      </c>
      <c r="I132" s="15">
        <f t="shared" si="123"/>
        <v>0</v>
      </c>
      <c r="J132" s="15">
        <f t="shared" si="123"/>
        <v>0</v>
      </c>
      <c r="K132" s="15">
        <f t="shared" si="123"/>
        <v>0</v>
      </c>
      <c r="L132" s="15">
        <f t="shared" si="123"/>
        <v>0</v>
      </c>
      <c r="M132" s="15">
        <f t="shared" si="123"/>
        <v>0</v>
      </c>
      <c r="N132" s="15">
        <f t="shared" si="123"/>
        <v>0</v>
      </c>
      <c r="O132" s="15">
        <f t="shared" si="123"/>
        <v>0</v>
      </c>
      <c r="P132" s="15">
        <f t="shared" si="123"/>
        <v>0</v>
      </c>
      <c r="Q132" s="15">
        <f t="shared" si="123"/>
        <v>0</v>
      </c>
      <c r="R132" s="15">
        <f t="shared" si="123"/>
        <v>0</v>
      </c>
      <c r="S132" s="15">
        <f t="shared" si="123"/>
        <v>0</v>
      </c>
      <c r="T132" s="15">
        <f t="shared" si="123"/>
        <v>0</v>
      </c>
      <c r="U132" s="15">
        <f t="shared" si="123"/>
        <v>0</v>
      </c>
      <c r="V132" s="15">
        <f t="shared" si="123"/>
        <v>0</v>
      </c>
      <c r="W132" s="15">
        <f t="shared" si="123"/>
        <v>0</v>
      </c>
      <c r="X132" s="15">
        <f t="shared" si="123"/>
        <v>0</v>
      </c>
      <c r="Y132" s="15">
        <f t="shared" si="123"/>
        <v>0</v>
      </c>
      <c r="Z132" s="15">
        <f t="shared" si="123"/>
        <v>0</v>
      </c>
      <c r="AA132" s="15">
        <f t="shared" si="123"/>
        <v>0</v>
      </c>
      <c r="AB132" s="15">
        <f t="shared" si="123"/>
        <v>0</v>
      </c>
      <c r="AC132" s="15">
        <f t="shared" si="123"/>
        <v>0</v>
      </c>
      <c r="AD132" s="15">
        <f t="shared" si="123"/>
        <v>0</v>
      </c>
      <c r="AE132" s="15">
        <f t="shared" si="123"/>
        <v>0</v>
      </c>
      <c r="AF132" s="15">
        <f t="shared" si="123"/>
        <v>0</v>
      </c>
      <c r="AG132" s="15">
        <f t="shared" si="123"/>
        <v>0</v>
      </c>
      <c r="AH132" s="15">
        <f t="shared" si="123"/>
        <v>0</v>
      </c>
      <c r="AI132" s="15">
        <f t="shared" si="123"/>
        <v>0</v>
      </c>
      <c r="AJ132" s="15">
        <f t="shared" si="123"/>
        <v>0</v>
      </c>
      <c r="AK132" s="15">
        <f t="shared" si="123"/>
        <v>0</v>
      </c>
      <c r="AL132" s="15">
        <f t="shared" si="123"/>
        <v>0</v>
      </c>
      <c r="AM132" s="15">
        <f t="shared" si="123"/>
        <v>0</v>
      </c>
      <c r="AN132" s="15">
        <f t="shared" si="123"/>
        <v>0</v>
      </c>
      <c r="AO132" s="15">
        <f t="shared" si="123"/>
        <v>0</v>
      </c>
      <c r="AP132" s="15">
        <f t="shared" si="123"/>
        <v>0</v>
      </c>
      <c r="AQ132" s="15">
        <f t="shared" si="123"/>
        <v>0</v>
      </c>
      <c r="AR132" s="15">
        <f t="shared" si="123"/>
        <v>0</v>
      </c>
    </row>
    <row r="133" spans="1:44" s="15" customFormat="1" x14ac:dyDescent="0.15">
      <c r="A133" s="19" t="s">
        <v>919</v>
      </c>
      <c r="B133" s="15">
        <f t="shared" ref="B133:AR133" si="124">IFERROR(B$136*$J11/$J$14,0)</f>
        <v>0</v>
      </c>
      <c r="C133" s="15">
        <f t="shared" si="124"/>
        <v>0</v>
      </c>
      <c r="D133" s="15">
        <f t="shared" si="124"/>
        <v>0</v>
      </c>
      <c r="E133" s="15">
        <f t="shared" si="124"/>
        <v>0</v>
      </c>
      <c r="F133" s="15">
        <f t="shared" si="124"/>
        <v>0</v>
      </c>
      <c r="G133" s="15">
        <f t="shared" si="124"/>
        <v>0</v>
      </c>
      <c r="H133" s="15">
        <f t="shared" si="124"/>
        <v>0</v>
      </c>
      <c r="I133" s="15">
        <f t="shared" si="124"/>
        <v>0</v>
      </c>
      <c r="J133" s="15">
        <f t="shared" si="124"/>
        <v>0</v>
      </c>
      <c r="K133" s="15">
        <f t="shared" si="124"/>
        <v>0</v>
      </c>
      <c r="L133" s="15">
        <f t="shared" si="124"/>
        <v>0</v>
      </c>
      <c r="M133" s="15">
        <f t="shared" si="124"/>
        <v>0</v>
      </c>
      <c r="N133" s="15">
        <f t="shared" si="124"/>
        <v>0</v>
      </c>
      <c r="O133" s="15">
        <f t="shared" si="124"/>
        <v>0</v>
      </c>
      <c r="P133" s="15">
        <f t="shared" si="124"/>
        <v>0</v>
      </c>
      <c r="Q133" s="15">
        <f t="shared" si="124"/>
        <v>0</v>
      </c>
      <c r="R133" s="15">
        <f t="shared" si="124"/>
        <v>0</v>
      </c>
      <c r="S133" s="15">
        <f t="shared" si="124"/>
        <v>0</v>
      </c>
      <c r="T133" s="15">
        <f t="shared" si="124"/>
        <v>0</v>
      </c>
      <c r="U133" s="15">
        <f t="shared" si="124"/>
        <v>0</v>
      </c>
      <c r="V133" s="15">
        <f t="shared" si="124"/>
        <v>0</v>
      </c>
      <c r="W133" s="15">
        <f t="shared" si="124"/>
        <v>0</v>
      </c>
      <c r="X133" s="15">
        <f t="shared" si="124"/>
        <v>0</v>
      </c>
      <c r="Y133" s="15">
        <f t="shared" si="124"/>
        <v>0</v>
      </c>
      <c r="Z133" s="15">
        <f t="shared" si="124"/>
        <v>0</v>
      </c>
      <c r="AA133" s="15">
        <f t="shared" si="124"/>
        <v>0</v>
      </c>
      <c r="AB133" s="15">
        <f t="shared" si="124"/>
        <v>0</v>
      </c>
      <c r="AC133" s="15">
        <f t="shared" si="124"/>
        <v>0</v>
      </c>
      <c r="AD133" s="15">
        <f t="shared" si="124"/>
        <v>0</v>
      </c>
      <c r="AE133" s="15">
        <f t="shared" si="124"/>
        <v>0</v>
      </c>
      <c r="AF133" s="15">
        <f t="shared" si="124"/>
        <v>0</v>
      </c>
      <c r="AG133" s="15">
        <f t="shared" si="124"/>
        <v>0</v>
      </c>
      <c r="AH133" s="15">
        <f t="shared" si="124"/>
        <v>0</v>
      </c>
      <c r="AI133" s="15">
        <f t="shared" si="124"/>
        <v>0</v>
      </c>
      <c r="AJ133" s="15">
        <f t="shared" si="124"/>
        <v>0</v>
      </c>
      <c r="AK133" s="15">
        <f t="shared" si="124"/>
        <v>0</v>
      </c>
      <c r="AL133" s="15">
        <f t="shared" si="124"/>
        <v>0</v>
      </c>
      <c r="AM133" s="15">
        <f t="shared" si="124"/>
        <v>0</v>
      </c>
      <c r="AN133" s="15">
        <f t="shared" si="124"/>
        <v>0</v>
      </c>
      <c r="AO133" s="15">
        <f t="shared" si="124"/>
        <v>0</v>
      </c>
      <c r="AP133" s="15">
        <f t="shared" si="124"/>
        <v>0</v>
      </c>
      <c r="AQ133" s="15">
        <f t="shared" si="124"/>
        <v>0</v>
      </c>
      <c r="AR133" s="15">
        <f t="shared" si="124"/>
        <v>0</v>
      </c>
    </row>
    <row r="134" spans="1:44" s="15" customFormat="1" x14ac:dyDescent="0.15">
      <c r="A134" s="19" t="s">
        <v>920</v>
      </c>
      <c r="B134" s="15">
        <f t="shared" ref="B134:AR134" si="125">IFERROR(B$136*$J12/$J$14,0)</f>
        <v>0</v>
      </c>
      <c r="C134" s="15">
        <f t="shared" si="125"/>
        <v>0</v>
      </c>
      <c r="D134" s="15">
        <f t="shared" si="125"/>
        <v>0</v>
      </c>
      <c r="E134" s="15">
        <f t="shared" si="125"/>
        <v>0</v>
      </c>
      <c r="F134" s="15">
        <f t="shared" si="125"/>
        <v>0</v>
      </c>
      <c r="G134" s="15">
        <f t="shared" si="125"/>
        <v>0</v>
      </c>
      <c r="H134" s="15">
        <f t="shared" si="125"/>
        <v>0</v>
      </c>
      <c r="I134" s="15">
        <f t="shared" si="125"/>
        <v>0</v>
      </c>
      <c r="J134" s="15">
        <f t="shared" si="125"/>
        <v>0</v>
      </c>
      <c r="K134" s="15">
        <f t="shared" si="125"/>
        <v>0</v>
      </c>
      <c r="L134" s="15">
        <f t="shared" si="125"/>
        <v>0</v>
      </c>
      <c r="M134" s="15">
        <f t="shared" si="125"/>
        <v>0</v>
      </c>
      <c r="N134" s="15">
        <f t="shared" si="125"/>
        <v>0</v>
      </c>
      <c r="O134" s="15">
        <f t="shared" si="125"/>
        <v>0</v>
      </c>
      <c r="P134" s="15">
        <f t="shared" si="125"/>
        <v>0</v>
      </c>
      <c r="Q134" s="15">
        <f t="shared" si="125"/>
        <v>0</v>
      </c>
      <c r="R134" s="15">
        <f t="shared" si="125"/>
        <v>0</v>
      </c>
      <c r="S134" s="15">
        <f t="shared" si="125"/>
        <v>0</v>
      </c>
      <c r="T134" s="15">
        <f t="shared" si="125"/>
        <v>0</v>
      </c>
      <c r="U134" s="15">
        <f t="shared" si="125"/>
        <v>0</v>
      </c>
      <c r="V134" s="15">
        <f t="shared" si="125"/>
        <v>0</v>
      </c>
      <c r="W134" s="15">
        <f t="shared" si="125"/>
        <v>0</v>
      </c>
      <c r="X134" s="15">
        <f t="shared" si="125"/>
        <v>0</v>
      </c>
      <c r="Y134" s="15">
        <f t="shared" si="125"/>
        <v>0</v>
      </c>
      <c r="Z134" s="15">
        <f t="shared" si="125"/>
        <v>0</v>
      </c>
      <c r="AA134" s="15">
        <f t="shared" si="125"/>
        <v>0</v>
      </c>
      <c r="AB134" s="15">
        <f t="shared" si="125"/>
        <v>0</v>
      </c>
      <c r="AC134" s="15">
        <f t="shared" si="125"/>
        <v>0</v>
      </c>
      <c r="AD134" s="15">
        <f t="shared" si="125"/>
        <v>0</v>
      </c>
      <c r="AE134" s="15">
        <f t="shared" si="125"/>
        <v>0</v>
      </c>
      <c r="AF134" s="15">
        <f t="shared" si="125"/>
        <v>0</v>
      </c>
      <c r="AG134" s="15">
        <f t="shared" si="125"/>
        <v>0</v>
      </c>
      <c r="AH134" s="15">
        <f t="shared" si="125"/>
        <v>0</v>
      </c>
      <c r="AI134" s="15">
        <f t="shared" si="125"/>
        <v>0</v>
      </c>
      <c r="AJ134" s="15">
        <f t="shared" si="125"/>
        <v>0</v>
      </c>
      <c r="AK134" s="15">
        <f t="shared" si="125"/>
        <v>0</v>
      </c>
      <c r="AL134" s="15">
        <f t="shared" si="125"/>
        <v>0</v>
      </c>
      <c r="AM134" s="15">
        <f t="shared" si="125"/>
        <v>0</v>
      </c>
      <c r="AN134" s="15">
        <f t="shared" si="125"/>
        <v>0</v>
      </c>
      <c r="AO134" s="15">
        <f t="shared" si="125"/>
        <v>0</v>
      </c>
      <c r="AP134" s="15">
        <f t="shared" si="125"/>
        <v>0</v>
      </c>
      <c r="AQ134" s="15">
        <f t="shared" si="125"/>
        <v>0</v>
      </c>
      <c r="AR134" s="15">
        <f t="shared" si="125"/>
        <v>0</v>
      </c>
    </row>
    <row r="135" spans="1:44" s="15" customFormat="1" x14ac:dyDescent="0.15">
      <c r="A135" s="19" t="s">
        <v>921</v>
      </c>
      <c r="B135" s="15">
        <f t="shared" ref="B135:AR135" si="126">IFERROR(B$136*$J13/$J$14,0)</f>
        <v>0</v>
      </c>
      <c r="C135" s="15">
        <f t="shared" si="126"/>
        <v>0</v>
      </c>
      <c r="D135" s="15">
        <f t="shared" si="126"/>
        <v>0</v>
      </c>
      <c r="E135" s="15">
        <f t="shared" si="126"/>
        <v>0</v>
      </c>
      <c r="F135" s="15">
        <f t="shared" si="126"/>
        <v>0</v>
      </c>
      <c r="G135" s="15">
        <f t="shared" si="126"/>
        <v>0</v>
      </c>
      <c r="H135" s="15">
        <f t="shared" si="126"/>
        <v>0</v>
      </c>
      <c r="I135" s="15">
        <f t="shared" si="126"/>
        <v>0</v>
      </c>
      <c r="J135" s="15">
        <f t="shared" si="126"/>
        <v>0</v>
      </c>
      <c r="K135" s="15">
        <f t="shared" si="126"/>
        <v>0</v>
      </c>
      <c r="L135" s="15">
        <f t="shared" si="126"/>
        <v>0</v>
      </c>
      <c r="M135" s="15">
        <f t="shared" si="126"/>
        <v>0</v>
      </c>
      <c r="N135" s="15">
        <f t="shared" si="126"/>
        <v>0</v>
      </c>
      <c r="O135" s="15">
        <f t="shared" si="126"/>
        <v>0</v>
      </c>
      <c r="P135" s="15">
        <f t="shared" si="126"/>
        <v>0</v>
      </c>
      <c r="Q135" s="15">
        <f t="shared" si="126"/>
        <v>0</v>
      </c>
      <c r="R135" s="15">
        <f t="shared" si="126"/>
        <v>0</v>
      </c>
      <c r="S135" s="15">
        <f t="shared" si="126"/>
        <v>0</v>
      </c>
      <c r="T135" s="15">
        <f t="shared" si="126"/>
        <v>0</v>
      </c>
      <c r="U135" s="15">
        <f t="shared" si="126"/>
        <v>0</v>
      </c>
      <c r="V135" s="15">
        <f t="shared" si="126"/>
        <v>0</v>
      </c>
      <c r="W135" s="15">
        <f t="shared" si="126"/>
        <v>0</v>
      </c>
      <c r="X135" s="15">
        <f t="shared" si="126"/>
        <v>0</v>
      </c>
      <c r="Y135" s="15">
        <f t="shared" si="126"/>
        <v>0</v>
      </c>
      <c r="Z135" s="15">
        <f t="shared" si="126"/>
        <v>0</v>
      </c>
      <c r="AA135" s="15">
        <f t="shared" si="126"/>
        <v>0</v>
      </c>
      <c r="AB135" s="15">
        <f t="shared" si="126"/>
        <v>0</v>
      </c>
      <c r="AC135" s="15">
        <f t="shared" si="126"/>
        <v>0</v>
      </c>
      <c r="AD135" s="15">
        <f t="shared" si="126"/>
        <v>0</v>
      </c>
      <c r="AE135" s="15">
        <f t="shared" si="126"/>
        <v>0</v>
      </c>
      <c r="AF135" s="15">
        <f t="shared" si="126"/>
        <v>0</v>
      </c>
      <c r="AG135" s="15">
        <f t="shared" si="126"/>
        <v>0</v>
      </c>
      <c r="AH135" s="15">
        <f t="shared" si="126"/>
        <v>0</v>
      </c>
      <c r="AI135" s="15">
        <f t="shared" si="126"/>
        <v>0</v>
      </c>
      <c r="AJ135" s="15">
        <f t="shared" si="126"/>
        <v>0</v>
      </c>
      <c r="AK135" s="15">
        <f t="shared" si="126"/>
        <v>0</v>
      </c>
      <c r="AL135" s="15">
        <f t="shared" si="126"/>
        <v>0</v>
      </c>
      <c r="AM135" s="15">
        <f t="shared" si="126"/>
        <v>0</v>
      </c>
      <c r="AN135" s="15">
        <f t="shared" si="126"/>
        <v>0</v>
      </c>
      <c r="AO135" s="15">
        <f t="shared" si="126"/>
        <v>0</v>
      </c>
      <c r="AP135" s="15">
        <f t="shared" si="126"/>
        <v>0</v>
      </c>
      <c r="AQ135" s="15">
        <f t="shared" si="126"/>
        <v>0</v>
      </c>
      <c r="AR135" s="15">
        <f t="shared" si="126"/>
        <v>0</v>
      </c>
    </row>
    <row r="136" spans="1:44" s="15" customFormat="1" x14ac:dyDescent="0.15">
      <c r="A136" s="19" t="s">
        <v>911</v>
      </c>
      <c r="B136" s="15">
        <f>BAU建筑总能耗计算!B$5*$J$16</f>
        <v>0</v>
      </c>
      <c r="C136" s="15">
        <f>BAU建筑总能耗计算!C$5*$J$16</f>
        <v>0</v>
      </c>
      <c r="D136" s="15">
        <f>BAU建筑总能耗计算!D$5*$J$16</f>
        <v>0</v>
      </c>
      <c r="E136" s="15">
        <f>BAU建筑总能耗计算!E$5*$J$16</f>
        <v>0</v>
      </c>
      <c r="F136" s="15">
        <f>BAU建筑总能耗计算!F$5*$J$16</f>
        <v>0</v>
      </c>
      <c r="G136" s="15">
        <f>BAU建筑总能耗计算!G$5*$J$16</f>
        <v>0</v>
      </c>
      <c r="H136" s="15">
        <f>BAU建筑总能耗计算!H$5*$J$16</f>
        <v>0</v>
      </c>
      <c r="I136" s="15">
        <f>BAU建筑总能耗计算!I$5*$J$16</f>
        <v>0</v>
      </c>
      <c r="J136" s="15">
        <f>BAU建筑总能耗计算!J$5*$J$16</f>
        <v>0</v>
      </c>
      <c r="K136" s="15">
        <f>BAU建筑总能耗计算!K$5*$J$16</f>
        <v>0</v>
      </c>
      <c r="L136" s="15">
        <f>BAU建筑总能耗计算!L$5*$J$16</f>
        <v>0</v>
      </c>
      <c r="M136" s="15">
        <f>BAU建筑总能耗计算!M$5*$J$16</f>
        <v>0</v>
      </c>
      <c r="N136" s="15">
        <f>BAU建筑总能耗计算!N$5*$J$16</f>
        <v>0</v>
      </c>
      <c r="O136" s="15">
        <f>BAU建筑总能耗计算!O$5*$J$16</f>
        <v>0</v>
      </c>
      <c r="P136" s="15">
        <f>BAU建筑总能耗计算!P$5*$J$16</f>
        <v>0</v>
      </c>
      <c r="Q136" s="15">
        <f>BAU建筑总能耗计算!Q$5*$J$16</f>
        <v>0</v>
      </c>
      <c r="R136" s="15">
        <f>BAU建筑总能耗计算!R$5*$J$16</f>
        <v>0</v>
      </c>
      <c r="S136" s="15">
        <f>BAU建筑总能耗计算!S$5*$J$16</f>
        <v>0</v>
      </c>
      <c r="T136" s="15">
        <f>BAU建筑总能耗计算!T$5*$J$16</f>
        <v>0</v>
      </c>
      <c r="U136" s="15">
        <f>BAU建筑总能耗计算!U$5*$J$16</f>
        <v>0</v>
      </c>
      <c r="V136" s="15">
        <f>BAU建筑总能耗计算!V$5*$J$16</f>
        <v>0</v>
      </c>
      <c r="W136" s="15">
        <f>BAU建筑总能耗计算!W$5*$J$16</f>
        <v>0</v>
      </c>
      <c r="X136" s="15">
        <f>BAU建筑总能耗计算!X$5*$J$16</f>
        <v>0</v>
      </c>
      <c r="Y136" s="15">
        <f>BAU建筑总能耗计算!Y$5*$J$16</f>
        <v>0</v>
      </c>
      <c r="Z136" s="15">
        <f>BAU建筑总能耗计算!Z$5*$J$16</f>
        <v>0</v>
      </c>
      <c r="AA136" s="15">
        <f>BAU建筑总能耗计算!AA$5*$J$16</f>
        <v>0</v>
      </c>
      <c r="AB136" s="15">
        <f>BAU建筑总能耗计算!AB$5*$J$16</f>
        <v>0</v>
      </c>
      <c r="AC136" s="15">
        <f>BAU建筑总能耗计算!AC$5*$J$16</f>
        <v>0</v>
      </c>
      <c r="AD136" s="15">
        <f>BAU建筑总能耗计算!AD$5*$J$16</f>
        <v>0</v>
      </c>
      <c r="AE136" s="15">
        <f>BAU建筑总能耗计算!AE$5*$J$16</f>
        <v>0</v>
      </c>
      <c r="AF136" s="15">
        <f>BAU建筑总能耗计算!AF$5*$J$16</f>
        <v>0</v>
      </c>
      <c r="AG136" s="15">
        <f>BAU建筑总能耗计算!AG$5*$J$16</f>
        <v>0</v>
      </c>
      <c r="AH136" s="15">
        <f>BAU建筑总能耗计算!AH$5*$J$16</f>
        <v>0</v>
      </c>
      <c r="AI136" s="15">
        <f>BAU建筑总能耗计算!AI$5*$J$16</f>
        <v>0</v>
      </c>
      <c r="AJ136" s="15">
        <f>BAU建筑总能耗计算!AJ$5*$J$16</f>
        <v>0</v>
      </c>
      <c r="AK136" s="15">
        <f>BAU建筑总能耗计算!AK$5*$J$16</f>
        <v>0</v>
      </c>
      <c r="AL136" s="15">
        <f>BAU建筑总能耗计算!AL$5*$J$16</f>
        <v>0</v>
      </c>
      <c r="AM136" s="15">
        <f>BAU建筑总能耗计算!AM$5*$J$16</f>
        <v>0</v>
      </c>
      <c r="AN136" s="15">
        <f>BAU建筑总能耗计算!AN$5*$J$16</f>
        <v>0</v>
      </c>
      <c r="AO136" s="15">
        <f>BAU建筑总能耗计算!AO$5*$J$16</f>
        <v>0</v>
      </c>
      <c r="AP136" s="15">
        <f>BAU建筑总能耗计算!AP$5*$J$16</f>
        <v>0</v>
      </c>
      <c r="AQ136" s="15">
        <f>BAU建筑总能耗计算!AQ$5*$J$16</f>
        <v>0</v>
      </c>
      <c r="AR136" s="15">
        <f>BAU建筑总能耗计算!AR$5*$J$16</f>
        <v>0</v>
      </c>
    </row>
    <row r="137" spans="1:44" s="15" customFormat="1" x14ac:dyDescent="0.15"/>
    <row r="138" spans="1:44" s="19" customFormat="1" x14ac:dyDescent="0.15">
      <c r="A138" s="18" t="s">
        <v>18</v>
      </c>
      <c r="B138" s="19">
        <v>2018</v>
      </c>
      <c r="C138" s="19">
        <v>2019</v>
      </c>
      <c r="D138" s="19">
        <v>2020</v>
      </c>
      <c r="E138" s="19">
        <v>2021</v>
      </c>
      <c r="F138" s="19">
        <v>2022</v>
      </c>
      <c r="G138" s="19">
        <v>2023</v>
      </c>
      <c r="H138" s="19">
        <v>2024</v>
      </c>
      <c r="I138" s="19">
        <v>2025</v>
      </c>
      <c r="J138" s="19">
        <v>2026</v>
      </c>
      <c r="K138" s="19">
        <v>2027</v>
      </c>
      <c r="L138" s="19">
        <v>2028</v>
      </c>
      <c r="M138" s="19">
        <v>2029</v>
      </c>
      <c r="N138" s="19">
        <v>2030</v>
      </c>
      <c r="O138" s="19">
        <v>2031</v>
      </c>
      <c r="P138" s="19">
        <v>2032</v>
      </c>
      <c r="Q138" s="19">
        <v>2033</v>
      </c>
      <c r="R138" s="19">
        <v>2034</v>
      </c>
      <c r="S138" s="19">
        <v>2035</v>
      </c>
      <c r="T138" s="19">
        <v>2036</v>
      </c>
      <c r="U138" s="19">
        <v>2037</v>
      </c>
      <c r="V138" s="19">
        <v>2038</v>
      </c>
      <c r="W138" s="19">
        <v>2039</v>
      </c>
      <c r="X138" s="19">
        <v>2040</v>
      </c>
      <c r="Y138" s="19">
        <v>2041</v>
      </c>
      <c r="Z138" s="19">
        <v>2042</v>
      </c>
      <c r="AA138" s="19">
        <v>2043</v>
      </c>
      <c r="AB138" s="19">
        <v>2044</v>
      </c>
      <c r="AC138" s="19">
        <v>2045</v>
      </c>
      <c r="AD138" s="19">
        <v>2046</v>
      </c>
      <c r="AE138" s="19">
        <v>2047</v>
      </c>
      <c r="AF138" s="19">
        <v>2048</v>
      </c>
      <c r="AG138" s="19">
        <v>2049</v>
      </c>
      <c r="AH138" s="19">
        <v>2050</v>
      </c>
      <c r="AI138" s="19">
        <v>2051</v>
      </c>
      <c r="AJ138" s="19">
        <v>2052</v>
      </c>
      <c r="AK138" s="19">
        <v>2053</v>
      </c>
      <c r="AL138" s="19">
        <v>2054</v>
      </c>
      <c r="AM138" s="19">
        <v>2055</v>
      </c>
      <c r="AN138" s="19">
        <v>2056</v>
      </c>
      <c r="AO138" s="19">
        <v>2057</v>
      </c>
      <c r="AP138" s="19">
        <v>2058</v>
      </c>
      <c r="AQ138" s="19">
        <v>2059</v>
      </c>
      <c r="AR138" s="19">
        <v>2060</v>
      </c>
    </row>
    <row r="139" spans="1:44" s="15" customFormat="1" x14ac:dyDescent="0.15">
      <c r="A139" s="19" t="s">
        <v>912</v>
      </c>
      <c r="B139" s="16">
        <f t="shared" ref="B139:AR139" si="127">B$149*$K4/$K$14</f>
        <v>520.27002879924191</v>
      </c>
      <c r="C139" s="16">
        <f t="shared" si="127"/>
        <v>516.57611159476733</v>
      </c>
      <c r="D139" s="16">
        <f t="shared" si="127"/>
        <v>501.95027232839868</v>
      </c>
      <c r="E139" s="16">
        <f t="shared" si="127"/>
        <v>492.61297739781457</v>
      </c>
      <c r="F139" s="16">
        <f t="shared" si="127"/>
        <v>491.12859417052391</v>
      </c>
      <c r="G139" s="16">
        <f t="shared" si="127"/>
        <v>489.4265520644098</v>
      </c>
      <c r="H139" s="16">
        <f t="shared" si="127"/>
        <v>487.51078917296411</v>
      </c>
      <c r="I139" s="16">
        <f t="shared" si="127"/>
        <v>485.38554076806207</v>
      </c>
      <c r="J139" s="16">
        <f t="shared" si="127"/>
        <v>483.05530482555281</v>
      </c>
      <c r="K139" s="16">
        <f t="shared" si="127"/>
        <v>480.52486558056671</v>
      </c>
      <c r="L139" s="16">
        <f t="shared" si="127"/>
        <v>477.79925858153211</v>
      </c>
      <c r="M139" s="16">
        <f t="shared" si="127"/>
        <v>474.88377796405263</v>
      </c>
      <c r="N139" s="16">
        <f t="shared" si="127"/>
        <v>471.78396362378305</v>
      </c>
      <c r="O139" s="16">
        <f t="shared" si="127"/>
        <v>468.50558543475142</v>
      </c>
      <c r="P139" s="16">
        <f t="shared" si="127"/>
        <v>465.05464883582988</v>
      </c>
      <c r="Q139" s="16">
        <f t="shared" si="127"/>
        <v>461.43736255720739</v>
      </c>
      <c r="R139" s="16">
        <f t="shared" si="127"/>
        <v>457.74344535273269</v>
      </c>
      <c r="S139" s="16">
        <f t="shared" si="127"/>
        <v>453.89707132107861</v>
      </c>
      <c r="T139" s="16">
        <f t="shared" si="127"/>
        <v>449.77007877737458</v>
      </c>
      <c r="U139" s="16">
        <f t="shared" si="127"/>
        <v>445.37488397622582</v>
      </c>
      <c r="V139" s="16">
        <f t="shared" si="127"/>
        <v>440.72421211690812</v>
      </c>
      <c r="W139" s="16">
        <f t="shared" si="127"/>
        <v>435.83104665547626</v>
      </c>
      <c r="X139" s="16">
        <f t="shared" si="127"/>
        <v>430.70862749388232</v>
      </c>
      <c r="Y139" s="16">
        <f t="shared" si="127"/>
        <v>425.37041382137477</v>
      </c>
      <c r="Z139" s="16">
        <f t="shared" si="127"/>
        <v>419.83005562520952</v>
      </c>
      <c r="AA139" s="16">
        <f t="shared" si="127"/>
        <v>414.10134924675702</v>
      </c>
      <c r="AB139" s="16">
        <f t="shared" si="127"/>
        <v>408.19821471323962</v>
      </c>
      <c r="AC139" s="16">
        <f t="shared" si="127"/>
        <v>402.13467387837557</v>
      </c>
      <c r="AD139" s="16">
        <f t="shared" si="127"/>
        <v>395.9247877946226</v>
      </c>
      <c r="AE139" s="16">
        <f t="shared" si="127"/>
        <v>389.58262626124662</v>
      </c>
      <c r="AF139" s="16">
        <f t="shared" si="127"/>
        <v>383.12225461222715</v>
      </c>
      <c r="AG139" s="16">
        <f t="shared" si="127"/>
        <v>376.55765206281313</v>
      </c>
      <c r="AH139" s="16">
        <f t="shared" si="127"/>
        <v>369.90269042756535</v>
      </c>
      <c r="AI139" s="16">
        <f t="shared" si="127"/>
        <v>363.1710972114044</v>
      </c>
      <c r="AJ139" s="16">
        <f t="shared" si="127"/>
        <v>356.37637907623161</v>
      </c>
      <c r="AK139" s="16">
        <f t="shared" si="127"/>
        <v>349.53181380889197</v>
      </c>
      <c r="AL139" s="16">
        <f t="shared" si="127"/>
        <v>342.6503530258646</v>
      </c>
      <c r="AM139" s="16">
        <f t="shared" si="127"/>
        <v>335.7446144767743</v>
      </c>
      <c r="AN139" s="16">
        <f t="shared" si="127"/>
        <v>328.82679886563102</v>
      </c>
      <c r="AO139" s="16">
        <f t="shared" si="127"/>
        <v>321.90863869212245</v>
      </c>
      <c r="AP139" s="16">
        <f t="shared" si="127"/>
        <v>315.00134046728868</v>
      </c>
      <c r="AQ139" s="16">
        <f t="shared" si="127"/>
        <v>308.11552457495685</v>
      </c>
      <c r="AR139" s="16">
        <f t="shared" si="127"/>
        <v>301.26116969737268</v>
      </c>
    </row>
    <row r="140" spans="1:44" s="15" customFormat="1" x14ac:dyDescent="0.15">
      <c r="A140" s="19" t="s">
        <v>913</v>
      </c>
      <c r="B140" s="16">
        <f t="shared" ref="B140:AR140" si="128">B$149*$K5/$K$14</f>
        <v>0</v>
      </c>
      <c r="C140" s="16">
        <f t="shared" si="128"/>
        <v>0</v>
      </c>
      <c r="D140" s="16">
        <f t="shared" si="128"/>
        <v>0</v>
      </c>
      <c r="E140" s="16">
        <f t="shared" si="128"/>
        <v>0</v>
      </c>
      <c r="F140" s="16">
        <f t="shared" si="128"/>
        <v>0</v>
      </c>
      <c r="G140" s="16">
        <f t="shared" si="128"/>
        <v>0</v>
      </c>
      <c r="H140" s="16">
        <f t="shared" si="128"/>
        <v>0</v>
      </c>
      <c r="I140" s="16">
        <f t="shared" si="128"/>
        <v>0</v>
      </c>
      <c r="J140" s="16">
        <f t="shared" si="128"/>
        <v>0</v>
      </c>
      <c r="K140" s="16">
        <f t="shared" si="128"/>
        <v>0</v>
      </c>
      <c r="L140" s="16">
        <f t="shared" si="128"/>
        <v>0</v>
      </c>
      <c r="M140" s="16">
        <f t="shared" si="128"/>
        <v>0</v>
      </c>
      <c r="N140" s="16">
        <f t="shared" si="128"/>
        <v>0</v>
      </c>
      <c r="O140" s="16">
        <f t="shared" si="128"/>
        <v>0</v>
      </c>
      <c r="P140" s="16">
        <f t="shared" si="128"/>
        <v>0</v>
      </c>
      <c r="Q140" s="16">
        <f t="shared" si="128"/>
        <v>0</v>
      </c>
      <c r="R140" s="16">
        <f t="shared" si="128"/>
        <v>0</v>
      </c>
      <c r="S140" s="16">
        <f t="shared" si="128"/>
        <v>0</v>
      </c>
      <c r="T140" s="16">
        <f t="shared" si="128"/>
        <v>0</v>
      </c>
      <c r="U140" s="16">
        <f t="shared" si="128"/>
        <v>0</v>
      </c>
      <c r="V140" s="16">
        <f t="shared" si="128"/>
        <v>0</v>
      </c>
      <c r="W140" s="16">
        <f t="shared" si="128"/>
        <v>0</v>
      </c>
      <c r="X140" s="16">
        <f t="shared" si="128"/>
        <v>0</v>
      </c>
      <c r="Y140" s="16">
        <f t="shared" si="128"/>
        <v>0</v>
      </c>
      <c r="Z140" s="16">
        <f t="shared" si="128"/>
        <v>0</v>
      </c>
      <c r="AA140" s="16">
        <f t="shared" si="128"/>
        <v>0</v>
      </c>
      <c r="AB140" s="16">
        <f t="shared" si="128"/>
        <v>0</v>
      </c>
      <c r="AC140" s="16">
        <f t="shared" si="128"/>
        <v>0</v>
      </c>
      <c r="AD140" s="16">
        <f t="shared" si="128"/>
        <v>0</v>
      </c>
      <c r="AE140" s="16">
        <f t="shared" si="128"/>
        <v>0</v>
      </c>
      <c r="AF140" s="16">
        <f t="shared" si="128"/>
        <v>0</v>
      </c>
      <c r="AG140" s="16">
        <f t="shared" si="128"/>
        <v>0</v>
      </c>
      <c r="AH140" s="16">
        <f t="shared" si="128"/>
        <v>0</v>
      </c>
      <c r="AI140" s="16">
        <f t="shared" si="128"/>
        <v>0</v>
      </c>
      <c r="AJ140" s="16">
        <f t="shared" si="128"/>
        <v>0</v>
      </c>
      <c r="AK140" s="16">
        <f t="shared" si="128"/>
        <v>0</v>
      </c>
      <c r="AL140" s="16">
        <f t="shared" si="128"/>
        <v>0</v>
      </c>
      <c r="AM140" s="16">
        <f t="shared" si="128"/>
        <v>0</v>
      </c>
      <c r="AN140" s="16">
        <f t="shared" si="128"/>
        <v>0</v>
      </c>
      <c r="AO140" s="16">
        <f t="shared" si="128"/>
        <v>0</v>
      </c>
      <c r="AP140" s="16">
        <f t="shared" si="128"/>
        <v>0</v>
      </c>
      <c r="AQ140" s="16">
        <f t="shared" si="128"/>
        <v>0</v>
      </c>
      <c r="AR140" s="16">
        <f t="shared" si="128"/>
        <v>0</v>
      </c>
    </row>
    <row r="141" spans="1:44" s="15" customFormat="1" x14ac:dyDescent="0.15">
      <c r="A141" s="19" t="s">
        <v>914</v>
      </c>
      <c r="B141" s="16">
        <f t="shared" ref="B141:AR141" si="129">B$149*$K6/$K$14</f>
        <v>0</v>
      </c>
      <c r="C141" s="16">
        <f t="shared" si="129"/>
        <v>0</v>
      </c>
      <c r="D141" s="16">
        <f t="shared" si="129"/>
        <v>0</v>
      </c>
      <c r="E141" s="16">
        <f t="shared" si="129"/>
        <v>0</v>
      </c>
      <c r="F141" s="16">
        <f t="shared" si="129"/>
        <v>0</v>
      </c>
      <c r="G141" s="16">
        <f t="shared" si="129"/>
        <v>0</v>
      </c>
      <c r="H141" s="16">
        <f t="shared" si="129"/>
        <v>0</v>
      </c>
      <c r="I141" s="16">
        <f t="shared" si="129"/>
        <v>0</v>
      </c>
      <c r="J141" s="16">
        <f t="shared" si="129"/>
        <v>0</v>
      </c>
      <c r="K141" s="16">
        <f t="shared" si="129"/>
        <v>0</v>
      </c>
      <c r="L141" s="16">
        <f t="shared" si="129"/>
        <v>0</v>
      </c>
      <c r="M141" s="16">
        <f t="shared" si="129"/>
        <v>0</v>
      </c>
      <c r="N141" s="16">
        <f t="shared" si="129"/>
        <v>0</v>
      </c>
      <c r="O141" s="16">
        <f t="shared" si="129"/>
        <v>0</v>
      </c>
      <c r="P141" s="16">
        <f t="shared" si="129"/>
        <v>0</v>
      </c>
      <c r="Q141" s="16">
        <f t="shared" si="129"/>
        <v>0</v>
      </c>
      <c r="R141" s="16">
        <f t="shared" si="129"/>
        <v>0</v>
      </c>
      <c r="S141" s="16">
        <f t="shared" si="129"/>
        <v>0</v>
      </c>
      <c r="T141" s="16">
        <f t="shared" si="129"/>
        <v>0</v>
      </c>
      <c r="U141" s="16">
        <f t="shared" si="129"/>
        <v>0</v>
      </c>
      <c r="V141" s="16">
        <f t="shared" si="129"/>
        <v>0</v>
      </c>
      <c r="W141" s="16">
        <f t="shared" si="129"/>
        <v>0</v>
      </c>
      <c r="X141" s="16">
        <f t="shared" si="129"/>
        <v>0</v>
      </c>
      <c r="Y141" s="16">
        <f t="shared" si="129"/>
        <v>0</v>
      </c>
      <c r="Z141" s="16">
        <f t="shared" si="129"/>
        <v>0</v>
      </c>
      <c r="AA141" s="16">
        <f t="shared" si="129"/>
        <v>0</v>
      </c>
      <c r="AB141" s="16">
        <f t="shared" si="129"/>
        <v>0</v>
      </c>
      <c r="AC141" s="16">
        <f t="shared" si="129"/>
        <v>0</v>
      </c>
      <c r="AD141" s="16">
        <f t="shared" si="129"/>
        <v>0</v>
      </c>
      <c r="AE141" s="16">
        <f t="shared" si="129"/>
        <v>0</v>
      </c>
      <c r="AF141" s="16">
        <f t="shared" si="129"/>
        <v>0</v>
      </c>
      <c r="AG141" s="16">
        <f t="shared" si="129"/>
        <v>0</v>
      </c>
      <c r="AH141" s="16">
        <f t="shared" si="129"/>
        <v>0</v>
      </c>
      <c r="AI141" s="16">
        <f t="shared" si="129"/>
        <v>0</v>
      </c>
      <c r="AJ141" s="16">
        <f t="shared" si="129"/>
        <v>0</v>
      </c>
      <c r="AK141" s="16">
        <f t="shared" si="129"/>
        <v>0</v>
      </c>
      <c r="AL141" s="16">
        <f t="shared" si="129"/>
        <v>0</v>
      </c>
      <c r="AM141" s="16">
        <f t="shared" si="129"/>
        <v>0</v>
      </c>
      <c r="AN141" s="16">
        <f t="shared" si="129"/>
        <v>0</v>
      </c>
      <c r="AO141" s="16">
        <f t="shared" si="129"/>
        <v>0</v>
      </c>
      <c r="AP141" s="16">
        <f t="shared" si="129"/>
        <v>0</v>
      </c>
      <c r="AQ141" s="16">
        <f t="shared" si="129"/>
        <v>0</v>
      </c>
      <c r="AR141" s="16">
        <f t="shared" si="129"/>
        <v>0</v>
      </c>
    </row>
    <row r="142" spans="1:44" s="15" customFormat="1" x14ac:dyDescent="0.15">
      <c r="A142" s="19" t="s">
        <v>915</v>
      </c>
      <c r="B142" s="16">
        <f t="shared" ref="B142:AR142" si="130">B$149*$K7/$K$14</f>
        <v>0</v>
      </c>
      <c r="C142" s="16">
        <f t="shared" si="130"/>
        <v>0</v>
      </c>
      <c r="D142" s="16">
        <f t="shared" si="130"/>
        <v>0</v>
      </c>
      <c r="E142" s="16">
        <f t="shared" si="130"/>
        <v>0</v>
      </c>
      <c r="F142" s="16">
        <f t="shared" si="130"/>
        <v>0</v>
      </c>
      <c r="G142" s="16">
        <f t="shared" si="130"/>
        <v>0</v>
      </c>
      <c r="H142" s="16">
        <f t="shared" si="130"/>
        <v>0</v>
      </c>
      <c r="I142" s="16">
        <f t="shared" si="130"/>
        <v>0</v>
      </c>
      <c r="J142" s="16">
        <f t="shared" si="130"/>
        <v>0</v>
      </c>
      <c r="K142" s="16">
        <f t="shared" si="130"/>
        <v>0</v>
      </c>
      <c r="L142" s="16">
        <f t="shared" si="130"/>
        <v>0</v>
      </c>
      <c r="M142" s="16">
        <f t="shared" si="130"/>
        <v>0</v>
      </c>
      <c r="N142" s="16">
        <f t="shared" si="130"/>
        <v>0</v>
      </c>
      <c r="O142" s="16">
        <f t="shared" si="130"/>
        <v>0</v>
      </c>
      <c r="P142" s="16">
        <f t="shared" si="130"/>
        <v>0</v>
      </c>
      <c r="Q142" s="16">
        <f t="shared" si="130"/>
        <v>0</v>
      </c>
      <c r="R142" s="16">
        <f t="shared" si="130"/>
        <v>0</v>
      </c>
      <c r="S142" s="16">
        <f t="shared" si="130"/>
        <v>0</v>
      </c>
      <c r="T142" s="16">
        <f t="shared" si="130"/>
        <v>0</v>
      </c>
      <c r="U142" s="16">
        <f t="shared" si="130"/>
        <v>0</v>
      </c>
      <c r="V142" s="16">
        <f t="shared" si="130"/>
        <v>0</v>
      </c>
      <c r="W142" s="16">
        <f t="shared" si="130"/>
        <v>0</v>
      </c>
      <c r="X142" s="16">
        <f t="shared" si="130"/>
        <v>0</v>
      </c>
      <c r="Y142" s="16">
        <f t="shared" si="130"/>
        <v>0</v>
      </c>
      <c r="Z142" s="16">
        <f t="shared" si="130"/>
        <v>0</v>
      </c>
      <c r="AA142" s="16">
        <f t="shared" si="130"/>
        <v>0</v>
      </c>
      <c r="AB142" s="16">
        <f t="shared" si="130"/>
        <v>0</v>
      </c>
      <c r="AC142" s="16">
        <f t="shared" si="130"/>
        <v>0</v>
      </c>
      <c r="AD142" s="16">
        <f t="shared" si="130"/>
        <v>0</v>
      </c>
      <c r="AE142" s="16">
        <f t="shared" si="130"/>
        <v>0</v>
      </c>
      <c r="AF142" s="16">
        <f t="shared" si="130"/>
        <v>0</v>
      </c>
      <c r="AG142" s="16">
        <f t="shared" si="130"/>
        <v>0</v>
      </c>
      <c r="AH142" s="16">
        <f t="shared" si="130"/>
        <v>0</v>
      </c>
      <c r="AI142" s="16">
        <f t="shared" si="130"/>
        <v>0</v>
      </c>
      <c r="AJ142" s="16">
        <f t="shared" si="130"/>
        <v>0</v>
      </c>
      <c r="AK142" s="16">
        <f t="shared" si="130"/>
        <v>0</v>
      </c>
      <c r="AL142" s="16">
        <f t="shared" si="130"/>
        <v>0</v>
      </c>
      <c r="AM142" s="16">
        <f t="shared" si="130"/>
        <v>0</v>
      </c>
      <c r="AN142" s="16">
        <f t="shared" si="130"/>
        <v>0</v>
      </c>
      <c r="AO142" s="16">
        <f t="shared" si="130"/>
        <v>0</v>
      </c>
      <c r="AP142" s="16">
        <f t="shared" si="130"/>
        <v>0</v>
      </c>
      <c r="AQ142" s="16">
        <f t="shared" si="130"/>
        <v>0</v>
      </c>
      <c r="AR142" s="16">
        <f t="shared" si="130"/>
        <v>0</v>
      </c>
    </row>
    <row r="143" spans="1:44" s="15" customFormat="1" x14ac:dyDescent="0.15">
      <c r="A143" s="19" t="s">
        <v>916</v>
      </c>
      <c r="B143" s="16">
        <f t="shared" ref="B143:AR143" si="131">B$149*$K8/$K$14</f>
        <v>0</v>
      </c>
      <c r="C143" s="16">
        <f t="shared" si="131"/>
        <v>0</v>
      </c>
      <c r="D143" s="16">
        <f t="shared" si="131"/>
        <v>0</v>
      </c>
      <c r="E143" s="16">
        <f t="shared" si="131"/>
        <v>0</v>
      </c>
      <c r="F143" s="16">
        <f t="shared" si="131"/>
        <v>0</v>
      </c>
      <c r="G143" s="16">
        <f t="shared" si="131"/>
        <v>0</v>
      </c>
      <c r="H143" s="16">
        <f t="shared" si="131"/>
        <v>0</v>
      </c>
      <c r="I143" s="16">
        <f t="shared" si="131"/>
        <v>0</v>
      </c>
      <c r="J143" s="16">
        <f t="shared" si="131"/>
        <v>0</v>
      </c>
      <c r="K143" s="16">
        <f t="shared" si="131"/>
        <v>0</v>
      </c>
      <c r="L143" s="16">
        <f t="shared" si="131"/>
        <v>0</v>
      </c>
      <c r="M143" s="16">
        <f t="shared" si="131"/>
        <v>0</v>
      </c>
      <c r="N143" s="16">
        <f t="shared" si="131"/>
        <v>0</v>
      </c>
      <c r="O143" s="16">
        <f t="shared" si="131"/>
        <v>0</v>
      </c>
      <c r="P143" s="16">
        <f t="shared" si="131"/>
        <v>0</v>
      </c>
      <c r="Q143" s="16">
        <f t="shared" si="131"/>
        <v>0</v>
      </c>
      <c r="R143" s="16">
        <f t="shared" si="131"/>
        <v>0</v>
      </c>
      <c r="S143" s="16">
        <f t="shared" si="131"/>
        <v>0</v>
      </c>
      <c r="T143" s="16">
        <f t="shared" si="131"/>
        <v>0</v>
      </c>
      <c r="U143" s="16">
        <f t="shared" si="131"/>
        <v>0</v>
      </c>
      <c r="V143" s="16">
        <f t="shared" si="131"/>
        <v>0</v>
      </c>
      <c r="W143" s="16">
        <f t="shared" si="131"/>
        <v>0</v>
      </c>
      <c r="X143" s="16">
        <f t="shared" si="131"/>
        <v>0</v>
      </c>
      <c r="Y143" s="16">
        <f t="shared" si="131"/>
        <v>0</v>
      </c>
      <c r="Z143" s="16">
        <f t="shared" si="131"/>
        <v>0</v>
      </c>
      <c r="AA143" s="16">
        <f t="shared" si="131"/>
        <v>0</v>
      </c>
      <c r="AB143" s="16">
        <f t="shared" si="131"/>
        <v>0</v>
      </c>
      <c r="AC143" s="16">
        <f t="shared" si="131"/>
        <v>0</v>
      </c>
      <c r="AD143" s="16">
        <f t="shared" si="131"/>
        <v>0</v>
      </c>
      <c r="AE143" s="16">
        <f t="shared" si="131"/>
        <v>0</v>
      </c>
      <c r="AF143" s="16">
        <f t="shared" si="131"/>
        <v>0</v>
      </c>
      <c r="AG143" s="16">
        <f t="shared" si="131"/>
        <v>0</v>
      </c>
      <c r="AH143" s="16">
        <f t="shared" si="131"/>
        <v>0</v>
      </c>
      <c r="AI143" s="16">
        <f t="shared" si="131"/>
        <v>0</v>
      </c>
      <c r="AJ143" s="16">
        <f t="shared" si="131"/>
        <v>0</v>
      </c>
      <c r="AK143" s="16">
        <f t="shared" si="131"/>
        <v>0</v>
      </c>
      <c r="AL143" s="16">
        <f t="shared" si="131"/>
        <v>0</v>
      </c>
      <c r="AM143" s="16">
        <f t="shared" si="131"/>
        <v>0</v>
      </c>
      <c r="AN143" s="16">
        <f t="shared" si="131"/>
        <v>0</v>
      </c>
      <c r="AO143" s="16">
        <f t="shared" si="131"/>
        <v>0</v>
      </c>
      <c r="AP143" s="16">
        <f t="shared" si="131"/>
        <v>0</v>
      </c>
      <c r="AQ143" s="16">
        <f t="shared" si="131"/>
        <v>0</v>
      </c>
      <c r="AR143" s="16">
        <f t="shared" si="131"/>
        <v>0</v>
      </c>
    </row>
    <row r="144" spans="1:44" s="15" customFormat="1" x14ac:dyDescent="0.15">
      <c r="A144" s="19" t="s">
        <v>917</v>
      </c>
      <c r="B144" s="16">
        <f t="shared" ref="B144:AR144" si="132">B$149*$K9/$K$14</f>
        <v>0</v>
      </c>
      <c r="C144" s="16">
        <f t="shared" si="132"/>
        <v>0</v>
      </c>
      <c r="D144" s="16">
        <f t="shared" si="132"/>
        <v>0</v>
      </c>
      <c r="E144" s="16">
        <f t="shared" si="132"/>
        <v>0</v>
      </c>
      <c r="F144" s="16">
        <f t="shared" si="132"/>
        <v>0</v>
      </c>
      <c r="G144" s="16">
        <f t="shared" si="132"/>
        <v>0</v>
      </c>
      <c r="H144" s="16">
        <f t="shared" si="132"/>
        <v>0</v>
      </c>
      <c r="I144" s="16">
        <f t="shared" si="132"/>
        <v>0</v>
      </c>
      <c r="J144" s="16">
        <f t="shared" si="132"/>
        <v>0</v>
      </c>
      <c r="K144" s="16">
        <f t="shared" si="132"/>
        <v>0</v>
      </c>
      <c r="L144" s="16">
        <f t="shared" si="132"/>
        <v>0</v>
      </c>
      <c r="M144" s="16">
        <f t="shared" si="132"/>
        <v>0</v>
      </c>
      <c r="N144" s="16">
        <f t="shared" si="132"/>
        <v>0</v>
      </c>
      <c r="O144" s="16">
        <f t="shared" si="132"/>
        <v>0</v>
      </c>
      <c r="P144" s="16">
        <f t="shared" si="132"/>
        <v>0</v>
      </c>
      <c r="Q144" s="16">
        <f t="shared" si="132"/>
        <v>0</v>
      </c>
      <c r="R144" s="16">
        <f t="shared" si="132"/>
        <v>0</v>
      </c>
      <c r="S144" s="16">
        <f t="shared" si="132"/>
        <v>0</v>
      </c>
      <c r="T144" s="16">
        <f t="shared" si="132"/>
        <v>0</v>
      </c>
      <c r="U144" s="16">
        <f t="shared" si="132"/>
        <v>0</v>
      </c>
      <c r="V144" s="16">
        <f t="shared" si="132"/>
        <v>0</v>
      </c>
      <c r="W144" s="16">
        <f t="shared" si="132"/>
        <v>0</v>
      </c>
      <c r="X144" s="16">
        <f t="shared" si="132"/>
        <v>0</v>
      </c>
      <c r="Y144" s="16">
        <f t="shared" si="132"/>
        <v>0</v>
      </c>
      <c r="Z144" s="16">
        <f t="shared" si="132"/>
        <v>0</v>
      </c>
      <c r="AA144" s="16">
        <f t="shared" si="132"/>
        <v>0</v>
      </c>
      <c r="AB144" s="16">
        <f t="shared" si="132"/>
        <v>0</v>
      </c>
      <c r="AC144" s="16">
        <f t="shared" si="132"/>
        <v>0</v>
      </c>
      <c r="AD144" s="16">
        <f t="shared" si="132"/>
        <v>0</v>
      </c>
      <c r="AE144" s="16">
        <f t="shared" si="132"/>
        <v>0</v>
      </c>
      <c r="AF144" s="16">
        <f t="shared" si="132"/>
        <v>0</v>
      </c>
      <c r="AG144" s="16">
        <f t="shared" si="132"/>
        <v>0</v>
      </c>
      <c r="AH144" s="16">
        <f t="shared" si="132"/>
        <v>0</v>
      </c>
      <c r="AI144" s="16">
        <f t="shared" si="132"/>
        <v>0</v>
      </c>
      <c r="AJ144" s="16">
        <f t="shared" si="132"/>
        <v>0</v>
      </c>
      <c r="AK144" s="16">
        <f t="shared" si="132"/>
        <v>0</v>
      </c>
      <c r="AL144" s="16">
        <f t="shared" si="132"/>
        <v>0</v>
      </c>
      <c r="AM144" s="16">
        <f t="shared" si="132"/>
        <v>0</v>
      </c>
      <c r="AN144" s="16">
        <f t="shared" si="132"/>
        <v>0</v>
      </c>
      <c r="AO144" s="16">
        <f t="shared" si="132"/>
        <v>0</v>
      </c>
      <c r="AP144" s="16">
        <f t="shared" si="132"/>
        <v>0</v>
      </c>
      <c r="AQ144" s="16">
        <f t="shared" si="132"/>
        <v>0</v>
      </c>
      <c r="AR144" s="16">
        <f t="shared" si="132"/>
        <v>0</v>
      </c>
    </row>
    <row r="145" spans="1:44" s="15" customFormat="1" x14ac:dyDescent="0.15">
      <c r="A145" s="19" t="s">
        <v>918</v>
      </c>
      <c r="B145" s="16">
        <f t="shared" ref="B145:AR145" si="133">B$149*$K10/$K$14</f>
        <v>0</v>
      </c>
      <c r="C145" s="16">
        <f t="shared" si="133"/>
        <v>0</v>
      </c>
      <c r="D145" s="16">
        <f t="shared" si="133"/>
        <v>0</v>
      </c>
      <c r="E145" s="16">
        <f t="shared" si="133"/>
        <v>0</v>
      </c>
      <c r="F145" s="16">
        <f t="shared" si="133"/>
        <v>0</v>
      </c>
      <c r="G145" s="16">
        <f t="shared" si="133"/>
        <v>0</v>
      </c>
      <c r="H145" s="16">
        <f t="shared" si="133"/>
        <v>0</v>
      </c>
      <c r="I145" s="16">
        <f t="shared" si="133"/>
        <v>0</v>
      </c>
      <c r="J145" s="16">
        <f t="shared" si="133"/>
        <v>0</v>
      </c>
      <c r="K145" s="16">
        <f t="shared" si="133"/>
        <v>0</v>
      </c>
      <c r="L145" s="16">
        <f t="shared" si="133"/>
        <v>0</v>
      </c>
      <c r="M145" s="16">
        <f t="shared" si="133"/>
        <v>0</v>
      </c>
      <c r="N145" s="16">
        <f t="shared" si="133"/>
        <v>0</v>
      </c>
      <c r="O145" s="16">
        <f t="shared" si="133"/>
        <v>0</v>
      </c>
      <c r="P145" s="16">
        <f t="shared" si="133"/>
        <v>0</v>
      </c>
      <c r="Q145" s="16">
        <f t="shared" si="133"/>
        <v>0</v>
      </c>
      <c r="R145" s="16">
        <f t="shared" si="133"/>
        <v>0</v>
      </c>
      <c r="S145" s="16">
        <f t="shared" si="133"/>
        <v>0</v>
      </c>
      <c r="T145" s="16">
        <f t="shared" si="133"/>
        <v>0</v>
      </c>
      <c r="U145" s="16">
        <f t="shared" si="133"/>
        <v>0</v>
      </c>
      <c r="V145" s="16">
        <f t="shared" si="133"/>
        <v>0</v>
      </c>
      <c r="W145" s="16">
        <f t="shared" si="133"/>
        <v>0</v>
      </c>
      <c r="X145" s="16">
        <f t="shared" si="133"/>
        <v>0</v>
      </c>
      <c r="Y145" s="16">
        <f t="shared" si="133"/>
        <v>0</v>
      </c>
      <c r="Z145" s="16">
        <f t="shared" si="133"/>
        <v>0</v>
      </c>
      <c r="AA145" s="16">
        <f t="shared" si="133"/>
        <v>0</v>
      </c>
      <c r="AB145" s="16">
        <f t="shared" si="133"/>
        <v>0</v>
      </c>
      <c r="AC145" s="16">
        <f t="shared" si="133"/>
        <v>0</v>
      </c>
      <c r="AD145" s="16">
        <f t="shared" si="133"/>
        <v>0</v>
      </c>
      <c r="AE145" s="16">
        <f t="shared" si="133"/>
        <v>0</v>
      </c>
      <c r="AF145" s="16">
        <f t="shared" si="133"/>
        <v>0</v>
      </c>
      <c r="AG145" s="16">
        <f t="shared" si="133"/>
        <v>0</v>
      </c>
      <c r="AH145" s="16">
        <f t="shared" si="133"/>
        <v>0</v>
      </c>
      <c r="AI145" s="16">
        <f t="shared" si="133"/>
        <v>0</v>
      </c>
      <c r="AJ145" s="16">
        <f t="shared" si="133"/>
        <v>0</v>
      </c>
      <c r="AK145" s="16">
        <f t="shared" si="133"/>
        <v>0</v>
      </c>
      <c r="AL145" s="16">
        <f t="shared" si="133"/>
        <v>0</v>
      </c>
      <c r="AM145" s="16">
        <f t="shared" si="133"/>
        <v>0</v>
      </c>
      <c r="AN145" s="16">
        <f t="shared" si="133"/>
        <v>0</v>
      </c>
      <c r="AO145" s="16">
        <f t="shared" si="133"/>
        <v>0</v>
      </c>
      <c r="AP145" s="16">
        <f t="shared" si="133"/>
        <v>0</v>
      </c>
      <c r="AQ145" s="16">
        <f t="shared" si="133"/>
        <v>0</v>
      </c>
      <c r="AR145" s="16">
        <f t="shared" si="133"/>
        <v>0</v>
      </c>
    </row>
    <row r="146" spans="1:44" s="15" customFormat="1" x14ac:dyDescent="0.15">
      <c r="A146" s="19" t="s">
        <v>919</v>
      </c>
      <c r="B146" s="16">
        <f t="shared" ref="B146:AR146" si="134">B$149*$K11/$K$14</f>
        <v>0</v>
      </c>
      <c r="C146" s="16">
        <f t="shared" si="134"/>
        <v>0</v>
      </c>
      <c r="D146" s="16">
        <f t="shared" si="134"/>
        <v>0</v>
      </c>
      <c r="E146" s="16">
        <f t="shared" si="134"/>
        <v>0</v>
      </c>
      <c r="F146" s="16">
        <f t="shared" si="134"/>
        <v>0</v>
      </c>
      <c r="G146" s="16">
        <f t="shared" si="134"/>
        <v>0</v>
      </c>
      <c r="H146" s="16">
        <f t="shared" si="134"/>
        <v>0</v>
      </c>
      <c r="I146" s="16">
        <f t="shared" si="134"/>
        <v>0</v>
      </c>
      <c r="J146" s="16">
        <f t="shared" si="134"/>
        <v>0</v>
      </c>
      <c r="K146" s="16">
        <f t="shared" si="134"/>
        <v>0</v>
      </c>
      <c r="L146" s="16">
        <f t="shared" si="134"/>
        <v>0</v>
      </c>
      <c r="M146" s="16">
        <f t="shared" si="134"/>
        <v>0</v>
      </c>
      <c r="N146" s="16">
        <f t="shared" si="134"/>
        <v>0</v>
      </c>
      <c r="O146" s="16">
        <f t="shared" si="134"/>
        <v>0</v>
      </c>
      <c r="P146" s="16">
        <f t="shared" si="134"/>
        <v>0</v>
      </c>
      <c r="Q146" s="16">
        <f t="shared" si="134"/>
        <v>0</v>
      </c>
      <c r="R146" s="16">
        <f t="shared" si="134"/>
        <v>0</v>
      </c>
      <c r="S146" s="16">
        <f t="shared" si="134"/>
        <v>0</v>
      </c>
      <c r="T146" s="16">
        <f t="shared" si="134"/>
        <v>0</v>
      </c>
      <c r="U146" s="16">
        <f t="shared" si="134"/>
        <v>0</v>
      </c>
      <c r="V146" s="16">
        <f t="shared" si="134"/>
        <v>0</v>
      </c>
      <c r="W146" s="16">
        <f t="shared" si="134"/>
        <v>0</v>
      </c>
      <c r="X146" s="16">
        <f t="shared" si="134"/>
        <v>0</v>
      </c>
      <c r="Y146" s="16">
        <f t="shared" si="134"/>
        <v>0</v>
      </c>
      <c r="Z146" s="16">
        <f t="shared" si="134"/>
        <v>0</v>
      </c>
      <c r="AA146" s="16">
        <f t="shared" si="134"/>
        <v>0</v>
      </c>
      <c r="AB146" s="16">
        <f t="shared" si="134"/>
        <v>0</v>
      </c>
      <c r="AC146" s="16">
        <f t="shared" si="134"/>
        <v>0</v>
      </c>
      <c r="AD146" s="16">
        <f t="shared" si="134"/>
        <v>0</v>
      </c>
      <c r="AE146" s="16">
        <f t="shared" si="134"/>
        <v>0</v>
      </c>
      <c r="AF146" s="16">
        <f t="shared" si="134"/>
        <v>0</v>
      </c>
      <c r="AG146" s="16">
        <f t="shared" si="134"/>
        <v>0</v>
      </c>
      <c r="AH146" s="16">
        <f t="shared" si="134"/>
        <v>0</v>
      </c>
      <c r="AI146" s="16">
        <f t="shared" si="134"/>
        <v>0</v>
      </c>
      <c r="AJ146" s="16">
        <f t="shared" si="134"/>
        <v>0</v>
      </c>
      <c r="AK146" s="16">
        <f t="shared" si="134"/>
        <v>0</v>
      </c>
      <c r="AL146" s="16">
        <f t="shared" si="134"/>
        <v>0</v>
      </c>
      <c r="AM146" s="16">
        <f t="shared" si="134"/>
        <v>0</v>
      </c>
      <c r="AN146" s="16">
        <f t="shared" si="134"/>
        <v>0</v>
      </c>
      <c r="AO146" s="16">
        <f t="shared" si="134"/>
        <v>0</v>
      </c>
      <c r="AP146" s="16">
        <f t="shared" si="134"/>
        <v>0</v>
      </c>
      <c r="AQ146" s="16">
        <f t="shared" si="134"/>
        <v>0</v>
      </c>
      <c r="AR146" s="16">
        <f t="shared" si="134"/>
        <v>0</v>
      </c>
    </row>
    <row r="147" spans="1:44" s="15" customFormat="1" x14ac:dyDescent="0.15">
      <c r="A147" s="19" t="s">
        <v>920</v>
      </c>
      <c r="B147" s="16">
        <f t="shared" ref="B147:AR147" si="135">B$149*$K12/$K$14</f>
        <v>0</v>
      </c>
      <c r="C147" s="16">
        <f t="shared" si="135"/>
        <v>0</v>
      </c>
      <c r="D147" s="16">
        <f t="shared" si="135"/>
        <v>0</v>
      </c>
      <c r="E147" s="16">
        <f t="shared" si="135"/>
        <v>0</v>
      </c>
      <c r="F147" s="16">
        <f t="shared" si="135"/>
        <v>0</v>
      </c>
      <c r="G147" s="16">
        <f t="shared" si="135"/>
        <v>0</v>
      </c>
      <c r="H147" s="16">
        <f t="shared" si="135"/>
        <v>0</v>
      </c>
      <c r="I147" s="16">
        <f t="shared" si="135"/>
        <v>0</v>
      </c>
      <c r="J147" s="16">
        <f t="shared" si="135"/>
        <v>0</v>
      </c>
      <c r="K147" s="16">
        <f t="shared" si="135"/>
        <v>0</v>
      </c>
      <c r="L147" s="16">
        <f t="shared" si="135"/>
        <v>0</v>
      </c>
      <c r="M147" s="16">
        <f t="shared" si="135"/>
        <v>0</v>
      </c>
      <c r="N147" s="16">
        <f t="shared" si="135"/>
        <v>0</v>
      </c>
      <c r="O147" s="16">
        <f t="shared" si="135"/>
        <v>0</v>
      </c>
      <c r="P147" s="16">
        <f t="shared" si="135"/>
        <v>0</v>
      </c>
      <c r="Q147" s="16">
        <f t="shared" si="135"/>
        <v>0</v>
      </c>
      <c r="R147" s="16">
        <f t="shared" si="135"/>
        <v>0</v>
      </c>
      <c r="S147" s="16">
        <f t="shared" si="135"/>
        <v>0</v>
      </c>
      <c r="T147" s="16">
        <f t="shared" si="135"/>
        <v>0</v>
      </c>
      <c r="U147" s="16">
        <f t="shared" si="135"/>
        <v>0</v>
      </c>
      <c r="V147" s="16">
        <f t="shared" si="135"/>
        <v>0</v>
      </c>
      <c r="W147" s="16">
        <f t="shared" si="135"/>
        <v>0</v>
      </c>
      <c r="X147" s="16">
        <f t="shared" si="135"/>
        <v>0</v>
      </c>
      <c r="Y147" s="16">
        <f t="shared" si="135"/>
        <v>0</v>
      </c>
      <c r="Z147" s="16">
        <f t="shared" si="135"/>
        <v>0</v>
      </c>
      <c r="AA147" s="16">
        <f t="shared" si="135"/>
        <v>0</v>
      </c>
      <c r="AB147" s="16">
        <f t="shared" si="135"/>
        <v>0</v>
      </c>
      <c r="AC147" s="16">
        <f t="shared" si="135"/>
        <v>0</v>
      </c>
      <c r="AD147" s="16">
        <f t="shared" si="135"/>
        <v>0</v>
      </c>
      <c r="AE147" s="16">
        <f t="shared" si="135"/>
        <v>0</v>
      </c>
      <c r="AF147" s="16">
        <f t="shared" si="135"/>
        <v>0</v>
      </c>
      <c r="AG147" s="16">
        <f t="shared" si="135"/>
        <v>0</v>
      </c>
      <c r="AH147" s="16">
        <f t="shared" si="135"/>
        <v>0</v>
      </c>
      <c r="AI147" s="16">
        <f t="shared" si="135"/>
        <v>0</v>
      </c>
      <c r="AJ147" s="16">
        <f t="shared" si="135"/>
        <v>0</v>
      </c>
      <c r="AK147" s="16">
        <f t="shared" si="135"/>
        <v>0</v>
      </c>
      <c r="AL147" s="16">
        <f t="shared" si="135"/>
        <v>0</v>
      </c>
      <c r="AM147" s="16">
        <f t="shared" si="135"/>
        <v>0</v>
      </c>
      <c r="AN147" s="16">
        <f t="shared" si="135"/>
        <v>0</v>
      </c>
      <c r="AO147" s="16">
        <f t="shared" si="135"/>
        <v>0</v>
      </c>
      <c r="AP147" s="16">
        <f t="shared" si="135"/>
        <v>0</v>
      </c>
      <c r="AQ147" s="16">
        <f t="shared" si="135"/>
        <v>0</v>
      </c>
      <c r="AR147" s="16">
        <f t="shared" si="135"/>
        <v>0</v>
      </c>
    </row>
    <row r="148" spans="1:44" s="15" customFormat="1" x14ac:dyDescent="0.15">
      <c r="A148" s="19" t="s">
        <v>921</v>
      </c>
      <c r="B148" s="16">
        <f t="shared" ref="B148:AR148" si="136">B$149*$K13/$K$14</f>
        <v>0</v>
      </c>
      <c r="C148" s="16">
        <f t="shared" si="136"/>
        <v>0</v>
      </c>
      <c r="D148" s="16">
        <f t="shared" si="136"/>
        <v>0</v>
      </c>
      <c r="E148" s="16">
        <f t="shared" si="136"/>
        <v>0</v>
      </c>
      <c r="F148" s="16">
        <f t="shared" si="136"/>
        <v>0</v>
      </c>
      <c r="G148" s="16">
        <f t="shared" si="136"/>
        <v>0</v>
      </c>
      <c r="H148" s="16">
        <f t="shared" si="136"/>
        <v>0</v>
      </c>
      <c r="I148" s="16">
        <f t="shared" si="136"/>
        <v>0</v>
      </c>
      <c r="J148" s="16">
        <f t="shared" si="136"/>
        <v>0</v>
      </c>
      <c r="K148" s="16">
        <f t="shared" si="136"/>
        <v>0</v>
      </c>
      <c r="L148" s="16">
        <f t="shared" si="136"/>
        <v>0</v>
      </c>
      <c r="M148" s="16">
        <f t="shared" si="136"/>
        <v>0</v>
      </c>
      <c r="N148" s="16">
        <f t="shared" si="136"/>
        <v>0</v>
      </c>
      <c r="O148" s="16">
        <f t="shared" si="136"/>
        <v>0</v>
      </c>
      <c r="P148" s="16">
        <f t="shared" si="136"/>
        <v>0</v>
      </c>
      <c r="Q148" s="16">
        <f t="shared" si="136"/>
        <v>0</v>
      </c>
      <c r="R148" s="16">
        <f t="shared" si="136"/>
        <v>0</v>
      </c>
      <c r="S148" s="16">
        <f t="shared" si="136"/>
        <v>0</v>
      </c>
      <c r="T148" s="16">
        <f t="shared" si="136"/>
        <v>0</v>
      </c>
      <c r="U148" s="16">
        <f t="shared" si="136"/>
        <v>0</v>
      </c>
      <c r="V148" s="16">
        <f t="shared" si="136"/>
        <v>0</v>
      </c>
      <c r="W148" s="16">
        <f t="shared" si="136"/>
        <v>0</v>
      </c>
      <c r="X148" s="16">
        <f t="shared" si="136"/>
        <v>0</v>
      </c>
      <c r="Y148" s="16">
        <f t="shared" si="136"/>
        <v>0</v>
      </c>
      <c r="Z148" s="16">
        <f t="shared" si="136"/>
        <v>0</v>
      </c>
      <c r="AA148" s="16">
        <f t="shared" si="136"/>
        <v>0</v>
      </c>
      <c r="AB148" s="16">
        <f t="shared" si="136"/>
        <v>0</v>
      </c>
      <c r="AC148" s="16">
        <f t="shared" si="136"/>
        <v>0</v>
      </c>
      <c r="AD148" s="16">
        <f t="shared" si="136"/>
        <v>0</v>
      </c>
      <c r="AE148" s="16">
        <f t="shared" si="136"/>
        <v>0</v>
      </c>
      <c r="AF148" s="16">
        <f t="shared" si="136"/>
        <v>0</v>
      </c>
      <c r="AG148" s="16">
        <f t="shared" si="136"/>
        <v>0</v>
      </c>
      <c r="AH148" s="16">
        <f t="shared" si="136"/>
        <v>0</v>
      </c>
      <c r="AI148" s="16">
        <f t="shared" si="136"/>
        <v>0</v>
      </c>
      <c r="AJ148" s="16">
        <f t="shared" si="136"/>
        <v>0</v>
      </c>
      <c r="AK148" s="16">
        <f t="shared" si="136"/>
        <v>0</v>
      </c>
      <c r="AL148" s="16">
        <f t="shared" si="136"/>
        <v>0</v>
      </c>
      <c r="AM148" s="16">
        <f t="shared" si="136"/>
        <v>0</v>
      </c>
      <c r="AN148" s="16">
        <f t="shared" si="136"/>
        <v>0</v>
      </c>
      <c r="AO148" s="16">
        <f t="shared" si="136"/>
        <v>0</v>
      </c>
      <c r="AP148" s="16">
        <f t="shared" si="136"/>
        <v>0</v>
      </c>
      <c r="AQ148" s="16">
        <f t="shared" si="136"/>
        <v>0</v>
      </c>
      <c r="AR148" s="16">
        <f t="shared" si="136"/>
        <v>0</v>
      </c>
    </row>
    <row r="149" spans="1:44" s="17" customFormat="1" x14ac:dyDescent="0.15">
      <c r="A149" s="19" t="s">
        <v>911</v>
      </c>
      <c r="B149" s="17">
        <f>BAU建筑总能耗计算!B$5*$K$16</f>
        <v>520.27002879924191</v>
      </c>
      <c r="C149" s="17">
        <f>BAU建筑总能耗计算!C$5*$K$16</f>
        <v>516.57611159476733</v>
      </c>
      <c r="D149" s="17">
        <f>BAU建筑总能耗计算!D$5*$K$16</f>
        <v>501.95027232839868</v>
      </c>
      <c r="E149" s="17">
        <f>BAU建筑总能耗计算!E$5*$K$16</f>
        <v>492.61297739781457</v>
      </c>
      <c r="F149" s="17">
        <f>BAU建筑总能耗计算!F$5*$K$16</f>
        <v>491.12859417052391</v>
      </c>
      <c r="G149" s="17">
        <f>BAU建筑总能耗计算!G$5*$K$16</f>
        <v>489.4265520644098</v>
      </c>
      <c r="H149" s="17">
        <f>BAU建筑总能耗计算!H$5*$K$16</f>
        <v>487.51078917296411</v>
      </c>
      <c r="I149" s="17">
        <f>BAU建筑总能耗计算!I$5*$K$16</f>
        <v>485.38554076806207</v>
      </c>
      <c r="J149" s="17">
        <f>BAU建筑总能耗计算!J$5*$K$16</f>
        <v>483.05530482555281</v>
      </c>
      <c r="K149" s="17">
        <f>BAU建筑总能耗计算!K$5*$K$16</f>
        <v>480.52486558056671</v>
      </c>
      <c r="L149" s="17">
        <f>BAU建筑总能耗计算!L$5*$K$16</f>
        <v>477.79925858153211</v>
      </c>
      <c r="M149" s="17">
        <f>BAU建筑总能耗计算!M$5*$K$16</f>
        <v>474.88377796405263</v>
      </c>
      <c r="N149" s="17">
        <f>BAU建筑总能耗计算!N$5*$K$16</f>
        <v>471.78396362378305</v>
      </c>
      <c r="O149" s="17">
        <f>BAU建筑总能耗计算!O$5*$K$16</f>
        <v>468.50558543475142</v>
      </c>
      <c r="P149" s="17">
        <f>BAU建筑总能耗计算!P$5*$K$16</f>
        <v>465.05464883582988</v>
      </c>
      <c r="Q149" s="17">
        <f>BAU建筑总能耗计算!Q$5*$K$16</f>
        <v>461.43736255720739</v>
      </c>
      <c r="R149" s="17">
        <f>BAU建筑总能耗计算!R$5*$K$16</f>
        <v>457.74344535273269</v>
      </c>
      <c r="S149" s="17">
        <f>BAU建筑总能耗计算!S$5*$K$16</f>
        <v>453.89707132107861</v>
      </c>
      <c r="T149" s="17">
        <f>BAU建筑总能耗计算!T$5*$K$16</f>
        <v>449.77007877737458</v>
      </c>
      <c r="U149" s="17">
        <f>BAU建筑总能耗计算!U$5*$K$16</f>
        <v>445.37488397622582</v>
      </c>
      <c r="V149" s="17">
        <f>BAU建筑总能耗计算!V$5*$K$16</f>
        <v>440.72421211690812</v>
      </c>
      <c r="W149" s="17">
        <f>BAU建筑总能耗计算!W$5*$K$16</f>
        <v>435.83104665547626</v>
      </c>
      <c r="X149" s="17">
        <f>BAU建筑总能耗计算!X$5*$K$16</f>
        <v>430.70862749388232</v>
      </c>
      <c r="Y149" s="17">
        <f>BAU建筑总能耗计算!Y$5*$K$16</f>
        <v>425.37041382137477</v>
      </c>
      <c r="Z149" s="17">
        <f>BAU建筑总能耗计算!Z$5*$K$16</f>
        <v>419.83005562520952</v>
      </c>
      <c r="AA149" s="17">
        <f>BAU建筑总能耗计算!AA$5*$K$16</f>
        <v>414.10134924675702</v>
      </c>
      <c r="AB149" s="17">
        <f>BAU建筑总能耗计算!AB$5*$K$16</f>
        <v>408.19821471323962</v>
      </c>
      <c r="AC149" s="17">
        <f>BAU建筑总能耗计算!AC$5*$K$16</f>
        <v>402.13467387837557</v>
      </c>
      <c r="AD149" s="17">
        <f>BAU建筑总能耗计算!AD$5*$K$16</f>
        <v>395.9247877946226</v>
      </c>
      <c r="AE149" s="17">
        <f>BAU建筑总能耗计算!AE$5*$K$16</f>
        <v>389.58262626124662</v>
      </c>
      <c r="AF149" s="17">
        <f>BAU建筑总能耗计算!AF$5*$K$16</f>
        <v>383.12225461222715</v>
      </c>
      <c r="AG149" s="17">
        <f>BAU建筑总能耗计算!AG$5*$K$16</f>
        <v>376.55765206281313</v>
      </c>
      <c r="AH149" s="17">
        <f>BAU建筑总能耗计算!AH$5*$K$16</f>
        <v>369.90269042756535</v>
      </c>
      <c r="AI149" s="17">
        <f>BAU建筑总能耗计算!AI$5*$K$16</f>
        <v>363.1710972114044</v>
      </c>
      <c r="AJ149" s="17">
        <f>BAU建筑总能耗计算!AJ$5*$K$16</f>
        <v>356.37637907623161</v>
      </c>
      <c r="AK149" s="17">
        <f>BAU建筑总能耗计算!AK$5*$K$16</f>
        <v>349.53181380889197</v>
      </c>
      <c r="AL149" s="17">
        <f>BAU建筑总能耗计算!AL$5*$K$16</f>
        <v>342.6503530258646</v>
      </c>
      <c r="AM149" s="17">
        <f>BAU建筑总能耗计算!AM$5*$K$16</f>
        <v>335.7446144767743</v>
      </c>
      <c r="AN149" s="17">
        <f>BAU建筑总能耗计算!AN$5*$K$16</f>
        <v>328.82679886563102</v>
      </c>
      <c r="AO149" s="17">
        <f>BAU建筑总能耗计算!AO$5*$K$16</f>
        <v>321.90863869212245</v>
      </c>
      <c r="AP149" s="17">
        <f>BAU建筑总能耗计算!AP$5*$K$16</f>
        <v>315.00134046728868</v>
      </c>
      <c r="AQ149" s="17">
        <f>BAU建筑总能耗计算!AQ$5*$K$16</f>
        <v>308.11552457495685</v>
      </c>
      <c r="AR149" s="17">
        <f>BAU建筑总能耗计算!AR$5*$K$16</f>
        <v>301.26116969737268</v>
      </c>
    </row>
    <row r="150" spans="1:44" s="15" customFormat="1" x14ac:dyDescent="0.15"/>
    <row r="151" spans="1:44" s="19" customFormat="1" x14ac:dyDescent="0.15">
      <c r="A151" s="18" t="s">
        <v>19</v>
      </c>
      <c r="B151" s="19">
        <v>2018</v>
      </c>
      <c r="C151" s="19">
        <v>2019</v>
      </c>
      <c r="D151" s="19">
        <v>2020</v>
      </c>
      <c r="E151" s="19">
        <v>2021</v>
      </c>
      <c r="F151" s="19">
        <v>2022</v>
      </c>
      <c r="G151" s="19">
        <v>2023</v>
      </c>
      <c r="H151" s="19">
        <v>2024</v>
      </c>
      <c r="I151" s="19">
        <v>2025</v>
      </c>
      <c r="J151" s="19">
        <v>2026</v>
      </c>
      <c r="K151" s="19">
        <v>2027</v>
      </c>
      <c r="L151" s="19">
        <v>2028</v>
      </c>
      <c r="M151" s="19">
        <v>2029</v>
      </c>
      <c r="N151" s="19">
        <v>2030</v>
      </c>
      <c r="O151" s="19">
        <v>2031</v>
      </c>
      <c r="P151" s="19">
        <v>2032</v>
      </c>
      <c r="Q151" s="19">
        <v>2033</v>
      </c>
      <c r="R151" s="19">
        <v>2034</v>
      </c>
      <c r="S151" s="19">
        <v>2035</v>
      </c>
      <c r="T151" s="19">
        <v>2036</v>
      </c>
      <c r="U151" s="19">
        <v>2037</v>
      </c>
      <c r="V151" s="19">
        <v>2038</v>
      </c>
      <c r="W151" s="19">
        <v>2039</v>
      </c>
      <c r="X151" s="19">
        <v>2040</v>
      </c>
      <c r="Y151" s="19">
        <v>2041</v>
      </c>
      <c r="Z151" s="19">
        <v>2042</v>
      </c>
      <c r="AA151" s="19">
        <v>2043</v>
      </c>
      <c r="AB151" s="19">
        <v>2044</v>
      </c>
      <c r="AC151" s="19">
        <v>2045</v>
      </c>
      <c r="AD151" s="19">
        <v>2046</v>
      </c>
      <c r="AE151" s="19">
        <v>2047</v>
      </c>
      <c r="AF151" s="19">
        <v>2048</v>
      </c>
      <c r="AG151" s="19">
        <v>2049</v>
      </c>
      <c r="AH151" s="19">
        <v>2050</v>
      </c>
      <c r="AI151" s="19">
        <v>2051</v>
      </c>
      <c r="AJ151" s="19">
        <v>2052</v>
      </c>
      <c r="AK151" s="19">
        <v>2053</v>
      </c>
      <c r="AL151" s="19">
        <v>2054</v>
      </c>
      <c r="AM151" s="19">
        <v>2055</v>
      </c>
      <c r="AN151" s="19">
        <v>2056</v>
      </c>
      <c r="AO151" s="19">
        <v>2057</v>
      </c>
      <c r="AP151" s="19">
        <v>2058</v>
      </c>
      <c r="AQ151" s="19">
        <v>2059</v>
      </c>
      <c r="AR151" s="19">
        <v>2060</v>
      </c>
    </row>
    <row r="152" spans="1:44" s="15" customFormat="1" x14ac:dyDescent="0.15">
      <c r="A152" s="19" t="s">
        <v>912</v>
      </c>
      <c r="B152" s="16">
        <f t="shared" ref="B152:AR152" si="137">B$162*$L4/$L$14</f>
        <v>2081.0801151969677</v>
      </c>
      <c r="C152" s="16">
        <f t="shared" si="137"/>
        <v>2066.3044463790693</v>
      </c>
      <c r="D152" s="16">
        <f t="shared" si="137"/>
        <v>2007.8010893135947</v>
      </c>
      <c r="E152" s="16">
        <f t="shared" si="137"/>
        <v>1970.4519095912583</v>
      </c>
      <c r="F152" s="16">
        <f t="shared" si="137"/>
        <v>1964.5143766820956</v>
      </c>
      <c r="G152" s="16">
        <f t="shared" si="137"/>
        <v>1957.7062082576392</v>
      </c>
      <c r="H152" s="16">
        <f t="shared" si="137"/>
        <v>1950.0431566918564</v>
      </c>
      <c r="I152" s="16">
        <f t="shared" si="137"/>
        <v>1941.5421630722483</v>
      </c>
      <c r="J152" s="16">
        <f t="shared" si="137"/>
        <v>1932.2212193022112</v>
      </c>
      <c r="K152" s="16">
        <f t="shared" si="137"/>
        <v>1922.0994623222668</v>
      </c>
      <c r="L152" s="16">
        <f t="shared" si="137"/>
        <v>1911.1970343261285</v>
      </c>
      <c r="M152" s="16">
        <f t="shared" si="137"/>
        <v>1899.5351118562105</v>
      </c>
      <c r="N152" s="16">
        <f t="shared" si="137"/>
        <v>1887.1358544951322</v>
      </c>
      <c r="O152" s="16">
        <f t="shared" si="137"/>
        <v>1874.0223417390057</v>
      </c>
      <c r="P152" s="16">
        <f t="shared" si="137"/>
        <v>1860.2185953433195</v>
      </c>
      <c r="Q152" s="16">
        <f t="shared" si="137"/>
        <v>1845.7494502288296</v>
      </c>
      <c r="R152" s="16">
        <f t="shared" si="137"/>
        <v>1830.9737814109308</v>
      </c>
      <c r="S152" s="16">
        <f t="shared" si="137"/>
        <v>1815.5882852843145</v>
      </c>
      <c r="T152" s="16">
        <f t="shared" si="137"/>
        <v>1799.0803151094983</v>
      </c>
      <c r="U152" s="16">
        <f t="shared" si="137"/>
        <v>1781.4995359049033</v>
      </c>
      <c r="V152" s="16">
        <f t="shared" si="137"/>
        <v>1762.8968484676325</v>
      </c>
      <c r="W152" s="16">
        <f t="shared" si="137"/>
        <v>1743.324186621905</v>
      </c>
      <c r="X152" s="16">
        <f t="shared" si="137"/>
        <v>1722.8345099755293</v>
      </c>
      <c r="Y152" s="16">
        <f t="shared" si="137"/>
        <v>1701.4816552854991</v>
      </c>
      <c r="Z152" s="16">
        <f t="shared" si="137"/>
        <v>1679.3202225008381</v>
      </c>
      <c r="AA152" s="16">
        <f t="shared" si="137"/>
        <v>1656.4053969870281</v>
      </c>
      <c r="AB152" s="16">
        <f t="shared" si="137"/>
        <v>1632.7928588529585</v>
      </c>
      <c r="AC152" s="16">
        <f t="shared" si="137"/>
        <v>1608.5386955135023</v>
      </c>
      <c r="AD152" s="16">
        <f t="shared" si="137"/>
        <v>1583.6991511784904</v>
      </c>
      <c r="AE152" s="16">
        <f t="shared" si="137"/>
        <v>1558.3305050449865</v>
      </c>
      <c r="AF152" s="16">
        <f t="shared" si="137"/>
        <v>1532.4890184489086</v>
      </c>
      <c r="AG152" s="16">
        <f t="shared" si="137"/>
        <v>1506.2306082512525</v>
      </c>
      <c r="AH152" s="16">
        <f t="shared" si="137"/>
        <v>1479.6107617102614</v>
      </c>
      <c r="AI152" s="16">
        <f t="shared" si="137"/>
        <v>1452.6843888456176</v>
      </c>
      <c r="AJ152" s="16">
        <f t="shared" si="137"/>
        <v>1425.5055163049265</v>
      </c>
      <c r="AK152" s="16">
        <f t="shared" si="137"/>
        <v>1398.1272552355679</v>
      </c>
      <c r="AL152" s="16">
        <f t="shared" si="137"/>
        <v>1370.6014121034584</v>
      </c>
      <c r="AM152" s="16">
        <f t="shared" si="137"/>
        <v>1342.9784579070972</v>
      </c>
      <c r="AN152" s="16">
        <f t="shared" si="137"/>
        <v>1315.3071954625241</v>
      </c>
      <c r="AO152" s="16">
        <f t="shared" si="137"/>
        <v>1287.6345547684898</v>
      </c>
      <c r="AP152" s="16">
        <f t="shared" si="137"/>
        <v>1260.0053618691547</v>
      </c>
      <c r="AQ152" s="16">
        <f t="shared" si="137"/>
        <v>1232.4620982998274</v>
      </c>
      <c r="AR152" s="16">
        <f t="shared" si="137"/>
        <v>1205.0446787894907</v>
      </c>
    </row>
    <row r="153" spans="1:44" s="15" customFormat="1" x14ac:dyDescent="0.15">
      <c r="A153" s="19" t="s">
        <v>913</v>
      </c>
      <c r="B153" s="16">
        <f t="shared" ref="B153:AR153" si="138">B$162*$L5/$L$14</f>
        <v>0</v>
      </c>
      <c r="C153" s="16">
        <f t="shared" si="138"/>
        <v>0</v>
      </c>
      <c r="D153" s="16">
        <f t="shared" si="138"/>
        <v>0</v>
      </c>
      <c r="E153" s="16">
        <f t="shared" si="138"/>
        <v>0</v>
      </c>
      <c r="F153" s="16">
        <f t="shared" si="138"/>
        <v>0</v>
      </c>
      <c r="G153" s="16">
        <f t="shared" si="138"/>
        <v>0</v>
      </c>
      <c r="H153" s="16">
        <f t="shared" si="138"/>
        <v>0</v>
      </c>
      <c r="I153" s="16">
        <f t="shared" si="138"/>
        <v>0</v>
      </c>
      <c r="J153" s="16">
        <f t="shared" si="138"/>
        <v>0</v>
      </c>
      <c r="K153" s="16">
        <f t="shared" si="138"/>
        <v>0</v>
      </c>
      <c r="L153" s="16">
        <f t="shared" si="138"/>
        <v>0</v>
      </c>
      <c r="M153" s="16">
        <f t="shared" si="138"/>
        <v>0</v>
      </c>
      <c r="N153" s="16">
        <f t="shared" si="138"/>
        <v>0</v>
      </c>
      <c r="O153" s="16">
        <f t="shared" si="138"/>
        <v>0</v>
      </c>
      <c r="P153" s="16">
        <f t="shared" si="138"/>
        <v>0</v>
      </c>
      <c r="Q153" s="16">
        <f t="shared" si="138"/>
        <v>0</v>
      </c>
      <c r="R153" s="16">
        <f t="shared" si="138"/>
        <v>0</v>
      </c>
      <c r="S153" s="16">
        <f t="shared" si="138"/>
        <v>0</v>
      </c>
      <c r="T153" s="16">
        <f t="shared" si="138"/>
        <v>0</v>
      </c>
      <c r="U153" s="16">
        <f t="shared" si="138"/>
        <v>0</v>
      </c>
      <c r="V153" s="16">
        <f t="shared" si="138"/>
        <v>0</v>
      </c>
      <c r="W153" s="16">
        <f t="shared" si="138"/>
        <v>0</v>
      </c>
      <c r="X153" s="16">
        <f t="shared" si="138"/>
        <v>0</v>
      </c>
      <c r="Y153" s="16">
        <f t="shared" si="138"/>
        <v>0</v>
      </c>
      <c r="Z153" s="16">
        <f t="shared" si="138"/>
        <v>0</v>
      </c>
      <c r="AA153" s="16">
        <f t="shared" si="138"/>
        <v>0</v>
      </c>
      <c r="AB153" s="16">
        <f t="shared" si="138"/>
        <v>0</v>
      </c>
      <c r="AC153" s="16">
        <f t="shared" si="138"/>
        <v>0</v>
      </c>
      <c r="AD153" s="16">
        <f t="shared" si="138"/>
        <v>0</v>
      </c>
      <c r="AE153" s="16">
        <f t="shared" si="138"/>
        <v>0</v>
      </c>
      <c r="AF153" s="16">
        <f t="shared" si="138"/>
        <v>0</v>
      </c>
      <c r="AG153" s="16">
        <f t="shared" si="138"/>
        <v>0</v>
      </c>
      <c r="AH153" s="16">
        <f t="shared" si="138"/>
        <v>0</v>
      </c>
      <c r="AI153" s="16">
        <f t="shared" si="138"/>
        <v>0</v>
      </c>
      <c r="AJ153" s="16">
        <f t="shared" si="138"/>
        <v>0</v>
      </c>
      <c r="AK153" s="16">
        <f t="shared" si="138"/>
        <v>0</v>
      </c>
      <c r="AL153" s="16">
        <f t="shared" si="138"/>
        <v>0</v>
      </c>
      <c r="AM153" s="16">
        <f t="shared" si="138"/>
        <v>0</v>
      </c>
      <c r="AN153" s="16">
        <f t="shared" si="138"/>
        <v>0</v>
      </c>
      <c r="AO153" s="16">
        <f t="shared" si="138"/>
        <v>0</v>
      </c>
      <c r="AP153" s="16">
        <f t="shared" si="138"/>
        <v>0</v>
      </c>
      <c r="AQ153" s="16">
        <f t="shared" si="138"/>
        <v>0</v>
      </c>
      <c r="AR153" s="16">
        <f t="shared" si="138"/>
        <v>0</v>
      </c>
    </row>
    <row r="154" spans="1:44" s="15" customFormat="1" x14ac:dyDescent="0.15">
      <c r="A154" s="19" t="s">
        <v>914</v>
      </c>
      <c r="B154" s="16">
        <f t="shared" ref="B154:AR154" si="139">B$162*$L6/$L$14</f>
        <v>0</v>
      </c>
      <c r="C154" s="16">
        <f t="shared" si="139"/>
        <v>0</v>
      </c>
      <c r="D154" s="16">
        <f t="shared" si="139"/>
        <v>0</v>
      </c>
      <c r="E154" s="16">
        <f t="shared" si="139"/>
        <v>0</v>
      </c>
      <c r="F154" s="16">
        <f t="shared" si="139"/>
        <v>0</v>
      </c>
      <c r="G154" s="16">
        <f t="shared" si="139"/>
        <v>0</v>
      </c>
      <c r="H154" s="16">
        <f t="shared" si="139"/>
        <v>0</v>
      </c>
      <c r="I154" s="16">
        <f t="shared" si="139"/>
        <v>0</v>
      </c>
      <c r="J154" s="16">
        <f t="shared" si="139"/>
        <v>0</v>
      </c>
      <c r="K154" s="16">
        <f t="shared" si="139"/>
        <v>0</v>
      </c>
      <c r="L154" s="16">
        <f t="shared" si="139"/>
        <v>0</v>
      </c>
      <c r="M154" s="16">
        <f t="shared" si="139"/>
        <v>0</v>
      </c>
      <c r="N154" s="16">
        <f t="shared" si="139"/>
        <v>0</v>
      </c>
      <c r="O154" s="16">
        <f t="shared" si="139"/>
        <v>0</v>
      </c>
      <c r="P154" s="16">
        <f t="shared" si="139"/>
        <v>0</v>
      </c>
      <c r="Q154" s="16">
        <f t="shared" si="139"/>
        <v>0</v>
      </c>
      <c r="R154" s="16">
        <f t="shared" si="139"/>
        <v>0</v>
      </c>
      <c r="S154" s="16">
        <f t="shared" si="139"/>
        <v>0</v>
      </c>
      <c r="T154" s="16">
        <f t="shared" si="139"/>
        <v>0</v>
      </c>
      <c r="U154" s="16">
        <f t="shared" si="139"/>
        <v>0</v>
      </c>
      <c r="V154" s="16">
        <f t="shared" si="139"/>
        <v>0</v>
      </c>
      <c r="W154" s="16">
        <f t="shared" si="139"/>
        <v>0</v>
      </c>
      <c r="X154" s="16">
        <f t="shared" si="139"/>
        <v>0</v>
      </c>
      <c r="Y154" s="16">
        <f t="shared" si="139"/>
        <v>0</v>
      </c>
      <c r="Z154" s="16">
        <f t="shared" si="139"/>
        <v>0</v>
      </c>
      <c r="AA154" s="16">
        <f t="shared" si="139"/>
        <v>0</v>
      </c>
      <c r="AB154" s="16">
        <f t="shared" si="139"/>
        <v>0</v>
      </c>
      <c r="AC154" s="16">
        <f t="shared" si="139"/>
        <v>0</v>
      </c>
      <c r="AD154" s="16">
        <f t="shared" si="139"/>
        <v>0</v>
      </c>
      <c r="AE154" s="16">
        <f t="shared" si="139"/>
        <v>0</v>
      </c>
      <c r="AF154" s="16">
        <f t="shared" si="139"/>
        <v>0</v>
      </c>
      <c r="AG154" s="16">
        <f t="shared" si="139"/>
        <v>0</v>
      </c>
      <c r="AH154" s="16">
        <f t="shared" si="139"/>
        <v>0</v>
      </c>
      <c r="AI154" s="16">
        <f t="shared" si="139"/>
        <v>0</v>
      </c>
      <c r="AJ154" s="16">
        <f t="shared" si="139"/>
        <v>0</v>
      </c>
      <c r="AK154" s="16">
        <f t="shared" si="139"/>
        <v>0</v>
      </c>
      <c r="AL154" s="16">
        <f t="shared" si="139"/>
        <v>0</v>
      </c>
      <c r="AM154" s="16">
        <f t="shared" si="139"/>
        <v>0</v>
      </c>
      <c r="AN154" s="16">
        <f t="shared" si="139"/>
        <v>0</v>
      </c>
      <c r="AO154" s="16">
        <f t="shared" si="139"/>
        <v>0</v>
      </c>
      <c r="AP154" s="16">
        <f t="shared" si="139"/>
        <v>0</v>
      </c>
      <c r="AQ154" s="16">
        <f t="shared" si="139"/>
        <v>0</v>
      </c>
      <c r="AR154" s="16">
        <f t="shared" si="139"/>
        <v>0</v>
      </c>
    </row>
    <row r="155" spans="1:44" s="15" customFormat="1" x14ac:dyDescent="0.15">
      <c r="A155" s="19" t="s">
        <v>915</v>
      </c>
      <c r="B155" s="16">
        <f t="shared" ref="B155:AR155" si="140">B$162*$L7/$L$14</f>
        <v>0</v>
      </c>
      <c r="C155" s="16">
        <f t="shared" si="140"/>
        <v>0</v>
      </c>
      <c r="D155" s="16">
        <f t="shared" si="140"/>
        <v>0</v>
      </c>
      <c r="E155" s="16">
        <f t="shared" si="140"/>
        <v>0</v>
      </c>
      <c r="F155" s="16">
        <f t="shared" si="140"/>
        <v>0</v>
      </c>
      <c r="G155" s="16">
        <f t="shared" si="140"/>
        <v>0</v>
      </c>
      <c r="H155" s="16">
        <f t="shared" si="140"/>
        <v>0</v>
      </c>
      <c r="I155" s="16">
        <f t="shared" si="140"/>
        <v>0</v>
      </c>
      <c r="J155" s="16">
        <f t="shared" si="140"/>
        <v>0</v>
      </c>
      <c r="K155" s="16">
        <f t="shared" si="140"/>
        <v>0</v>
      </c>
      <c r="L155" s="16">
        <f t="shared" si="140"/>
        <v>0</v>
      </c>
      <c r="M155" s="16">
        <f t="shared" si="140"/>
        <v>0</v>
      </c>
      <c r="N155" s="16">
        <f t="shared" si="140"/>
        <v>0</v>
      </c>
      <c r="O155" s="16">
        <f t="shared" si="140"/>
        <v>0</v>
      </c>
      <c r="P155" s="16">
        <f t="shared" si="140"/>
        <v>0</v>
      </c>
      <c r="Q155" s="16">
        <f t="shared" si="140"/>
        <v>0</v>
      </c>
      <c r="R155" s="16">
        <f t="shared" si="140"/>
        <v>0</v>
      </c>
      <c r="S155" s="16">
        <f t="shared" si="140"/>
        <v>0</v>
      </c>
      <c r="T155" s="16">
        <f t="shared" si="140"/>
        <v>0</v>
      </c>
      <c r="U155" s="16">
        <f t="shared" si="140"/>
        <v>0</v>
      </c>
      <c r="V155" s="16">
        <f t="shared" si="140"/>
        <v>0</v>
      </c>
      <c r="W155" s="16">
        <f t="shared" si="140"/>
        <v>0</v>
      </c>
      <c r="X155" s="16">
        <f t="shared" si="140"/>
        <v>0</v>
      </c>
      <c r="Y155" s="16">
        <f t="shared" si="140"/>
        <v>0</v>
      </c>
      <c r="Z155" s="16">
        <f t="shared" si="140"/>
        <v>0</v>
      </c>
      <c r="AA155" s="16">
        <f t="shared" si="140"/>
        <v>0</v>
      </c>
      <c r="AB155" s="16">
        <f t="shared" si="140"/>
        <v>0</v>
      </c>
      <c r="AC155" s="16">
        <f t="shared" si="140"/>
        <v>0</v>
      </c>
      <c r="AD155" s="16">
        <f t="shared" si="140"/>
        <v>0</v>
      </c>
      <c r="AE155" s="16">
        <f t="shared" si="140"/>
        <v>0</v>
      </c>
      <c r="AF155" s="16">
        <f t="shared" si="140"/>
        <v>0</v>
      </c>
      <c r="AG155" s="16">
        <f t="shared" si="140"/>
        <v>0</v>
      </c>
      <c r="AH155" s="16">
        <f t="shared" si="140"/>
        <v>0</v>
      </c>
      <c r="AI155" s="16">
        <f t="shared" si="140"/>
        <v>0</v>
      </c>
      <c r="AJ155" s="16">
        <f t="shared" si="140"/>
        <v>0</v>
      </c>
      <c r="AK155" s="16">
        <f t="shared" si="140"/>
        <v>0</v>
      </c>
      <c r="AL155" s="16">
        <f t="shared" si="140"/>
        <v>0</v>
      </c>
      <c r="AM155" s="16">
        <f t="shared" si="140"/>
        <v>0</v>
      </c>
      <c r="AN155" s="16">
        <f t="shared" si="140"/>
        <v>0</v>
      </c>
      <c r="AO155" s="16">
        <f t="shared" si="140"/>
        <v>0</v>
      </c>
      <c r="AP155" s="16">
        <f t="shared" si="140"/>
        <v>0</v>
      </c>
      <c r="AQ155" s="16">
        <f t="shared" si="140"/>
        <v>0</v>
      </c>
      <c r="AR155" s="16">
        <f t="shared" si="140"/>
        <v>0</v>
      </c>
    </row>
    <row r="156" spans="1:44" s="15" customFormat="1" x14ac:dyDescent="0.15">
      <c r="A156" s="19" t="s">
        <v>916</v>
      </c>
      <c r="B156" s="16">
        <f t="shared" ref="B156:AR156" si="141">B$162*$L8/$L$14</f>
        <v>0</v>
      </c>
      <c r="C156" s="16">
        <f t="shared" si="141"/>
        <v>0</v>
      </c>
      <c r="D156" s="16">
        <f t="shared" si="141"/>
        <v>0</v>
      </c>
      <c r="E156" s="16">
        <f t="shared" si="141"/>
        <v>0</v>
      </c>
      <c r="F156" s="16">
        <f t="shared" si="141"/>
        <v>0</v>
      </c>
      <c r="G156" s="16">
        <f t="shared" si="141"/>
        <v>0</v>
      </c>
      <c r="H156" s="16">
        <f t="shared" si="141"/>
        <v>0</v>
      </c>
      <c r="I156" s="16">
        <f t="shared" si="141"/>
        <v>0</v>
      </c>
      <c r="J156" s="16">
        <f t="shared" si="141"/>
        <v>0</v>
      </c>
      <c r="K156" s="16">
        <f t="shared" si="141"/>
        <v>0</v>
      </c>
      <c r="L156" s="16">
        <f t="shared" si="141"/>
        <v>0</v>
      </c>
      <c r="M156" s="16">
        <f t="shared" si="141"/>
        <v>0</v>
      </c>
      <c r="N156" s="16">
        <f t="shared" si="141"/>
        <v>0</v>
      </c>
      <c r="O156" s="16">
        <f t="shared" si="141"/>
        <v>0</v>
      </c>
      <c r="P156" s="16">
        <f t="shared" si="141"/>
        <v>0</v>
      </c>
      <c r="Q156" s="16">
        <f t="shared" si="141"/>
        <v>0</v>
      </c>
      <c r="R156" s="16">
        <f t="shared" si="141"/>
        <v>0</v>
      </c>
      <c r="S156" s="16">
        <f t="shared" si="141"/>
        <v>0</v>
      </c>
      <c r="T156" s="16">
        <f t="shared" si="141"/>
        <v>0</v>
      </c>
      <c r="U156" s="16">
        <f t="shared" si="141"/>
        <v>0</v>
      </c>
      <c r="V156" s="16">
        <f t="shared" si="141"/>
        <v>0</v>
      </c>
      <c r="W156" s="16">
        <f t="shared" si="141"/>
        <v>0</v>
      </c>
      <c r="X156" s="16">
        <f t="shared" si="141"/>
        <v>0</v>
      </c>
      <c r="Y156" s="16">
        <f t="shared" si="141"/>
        <v>0</v>
      </c>
      <c r="Z156" s="16">
        <f t="shared" si="141"/>
        <v>0</v>
      </c>
      <c r="AA156" s="16">
        <f t="shared" si="141"/>
        <v>0</v>
      </c>
      <c r="AB156" s="16">
        <f t="shared" si="141"/>
        <v>0</v>
      </c>
      <c r="AC156" s="16">
        <f t="shared" si="141"/>
        <v>0</v>
      </c>
      <c r="AD156" s="16">
        <f t="shared" si="141"/>
        <v>0</v>
      </c>
      <c r="AE156" s="16">
        <f t="shared" si="141"/>
        <v>0</v>
      </c>
      <c r="AF156" s="16">
        <f t="shared" si="141"/>
        <v>0</v>
      </c>
      <c r="AG156" s="16">
        <f t="shared" si="141"/>
        <v>0</v>
      </c>
      <c r="AH156" s="16">
        <f t="shared" si="141"/>
        <v>0</v>
      </c>
      <c r="AI156" s="16">
        <f t="shared" si="141"/>
        <v>0</v>
      </c>
      <c r="AJ156" s="16">
        <f t="shared" si="141"/>
        <v>0</v>
      </c>
      <c r="AK156" s="16">
        <f t="shared" si="141"/>
        <v>0</v>
      </c>
      <c r="AL156" s="16">
        <f t="shared" si="141"/>
        <v>0</v>
      </c>
      <c r="AM156" s="16">
        <f t="shared" si="141"/>
        <v>0</v>
      </c>
      <c r="AN156" s="16">
        <f t="shared" si="141"/>
        <v>0</v>
      </c>
      <c r="AO156" s="16">
        <f t="shared" si="141"/>
        <v>0</v>
      </c>
      <c r="AP156" s="16">
        <f t="shared" si="141"/>
        <v>0</v>
      </c>
      <c r="AQ156" s="16">
        <f t="shared" si="141"/>
        <v>0</v>
      </c>
      <c r="AR156" s="16">
        <f t="shared" si="141"/>
        <v>0</v>
      </c>
    </row>
    <row r="157" spans="1:44" s="15" customFormat="1" x14ac:dyDescent="0.15">
      <c r="A157" s="19" t="s">
        <v>917</v>
      </c>
      <c r="B157" s="16">
        <f t="shared" ref="B157:AR157" si="142">B$162*$L9/$L$14</f>
        <v>0</v>
      </c>
      <c r="C157" s="16">
        <f t="shared" si="142"/>
        <v>0</v>
      </c>
      <c r="D157" s="16">
        <f t="shared" si="142"/>
        <v>0</v>
      </c>
      <c r="E157" s="16">
        <f t="shared" si="142"/>
        <v>0</v>
      </c>
      <c r="F157" s="16">
        <f t="shared" si="142"/>
        <v>0</v>
      </c>
      <c r="G157" s="16">
        <f t="shared" si="142"/>
        <v>0</v>
      </c>
      <c r="H157" s="16">
        <f t="shared" si="142"/>
        <v>0</v>
      </c>
      <c r="I157" s="16">
        <f t="shared" si="142"/>
        <v>0</v>
      </c>
      <c r="J157" s="16">
        <f t="shared" si="142"/>
        <v>0</v>
      </c>
      <c r="K157" s="16">
        <f t="shared" si="142"/>
        <v>0</v>
      </c>
      <c r="L157" s="16">
        <f t="shared" si="142"/>
        <v>0</v>
      </c>
      <c r="M157" s="16">
        <f t="shared" si="142"/>
        <v>0</v>
      </c>
      <c r="N157" s="16">
        <f t="shared" si="142"/>
        <v>0</v>
      </c>
      <c r="O157" s="16">
        <f t="shared" si="142"/>
        <v>0</v>
      </c>
      <c r="P157" s="16">
        <f t="shared" si="142"/>
        <v>0</v>
      </c>
      <c r="Q157" s="16">
        <f t="shared" si="142"/>
        <v>0</v>
      </c>
      <c r="R157" s="16">
        <f t="shared" si="142"/>
        <v>0</v>
      </c>
      <c r="S157" s="16">
        <f t="shared" si="142"/>
        <v>0</v>
      </c>
      <c r="T157" s="16">
        <f t="shared" si="142"/>
        <v>0</v>
      </c>
      <c r="U157" s="16">
        <f t="shared" si="142"/>
        <v>0</v>
      </c>
      <c r="V157" s="16">
        <f t="shared" si="142"/>
        <v>0</v>
      </c>
      <c r="W157" s="16">
        <f t="shared" si="142"/>
        <v>0</v>
      </c>
      <c r="X157" s="16">
        <f t="shared" si="142"/>
        <v>0</v>
      </c>
      <c r="Y157" s="16">
        <f t="shared" si="142"/>
        <v>0</v>
      </c>
      <c r="Z157" s="16">
        <f t="shared" si="142"/>
        <v>0</v>
      </c>
      <c r="AA157" s="16">
        <f t="shared" si="142"/>
        <v>0</v>
      </c>
      <c r="AB157" s="16">
        <f t="shared" si="142"/>
        <v>0</v>
      </c>
      <c r="AC157" s="16">
        <f t="shared" si="142"/>
        <v>0</v>
      </c>
      <c r="AD157" s="16">
        <f t="shared" si="142"/>
        <v>0</v>
      </c>
      <c r="AE157" s="16">
        <f t="shared" si="142"/>
        <v>0</v>
      </c>
      <c r="AF157" s="16">
        <f t="shared" si="142"/>
        <v>0</v>
      </c>
      <c r="AG157" s="16">
        <f t="shared" si="142"/>
        <v>0</v>
      </c>
      <c r="AH157" s="16">
        <f t="shared" si="142"/>
        <v>0</v>
      </c>
      <c r="AI157" s="16">
        <f t="shared" si="142"/>
        <v>0</v>
      </c>
      <c r="AJ157" s="16">
        <f t="shared" si="142"/>
        <v>0</v>
      </c>
      <c r="AK157" s="16">
        <f t="shared" si="142"/>
        <v>0</v>
      </c>
      <c r="AL157" s="16">
        <f t="shared" si="142"/>
        <v>0</v>
      </c>
      <c r="AM157" s="16">
        <f t="shared" si="142"/>
        <v>0</v>
      </c>
      <c r="AN157" s="16">
        <f t="shared" si="142"/>
        <v>0</v>
      </c>
      <c r="AO157" s="16">
        <f t="shared" si="142"/>
        <v>0</v>
      </c>
      <c r="AP157" s="16">
        <f t="shared" si="142"/>
        <v>0</v>
      </c>
      <c r="AQ157" s="16">
        <f t="shared" si="142"/>
        <v>0</v>
      </c>
      <c r="AR157" s="16">
        <f t="shared" si="142"/>
        <v>0</v>
      </c>
    </row>
    <row r="158" spans="1:44" s="15" customFormat="1" x14ac:dyDescent="0.15">
      <c r="A158" s="19" t="s">
        <v>918</v>
      </c>
      <c r="B158" s="16">
        <f t="shared" ref="B158:AR158" si="143">B$162*$L10/$L$14</f>
        <v>0</v>
      </c>
      <c r="C158" s="16">
        <f t="shared" si="143"/>
        <v>0</v>
      </c>
      <c r="D158" s="16">
        <f t="shared" si="143"/>
        <v>0</v>
      </c>
      <c r="E158" s="16">
        <f t="shared" si="143"/>
        <v>0</v>
      </c>
      <c r="F158" s="16">
        <f t="shared" si="143"/>
        <v>0</v>
      </c>
      <c r="G158" s="16">
        <f t="shared" si="143"/>
        <v>0</v>
      </c>
      <c r="H158" s="16">
        <f t="shared" si="143"/>
        <v>0</v>
      </c>
      <c r="I158" s="16">
        <f t="shared" si="143"/>
        <v>0</v>
      </c>
      <c r="J158" s="16">
        <f t="shared" si="143"/>
        <v>0</v>
      </c>
      <c r="K158" s="16">
        <f t="shared" si="143"/>
        <v>0</v>
      </c>
      <c r="L158" s="16">
        <f t="shared" si="143"/>
        <v>0</v>
      </c>
      <c r="M158" s="16">
        <f t="shared" si="143"/>
        <v>0</v>
      </c>
      <c r="N158" s="16">
        <f t="shared" si="143"/>
        <v>0</v>
      </c>
      <c r="O158" s="16">
        <f t="shared" si="143"/>
        <v>0</v>
      </c>
      <c r="P158" s="16">
        <f t="shared" si="143"/>
        <v>0</v>
      </c>
      <c r="Q158" s="16">
        <f t="shared" si="143"/>
        <v>0</v>
      </c>
      <c r="R158" s="16">
        <f t="shared" si="143"/>
        <v>0</v>
      </c>
      <c r="S158" s="16">
        <f t="shared" si="143"/>
        <v>0</v>
      </c>
      <c r="T158" s="16">
        <f t="shared" si="143"/>
        <v>0</v>
      </c>
      <c r="U158" s="16">
        <f t="shared" si="143"/>
        <v>0</v>
      </c>
      <c r="V158" s="16">
        <f t="shared" si="143"/>
        <v>0</v>
      </c>
      <c r="W158" s="16">
        <f t="shared" si="143"/>
        <v>0</v>
      </c>
      <c r="X158" s="16">
        <f t="shared" si="143"/>
        <v>0</v>
      </c>
      <c r="Y158" s="16">
        <f t="shared" si="143"/>
        <v>0</v>
      </c>
      <c r="Z158" s="16">
        <f t="shared" si="143"/>
        <v>0</v>
      </c>
      <c r="AA158" s="16">
        <f t="shared" si="143"/>
        <v>0</v>
      </c>
      <c r="AB158" s="16">
        <f t="shared" si="143"/>
        <v>0</v>
      </c>
      <c r="AC158" s="16">
        <f t="shared" si="143"/>
        <v>0</v>
      </c>
      <c r="AD158" s="16">
        <f t="shared" si="143"/>
        <v>0</v>
      </c>
      <c r="AE158" s="16">
        <f t="shared" si="143"/>
        <v>0</v>
      </c>
      <c r="AF158" s="16">
        <f t="shared" si="143"/>
        <v>0</v>
      </c>
      <c r="AG158" s="16">
        <f t="shared" si="143"/>
        <v>0</v>
      </c>
      <c r="AH158" s="16">
        <f t="shared" si="143"/>
        <v>0</v>
      </c>
      <c r="AI158" s="16">
        <f t="shared" si="143"/>
        <v>0</v>
      </c>
      <c r="AJ158" s="16">
        <f t="shared" si="143"/>
        <v>0</v>
      </c>
      <c r="AK158" s="16">
        <f t="shared" si="143"/>
        <v>0</v>
      </c>
      <c r="AL158" s="16">
        <f t="shared" si="143"/>
        <v>0</v>
      </c>
      <c r="AM158" s="16">
        <f t="shared" si="143"/>
        <v>0</v>
      </c>
      <c r="AN158" s="16">
        <f t="shared" si="143"/>
        <v>0</v>
      </c>
      <c r="AO158" s="16">
        <f t="shared" si="143"/>
        <v>0</v>
      </c>
      <c r="AP158" s="16">
        <f t="shared" si="143"/>
        <v>0</v>
      </c>
      <c r="AQ158" s="16">
        <f t="shared" si="143"/>
        <v>0</v>
      </c>
      <c r="AR158" s="16">
        <f t="shared" si="143"/>
        <v>0</v>
      </c>
    </row>
    <row r="159" spans="1:44" s="15" customFormat="1" x14ac:dyDescent="0.15">
      <c r="A159" s="19" t="s">
        <v>919</v>
      </c>
      <c r="B159" s="16">
        <f t="shared" ref="B159:AR159" si="144">B$162*$L11/$L$14</f>
        <v>0</v>
      </c>
      <c r="C159" s="16">
        <f t="shared" si="144"/>
        <v>0</v>
      </c>
      <c r="D159" s="16">
        <f t="shared" si="144"/>
        <v>0</v>
      </c>
      <c r="E159" s="16">
        <f t="shared" si="144"/>
        <v>0</v>
      </c>
      <c r="F159" s="16">
        <f t="shared" si="144"/>
        <v>0</v>
      </c>
      <c r="G159" s="16">
        <f t="shared" si="144"/>
        <v>0</v>
      </c>
      <c r="H159" s="16">
        <f t="shared" si="144"/>
        <v>0</v>
      </c>
      <c r="I159" s="16">
        <f t="shared" si="144"/>
        <v>0</v>
      </c>
      <c r="J159" s="16">
        <f t="shared" si="144"/>
        <v>0</v>
      </c>
      <c r="K159" s="16">
        <f t="shared" si="144"/>
        <v>0</v>
      </c>
      <c r="L159" s="16">
        <f t="shared" si="144"/>
        <v>0</v>
      </c>
      <c r="M159" s="16">
        <f t="shared" si="144"/>
        <v>0</v>
      </c>
      <c r="N159" s="16">
        <f t="shared" si="144"/>
        <v>0</v>
      </c>
      <c r="O159" s="16">
        <f t="shared" si="144"/>
        <v>0</v>
      </c>
      <c r="P159" s="16">
        <f t="shared" si="144"/>
        <v>0</v>
      </c>
      <c r="Q159" s="16">
        <f t="shared" si="144"/>
        <v>0</v>
      </c>
      <c r="R159" s="16">
        <f t="shared" si="144"/>
        <v>0</v>
      </c>
      <c r="S159" s="16">
        <f t="shared" si="144"/>
        <v>0</v>
      </c>
      <c r="T159" s="16">
        <f t="shared" si="144"/>
        <v>0</v>
      </c>
      <c r="U159" s="16">
        <f t="shared" si="144"/>
        <v>0</v>
      </c>
      <c r="V159" s="16">
        <f t="shared" si="144"/>
        <v>0</v>
      </c>
      <c r="W159" s="16">
        <f t="shared" si="144"/>
        <v>0</v>
      </c>
      <c r="X159" s="16">
        <f t="shared" si="144"/>
        <v>0</v>
      </c>
      <c r="Y159" s="16">
        <f t="shared" si="144"/>
        <v>0</v>
      </c>
      <c r="Z159" s="16">
        <f t="shared" si="144"/>
        <v>0</v>
      </c>
      <c r="AA159" s="16">
        <f t="shared" si="144"/>
        <v>0</v>
      </c>
      <c r="AB159" s="16">
        <f t="shared" si="144"/>
        <v>0</v>
      </c>
      <c r="AC159" s="16">
        <f t="shared" si="144"/>
        <v>0</v>
      </c>
      <c r="AD159" s="16">
        <f t="shared" si="144"/>
        <v>0</v>
      </c>
      <c r="AE159" s="16">
        <f t="shared" si="144"/>
        <v>0</v>
      </c>
      <c r="AF159" s="16">
        <f t="shared" si="144"/>
        <v>0</v>
      </c>
      <c r="AG159" s="16">
        <f t="shared" si="144"/>
        <v>0</v>
      </c>
      <c r="AH159" s="16">
        <f t="shared" si="144"/>
        <v>0</v>
      </c>
      <c r="AI159" s="16">
        <f t="shared" si="144"/>
        <v>0</v>
      </c>
      <c r="AJ159" s="16">
        <f t="shared" si="144"/>
        <v>0</v>
      </c>
      <c r="AK159" s="16">
        <f t="shared" si="144"/>
        <v>0</v>
      </c>
      <c r="AL159" s="16">
        <f t="shared" si="144"/>
        <v>0</v>
      </c>
      <c r="AM159" s="16">
        <f t="shared" si="144"/>
        <v>0</v>
      </c>
      <c r="AN159" s="16">
        <f t="shared" si="144"/>
        <v>0</v>
      </c>
      <c r="AO159" s="16">
        <f t="shared" si="144"/>
        <v>0</v>
      </c>
      <c r="AP159" s="16">
        <f t="shared" si="144"/>
        <v>0</v>
      </c>
      <c r="AQ159" s="16">
        <f t="shared" si="144"/>
        <v>0</v>
      </c>
      <c r="AR159" s="16">
        <f t="shared" si="144"/>
        <v>0</v>
      </c>
    </row>
    <row r="160" spans="1:44" s="15" customFormat="1" x14ac:dyDescent="0.15">
      <c r="A160" s="19" t="s">
        <v>920</v>
      </c>
      <c r="B160" s="16">
        <f t="shared" ref="B160:AR160" si="145">B$162*$L12/$L$14</f>
        <v>0</v>
      </c>
      <c r="C160" s="16">
        <f t="shared" si="145"/>
        <v>0</v>
      </c>
      <c r="D160" s="16">
        <f t="shared" si="145"/>
        <v>0</v>
      </c>
      <c r="E160" s="16">
        <f t="shared" si="145"/>
        <v>0</v>
      </c>
      <c r="F160" s="16">
        <f t="shared" si="145"/>
        <v>0</v>
      </c>
      <c r="G160" s="16">
        <f t="shared" si="145"/>
        <v>0</v>
      </c>
      <c r="H160" s="16">
        <f t="shared" si="145"/>
        <v>0</v>
      </c>
      <c r="I160" s="16">
        <f t="shared" si="145"/>
        <v>0</v>
      </c>
      <c r="J160" s="16">
        <f t="shared" si="145"/>
        <v>0</v>
      </c>
      <c r="K160" s="16">
        <f t="shared" si="145"/>
        <v>0</v>
      </c>
      <c r="L160" s="16">
        <f t="shared" si="145"/>
        <v>0</v>
      </c>
      <c r="M160" s="16">
        <f t="shared" si="145"/>
        <v>0</v>
      </c>
      <c r="N160" s="16">
        <f t="shared" si="145"/>
        <v>0</v>
      </c>
      <c r="O160" s="16">
        <f t="shared" si="145"/>
        <v>0</v>
      </c>
      <c r="P160" s="16">
        <f t="shared" si="145"/>
        <v>0</v>
      </c>
      <c r="Q160" s="16">
        <f t="shared" si="145"/>
        <v>0</v>
      </c>
      <c r="R160" s="16">
        <f t="shared" si="145"/>
        <v>0</v>
      </c>
      <c r="S160" s="16">
        <f t="shared" si="145"/>
        <v>0</v>
      </c>
      <c r="T160" s="16">
        <f t="shared" si="145"/>
        <v>0</v>
      </c>
      <c r="U160" s="16">
        <f t="shared" si="145"/>
        <v>0</v>
      </c>
      <c r="V160" s="16">
        <f t="shared" si="145"/>
        <v>0</v>
      </c>
      <c r="W160" s="16">
        <f t="shared" si="145"/>
        <v>0</v>
      </c>
      <c r="X160" s="16">
        <f t="shared" si="145"/>
        <v>0</v>
      </c>
      <c r="Y160" s="16">
        <f t="shared" si="145"/>
        <v>0</v>
      </c>
      <c r="Z160" s="16">
        <f t="shared" si="145"/>
        <v>0</v>
      </c>
      <c r="AA160" s="16">
        <f t="shared" si="145"/>
        <v>0</v>
      </c>
      <c r="AB160" s="16">
        <f t="shared" si="145"/>
        <v>0</v>
      </c>
      <c r="AC160" s="16">
        <f t="shared" si="145"/>
        <v>0</v>
      </c>
      <c r="AD160" s="16">
        <f t="shared" si="145"/>
        <v>0</v>
      </c>
      <c r="AE160" s="16">
        <f t="shared" si="145"/>
        <v>0</v>
      </c>
      <c r="AF160" s="16">
        <f t="shared" si="145"/>
        <v>0</v>
      </c>
      <c r="AG160" s="16">
        <f t="shared" si="145"/>
        <v>0</v>
      </c>
      <c r="AH160" s="16">
        <f t="shared" si="145"/>
        <v>0</v>
      </c>
      <c r="AI160" s="16">
        <f t="shared" si="145"/>
        <v>0</v>
      </c>
      <c r="AJ160" s="16">
        <f t="shared" si="145"/>
        <v>0</v>
      </c>
      <c r="AK160" s="16">
        <f t="shared" si="145"/>
        <v>0</v>
      </c>
      <c r="AL160" s="16">
        <f t="shared" si="145"/>
        <v>0</v>
      </c>
      <c r="AM160" s="16">
        <f t="shared" si="145"/>
        <v>0</v>
      </c>
      <c r="AN160" s="16">
        <f t="shared" si="145"/>
        <v>0</v>
      </c>
      <c r="AO160" s="16">
        <f t="shared" si="145"/>
        <v>0</v>
      </c>
      <c r="AP160" s="16">
        <f t="shared" si="145"/>
        <v>0</v>
      </c>
      <c r="AQ160" s="16">
        <f t="shared" si="145"/>
        <v>0</v>
      </c>
      <c r="AR160" s="16">
        <f t="shared" si="145"/>
        <v>0</v>
      </c>
    </row>
    <row r="161" spans="1:44" s="15" customFormat="1" x14ac:dyDescent="0.15">
      <c r="A161" s="19" t="s">
        <v>921</v>
      </c>
      <c r="B161" s="16">
        <f t="shared" ref="B161:AR161" si="146">B$162*$L13/$L$14</f>
        <v>0</v>
      </c>
      <c r="C161" s="16">
        <f t="shared" si="146"/>
        <v>0</v>
      </c>
      <c r="D161" s="16">
        <f t="shared" si="146"/>
        <v>0</v>
      </c>
      <c r="E161" s="16">
        <f t="shared" si="146"/>
        <v>0</v>
      </c>
      <c r="F161" s="16">
        <f t="shared" si="146"/>
        <v>0</v>
      </c>
      <c r="G161" s="16">
        <f t="shared" si="146"/>
        <v>0</v>
      </c>
      <c r="H161" s="16">
        <f t="shared" si="146"/>
        <v>0</v>
      </c>
      <c r="I161" s="16">
        <f t="shared" si="146"/>
        <v>0</v>
      </c>
      <c r="J161" s="16">
        <f t="shared" si="146"/>
        <v>0</v>
      </c>
      <c r="K161" s="16">
        <f t="shared" si="146"/>
        <v>0</v>
      </c>
      <c r="L161" s="16">
        <f t="shared" si="146"/>
        <v>0</v>
      </c>
      <c r="M161" s="16">
        <f t="shared" si="146"/>
        <v>0</v>
      </c>
      <c r="N161" s="16">
        <f t="shared" si="146"/>
        <v>0</v>
      </c>
      <c r="O161" s="16">
        <f t="shared" si="146"/>
        <v>0</v>
      </c>
      <c r="P161" s="16">
        <f t="shared" si="146"/>
        <v>0</v>
      </c>
      <c r="Q161" s="16">
        <f t="shared" si="146"/>
        <v>0</v>
      </c>
      <c r="R161" s="16">
        <f t="shared" si="146"/>
        <v>0</v>
      </c>
      <c r="S161" s="16">
        <f t="shared" si="146"/>
        <v>0</v>
      </c>
      <c r="T161" s="16">
        <f t="shared" si="146"/>
        <v>0</v>
      </c>
      <c r="U161" s="16">
        <f t="shared" si="146"/>
        <v>0</v>
      </c>
      <c r="V161" s="16">
        <f t="shared" si="146"/>
        <v>0</v>
      </c>
      <c r="W161" s="16">
        <f t="shared" si="146"/>
        <v>0</v>
      </c>
      <c r="X161" s="16">
        <f t="shared" si="146"/>
        <v>0</v>
      </c>
      <c r="Y161" s="16">
        <f t="shared" si="146"/>
        <v>0</v>
      </c>
      <c r="Z161" s="16">
        <f t="shared" si="146"/>
        <v>0</v>
      </c>
      <c r="AA161" s="16">
        <f t="shared" si="146"/>
        <v>0</v>
      </c>
      <c r="AB161" s="16">
        <f t="shared" si="146"/>
        <v>0</v>
      </c>
      <c r="AC161" s="16">
        <f t="shared" si="146"/>
        <v>0</v>
      </c>
      <c r="AD161" s="16">
        <f t="shared" si="146"/>
        <v>0</v>
      </c>
      <c r="AE161" s="16">
        <f t="shared" si="146"/>
        <v>0</v>
      </c>
      <c r="AF161" s="16">
        <f t="shared" si="146"/>
        <v>0</v>
      </c>
      <c r="AG161" s="16">
        <f t="shared" si="146"/>
        <v>0</v>
      </c>
      <c r="AH161" s="16">
        <f t="shared" si="146"/>
        <v>0</v>
      </c>
      <c r="AI161" s="16">
        <f t="shared" si="146"/>
        <v>0</v>
      </c>
      <c r="AJ161" s="16">
        <f t="shared" si="146"/>
        <v>0</v>
      </c>
      <c r="AK161" s="16">
        <f t="shared" si="146"/>
        <v>0</v>
      </c>
      <c r="AL161" s="16">
        <f t="shared" si="146"/>
        <v>0</v>
      </c>
      <c r="AM161" s="16">
        <f t="shared" si="146"/>
        <v>0</v>
      </c>
      <c r="AN161" s="16">
        <f t="shared" si="146"/>
        <v>0</v>
      </c>
      <c r="AO161" s="16">
        <f t="shared" si="146"/>
        <v>0</v>
      </c>
      <c r="AP161" s="16">
        <f t="shared" si="146"/>
        <v>0</v>
      </c>
      <c r="AQ161" s="16">
        <f t="shared" si="146"/>
        <v>0</v>
      </c>
      <c r="AR161" s="16">
        <f t="shared" si="146"/>
        <v>0</v>
      </c>
    </row>
    <row r="162" spans="1:44" s="17" customFormat="1" x14ac:dyDescent="0.15">
      <c r="A162" s="19" t="s">
        <v>911</v>
      </c>
      <c r="B162" s="17">
        <f>BAU建筑总能耗计算!B$5*$L$16</f>
        <v>2081.0801151969677</v>
      </c>
      <c r="C162" s="17">
        <f>BAU建筑总能耗计算!C$5*$L$16</f>
        <v>2066.3044463790693</v>
      </c>
      <c r="D162" s="17">
        <f>BAU建筑总能耗计算!D$5*$L$16</f>
        <v>2007.8010893135947</v>
      </c>
      <c r="E162" s="17">
        <f>BAU建筑总能耗计算!E$5*$L$16</f>
        <v>1970.4519095912583</v>
      </c>
      <c r="F162" s="17">
        <f>BAU建筑总能耗计算!F$5*$L$16</f>
        <v>1964.5143766820956</v>
      </c>
      <c r="G162" s="17">
        <f>BAU建筑总能耗计算!G$5*$L$16</f>
        <v>1957.7062082576392</v>
      </c>
      <c r="H162" s="17">
        <f>BAU建筑总能耗计算!H$5*$L$16</f>
        <v>1950.0431566918564</v>
      </c>
      <c r="I162" s="17">
        <f>BAU建筑总能耗计算!I$5*$L$16</f>
        <v>1941.5421630722483</v>
      </c>
      <c r="J162" s="17">
        <f>BAU建筑总能耗计算!J$5*$L$16</f>
        <v>1932.2212193022112</v>
      </c>
      <c r="K162" s="17">
        <f>BAU建筑总能耗计算!K$5*$L$16</f>
        <v>1922.0994623222668</v>
      </c>
      <c r="L162" s="17">
        <f>BAU建筑总能耗计算!L$5*$L$16</f>
        <v>1911.1970343261285</v>
      </c>
      <c r="M162" s="17">
        <f>BAU建筑总能耗计算!M$5*$L$16</f>
        <v>1899.5351118562105</v>
      </c>
      <c r="N162" s="17">
        <f>BAU建筑总能耗计算!N$5*$L$16</f>
        <v>1887.1358544951322</v>
      </c>
      <c r="O162" s="17">
        <f>BAU建筑总能耗计算!O$5*$L$16</f>
        <v>1874.0223417390057</v>
      </c>
      <c r="P162" s="17">
        <f>BAU建筑总能耗计算!P$5*$L$16</f>
        <v>1860.2185953433195</v>
      </c>
      <c r="Q162" s="17">
        <f>BAU建筑总能耗计算!Q$5*$L$16</f>
        <v>1845.7494502288296</v>
      </c>
      <c r="R162" s="17">
        <f>BAU建筑总能耗计算!R$5*$L$16</f>
        <v>1830.9737814109308</v>
      </c>
      <c r="S162" s="17">
        <f>BAU建筑总能耗计算!S$5*$L$16</f>
        <v>1815.5882852843145</v>
      </c>
      <c r="T162" s="17">
        <f>BAU建筑总能耗计算!T$5*$L$16</f>
        <v>1799.0803151094983</v>
      </c>
      <c r="U162" s="17">
        <f>BAU建筑总能耗计算!U$5*$L$16</f>
        <v>1781.4995359049033</v>
      </c>
      <c r="V162" s="17">
        <f>BAU建筑总能耗计算!V$5*$L$16</f>
        <v>1762.8968484676325</v>
      </c>
      <c r="W162" s="17">
        <f>BAU建筑总能耗计算!W$5*$L$16</f>
        <v>1743.324186621905</v>
      </c>
      <c r="X162" s="17">
        <f>BAU建筑总能耗计算!X$5*$L$16</f>
        <v>1722.8345099755293</v>
      </c>
      <c r="Y162" s="17">
        <f>BAU建筑总能耗计算!Y$5*$L$16</f>
        <v>1701.4816552854991</v>
      </c>
      <c r="Z162" s="17">
        <f>BAU建筑总能耗计算!Z$5*$L$16</f>
        <v>1679.3202225008381</v>
      </c>
      <c r="AA162" s="17">
        <f>BAU建筑总能耗计算!AA$5*$L$16</f>
        <v>1656.4053969870281</v>
      </c>
      <c r="AB162" s="17">
        <f>BAU建筑总能耗计算!AB$5*$L$16</f>
        <v>1632.7928588529585</v>
      </c>
      <c r="AC162" s="17">
        <f>BAU建筑总能耗计算!AC$5*$L$16</f>
        <v>1608.5386955135023</v>
      </c>
      <c r="AD162" s="17">
        <f>BAU建筑总能耗计算!AD$5*$L$16</f>
        <v>1583.6991511784904</v>
      </c>
      <c r="AE162" s="17">
        <f>BAU建筑总能耗计算!AE$5*$L$16</f>
        <v>1558.3305050449865</v>
      </c>
      <c r="AF162" s="17">
        <f>BAU建筑总能耗计算!AF$5*$L$16</f>
        <v>1532.4890184489086</v>
      </c>
      <c r="AG162" s="17">
        <f>BAU建筑总能耗计算!AG$5*$L$16</f>
        <v>1506.2306082512525</v>
      </c>
      <c r="AH162" s="17">
        <f>BAU建筑总能耗计算!AH$5*$L$16</f>
        <v>1479.6107617102614</v>
      </c>
      <c r="AI162" s="17">
        <f>BAU建筑总能耗计算!AI$5*$L$16</f>
        <v>1452.6843888456176</v>
      </c>
      <c r="AJ162" s="17">
        <f>BAU建筑总能耗计算!AJ$5*$L$16</f>
        <v>1425.5055163049265</v>
      </c>
      <c r="AK162" s="17">
        <f>BAU建筑总能耗计算!AK$5*$L$16</f>
        <v>1398.1272552355679</v>
      </c>
      <c r="AL162" s="17">
        <f>BAU建筑总能耗计算!AL$5*$L$16</f>
        <v>1370.6014121034584</v>
      </c>
      <c r="AM162" s="17">
        <f>BAU建筑总能耗计算!AM$5*$L$16</f>
        <v>1342.9784579070972</v>
      </c>
      <c r="AN162" s="17">
        <f>BAU建筑总能耗计算!AN$5*$L$16</f>
        <v>1315.3071954625241</v>
      </c>
      <c r="AO162" s="17">
        <f>BAU建筑总能耗计算!AO$5*$L$16</f>
        <v>1287.6345547684898</v>
      </c>
      <c r="AP162" s="17">
        <f>BAU建筑总能耗计算!AP$5*$L$16</f>
        <v>1260.0053618691547</v>
      </c>
      <c r="AQ162" s="17">
        <f>BAU建筑总能耗计算!AQ$5*$L$16</f>
        <v>1232.4620982998274</v>
      </c>
      <c r="AR162" s="17">
        <f>BAU建筑总能耗计算!AR$5*$L$16</f>
        <v>1205.0446787894907</v>
      </c>
    </row>
    <row r="163" spans="1:44" s="15" customFormat="1" x14ac:dyDescent="0.15"/>
    <row r="164" spans="1:44" s="19" customFormat="1" x14ac:dyDescent="0.15">
      <c r="A164" s="18" t="s">
        <v>20</v>
      </c>
      <c r="B164" s="19">
        <v>2018</v>
      </c>
      <c r="C164" s="19">
        <v>2019</v>
      </c>
      <c r="D164" s="19">
        <v>2020</v>
      </c>
      <c r="E164" s="19">
        <v>2021</v>
      </c>
      <c r="F164" s="19">
        <v>2022</v>
      </c>
      <c r="G164" s="19">
        <v>2023</v>
      </c>
      <c r="H164" s="19">
        <v>2024</v>
      </c>
      <c r="I164" s="19">
        <v>2025</v>
      </c>
      <c r="J164" s="19">
        <v>2026</v>
      </c>
      <c r="K164" s="19">
        <v>2027</v>
      </c>
      <c r="L164" s="19">
        <v>2028</v>
      </c>
      <c r="M164" s="19">
        <v>2029</v>
      </c>
      <c r="N164" s="19">
        <v>2030</v>
      </c>
      <c r="O164" s="19">
        <v>2031</v>
      </c>
      <c r="P164" s="19">
        <v>2032</v>
      </c>
      <c r="Q164" s="19">
        <v>2033</v>
      </c>
      <c r="R164" s="19">
        <v>2034</v>
      </c>
      <c r="S164" s="19">
        <v>2035</v>
      </c>
      <c r="T164" s="19">
        <v>2036</v>
      </c>
      <c r="U164" s="19">
        <v>2037</v>
      </c>
      <c r="V164" s="19">
        <v>2038</v>
      </c>
      <c r="W164" s="19">
        <v>2039</v>
      </c>
      <c r="X164" s="19">
        <v>2040</v>
      </c>
      <c r="Y164" s="19">
        <v>2041</v>
      </c>
      <c r="Z164" s="19">
        <v>2042</v>
      </c>
      <c r="AA164" s="19">
        <v>2043</v>
      </c>
      <c r="AB164" s="19">
        <v>2044</v>
      </c>
      <c r="AC164" s="19">
        <v>2045</v>
      </c>
      <c r="AD164" s="19">
        <v>2046</v>
      </c>
      <c r="AE164" s="19">
        <v>2047</v>
      </c>
      <c r="AF164" s="19">
        <v>2048</v>
      </c>
      <c r="AG164" s="19">
        <v>2049</v>
      </c>
      <c r="AH164" s="19">
        <v>2050</v>
      </c>
      <c r="AI164" s="19">
        <v>2051</v>
      </c>
      <c r="AJ164" s="19">
        <v>2052</v>
      </c>
      <c r="AK164" s="19">
        <v>2053</v>
      </c>
      <c r="AL164" s="19">
        <v>2054</v>
      </c>
      <c r="AM164" s="19">
        <v>2055</v>
      </c>
      <c r="AN164" s="19">
        <v>2056</v>
      </c>
      <c r="AO164" s="19">
        <v>2057</v>
      </c>
      <c r="AP164" s="19">
        <v>2058</v>
      </c>
      <c r="AQ164" s="19">
        <v>2059</v>
      </c>
      <c r="AR164" s="19">
        <v>2060</v>
      </c>
    </row>
    <row r="165" spans="1:44" s="15" customFormat="1" x14ac:dyDescent="0.15">
      <c r="A165" s="19" t="s">
        <v>912</v>
      </c>
      <c r="B165" s="16">
        <f t="shared" ref="B165:B174" si="147">B$175*$M4/$M$14</f>
        <v>1197.0122467110382</v>
      </c>
      <c r="C165" s="16">
        <f t="shared" ref="C165:AR165" si="148">C$175*$M4/$M$14</f>
        <v>1188.5134597593897</v>
      </c>
      <c r="D165" s="16">
        <f t="shared" si="148"/>
        <v>1154.863032575113</v>
      </c>
      <c r="E165" s="16">
        <f t="shared" si="148"/>
        <v>1133.3802337122654</v>
      </c>
      <c r="F165" s="16">
        <f t="shared" si="148"/>
        <v>1129.9650362118821</v>
      </c>
      <c r="G165" s="16">
        <f t="shared" si="148"/>
        <v>1126.0490596369129</v>
      </c>
      <c r="H165" s="16">
        <f t="shared" si="148"/>
        <v>1121.6413645633611</v>
      </c>
      <c r="I165" s="16">
        <f t="shared" si="148"/>
        <v>1116.7516953009549</v>
      </c>
      <c r="J165" s="16">
        <f t="shared" si="148"/>
        <v>1111.3904005760842</v>
      </c>
      <c r="K165" s="16">
        <f t="shared" si="148"/>
        <v>1105.5684877267176</v>
      </c>
      <c r="L165" s="16">
        <f t="shared" si="148"/>
        <v>1099.2975423003675</v>
      </c>
      <c r="M165" s="16">
        <f t="shared" si="148"/>
        <v>1092.5897447894749</v>
      </c>
      <c r="N165" s="16">
        <f t="shared" si="148"/>
        <v>1085.4578411193806</v>
      </c>
      <c r="O165" s="16">
        <f t="shared" si="148"/>
        <v>1077.9151063386012</v>
      </c>
      <c r="P165" s="16">
        <f t="shared" si="148"/>
        <v>1069.9753574719095</v>
      </c>
      <c r="Q165" s="16">
        <f t="shared" si="148"/>
        <v>1061.6528792669587</v>
      </c>
      <c r="R165" s="16">
        <f t="shared" si="148"/>
        <v>1053.15409231531</v>
      </c>
      <c r="S165" s="16">
        <f t="shared" si="148"/>
        <v>1044.3045400319556</v>
      </c>
      <c r="T165" s="16">
        <f t="shared" si="148"/>
        <v>1034.8093541795236</v>
      </c>
      <c r="U165" s="16">
        <f t="shared" si="148"/>
        <v>1024.6971014791363</v>
      </c>
      <c r="V165" s="16">
        <f t="shared" si="148"/>
        <v>1013.9970594569468</v>
      </c>
      <c r="W165" s="16">
        <f t="shared" si="148"/>
        <v>1002.739099823878</v>
      </c>
      <c r="X165" s="16">
        <f t="shared" si="148"/>
        <v>990.95368430923327</v>
      </c>
      <c r="Y165" s="16">
        <f t="shared" si="148"/>
        <v>978.67177916797516</v>
      </c>
      <c r="Z165" s="16">
        <f t="shared" si="148"/>
        <v>965.92478963394103</v>
      </c>
      <c r="AA165" s="16">
        <f t="shared" si="148"/>
        <v>952.74445766547115</v>
      </c>
      <c r="AB165" s="16">
        <f t="shared" si="148"/>
        <v>939.16280979136366</v>
      </c>
      <c r="AC165" s="16">
        <f t="shared" si="148"/>
        <v>925.21210681791695</v>
      </c>
      <c r="AD165" s="16">
        <f t="shared" si="148"/>
        <v>910.92469973800416</v>
      </c>
      <c r="AE165" s="16">
        <f t="shared" si="148"/>
        <v>896.332959668733</v>
      </c>
      <c r="AF165" s="16">
        <f t="shared" si="148"/>
        <v>881.46924745369574</v>
      </c>
      <c r="AG165" s="16">
        <f t="shared" si="148"/>
        <v>866.36572579865299</v>
      </c>
      <c r="AH165" s="16">
        <f t="shared" si="148"/>
        <v>851.05431030703039</v>
      </c>
      <c r="AI165" s="16">
        <f t="shared" si="148"/>
        <v>835.56658456157732</v>
      </c>
      <c r="AJ165" s="16">
        <f t="shared" si="148"/>
        <v>819.93362404005188</v>
      </c>
      <c r="AK165" s="16">
        <f t="shared" si="148"/>
        <v>804.18597763549599</v>
      </c>
      <c r="AL165" s="16">
        <f t="shared" si="148"/>
        <v>788.35344380386914</v>
      </c>
      <c r="AM165" s="16">
        <f t="shared" si="148"/>
        <v>772.46505285633793</v>
      </c>
      <c r="AN165" s="16">
        <f t="shared" si="148"/>
        <v>756.54887558558733</v>
      </c>
      <c r="AO165" s="16">
        <f t="shared" si="148"/>
        <v>740.63190556232701</v>
      </c>
      <c r="AP165" s="16">
        <f t="shared" si="148"/>
        <v>724.73992618789737</v>
      </c>
      <c r="AQ165" s="16">
        <f t="shared" si="148"/>
        <v>708.89737233035191</v>
      </c>
      <c r="AR165" s="16">
        <f t="shared" si="148"/>
        <v>693.12720246162462</v>
      </c>
    </row>
    <row r="166" spans="1:44" s="15" customFormat="1" x14ac:dyDescent="0.15">
      <c r="A166" s="19" t="s">
        <v>913</v>
      </c>
      <c r="B166" s="16">
        <f t="shared" si="147"/>
        <v>187.03515130992434</v>
      </c>
      <c r="C166" s="16">
        <f t="shared" ref="C166:AR166" si="149">C$175*$M5/$M$14</f>
        <v>185.7072017356239</v>
      </c>
      <c r="D166" s="16">
        <f t="shared" si="149"/>
        <v>180.44926660810287</v>
      </c>
      <c r="E166" s="16">
        <f t="shared" si="149"/>
        <v>177.09254361139713</v>
      </c>
      <c r="F166" s="16">
        <f t="shared" si="149"/>
        <v>176.55891333067731</v>
      </c>
      <c r="G166" s="16">
        <f t="shared" si="149"/>
        <v>175.94703548795857</v>
      </c>
      <c r="H166" s="16">
        <f t="shared" si="149"/>
        <v>175.2583258132874</v>
      </c>
      <c r="I166" s="16">
        <f t="shared" si="149"/>
        <v>174.49430687124024</v>
      </c>
      <c r="J166" s="16">
        <f t="shared" si="149"/>
        <v>173.65659566750068</v>
      </c>
      <c r="K166" s="16">
        <f t="shared" si="149"/>
        <v>172.74691211690512</v>
      </c>
      <c r="L166" s="16">
        <f t="shared" si="149"/>
        <v>171.76706648049134</v>
      </c>
      <c r="M166" s="16">
        <f t="shared" si="149"/>
        <v>170.71896198043018</v>
      </c>
      <c r="N166" s="16">
        <f t="shared" si="149"/>
        <v>169.60459018872214</v>
      </c>
      <c r="O166" s="16">
        <f t="shared" si="149"/>
        <v>168.4260253537424</v>
      </c>
      <c r="P166" s="16">
        <f t="shared" si="149"/>
        <v>167.18542640855637</v>
      </c>
      <c r="Q166" s="16">
        <f t="shared" si="149"/>
        <v>165.88502536870612</v>
      </c>
      <c r="R166" s="16">
        <f t="shared" si="149"/>
        <v>164.55707579440559</v>
      </c>
      <c r="S166" s="16">
        <f t="shared" si="149"/>
        <v>163.1743185545443</v>
      </c>
      <c r="T166" s="16">
        <f t="shared" si="149"/>
        <v>161.69067999737413</v>
      </c>
      <c r="U166" s="16">
        <f t="shared" si="149"/>
        <v>160.11062372050819</v>
      </c>
      <c r="V166" s="16">
        <f t="shared" si="149"/>
        <v>158.43872438602637</v>
      </c>
      <c r="W166" s="16">
        <f t="shared" si="149"/>
        <v>156.67964949836539</v>
      </c>
      <c r="X166" s="16">
        <f t="shared" si="149"/>
        <v>154.83815875331371</v>
      </c>
      <c r="Y166" s="16">
        <f t="shared" si="149"/>
        <v>152.91909067963186</v>
      </c>
      <c r="Z166" s="16">
        <f t="shared" si="149"/>
        <v>150.92735239725852</v>
      </c>
      <c r="AA166" s="16">
        <f t="shared" si="149"/>
        <v>148.86790363989513</v>
      </c>
      <c r="AB166" s="16">
        <f t="shared" si="149"/>
        <v>146.74574860584974</v>
      </c>
      <c r="AC166" s="16">
        <f t="shared" si="149"/>
        <v>144.56592809967884</v>
      </c>
      <c r="AD166" s="16">
        <f t="shared" si="149"/>
        <v>142.333497017741</v>
      </c>
      <c r="AE166" s="16">
        <f t="shared" si="149"/>
        <v>140.05351340083985</v>
      </c>
      <c r="AF166" s="16">
        <f t="shared" si="149"/>
        <v>137.73103368452516</v>
      </c>
      <c r="AG166" s="16">
        <f t="shared" si="149"/>
        <v>135.37108334498149</v>
      </c>
      <c r="AH166" s="16">
        <f t="shared" si="149"/>
        <v>132.97864924824322</v>
      </c>
      <c r="AI166" s="16">
        <f t="shared" si="149"/>
        <v>130.55866638156274</v>
      </c>
      <c r="AJ166" s="16">
        <f t="shared" si="149"/>
        <v>128.11599033994375</v>
      </c>
      <c r="AK166" s="16">
        <f t="shared" si="149"/>
        <v>125.65539443865359</v>
      </c>
      <c r="AL166" s="16">
        <f t="shared" si="149"/>
        <v>123.18153473591937</v>
      </c>
      <c r="AM166" s="16">
        <f t="shared" si="149"/>
        <v>120.69894726606859</v>
      </c>
      <c r="AN166" s="16">
        <f t="shared" si="149"/>
        <v>118.21201813707277</v>
      </c>
      <c r="AO166" s="16">
        <f t="shared" si="149"/>
        <v>115.72496513918084</v>
      </c>
      <c r="AP166" s="16">
        <f t="shared" si="149"/>
        <v>113.24181697166826</v>
      </c>
      <c r="AQ166" s="16">
        <f t="shared" si="149"/>
        <v>110.76639162324494</v>
      </c>
      <c r="AR166" s="16">
        <f t="shared" si="149"/>
        <v>108.30227639327551</v>
      </c>
    </row>
    <row r="167" spans="1:44" s="15" customFormat="1" x14ac:dyDescent="0.15">
      <c r="A167" s="19" t="s">
        <v>914</v>
      </c>
      <c r="B167" s="16">
        <f t="shared" si="147"/>
        <v>138.40481081546773</v>
      </c>
      <c r="C167" s="16">
        <f t="shared" ref="C167:AR167" si="150">C$175*$M6/$M$14</f>
        <v>137.42213665867791</v>
      </c>
      <c r="D167" s="16">
        <f t="shared" si="150"/>
        <v>133.53129843116912</v>
      </c>
      <c r="E167" s="16">
        <f t="shared" si="150"/>
        <v>131.04734497073559</v>
      </c>
      <c r="F167" s="16">
        <f t="shared" si="150"/>
        <v>130.65246199001695</v>
      </c>
      <c r="G167" s="16">
        <f t="shared" si="150"/>
        <v>130.19967631593079</v>
      </c>
      <c r="H167" s="16">
        <f t="shared" si="150"/>
        <v>129.69003557961972</v>
      </c>
      <c r="I167" s="16">
        <f t="shared" si="150"/>
        <v>129.1246664690922</v>
      </c>
      <c r="J167" s="16">
        <f t="shared" si="150"/>
        <v>128.50476555816959</v>
      </c>
      <c r="K167" s="16">
        <f t="shared" si="150"/>
        <v>127.83160557278538</v>
      </c>
      <c r="L167" s="16">
        <f t="shared" si="150"/>
        <v>127.10652609448192</v>
      </c>
      <c r="M167" s="16">
        <f t="shared" si="150"/>
        <v>126.33093549544294</v>
      </c>
      <c r="N167" s="16">
        <f t="shared" si="150"/>
        <v>125.50630752615886</v>
      </c>
      <c r="O167" s="16">
        <f t="shared" si="150"/>
        <v>124.63417711710632</v>
      </c>
      <c r="P167" s="16">
        <f t="shared" si="150"/>
        <v>123.71614186488883</v>
      </c>
      <c r="Q167" s="16">
        <f t="shared" si="150"/>
        <v>122.75385344667338</v>
      </c>
      <c r="R167" s="16">
        <f t="shared" si="150"/>
        <v>121.77117928988353</v>
      </c>
      <c r="S167" s="16">
        <f t="shared" si="150"/>
        <v>120.74794781255767</v>
      </c>
      <c r="T167" s="16">
        <f t="shared" si="150"/>
        <v>119.65006480829067</v>
      </c>
      <c r="U167" s="16">
        <f t="shared" si="150"/>
        <v>118.48083331065068</v>
      </c>
      <c r="V167" s="16">
        <f t="shared" si="150"/>
        <v>117.24363854019802</v>
      </c>
      <c r="W167" s="16">
        <f t="shared" si="150"/>
        <v>115.94193442024076</v>
      </c>
      <c r="X167" s="16">
        <f t="shared" si="150"/>
        <v>114.57924309509524</v>
      </c>
      <c r="Y167" s="16">
        <f t="shared" si="150"/>
        <v>113.15914504497087</v>
      </c>
      <c r="Z167" s="16">
        <f t="shared" si="150"/>
        <v>111.68527150710835</v>
      </c>
      <c r="AA167" s="16">
        <f t="shared" si="150"/>
        <v>110.16129265259501</v>
      </c>
      <c r="AB167" s="16">
        <f t="shared" si="150"/>
        <v>108.59091155604141</v>
      </c>
      <c r="AC167" s="16">
        <f t="shared" si="150"/>
        <v>106.97785838044699</v>
      </c>
      <c r="AD167" s="16">
        <f t="shared" si="150"/>
        <v>105.3258737166541</v>
      </c>
      <c r="AE167" s="16">
        <f t="shared" si="150"/>
        <v>103.63870048237433</v>
      </c>
      <c r="AF167" s="16">
        <f t="shared" si="150"/>
        <v>101.92008040744172</v>
      </c>
      <c r="AG167" s="16">
        <f t="shared" si="150"/>
        <v>100.17373231195883</v>
      </c>
      <c r="AH167" s="16">
        <f t="shared" si="150"/>
        <v>98.403346444765077</v>
      </c>
      <c r="AI167" s="16">
        <f t="shared" si="150"/>
        <v>96.612574664734382</v>
      </c>
      <c r="AJ167" s="16">
        <f t="shared" si="150"/>
        <v>94.805010080986463</v>
      </c>
      <c r="AK167" s="16">
        <f t="shared" si="150"/>
        <v>92.98418491616458</v>
      </c>
      <c r="AL167" s="16">
        <f t="shared" si="150"/>
        <v>91.153544623455204</v>
      </c>
      <c r="AM167" s="16">
        <f t="shared" si="150"/>
        <v>89.316445839129983</v>
      </c>
      <c r="AN167" s="16">
        <f t="shared" si="150"/>
        <v>87.47613425491987</v>
      </c>
      <c r="AO167" s="16">
        <f t="shared" si="150"/>
        <v>85.635731008522157</v>
      </c>
      <c r="AP167" s="16">
        <f t="shared" si="150"/>
        <v>83.798217311528035</v>
      </c>
      <c r="AQ167" s="16">
        <f t="shared" si="150"/>
        <v>81.966418451063447</v>
      </c>
      <c r="AR167" s="16">
        <f t="shared" si="150"/>
        <v>80.142989005620265</v>
      </c>
    </row>
    <row r="168" spans="1:44" s="15" customFormat="1" x14ac:dyDescent="0.15">
      <c r="A168" s="19" t="s">
        <v>915</v>
      </c>
      <c r="B168" s="16">
        <f t="shared" si="147"/>
        <v>0</v>
      </c>
      <c r="C168" s="16">
        <f t="shared" ref="C168:AR168" si="151">C$175*$M7/$M$14</f>
        <v>0</v>
      </c>
      <c r="D168" s="16">
        <f t="shared" si="151"/>
        <v>0</v>
      </c>
      <c r="E168" s="16">
        <f t="shared" si="151"/>
        <v>0</v>
      </c>
      <c r="F168" s="16">
        <f t="shared" si="151"/>
        <v>0</v>
      </c>
      <c r="G168" s="16">
        <f t="shared" si="151"/>
        <v>0</v>
      </c>
      <c r="H168" s="16">
        <f t="shared" si="151"/>
        <v>0</v>
      </c>
      <c r="I168" s="16">
        <f t="shared" si="151"/>
        <v>0</v>
      </c>
      <c r="J168" s="16">
        <f t="shared" si="151"/>
        <v>0</v>
      </c>
      <c r="K168" s="16">
        <f t="shared" si="151"/>
        <v>0</v>
      </c>
      <c r="L168" s="16">
        <f t="shared" si="151"/>
        <v>0</v>
      </c>
      <c r="M168" s="16">
        <f t="shared" si="151"/>
        <v>0</v>
      </c>
      <c r="N168" s="16">
        <f t="shared" si="151"/>
        <v>0</v>
      </c>
      <c r="O168" s="16">
        <f t="shared" si="151"/>
        <v>0</v>
      </c>
      <c r="P168" s="16">
        <f t="shared" si="151"/>
        <v>0</v>
      </c>
      <c r="Q168" s="16">
        <f t="shared" si="151"/>
        <v>0</v>
      </c>
      <c r="R168" s="16">
        <f t="shared" si="151"/>
        <v>0</v>
      </c>
      <c r="S168" s="16">
        <f t="shared" si="151"/>
        <v>0</v>
      </c>
      <c r="T168" s="16">
        <f t="shared" si="151"/>
        <v>0</v>
      </c>
      <c r="U168" s="16">
        <f t="shared" si="151"/>
        <v>0</v>
      </c>
      <c r="V168" s="16">
        <f t="shared" si="151"/>
        <v>0</v>
      </c>
      <c r="W168" s="16">
        <f t="shared" si="151"/>
        <v>0</v>
      </c>
      <c r="X168" s="16">
        <f t="shared" si="151"/>
        <v>0</v>
      </c>
      <c r="Y168" s="16">
        <f t="shared" si="151"/>
        <v>0</v>
      </c>
      <c r="Z168" s="16">
        <f t="shared" si="151"/>
        <v>0</v>
      </c>
      <c r="AA168" s="16">
        <f t="shared" si="151"/>
        <v>0</v>
      </c>
      <c r="AB168" s="16">
        <f t="shared" si="151"/>
        <v>0</v>
      </c>
      <c r="AC168" s="16">
        <f t="shared" si="151"/>
        <v>0</v>
      </c>
      <c r="AD168" s="16">
        <f t="shared" si="151"/>
        <v>0</v>
      </c>
      <c r="AE168" s="16">
        <f t="shared" si="151"/>
        <v>0</v>
      </c>
      <c r="AF168" s="16">
        <f t="shared" si="151"/>
        <v>0</v>
      </c>
      <c r="AG168" s="16">
        <f t="shared" si="151"/>
        <v>0</v>
      </c>
      <c r="AH168" s="16">
        <f t="shared" si="151"/>
        <v>0</v>
      </c>
      <c r="AI168" s="16">
        <f t="shared" si="151"/>
        <v>0</v>
      </c>
      <c r="AJ168" s="16">
        <f t="shared" si="151"/>
        <v>0</v>
      </c>
      <c r="AK168" s="16">
        <f t="shared" si="151"/>
        <v>0</v>
      </c>
      <c r="AL168" s="16">
        <f t="shared" si="151"/>
        <v>0</v>
      </c>
      <c r="AM168" s="16">
        <f t="shared" si="151"/>
        <v>0</v>
      </c>
      <c r="AN168" s="16">
        <f t="shared" si="151"/>
        <v>0</v>
      </c>
      <c r="AO168" s="16">
        <f t="shared" si="151"/>
        <v>0</v>
      </c>
      <c r="AP168" s="16">
        <f t="shared" si="151"/>
        <v>0</v>
      </c>
      <c r="AQ168" s="16">
        <f t="shared" si="151"/>
        <v>0</v>
      </c>
      <c r="AR168" s="16">
        <f t="shared" si="151"/>
        <v>0</v>
      </c>
    </row>
    <row r="169" spans="1:44" s="15" customFormat="1" x14ac:dyDescent="0.15">
      <c r="A169" s="19" t="s">
        <v>916</v>
      </c>
      <c r="B169" s="16">
        <f t="shared" si="147"/>
        <v>0</v>
      </c>
      <c r="C169" s="16">
        <f t="shared" ref="C169:AR169" si="152">C$175*$M8/$M$14</f>
        <v>0</v>
      </c>
      <c r="D169" s="16">
        <f t="shared" si="152"/>
        <v>0</v>
      </c>
      <c r="E169" s="16">
        <f t="shared" si="152"/>
        <v>0</v>
      </c>
      <c r="F169" s="16">
        <f t="shared" si="152"/>
        <v>0</v>
      </c>
      <c r="G169" s="16">
        <f t="shared" si="152"/>
        <v>0</v>
      </c>
      <c r="H169" s="16">
        <f t="shared" si="152"/>
        <v>0</v>
      </c>
      <c r="I169" s="16">
        <f t="shared" si="152"/>
        <v>0</v>
      </c>
      <c r="J169" s="16">
        <f t="shared" si="152"/>
        <v>0</v>
      </c>
      <c r="K169" s="16">
        <f t="shared" si="152"/>
        <v>0</v>
      </c>
      <c r="L169" s="16">
        <f t="shared" si="152"/>
        <v>0</v>
      </c>
      <c r="M169" s="16">
        <f t="shared" si="152"/>
        <v>0</v>
      </c>
      <c r="N169" s="16">
        <f t="shared" si="152"/>
        <v>0</v>
      </c>
      <c r="O169" s="16">
        <f t="shared" si="152"/>
        <v>0</v>
      </c>
      <c r="P169" s="16">
        <f t="shared" si="152"/>
        <v>0</v>
      </c>
      <c r="Q169" s="16">
        <f t="shared" si="152"/>
        <v>0</v>
      </c>
      <c r="R169" s="16">
        <f t="shared" si="152"/>
        <v>0</v>
      </c>
      <c r="S169" s="16">
        <f t="shared" si="152"/>
        <v>0</v>
      </c>
      <c r="T169" s="16">
        <f t="shared" si="152"/>
        <v>0</v>
      </c>
      <c r="U169" s="16">
        <f t="shared" si="152"/>
        <v>0</v>
      </c>
      <c r="V169" s="16">
        <f t="shared" si="152"/>
        <v>0</v>
      </c>
      <c r="W169" s="16">
        <f t="shared" si="152"/>
        <v>0</v>
      </c>
      <c r="X169" s="16">
        <f t="shared" si="152"/>
        <v>0</v>
      </c>
      <c r="Y169" s="16">
        <f t="shared" si="152"/>
        <v>0</v>
      </c>
      <c r="Z169" s="16">
        <f t="shared" si="152"/>
        <v>0</v>
      </c>
      <c r="AA169" s="16">
        <f t="shared" si="152"/>
        <v>0</v>
      </c>
      <c r="AB169" s="16">
        <f t="shared" si="152"/>
        <v>0</v>
      </c>
      <c r="AC169" s="16">
        <f t="shared" si="152"/>
        <v>0</v>
      </c>
      <c r="AD169" s="16">
        <f t="shared" si="152"/>
        <v>0</v>
      </c>
      <c r="AE169" s="16">
        <f t="shared" si="152"/>
        <v>0</v>
      </c>
      <c r="AF169" s="16">
        <f t="shared" si="152"/>
        <v>0</v>
      </c>
      <c r="AG169" s="16">
        <f t="shared" si="152"/>
        <v>0</v>
      </c>
      <c r="AH169" s="16">
        <f t="shared" si="152"/>
        <v>0</v>
      </c>
      <c r="AI169" s="16">
        <f t="shared" si="152"/>
        <v>0</v>
      </c>
      <c r="AJ169" s="16">
        <f t="shared" si="152"/>
        <v>0</v>
      </c>
      <c r="AK169" s="16">
        <f t="shared" si="152"/>
        <v>0</v>
      </c>
      <c r="AL169" s="16">
        <f t="shared" si="152"/>
        <v>0</v>
      </c>
      <c r="AM169" s="16">
        <f t="shared" si="152"/>
        <v>0</v>
      </c>
      <c r="AN169" s="16">
        <f t="shared" si="152"/>
        <v>0</v>
      </c>
      <c r="AO169" s="16">
        <f t="shared" si="152"/>
        <v>0</v>
      </c>
      <c r="AP169" s="16">
        <f t="shared" si="152"/>
        <v>0</v>
      </c>
      <c r="AQ169" s="16">
        <f t="shared" si="152"/>
        <v>0</v>
      </c>
      <c r="AR169" s="16">
        <f t="shared" si="152"/>
        <v>0</v>
      </c>
    </row>
    <row r="170" spans="1:44" s="15" customFormat="1" x14ac:dyDescent="0.15">
      <c r="A170" s="19" t="s">
        <v>917</v>
      </c>
      <c r="B170" s="16">
        <f t="shared" si="147"/>
        <v>236.36540748490032</v>
      </c>
      <c r="C170" s="16">
        <f t="shared" ref="C170:AR170" si="153">C$175*$M9/$M$14</f>
        <v>234.68721309175754</v>
      </c>
      <c r="D170" s="16">
        <f t="shared" si="153"/>
        <v>228.04250502355961</v>
      </c>
      <c r="E170" s="16">
        <f t="shared" si="153"/>
        <v>223.80045109212736</v>
      </c>
      <c r="F170" s="16">
        <f t="shared" si="153"/>
        <v>223.12607658089118</v>
      </c>
      <c r="G170" s="16">
        <f t="shared" si="153"/>
        <v>222.35281682403644</v>
      </c>
      <c r="H170" s="16">
        <f t="shared" si="153"/>
        <v>221.48246094840374</v>
      </c>
      <c r="I170" s="16">
        <f t="shared" si="153"/>
        <v>220.51693309281944</v>
      </c>
      <c r="J170" s="16">
        <f t="shared" si="153"/>
        <v>219.45827674592522</v>
      </c>
      <c r="K170" s="16">
        <f t="shared" si="153"/>
        <v>218.30866544765897</v>
      </c>
      <c r="L170" s="16">
        <f t="shared" si="153"/>
        <v>217.07038691284239</v>
      </c>
      <c r="M170" s="16">
        <f t="shared" si="153"/>
        <v>215.74584633579755</v>
      </c>
      <c r="N170" s="16">
        <f t="shared" si="153"/>
        <v>214.33756056281854</v>
      </c>
      <c r="O170" s="16">
        <f t="shared" si="153"/>
        <v>212.84815092235067</v>
      </c>
      <c r="P170" s="16">
        <f t="shared" si="153"/>
        <v>211.2803457629968</v>
      </c>
      <c r="Q170" s="16">
        <f t="shared" si="153"/>
        <v>209.63696579123595</v>
      </c>
      <c r="R170" s="16">
        <f t="shared" si="153"/>
        <v>207.95877139809309</v>
      </c>
      <c r="S170" s="16">
        <f t="shared" si="153"/>
        <v>206.21131389524686</v>
      </c>
      <c r="T170" s="16">
        <f t="shared" si="153"/>
        <v>204.33636777057561</v>
      </c>
      <c r="U170" s="16">
        <f t="shared" si="153"/>
        <v>202.3395738892392</v>
      </c>
      <c r="V170" s="16">
        <f t="shared" si="153"/>
        <v>200.22671347395979</v>
      </c>
      <c r="W170" s="16">
        <f t="shared" si="153"/>
        <v>198.00368507685667</v>
      </c>
      <c r="X170" s="16">
        <f t="shared" si="153"/>
        <v>195.67650375673912</v>
      </c>
      <c r="Y170" s="16">
        <f t="shared" si="153"/>
        <v>193.2512841974733</v>
      </c>
      <c r="Z170" s="16">
        <f t="shared" si="153"/>
        <v>190.73422776492947</v>
      </c>
      <c r="AA170" s="16">
        <f t="shared" si="153"/>
        <v>188.13160231554616</v>
      </c>
      <c r="AB170" s="16">
        <f t="shared" si="153"/>
        <v>185.44973189784537</v>
      </c>
      <c r="AC170" s="16">
        <f t="shared" si="153"/>
        <v>182.69498682144388</v>
      </c>
      <c r="AD170" s="16">
        <f t="shared" si="153"/>
        <v>179.8737552044532</v>
      </c>
      <c r="AE170" s="16">
        <f t="shared" si="153"/>
        <v>176.99242913877296</v>
      </c>
      <c r="AF170" s="16">
        <f t="shared" si="153"/>
        <v>174.05739868766537</v>
      </c>
      <c r="AG170" s="16">
        <f t="shared" si="153"/>
        <v>171.07501478953893</v>
      </c>
      <c r="AH170" s="16">
        <f t="shared" si="153"/>
        <v>168.05157958927927</v>
      </c>
      <c r="AI170" s="16">
        <f t="shared" si="153"/>
        <v>164.99332967003505</v>
      </c>
      <c r="AJ170" s="16">
        <f t="shared" si="153"/>
        <v>161.90640128311293</v>
      </c>
      <c r="AK170" s="16">
        <f t="shared" si="153"/>
        <v>158.79682669891946</v>
      </c>
      <c r="AL170" s="16">
        <f t="shared" si="153"/>
        <v>155.67049000444257</v>
      </c>
      <c r="AM170" s="16">
        <f t="shared" si="153"/>
        <v>152.53312360663728</v>
      </c>
      <c r="AN170" s="16">
        <f t="shared" si="153"/>
        <v>149.39027044323851</v>
      </c>
      <c r="AO170" s="16">
        <f t="shared" si="153"/>
        <v>146.24726074069775</v>
      </c>
      <c r="AP170" s="16">
        <f t="shared" si="153"/>
        <v>143.10918576201672</v>
      </c>
      <c r="AQ170" s="16">
        <f t="shared" si="153"/>
        <v>139.98087048501841</v>
      </c>
      <c r="AR170" s="16">
        <f t="shared" si="153"/>
        <v>136.86684835419251</v>
      </c>
    </row>
    <row r="171" spans="1:44" s="15" customFormat="1" x14ac:dyDescent="0.15">
      <c r="A171" s="19" t="s">
        <v>918</v>
      </c>
      <c r="B171" s="16">
        <f t="shared" si="147"/>
        <v>0</v>
      </c>
      <c r="C171" s="16">
        <f t="shared" ref="C171:AR171" si="154">C$175*$M10/$M$14</f>
        <v>0</v>
      </c>
      <c r="D171" s="16">
        <f t="shared" si="154"/>
        <v>0</v>
      </c>
      <c r="E171" s="16">
        <f t="shared" si="154"/>
        <v>0</v>
      </c>
      <c r="F171" s="16">
        <f t="shared" si="154"/>
        <v>0</v>
      </c>
      <c r="G171" s="16">
        <f t="shared" si="154"/>
        <v>0</v>
      </c>
      <c r="H171" s="16">
        <f t="shared" si="154"/>
        <v>0</v>
      </c>
      <c r="I171" s="16">
        <f t="shared" si="154"/>
        <v>0</v>
      </c>
      <c r="J171" s="16">
        <f t="shared" si="154"/>
        <v>0</v>
      </c>
      <c r="K171" s="16">
        <f t="shared" si="154"/>
        <v>0</v>
      </c>
      <c r="L171" s="16">
        <f t="shared" si="154"/>
        <v>0</v>
      </c>
      <c r="M171" s="16">
        <f t="shared" si="154"/>
        <v>0</v>
      </c>
      <c r="N171" s="16">
        <f t="shared" si="154"/>
        <v>0</v>
      </c>
      <c r="O171" s="16">
        <f t="shared" si="154"/>
        <v>0</v>
      </c>
      <c r="P171" s="16">
        <f t="shared" si="154"/>
        <v>0</v>
      </c>
      <c r="Q171" s="16">
        <f t="shared" si="154"/>
        <v>0</v>
      </c>
      <c r="R171" s="16">
        <f t="shared" si="154"/>
        <v>0</v>
      </c>
      <c r="S171" s="16">
        <f t="shared" si="154"/>
        <v>0</v>
      </c>
      <c r="T171" s="16">
        <f t="shared" si="154"/>
        <v>0</v>
      </c>
      <c r="U171" s="16">
        <f t="shared" si="154"/>
        <v>0</v>
      </c>
      <c r="V171" s="16">
        <f t="shared" si="154"/>
        <v>0</v>
      </c>
      <c r="W171" s="16">
        <f t="shared" si="154"/>
        <v>0</v>
      </c>
      <c r="X171" s="16">
        <f t="shared" si="154"/>
        <v>0</v>
      </c>
      <c r="Y171" s="16">
        <f t="shared" si="154"/>
        <v>0</v>
      </c>
      <c r="Z171" s="16">
        <f t="shared" si="154"/>
        <v>0</v>
      </c>
      <c r="AA171" s="16">
        <f t="shared" si="154"/>
        <v>0</v>
      </c>
      <c r="AB171" s="16">
        <f t="shared" si="154"/>
        <v>0</v>
      </c>
      <c r="AC171" s="16">
        <f t="shared" si="154"/>
        <v>0</v>
      </c>
      <c r="AD171" s="16">
        <f t="shared" si="154"/>
        <v>0</v>
      </c>
      <c r="AE171" s="16">
        <f t="shared" si="154"/>
        <v>0</v>
      </c>
      <c r="AF171" s="16">
        <f t="shared" si="154"/>
        <v>0</v>
      </c>
      <c r="AG171" s="16">
        <f t="shared" si="154"/>
        <v>0</v>
      </c>
      <c r="AH171" s="16">
        <f t="shared" si="154"/>
        <v>0</v>
      </c>
      <c r="AI171" s="16">
        <f t="shared" si="154"/>
        <v>0</v>
      </c>
      <c r="AJ171" s="16">
        <f t="shared" si="154"/>
        <v>0</v>
      </c>
      <c r="AK171" s="16">
        <f t="shared" si="154"/>
        <v>0</v>
      </c>
      <c r="AL171" s="16">
        <f t="shared" si="154"/>
        <v>0</v>
      </c>
      <c r="AM171" s="16">
        <f t="shared" si="154"/>
        <v>0</v>
      </c>
      <c r="AN171" s="16">
        <f t="shared" si="154"/>
        <v>0</v>
      </c>
      <c r="AO171" s="16">
        <f t="shared" si="154"/>
        <v>0</v>
      </c>
      <c r="AP171" s="16">
        <f t="shared" si="154"/>
        <v>0</v>
      </c>
      <c r="AQ171" s="16">
        <f t="shared" si="154"/>
        <v>0</v>
      </c>
      <c r="AR171" s="16">
        <f t="shared" si="154"/>
        <v>0</v>
      </c>
    </row>
    <row r="172" spans="1:44" s="15" customFormat="1" x14ac:dyDescent="0.15">
      <c r="A172" s="19" t="s">
        <v>919</v>
      </c>
      <c r="B172" s="16">
        <f t="shared" si="147"/>
        <v>0</v>
      </c>
      <c r="C172" s="16">
        <f t="shared" ref="C172:AR172" si="155">C$175*$M11/$M$14</f>
        <v>0</v>
      </c>
      <c r="D172" s="16">
        <f t="shared" si="155"/>
        <v>0</v>
      </c>
      <c r="E172" s="16">
        <f t="shared" si="155"/>
        <v>0</v>
      </c>
      <c r="F172" s="16">
        <f t="shared" si="155"/>
        <v>0</v>
      </c>
      <c r="G172" s="16">
        <f t="shared" si="155"/>
        <v>0</v>
      </c>
      <c r="H172" s="16">
        <f t="shared" si="155"/>
        <v>0</v>
      </c>
      <c r="I172" s="16">
        <f t="shared" si="155"/>
        <v>0</v>
      </c>
      <c r="J172" s="16">
        <f t="shared" si="155"/>
        <v>0</v>
      </c>
      <c r="K172" s="16">
        <f t="shared" si="155"/>
        <v>0</v>
      </c>
      <c r="L172" s="16">
        <f t="shared" si="155"/>
        <v>0</v>
      </c>
      <c r="M172" s="16">
        <f t="shared" si="155"/>
        <v>0</v>
      </c>
      <c r="N172" s="16">
        <f t="shared" si="155"/>
        <v>0</v>
      </c>
      <c r="O172" s="16">
        <f t="shared" si="155"/>
        <v>0</v>
      </c>
      <c r="P172" s="16">
        <f t="shared" si="155"/>
        <v>0</v>
      </c>
      <c r="Q172" s="16">
        <f t="shared" si="155"/>
        <v>0</v>
      </c>
      <c r="R172" s="16">
        <f t="shared" si="155"/>
        <v>0</v>
      </c>
      <c r="S172" s="16">
        <f t="shared" si="155"/>
        <v>0</v>
      </c>
      <c r="T172" s="16">
        <f t="shared" si="155"/>
        <v>0</v>
      </c>
      <c r="U172" s="16">
        <f t="shared" si="155"/>
        <v>0</v>
      </c>
      <c r="V172" s="16">
        <f t="shared" si="155"/>
        <v>0</v>
      </c>
      <c r="W172" s="16">
        <f t="shared" si="155"/>
        <v>0</v>
      </c>
      <c r="X172" s="16">
        <f t="shared" si="155"/>
        <v>0</v>
      </c>
      <c r="Y172" s="16">
        <f t="shared" si="155"/>
        <v>0</v>
      </c>
      <c r="Z172" s="16">
        <f t="shared" si="155"/>
        <v>0</v>
      </c>
      <c r="AA172" s="16">
        <f t="shared" si="155"/>
        <v>0</v>
      </c>
      <c r="AB172" s="16">
        <f t="shared" si="155"/>
        <v>0</v>
      </c>
      <c r="AC172" s="16">
        <f t="shared" si="155"/>
        <v>0</v>
      </c>
      <c r="AD172" s="16">
        <f t="shared" si="155"/>
        <v>0</v>
      </c>
      <c r="AE172" s="16">
        <f t="shared" si="155"/>
        <v>0</v>
      </c>
      <c r="AF172" s="16">
        <f t="shared" si="155"/>
        <v>0</v>
      </c>
      <c r="AG172" s="16">
        <f t="shared" si="155"/>
        <v>0</v>
      </c>
      <c r="AH172" s="16">
        <f t="shared" si="155"/>
        <v>0</v>
      </c>
      <c r="AI172" s="16">
        <f t="shared" si="155"/>
        <v>0</v>
      </c>
      <c r="AJ172" s="16">
        <f t="shared" si="155"/>
        <v>0</v>
      </c>
      <c r="AK172" s="16">
        <f t="shared" si="155"/>
        <v>0</v>
      </c>
      <c r="AL172" s="16">
        <f t="shared" si="155"/>
        <v>0</v>
      </c>
      <c r="AM172" s="16">
        <f t="shared" si="155"/>
        <v>0</v>
      </c>
      <c r="AN172" s="16">
        <f t="shared" si="155"/>
        <v>0</v>
      </c>
      <c r="AO172" s="16">
        <f t="shared" si="155"/>
        <v>0</v>
      </c>
      <c r="AP172" s="16">
        <f t="shared" si="155"/>
        <v>0</v>
      </c>
      <c r="AQ172" s="16">
        <f t="shared" si="155"/>
        <v>0</v>
      </c>
      <c r="AR172" s="16">
        <f t="shared" si="155"/>
        <v>0</v>
      </c>
    </row>
    <row r="173" spans="1:44" s="15" customFormat="1" x14ac:dyDescent="0.15">
      <c r="A173" s="19" t="s">
        <v>920</v>
      </c>
      <c r="B173" s="16">
        <f t="shared" si="147"/>
        <v>695.3263729848361</v>
      </c>
      <c r="C173" s="16">
        <f t="shared" ref="C173:AR173" si="156">C$175*$M12/$M$14</f>
        <v>690.38955573664373</v>
      </c>
      <c r="D173" s="16">
        <f t="shared" si="156"/>
        <v>670.84252975781772</v>
      </c>
      <c r="E173" s="16">
        <f t="shared" si="156"/>
        <v>658.36349568284515</v>
      </c>
      <c r="F173" s="16">
        <f t="shared" si="156"/>
        <v>656.37965892804743</v>
      </c>
      <c r="G173" s="16">
        <f t="shared" si="156"/>
        <v>654.10492715646501</v>
      </c>
      <c r="H173" s="16">
        <f t="shared" si="156"/>
        <v>651.54456352013892</v>
      </c>
      <c r="I173" s="16">
        <f t="shared" si="156"/>
        <v>648.70422834172609</v>
      </c>
      <c r="J173" s="16">
        <f t="shared" si="156"/>
        <v>645.58993304041235</v>
      </c>
      <c r="K173" s="16">
        <f t="shared" si="156"/>
        <v>642.20807161292339</v>
      </c>
      <c r="L173" s="16">
        <f t="shared" si="156"/>
        <v>638.56537392919427</v>
      </c>
      <c r="M173" s="16">
        <f t="shared" si="156"/>
        <v>634.66891545370152</v>
      </c>
      <c r="N173" s="16">
        <f t="shared" si="156"/>
        <v>630.52610010237208</v>
      </c>
      <c r="O173" s="16">
        <f t="shared" si="156"/>
        <v>626.14463915081001</v>
      </c>
      <c r="P173" s="16">
        <f t="shared" si="156"/>
        <v>621.53255870045871</v>
      </c>
      <c r="Q173" s="16">
        <f t="shared" si="156"/>
        <v>616.69815654593276</v>
      </c>
      <c r="R173" s="16">
        <f t="shared" si="156"/>
        <v>611.76133929774028</v>
      </c>
      <c r="S173" s="16">
        <f t="shared" si="156"/>
        <v>606.62076775502476</v>
      </c>
      <c r="T173" s="16">
        <f t="shared" si="156"/>
        <v>601.10515740289281</v>
      </c>
      <c r="U173" s="16">
        <f t="shared" si="156"/>
        <v>595.23110221909155</v>
      </c>
      <c r="V173" s="16">
        <f t="shared" si="156"/>
        <v>589.01560907729868</v>
      </c>
      <c r="W173" s="16">
        <f t="shared" si="156"/>
        <v>582.47603000416916</v>
      </c>
      <c r="X173" s="16">
        <f t="shared" si="156"/>
        <v>575.63005975914177</v>
      </c>
      <c r="Y173" s="16">
        <f t="shared" si="156"/>
        <v>568.49568617300724</v>
      </c>
      <c r="Z173" s="16">
        <f t="shared" si="156"/>
        <v>561.09115207276818</v>
      </c>
      <c r="AA173" s="16">
        <f t="shared" si="156"/>
        <v>553.43489588361615</v>
      </c>
      <c r="AB173" s="16">
        <f t="shared" si="156"/>
        <v>545.54552133343225</v>
      </c>
      <c r="AC173" s="16">
        <f t="shared" si="156"/>
        <v>537.4417682383671</v>
      </c>
      <c r="AD173" s="16">
        <f t="shared" si="156"/>
        <v>529.1424288025928</v>
      </c>
      <c r="AE173" s="16">
        <f t="shared" si="156"/>
        <v>520.66630692014655</v>
      </c>
      <c r="AF173" s="16">
        <f t="shared" si="156"/>
        <v>512.03220051733445</v>
      </c>
      <c r="AG173" s="16">
        <f t="shared" si="156"/>
        <v>503.25879242518312</v>
      </c>
      <c r="AH173" s="16">
        <f t="shared" si="156"/>
        <v>494.36462193669701</v>
      </c>
      <c r="AI173" s="16">
        <f t="shared" si="156"/>
        <v>485.36803547907368</v>
      </c>
      <c r="AJ173" s="16">
        <f t="shared" si="156"/>
        <v>476.28708432897952</v>
      </c>
      <c r="AK173" s="16">
        <f t="shared" si="156"/>
        <v>467.13951387795566</v>
      </c>
      <c r="AL173" s="16">
        <f t="shared" si="156"/>
        <v>457.94263359995279</v>
      </c>
      <c r="AM173" s="16">
        <f t="shared" si="156"/>
        <v>448.71330676518824</v>
      </c>
      <c r="AN173" s="16">
        <f t="shared" si="156"/>
        <v>439.46783927405545</v>
      </c>
      <c r="AO173" s="16">
        <f t="shared" si="156"/>
        <v>430.22191128493785</v>
      </c>
      <c r="AP173" s="16">
        <f t="shared" si="156"/>
        <v>420.99049998707216</v>
      </c>
      <c r="AQ173" s="16">
        <f t="shared" si="156"/>
        <v>411.78779922703285</v>
      </c>
      <c r="AR173" s="16">
        <f t="shared" si="156"/>
        <v>402.62714523514103</v>
      </c>
    </row>
    <row r="174" spans="1:44" s="15" customFormat="1" x14ac:dyDescent="0.15">
      <c r="A174" s="19" t="s">
        <v>921</v>
      </c>
      <c r="B174" s="16">
        <f t="shared" si="147"/>
        <v>0</v>
      </c>
      <c r="C174" s="16">
        <f t="shared" ref="C174:AR174" si="157">C$175*$M13/$M$14</f>
        <v>0</v>
      </c>
      <c r="D174" s="16">
        <f t="shared" si="157"/>
        <v>0</v>
      </c>
      <c r="E174" s="16">
        <f t="shared" si="157"/>
        <v>0</v>
      </c>
      <c r="F174" s="16">
        <f t="shared" si="157"/>
        <v>0</v>
      </c>
      <c r="G174" s="16">
        <f t="shared" si="157"/>
        <v>0</v>
      </c>
      <c r="H174" s="16">
        <f t="shared" si="157"/>
        <v>0</v>
      </c>
      <c r="I174" s="16">
        <f t="shared" si="157"/>
        <v>0</v>
      </c>
      <c r="J174" s="16">
        <f t="shared" si="157"/>
        <v>0</v>
      </c>
      <c r="K174" s="16">
        <f t="shared" si="157"/>
        <v>0</v>
      </c>
      <c r="L174" s="16">
        <f t="shared" si="157"/>
        <v>0</v>
      </c>
      <c r="M174" s="16">
        <f t="shared" si="157"/>
        <v>0</v>
      </c>
      <c r="N174" s="16">
        <f t="shared" si="157"/>
        <v>0</v>
      </c>
      <c r="O174" s="16">
        <f t="shared" si="157"/>
        <v>0</v>
      </c>
      <c r="P174" s="16">
        <f t="shared" si="157"/>
        <v>0</v>
      </c>
      <c r="Q174" s="16">
        <f t="shared" si="157"/>
        <v>0</v>
      </c>
      <c r="R174" s="16">
        <f t="shared" si="157"/>
        <v>0</v>
      </c>
      <c r="S174" s="16">
        <f t="shared" si="157"/>
        <v>0</v>
      </c>
      <c r="T174" s="16">
        <f t="shared" si="157"/>
        <v>0</v>
      </c>
      <c r="U174" s="16">
        <f t="shared" si="157"/>
        <v>0</v>
      </c>
      <c r="V174" s="16">
        <f t="shared" si="157"/>
        <v>0</v>
      </c>
      <c r="W174" s="16">
        <f t="shared" si="157"/>
        <v>0</v>
      </c>
      <c r="X174" s="16">
        <f t="shared" si="157"/>
        <v>0</v>
      </c>
      <c r="Y174" s="16">
        <f t="shared" si="157"/>
        <v>0</v>
      </c>
      <c r="Z174" s="16">
        <f t="shared" si="157"/>
        <v>0</v>
      </c>
      <c r="AA174" s="16">
        <f t="shared" si="157"/>
        <v>0</v>
      </c>
      <c r="AB174" s="16">
        <f t="shared" si="157"/>
        <v>0</v>
      </c>
      <c r="AC174" s="16">
        <f t="shared" si="157"/>
        <v>0</v>
      </c>
      <c r="AD174" s="16">
        <f t="shared" si="157"/>
        <v>0</v>
      </c>
      <c r="AE174" s="16">
        <f t="shared" si="157"/>
        <v>0</v>
      </c>
      <c r="AF174" s="16">
        <f t="shared" si="157"/>
        <v>0</v>
      </c>
      <c r="AG174" s="16">
        <f t="shared" si="157"/>
        <v>0</v>
      </c>
      <c r="AH174" s="16">
        <f t="shared" si="157"/>
        <v>0</v>
      </c>
      <c r="AI174" s="16">
        <f t="shared" si="157"/>
        <v>0</v>
      </c>
      <c r="AJ174" s="16">
        <f t="shared" si="157"/>
        <v>0</v>
      </c>
      <c r="AK174" s="16">
        <f t="shared" si="157"/>
        <v>0</v>
      </c>
      <c r="AL174" s="16">
        <f t="shared" si="157"/>
        <v>0</v>
      </c>
      <c r="AM174" s="16">
        <f t="shared" si="157"/>
        <v>0</v>
      </c>
      <c r="AN174" s="16">
        <f t="shared" si="157"/>
        <v>0</v>
      </c>
      <c r="AO174" s="16">
        <f t="shared" si="157"/>
        <v>0</v>
      </c>
      <c r="AP174" s="16">
        <f t="shared" si="157"/>
        <v>0</v>
      </c>
      <c r="AQ174" s="16">
        <f t="shared" si="157"/>
        <v>0</v>
      </c>
      <c r="AR174" s="16">
        <f t="shared" si="157"/>
        <v>0</v>
      </c>
    </row>
    <row r="175" spans="1:44" s="17" customFormat="1" x14ac:dyDescent="0.15">
      <c r="A175" s="19" t="s">
        <v>911</v>
      </c>
      <c r="B175" s="17">
        <f>BAU建筑总能耗计算!B$5*$M$16</f>
        <v>2454.1439893061665</v>
      </c>
      <c r="C175" s="17">
        <f>BAU建筑总能耗计算!C$5*$M$16</f>
        <v>2436.7195669820931</v>
      </c>
      <c r="D175" s="17">
        <f>BAU建筑总能耗计算!D$5*$M$16</f>
        <v>2367.7286323957624</v>
      </c>
      <c r="E175" s="17">
        <f>BAU建筑总能耗计算!E$5*$M$16</f>
        <v>2323.6840690693707</v>
      </c>
      <c r="F175" s="17">
        <f>BAU建筑总能耗计算!F$5*$M$16</f>
        <v>2316.6821470415152</v>
      </c>
      <c r="G175" s="17">
        <f>BAU建筑总能耗计算!G$5*$M$16</f>
        <v>2308.6535154213038</v>
      </c>
      <c r="H175" s="17">
        <f>BAU建筑总能耗计算!H$5*$M$16</f>
        <v>2299.616750424811</v>
      </c>
      <c r="I175" s="17">
        <f>BAU建筑总能耗计算!I$5*$M$16</f>
        <v>2289.5918300758331</v>
      </c>
      <c r="J175" s="17">
        <f>BAU建筑总能耗计算!J$5*$M$16</f>
        <v>2278.5999715880921</v>
      </c>
      <c r="K175" s="17">
        <f>BAU建筑总能耗计算!K$5*$M$16</f>
        <v>2266.6637424769906</v>
      </c>
      <c r="L175" s="17">
        <f>BAU建筑总能耗计算!L$5*$M$16</f>
        <v>2253.8068957173773</v>
      </c>
      <c r="M175" s="17">
        <f>BAU建筑总能耗计算!M$5*$M$16</f>
        <v>2240.0544040548471</v>
      </c>
      <c r="N175" s="17">
        <f>BAU建筑总能耗计算!N$5*$M$16</f>
        <v>2225.4323994994525</v>
      </c>
      <c r="O175" s="17">
        <f>BAU建筑总能耗计算!O$5*$M$16</f>
        <v>2209.9680988826108</v>
      </c>
      <c r="P175" s="17">
        <f>BAU建筑总能耗计算!P$5*$M$16</f>
        <v>2193.6898302088102</v>
      </c>
      <c r="Q175" s="17">
        <f>BAU建筑总能耗计算!Q$5*$M$16</f>
        <v>2176.626880419507</v>
      </c>
      <c r="R175" s="17">
        <f>BAU建筑总能耗计算!R$5*$M$16</f>
        <v>2159.2024580954326</v>
      </c>
      <c r="S175" s="17">
        <f>BAU建筑总能耗计算!S$5*$M$16</f>
        <v>2141.0588880493292</v>
      </c>
      <c r="T175" s="17">
        <f>BAU建筑总能耗计算!T$5*$M$16</f>
        <v>2121.5916241586569</v>
      </c>
      <c r="U175" s="17">
        <f>BAU建筑总能耗计算!U$5*$M$16</f>
        <v>2100.859234618626</v>
      </c>
      <c r="V175" s="17">
        <f>BAU建筑总能耗计算!V$5*$M$16</f>
        <v>2078.9217449344296</v>
      </c>
      <c r="W175" s="17">
        <f>BAU建筑总能耗计算!W$5*$M$16</f>
        <v>2055.84039882351</v>
      </c>
      <c r="X175" s="17">
        <f>BAU建筑总能耗计算!X$5*$M$16</f>
        <v>2031.6776496735231</v>
      </c>
      <c r="Y175" s="17">
        <f>BAU建筑总能耗计算!Y$5*$M$16</f>
        <v>2006.4969852630586</v>
      </c>
      <c r="Z175" s="17">
        <f>BAU建筑总能耗计算!Z$5*$M$16</f>
        <v>1980.3627933760056</v>
      </c>
      <c r="AA175" s="17">
        <f>BAU建筑总能耗计算!AA$5*$M$16</f>
        <v>1953.3401521571236</v>
      </c>
      <c r="AB175" s="17">
        <f>BAU建筑总能耗计算!AB$5*$M$16</f>
        <v>1925.4947231845324</v>
      </c>
      <c r="AC175" s="17">
        <f>BAU建筑总能耗计算!AC$5*$M$16</f>
        <v>1896.8926483578539</v>
      </c>
      <c r="AD175" s="17">
        <f>BAU建筑总能耗计算!AD$5*$M$16</f>
        <v>1867.6002544794453</v>
      </c>
      <c r="AE175" s="17">
        <f>BAU建筑总能耗计算!AE$5*$M$16</f>
        <v>1837.6839096108667</v>
      </c>
      <c r="AF175" s="17">
        <f>BAU建筑总能耗计算!AF$5*$M$16</f>
        <v>1807.2099607506625</v>
      </c>
      <c r="AG175" s="17">
        <f>BAU建筑总能耗计算!AG$5*$M$16</f>
        <v>1776.2443486703155</v>
      </c>
      <c r="AH175" s="17">
        <f>BAU建筑总能耗计算!AH$5*$M$16</f>
        <v>1744.852507526015</v>
      </c>
      <c r="AI175" s="17">
        <f>BAU建筑总能耗计算!AI$5*$M$16</f>
        <v>1713.0991907569833</v>
      </c>
      <c r="AJ175" s="17">
        <f>BAU建筑总能耗计算!AJ$5*$M$16</f>
        <v>1681.0481100730747</v>
      </c>
      <c r="AK175" s="17">
        <f>BAU建筑总能耗计算!AK$5*$M$16</f>
        <v>1648.7618975671894</v>
      </c>
      <c r="AL175" s="17">
        <f>BAU建筑总能耗计算!AL$5*$M$16</f>
        <v>1616.3016467676391</v>
      </c>
      <c r="AM175" s="17">
        <f>BAU建筑总能耗计算!AM$5*$M$16</f>
        <v>1583.726876333362</v>
      </c>
      <c r="AN175" s="17">
        <f>BAU建筑总能耗计算!AN$5*$M$16</f>
        <v>1551.095137694874</v>
      </c>
      <c r="AO175" s="17">
        <f>BAU建筑总能耗计算!AO$5*$M$16</f>
        <v>1518.4617737356657</v>
      </c>
      <c r="AP175" s="17">
        <f>BAU建筑总能耗计算!AP$5*$M$16</f>
        <v>1485.8796462201826</v>
      </c>
      <c r="AQ175" s="17">
        <f>BAU建筑总能耗计算!AQ$5*$M$16</f>
        <v>1453.3988521167116</v>
      </c>
      <c r="AR175" s="17">
        <f>BAU建筑总能耗计算!AR$5*$M$16</f>
        <v>1421.0664614498539</v>
      </c>
    </row>
    <row r="176" spans="1:44" s="15" customFormat="1" x14ac:dyDescent="0.15"/>
    <row r="177" spans="1:44" s="19" customFormat="1" x14ac:dyDescent="0.15">
      <c r="A177" s="18" t="s">
        <v>21</v>
      </c>
      <c r="B177" s="19">
        <v>2018</v>
      </c>
      <c r="C177" s="19">
        <v>2019</v>
      </c>
      <c r="D177" s="19">
        <v>2020</v>
      </c>
      <c r="E177" s="19">
        <v>2021</v>
      </c>
      <c r="F177" s="19">
        <v>2022</v>
      </c>
      <c r="G177" s="19">
        <v>2023</v>
      </c>
      <c r="H177" s="19">
        <v>2024</v>
      </c>
      <c r="I177" s="19">
        <v>2025</v>
      </c>
      <c r="J177" s="19">
        <v>2026</v>
      </c>
      <c r="K177" s="19">
        <v>2027</v>
      </c>
      <c r="L177" s="19">
        <v>2028</v>
      </c>
      <c r="M177" s="19">
        <v>2029</v>
      </c>
      <c r="N177" s="19">
        <v>2030</v>
      </c>
      <c r="O177" s="19">
        <v>2031</v>
      </c>
      <c r="P177" s="19">
        <v>2032</v>
      </c>
      <c r="Q177" s="19">
        <v>2033</v>
      </c>
      <c r="R177" s="19">
        <v>2034</v>
      </c>
      <c r="S177" s="19">
        <v>2035</v>
      </c>
      <c r="T177" s="19">
        <v>2036</v>
      </c>
      <c r="U177" s="19">
        <v>2037</v>
      </c>
      <c r="V177" s="19">
        <v>2038</v>
      </c>
      <c r="W177" s="19">
        <v>2039</v>
      </c>
      <c r="X177" s="19">
        <v>2040</v>
      </c>
      <c r="Y177" s="19">
        <v>2041</v>
      </c>
      <c r="Z177" s="19">
        <v>2042</v>
      </c>
      <c r="AA177" s="19">
        <v>2043</v>
      </c>
      <c r="AB177" s="19">
        <v>2044</v>
      </c>
      <c r="AC177" s="19">
        <v>2045</v>
      </c>
      <c r="AD177" s="19">
        <v>2046</v>
      </c>
      <c r="AE177" s="19">
        <v>2047</v>
      </c>
      <c r="AF177" s="19">
        <v>2048</v>
      </c>
      <c r="AG177" s="19">
        <v>2049</v>
      </c>
      <c r="AH177" s="19">
        <v>2050</v>
      </c>
      <c r="AI177" s="19">
        <v>2051</v>
      </c>
      <c r="AJ177" s="19">
        <v>2052</v>
      </c>
      <c r="AK177" s="19">
        <v>2053</v>
      </c>
      <c r="AL177" s="19">
        <v>2054</v>
      </c>
      <c r="AM177" s="19">
        <v>2055</v>
      </c>
      <c r="AN177" s="19">
        <v>2056</v>
      </c>
      <c r="AO177" s="19">
        <v>2057</v>
      </c>
      <c r="AP177" s="19">
        <v>2058</v>
      </c>
      <c r="AQ177" s="19">
        <v>2059</v>
      </c>
      <c r="AR177" s="19">
        <v>2060</v>
      </c>
    </row>
    <row r="178" spans="1:44" s="15" customFormat="1" x14ac:dyDescent="0.15">
      <c r="A178" s="19" t="s">
        <v>912</v>
      </c>
      <c r="B178" s="16">
        <f t="shared" ref="B178:AR178" si="158">B$188*$N4/$N$14</f>
        <v>0</v>
      </c>
      <c r="C178" s="16">
        <f t="shared" si="158"/>
        <v>0</v>
      </c>
      <c r="D178" s="16">
        <f t="shared" si="158"/>
        <v>0</v>
      </c>
      <c r="E178" s="16">
        <f t="shared" si="158"/>
        <v>0</v>
      </c>
      <c r="F178" s="16">
        <f t="shared" si="158"/>
        <v>0</v>
      </c>
      <c r="G178" s="16">
        <f t="shared" si="158"/>
        <v>0</v>
      </c>
      <c r="H178" s="16">
        <f t="shared" si="158"/>
        <v>0</v>
      </c>
      <c r="I178" s="16">
        <f t="shared" si="158"/>
        <v>0</v>
      </c>
      <c r="J178" s="16">
        <f t="shared" si="158"/>
        <v>0</v>
      </c>
      <c r="K178" s="16">
        <f t="shared" si="158"/>
        <v>0</v>
      </c>
      <c r="L178" s="16">
        <f t="shared" si="158"/>
        <v>0</v>
      </c>
      <c r="M178" s="16">
        <f t="shared" si="158"/>
        <v>0</v>
      </c>
      <c r="N178" s="16">
        <f t="shared" si="158"/>
        <v>0</v>
      </c>
      <c r="O178" s="16">
        <f t="shared" si="158"/>
        <v>0</v>
      </c>
      <c r="P178" s="16">
        <f t="shared" si="158"/>
        <v>0</v>
      </c>
      <c r="Q178" s="16">
        <f t="shared" si="158"/>
        <v>0</v>
      </c>
      <c r="R178" s="16">
        <f t="shared" si="158"/>
        <v>0</v>
      </c>
      <c r="S178" s="16">
        <f t="shared" si="158"/>
        <v>0</v>
      </c>
      <c r="T178" s="16">
        <f t="shared" si="158"/>
        <v>0</v>
      </c>
      <c r="U178" s="16">
        <f t="shared" si="158"/>
        <v>0</v>
      </c>
      <c r="V178" s="16">
        <f t="shared" si="158"/>
        <v>0</v>
      </c>
      <c r="W178" s="16">
        <f t="shared" si="158"/>
        <v>0</v>
      </c>
      <c r="X178" s="16">
        <f t="shared" si="158"/>
        <v>0</v>
      </c>
      <c r="Y178" s="16">
        <f t="shared" si="158"/>
        <v>0</v>
      </c>
      <c r="Z178" s="16">
        <f t="shared" si="158"/>
        <v>0</v>
      </c>
      <c r="AA178" s="16">
        <f t="shared" si="158"/>
        <v>0</v>
      </c>
      <c r="AB178" s="16">
        <f t="shared" si="158"/>
        <v>0</v>
      </c>
      <c r="AC178" s="16">
        <f t="shared" si="158"/>
        <v>0</v>
      </c>
      <c r="AD178" s="16">
        <f t="shared" si="158"/>
        <v>0</v>
      </c>
      <c r="AE178" s="16">
        <f t="shared" si="158"/>
        <v>0</v>
      </c>
      <c r="AF178" s="16">
        <f t="shared" si="158"/>
        <v>0</v>
      </c>
      <c r="AG178" s="16">
        <f t="shared" si="158"/>
        <v>0</v>
      </c>
      <c r="AH178" s="16">
        <f t="shared" si="158"/>
        <v>0</v>
      </c>
      <c r="AI178" s="16">
        <f t="shared" si="158"/>
        <v>0</v>
      </c>
      <c r="AJ178" s="16">
        <f t="shared" si="158"/>
        <v>0</v>
      </c>
      <c r="AK178" s="16">
        <f t="shared" si="158"/>
        <v>0</v>
      </c>
      <c r="AL178" s="16">
        <f t="shared" si="158"/>
        <v>0</v>
      </c>
      <c r="AM178" s="16">
        <f t="shared" si="158"/>
        <v>0</v>
      </c>
      <c r="AN178" s="16">
        <f t="shared" si="158"/>
        <v>0</v>
      </c>
      <c r="AO178" s="16">
        <f t="shared" si="158"/>
        <v>0</v>
      </c>
      <c r="AP178" s="16">
        <f t="shared" si="158"/>
        <v>0</v>
      </c>
      <c r="AQ178" s="16">
        <f t="shared" si="158"/>
        <v>0</v>
      </c>
      <c r="AR178" s="16">
        <f t="shared" si="158"/>
        <v>0</v>
      </c>
    </row>
    <row r="179" spans="1:44" s="15" customFormat="1" x14ac:dyDescent="0.15">
      <c r="A179" s="19" t="s">
        <v>913</v>
      </c>
      <c r="B179" s="16">
        <f t="shared" ref="B179:AR179" si="159">B$188*$N5/$N$14</f>
        <v>1543.3640654968058</v>
      </c>
      <c r="C179" s="16">
        <f t="shared" si="159"/>
        <v>1623.0386431642696</v>
      </c>
      <c r="D179" s="16">
        <f t="shared" si="159"/>
        <v>1722.6225920114214</v>
      </c>
      <c r="E179" s="16">
        <f t="shared" si="159"/>
        <v>1780.4326351419161</v>
      </c>
      <c r="F179" s="16">
        <f t="shared" si="159"/>
        <v>1837.1410360139146</v>
      </c>
      <c r="G179" s="16">
        <f t="shared" si="159"/>
        <v>1892.7232633439219</v>
      </c>
      <c r="H179" s="16">
        <f t="shared" si="159"/>
        <v>1947.1571069332681</v>
      </c>
      <c r="I179" s="16">
        <f t="shared" si="159"/>
        <v>2000.4230314723127</v>
      </c>
      <c r="J179" s="16">
        <f t="shared" si="159"/>
        <v>2052.5040099692205</v>
      </c>
      <c r="K179" s="16">
        <f t="shared" si="159"/>
        <v>2103.3860260668498</v>
      </c>
      <c r="L179" s="16">
        <f t="shared" si="159"/>
        <v>2153.057916734077</v>
      </c>
      <c r="M179" s="16">
        <f t="shared" si="159"/>
        <v>2201.5117132944756</v>
      </c>
      <c r="N179" s="16">
        <f t="shared" si="159"/>
        <v>2248.7427623189446</v>
      </c>
      <c r="O179" s="16">
        <f t="shared" si="159"/>
        <v>2294.7498168606312</v>
      </c>
      <c r="P179" s="16">
        <f t="shared" si="159"/>
        <v>2339.5354092309499</v>
      </c>
      <c r="Q179" s="16">
        <f t="shared" si="159"/>
        <v>2383.1057596151936</v>
      </c>
      <c r="R179" s="16">
        <f t="shared" si="159"/>
        <v>2425.4711930984654</v>
      </c>
      <c r="S179" s="16">
        <f t="shared" si="159"/>
        <v>2466.6461846815137</v>
      </c>
      <c r="T179" s="16">
        <f t="shared" si="159"/>
        <v>2506.6496170886239</v>
      </c>
      <c r="U179" s="16">
        <f t="shared" si="159"/>
        <v>2545.5050363468381</v>
      </c>
      <c r="V179" s="16">
        <f t="shared" si="159"/>
        <v>2583.2406710980763</v>
      </c>
      <c r="W179" s="16">
        <f t="shared" si="159"/>
        <v>2619.8898407507086</v>
      </c>
      <c r="X179" s="16">
        <f t="shared" si="159"/>
        <v>2655.491114031021</v>
      </c>
      <c r="Y179" s="16">
        <f t="shared" si="159"/>
        <v>2690.0885510939061</v>
      </c>
      <c r="Z179" s="16">
        <f t="shared" si="159"/>
        <v>2723.7318301643181</v>
      </c>
      <c r="AA179" s="16">
        <f t="shared" si="159"/>
        <v>2756.4765709899921</v>
      </c>
      <c r="AB179" s="16">
        <f t="shared" si="159"/>
        <v>2788.3846968808043</v>
      </c>
      <c r="AC179" s="16">
        <f t="shared" si="159"/>
        <v>2819.5244618624747</v>
      </c>
      <c r="AD179" s="16">
        <f t="shared" si="159"/>
        <v>2849.9707699307442</v>
      </c>
      <c r="AE179" s="16">
        <f t="shared" si="159"/>
        <v>2879.805689440645</v>
      </c>
      <c r="AF179" s="16">
        <f t="shared" si="159"/>
        <v>2909.1183598028133</v>
      </c>
      <c r="AG179" s="16">
        <f t="shared" si="159"/>
        <v>2938.0054728546215</v>
      </c>
      <c r="AH179" s="16">
        <f t="shared" si="159"/>
        <v>2966.5716495297861</v>
      </c>
      <c r="AI179" s="16">
        <f t="shared" si="159"/>
        <v>2994.9294436550422</v>
      </c>
      <c r="AJ179" s="16">
        <f t="shared" si="159"/>
        <v>3023.2000617750468</v>
      </c>
      <c r="AK179" s="16">
        <f t="shared" si="159"/>
        <v>3051.51319916188</v>
      </c>
      <c r="AL179" s="16">
        <f t="shared" si="159"/>
        <v>3080.0078374650661</v>
      </c>
      <c r="AM179" s="16">
        <f t="shared" si="159"/>
        <v>3108.8322815351203</v>
      </c>
      <c r="AN179" s="16">
        <f t="shared" si="159"/>
        <v>3138.1445606517818</v>
      </c>
      <c r="AO179" s="16">
        <f t="shared" si="159"/>
        <v>3168.1127948037561</v>
      </c>
      <c r="AP179" s="16">
        <f t="shared" si="159"/>
        <v>3198.9155713889518</v>
      </c>
      <c r="AQ179" s="16">
        <f t="shared" si="159"/>
        <v>3230.7424216154918</v>
      </c>
      <c r="AR179" s="16">
        <f t="shared" si="159"/>
        <v>3263.7939318813733</v>
      </c>
    </row>
    <row r="180" spans="1:44" s="15" customFormat="1" x14ac:dyDescent="0.15">
      <c r="A180" s="19" t="s">
        <v>914</v>
      </c>
      <c r="B180" s="16">
        <f t="shared" ref="B180:AR180" si="160">B$188*$N6/$N$14</f>
        <v>0</v>
      </c>
      <c r="C180" s="16">
        <f t="shared" si="160"/>
        <v>0</v>
      </c>
      <c r="D180" s="16">
        <f t="shared" si="160"/>
        <v>0</v>
      </c>
      <c r="E180" s="16">
        <f t="shared" si="160"/>
        <v>0</v>
      </c>
      <c r="F180" s="16">
        <f t="shared" si="160"/>
        <v>0</v>
      </c>
      <c r="G180" s="16">
        <f t="shared" si="160"/>
        <v>0</v>
      </c>
      <c r="H180" s="16">
        <f t="shared" si="160"/>
        <v>0</v>
      </c>
      <c r="I180" s="16">
        <f t="shared" si="160"/>
        <v>0</v>
      </c>
      <c r="J180" s="16">
        <f t="shared" si="160"/>
        <v>0</v>
      </c>
      <c r="K180" s="16">
        <f t="shared" si="160"/>
        <v>0</v>
      </c>
      <c r="L180" s="16">
        <f t="shared" si="160"/>
        <v>0</v>
      </c>
      <c r="M180" s="16">
        <f t="shared" si="160"/>
        <v>0</v>
      </c>
      <c r="N180" s="16">
        <f t="shared" si="160"/>
        <v>0</v>
      </c>
      <c r="O180" s="16">
        <f t="shared" si="160"/>
        <v>0</v>
      </c>
      <c r="P180" s="16">
        <f t="shared" si="160"/>
        <v>0</v>
      </c>
      <c r="Q180" s="16">
        <f t="shared" si="160"/>
        <v>0</v>
      </c>
      <c r="R180" s="16">
        <f t="shared" si="160"/>
        <v>0</v>
      </c>
      <c r="S180" s="16">
        <f t="shared" si="160"/>
        <v>0</v>
      </c>
      <c r="T180" s="16">
        <f t="shared" si="160"/>
        <v>0</v>
      </c>
      <c r="U180" s="16">
        <f t="shared" si="160"/>
        <v>0</v>
      </c>
      <c r="V180" s="16">
        <f t="shared" si="160"/>
        <v>0</v>
      </c>
      <c r="W180" s="16">
        <f t="shared" si="160"/>
        <v>0</v>
      </c>
      <c r="X180" s="16">
        <f t="shared" si="160"/>
        <v>0</v>
      </c>
      <c r="Y180" s="16">
        <f t="shared" si="160"/>
        <v>0</v>
      </c>
      <c r="Z180" s="16">
        <f t="shared" si="160"/>
        <v>0</v>
      </c>
      <c r="AA180" s="16">
        <f t="shared" si="160"/>
        <v>0</v>
      </c>
      <c r="AB180" s="16">
        <f t="shared" si="160"/>
        <v>0</v>
      </c>
      <c r="AC180" s="16">
        <f t="shared" si="160"/>
        <v>0</v>
      </c>
      <c r="AD180" s="16">
        <f t="shared" si="160"/>
        <v>0</v>
      </c>
      <c r="AE180" s="16">
        <f t="shared" si="160"/>
        <v>0</v>
      </c>
      <c r="AF180" s="16">
        <f t="shared" si="160"/>
        <v>0</v>
      </c>
      <c r="AG180" s="16">
        <f t="shared" si="160"/>
        <v>0</v>
      </c>
      <c r="AH180" s="16">
        <f t="shared" si="160"/>
        <v>0</v>
      </c>
      <c r="AI180" s="16">
        <f t="shared" si="160"/>
        <v>0</v>
      </c>
      <c r="AJ180" s="16">
        <f t="shared" si="160"/>
        <v>0</v>
      </c>
      <c r="AK180" s="16">
        <f t="shared" si="160"/>
        <v>0</v>
      </c>
      <c r="AL180" s="16">
        <f t="shared" si="160"/>
        <v>0</v>
      </c>
      <c r="AM180" s="16">
        <f t="shared" si="160"/>
        <v>0</v>
      </c>
      <c r="AN180" s="16">
        <f t="shared" si="160"/>
        <v>0</v>
      </c>
      <c r="AO180" s="16">
        <f t="shared" si="160"/>
        <v>0</v>
      </c>
      <c r="AP180" s="16">
        <f t="shared" si="160"/>
        <v>0</v>
      </c>
      <c r="AQ180" s="16">
        <f t="shared" si="160"/>
        <v>0</v>
      </c>
      <c r="AR180" s="16">
        <f t="shared" si="160"/>
        <v>0</v>
      </c>
    </row>
    <row r="181" spans="1:44" s="15" customFormat="1" x14ac:dyDescent="0.15">
      <c r="A181" s="19" t="s">
        <v>915</v>
      </c>
      <c r="B181" s="16">
        <f t="shared" ref="B181:AR181" si="161">B$188*$N7/$N$14</f>
        <v>691.40871469009733</v>
      </c>
      <c r="C181" s="16">
        <f t="shared" si="161"/>
        <v>727.10197629315576</v>
      </c>
      <c r="D181" s="16">
        <f t="shared" si="161"/>
        <v>771.71439899719871</v>
      </c>
      <c r="E181" s="16">
        <f t="shared" si="161"/>
        <v>797.61260960777679</v>
      </c>
      <c r="F181" s="16">
        <f t="shared" si="161"/>
        <v>823.01729761081003</v>
      </c>
      <c r="G181" s="16">
        <f t="shared" si="161"/>
        <v>847.91747328354256</v>
      </c>
      <c r="H181" s="16">
        <f t="shared" si="161"/>
        <v>872.30318672156841</v>
      </c>
      <c r="I181" s="16">
        <f t="shared" si="161"/>
        <v>896.16568633889972</v>
      </c>
      <c r="J181" s="16">
        <f t="shared" si="161"/>
        <v>919.4973442460431</v>
      </c>
      <c r="K181" s="16">
        <f t="shared" si="161"/>
        <v>942.29188128198132</v>
      </c>
      <c r="L181" s="16">
        <f t="shared" si="161"/>
        <v>964.54429654175965</v>
      </c>
      <c r="M181" s="16">
        <f t="shared" si="161"/>
        <v>986.25102015327275</v>
      </c>
      <c r="N181" s="16">
        <f t="shared" si="161"/>
        <v>1007.4099674357217</v>
      </c>
      <c r="O181" s="16">
        <f t="shared" si="161"/>
        <v>1028.0205797717717</v>
      </c>
      <c r="P181" s="16">
        <f t="shared" si="161"/>
        <v>1048.083991606768</v>
      </c>
      <c r="Q181" s="16">
        <f t="shared" si="161"/>
        <v>1067.6029895096187</v>
      </c>
      <c r="R181" s="16">
        <f t="shared" si="161"/>
        <v>1086.5821989954434</v>
      </c>
      <c r="S181" s="16">
        <f t="shared" si="161"/>
        <v>1105.0281046921311</v>
      </c>
      <c r="T181" s="16">
        <f t="shared" si="161"/>
        <v>1122.949165835206</v>
      </c>
      <c r="U181" s="16">
        <f t="shared" si="161"/>
        <v>1140.3559307642693</v>
      </c>
      <c r="V181" s="16">
        <f t="shared" si="161"/>
        <v>1157.2610455746042</v>
      </c>
      <c r="W181" s="16">
        <f t="shared" si="161"/>
        <v>1173.6794369642137</v>
      </c>
      <c r="X181" s="16">
        <f t="shared" si="161"/>
        <v>1189.6283832629915</v>
      </c>
      <c r="Y181" s="16">
        <f t="shared" si="161"/>
        <v>1205.1276228954243</v>
      </c>
      <c r="Z181" s="16">
        <f t="shared" si="161"/>
        <v>1220.1994111144575</v>
      </c>
      <c r="AA181" s="16">
        <f t="shared" si="161"/>
        <v>1234.8686649044582</v>
      </c>
      <c r="AB181" s="16">
        <f t="shared" si="161"/>
        <v>1249.1631251705357</v>
      </c>
      <c r="AC181" s="16">
        <f t="shared" si="161"/>
        <v>1263.1133689030783</v>
      </c>
      <c r="AD181" s="16">
        <f t="shared" si="161"/>
        <v>1276.7529521998197</v>
      </c>
      <c r="AE181" s="16">
        <f t="shared" si="161"/>
        <v>1290.1186407061041</v>
      </c>
      <c r="AF181" s="16">
        <f t="shared" si="161"/>
        <v>1303.2503678159467</v>
      </c>
      <c r="AG181" s="16">
        <f t="shared" si="161"/>
        <v>1316.1914503205658</v>
      </c>
      <c r="AH181" s="16">
        <f t="shared" si="161"/>
        <v>1328.9887571518789</v>
      </c>
      <c r="AI181" s="16">
        <f t="shared" si="161"/>
        <v>1341.6927110833699</v>
      </c>
      <c r="AJ181" s="16">
        <f t="shared" si="161"/>
        <v>1354.3576112030671</v>
      </c>
      <c r="AK181" s="16">
        <f t="shared" si="161"/>
        <v>1367.0415594477561</v>
      </c>
      <c r="AL181" s="16">
        <f t="shared" si="161"/>
        <v>1379.8068179406855</v>
      </c>
      <c r="AM181" s="16">
        <f t="shared" si="161"/>
        <v>1392.7198254880768</v>
      </c>
      <c r="AN181" s="16">
        <f t="shared" si="161"/>
        <v>1405.8513773245934</v>
      </c>
      <c r="AO181" s="16">
        <f t="shared" si="161"/>
        <v>1419.2767892023012</v>
      </c>
      <c r="AP181" s="16">
        <f t="shared" si="161"/>
        <v>1433.0760661478876</v>
      </c>
      <c r="AQ181" s="16">
        <f t="shared" si="161"/>
        <v>1447.3341158846374</v>
      </c>
      <c r="AR181" s="16">
        <f t="shared" si="161"/>
        <v>1462.1407987291961</v>
      </c>
    </row>
    <row r="182" spans="1:44" s="15" customFormat="1" x14ac:dyDescent="0.15">
      <c r="A182" s="19" t="s">
        <v>916</v>
      </c>
      <c r="B182" s="16">
        <f t="shared" ref="B182:AR182" si="162">B$188*$N8/$N$14</f>
        <v>1800.7690643470351</v>
      </c>
      <c r="C182" s="16">
        <f t="shared" si="162"/>
        <v>1893.7319095278961</v>
      </c>
      <c r="D182" s="16">
        <f t="shared" si="162"/>
        <v>2009.924646159835</v>
      </c>
      <c r="E182" s="16">
        <f t="shared" si="162"/>
        <v>2077.3763509165165</v>
      </c>
      <c r="F182" s="16">
        <f t="shared" si="162"/>
        <v>2143.5426795630328</v>
      </c>
      <c r="G182" s="16">
        <f t="shared" si="162"/>
        <v>2208.3950094448765</v>
      </c>
      <c r="H182" s="16">
        <f t="shared" si="162"/>
        <v>2271.9074261070109</v>
      </c>
      <c r="I182" s="16">
        <f t="shared" si="162"/>
        <v>2334.0571361061734</v>
      </c>
      <c r="J182" s="16">
        <f t="shared" si="162"/>
        <v>2394.8242726586013</v>
      </c>
      <c r="K182" s="16">
        <f t="shared" si="162"/>
        <v>2454.1924817342251</v>
      </c>
      <c r="L182" s="16">
        <f t="shared" si="162"/>
        <v>2512.1487385117716</v>
      </c>
      <c r="M182" s="16">
        <f t="shared" si="162"/>
        <v>2568.6837452848126</v>
      </c>
      <c r="N182" s="16">
        <f t="shared" si="162"/>
        <v>2623.7920725170811</v>
      </c>
      <c r="O182" s="16">
        <f t="shared" si="162"/>
        <v>2677.4722652937144</v>
      </c>
      <c r="P182" s="16">
        <f t="shared" si="162"/>
        <v>2729.7272782695186</v>
      </c>
      <c r="Q182" s="16">
        <f t="shared" si="162"/>
        <v>2780.5643690433349</v>
      </c>
      <c r="R182" s="16">
        <f t="shared" si="162"/>
        <v>2829.9955847362894</v>
      </c>
      <c r="S182" s="16">
        <f t="shared" si="162"/>
        <v>2878.0378145154541</v>
      </c>
      <c r="T182" s="16">
        <f t="shared" si="162"/>
        <v>2924.7130903993939</v>
      </c>
      <c r="U182" s="16">
        <f t="shared" si="162"/>
        <v>2970.0488854633422</v>
      </c>
      <c r="V182" s="16">
        <f t="shared" si="162"/>
        <v>3014.0781363722358</v>
      </c>
      <c r="W182" s="16">
        <f t="shared" si="162"/>
        <v>3056.8397196045248</v>
      </c>
      <c r="X182" s="16">
        <f t="shared" si="162"/>
        <v>3098.3786364471403</v>
      </c>
      <c r="Y182" s="16">
        <f t="shared" si="162"/>
        <v>3138.7462954858265</v>
      </c>
      <c r="Z182" s="16">
        <f t="shared" si="162"/>
        <v>3178.000660368094</v>
      </c>
      <c r="AA182" s="16">
        <f t="shared" si="162"/>
        <v>3216.2066272019501</v>
      </c>
      <c r="AB182" s="16">
        <f t="shared" si="162"/>
        <v>3253.4364469768257</v>
      </c>
      <c r="AC182" s="16">
        <f t="shared" si="162"/>
        <v>3289.7697572460252</v>
      </c>
      <c r="AD182" s="16">
        <f t="shared" si="162"/>
        <v>3325.2939546266803</v>
      </c>
      <c r="AE182" s="16">
        <f t="shared" si="162"/>
        <v>3360.1047949797758</v>
      </c>
      <c r="AF182" s="16">
        <f t="shared" si="162"/>
        <v>3394.3062845451063</v>
      </c>
      <c r="AG182" s="16">
        <f t="shared" si="162"/>
        <v>3428.0112415963431</v>
      </c>
      <c r="AH182" s="16">
        <f t="shared" si="162"/>
        <v>3461.3417359322657</v>
      </c>
      <c r="AI182" s="16">
        <f t="shared" si="162"/>
        <v>3494.4290933066554</v>
      </c>
      <c r="AJ182" s="16">
        <f t="shared" si="162"/>
        <v>3527.4147353068697</v>
      </c>
      <c r="AK182" s="16">
        <f t="shared" si="162"/>
        <v>3560.4499880127205</v>
      </c>
      <c r="AL182" s="16">
        <f t="shared" si="162"/>
        <v>3593.6970126799811</v>
      </c>
      <c r="AM182" s="16">
        <f t="shared" si="162"/>
        <v>3627.3288487054278</v>
      </c>
      <c r="AN182" s="16">
        <f t="shared" si="162"/>
        <v>3661.5298817726307</v>
      </c>
      <c r="AO182" s="16">
        <f t="shared" si="162"/>
        <v>3696.4962712204847</v>
      </c>
      <c r="AP182" s="16">
        <f t="shared" si="162"/>
        <v>3732.436389570174</v>
      </c>
      <c r="AQ182" s="16">
        <f t="shared" si="162"/>
        <v>3769.5713783811966</v>
      </c>
      <c r="AR182" s="16">
        <f t="shared" si="162"/>
        <v>3808.1352782071203</v>
      </c>
    </row>
    <row r="183" spans="1:44" s="15" customFormat="1" x14ac:dyDescent="0.15">
      <c r="A183" s="19" t="s">
        <v>917</v>
      </c>
      <c r="B183" s="16">
        <f t="shared" ref="B183:AR183" si="163">B$188*$N9/$N$14</f>
        <v>23.228999196318576</v>
      </c>
      <c r="C183" s="16">
        <f t="shared" si="163"/>
        <v>24.428172315597322</v>
      </c>
      <c r="D183" s="16">
        <f t="shared" si="163"/>
        <v>25.926999144244586</v>
      </c>
      <c r="E183" s="16">
        <f t="shared" si="163"/>
        <v>26.797091610071909</v>
      </c>
      <c r="F183" s="16">
        <f t="shared" si="163"/>
        <v>27.650603382005084</v>
      </c>
      <c r="G183" s="16">
        <f t="shared" si="163"/>
        <v>28.487165242451621</v>
      </c>
      <c r="H183" s="16">
        <f t="shared" si="163"/>
        <v>29.306442908206026</v>
      </c>
      <c r="I183" s="16">
        <f t="shared" si="163"/>
        <v>30.108142355517142</v>
      </c>
      <c r="J183" s="16">
        <f t="shared" si="163"/>
        <v>30.892007313043369</v>
      </c>
      <c r="K183" s="16">
        <f t="shared" si="163"/>
        <v>31.657826822167706</v>
      </c>
      <c r="L183" s="16">
        <f t="shared" si="163"/>
        <v>32.405432869362556</v>
      </c>
      <c r="M183" s="16">
        <f t="shared" si="163"/>
        <v>33.134705518974087</v>
      </c>
      <c r="N183" s="16">
        <f t="shared" si="163"/>
        <v>33.845574732763588</v>
      </c>
      <c r="O183" s="16">
        <f t="shared" si="163"/>
        <v>34.538021743074019</v>
      </c>
      <c r="P183" s="16">
        <f t="shared" si="163"/>
        <v>35.212084663440059</v>
      </c>
      <c r="Q183" s="16">
        <f t="shared" si="163"/>
        <v>35.867857113171887</v>
      </c>
      <c r="R183" s="16">
        <f t="shared" si="163"/>
        <v>36.505494493965664</v>
      </c>
      <c r="S183" s="16">
        <f t="shared" si="163"/>
        <v>37.125214667431777</v>
      </c>
      <c r="T183" s="16">
        <f t="shared" si="163"/>
        <v>37.727301835332526</v>
      </c>
      <c r="U183" s="16">
        <f t="shared" si="163"/>
        <v>38.312110386276167</v>
      </c>
      <c r="V183" s="16">
        <f t="shared" si="163"/>
        <v>38.880065186381557</v>
      </c>
      <c r="W183" s="16">
        <f t="shared" si="163"/>
        <v>39.431667722321578</v>
      </c>
      <c r="X183" s="16">
        <f t="shared" si="163"/>
        <v>39.967498487663448</v>
      </c>
      <c r="Y183" s="16">
        <f t="shared" si="163"/>
        <v>40.488220626849539</v>
      </c>
      <c r="Z183" s="16">
        <f t="shared" si="163"/>
        <v>40.994581841263688</v>
      </c>
      <c r="AA183" s="16">
        <f t="shared" si="163"/>
        <v>41.487419257481747</v>
      </c>
      <c r="AB183" s="16">
        <f t="shared" si="163"/>
        <v>41.967664876285319</v>
      </c>
      <c r="AC183" s="16">
        <f t="shared" si="163"/>
        <v>42.436345981349099</v>
      </c>
      <c r="AD183" s="16">
        <f t="shared" si="163"/>
        <v>42.894589944299625</v>
      </c>
      <c r="AE183" s="16">
        <f t="shared" si="163"/>
        <v>43.343631966730435</v>
      </c>
      <c r="AF183" s="16">
        <f t="shared" si="163"/>
        <v>43.784813675898697</v>
      </c>
      <c r="AG183" s="16">
        <f t="shared" si="163"/>
        <v>44.219590369788108</v>
      </c>
      <c r="AH183" s="16">
        <f t="shared" si="163"/>
        <v>44.649536686320815</v>
      </c>
      <c r="AI183" s="16">
        <f t="shared" si="163"/>
        <v>45.076346660500754</v>
      </c>
      <c r="AJ183" s="16">
        <f t="shared" si="163"/>
        <v>45.501844558417424</v>
      </c>
      <c r="AK183" s="16">
        <f t="shared" si="163"/>
        <v>45.927982409043288</v>
      </c>
      <c r="AL183" s="16">
        <f t="shared" si="163"/>
        <v>46.356852009574666</v>
      </c>
      <c r="AM183" s="16">
        <f t="shared" si="163"/>
        <v>46.790685479658784</v>
      </c>
      <c r="AN183" s="16">
        <f t="shared" si="163"/>
        <v>47.231861300234868</v>
      </c>
      <c r="AO183" s="16">
        <f t="shared" si="163"/>
        <v>47.682909826369382</v>
      </c>
      <c r="AP183" s="16">
        <f t="shared" si="163"/>
        <v>48.146518956928972</v>
      </c>
      <c r="AQ183" s="16">
        <f t="shared" si="163"/>
        <v>48.625541304838613</v>
      </c>
      <c r="AR183" s="16">
        <f t="shared" si="163"/>
        <v>49.122995873444324</v>
      </c>
    </row>
    <row r="184" spans="1:44" s="15" customFormat="1" x14ac:dyDescent="0.15">
      <c r="A184" s="19" t="s">
        <v>918</v>
      </c>
      <c r="B184" s="16">
        <f t="shared" ref="B184:AR184" si="164">B$188*$N10/$N$14</f>
        <v>6.3553731655359771</v>
      </c>
      <c r="C184" s="16">
        <f t="shared" si="164"/>
        <v>6.6834627486766944</v>
      </c>
      <c r="D184" s="16">
        <f t="shared" si="164"/>
        <v>7.0935365416139238</v>
      </c>
      <c r="E184" s="16">
        <f t="shared" si="164"/>
        <v>7.331590805687874</v>
      </c>
      <c r="F184" s="16">
        <f t="shared" si="164"/>
        <v>7.5651086497400115</v>
      </c>
      <c r="G184" s="16">
        <f t="shared" si="164"/>
        <v>7.7939890571247332</v>
      </c>
      <c r="H184" s="16">
        <f t="shared" si="164"/>
        <v>8.0181405691228775</v>
      </c>
      <c r="I184" s="16">
        <f t="shared" si="164"/>
        <v>8.2374827418615819</v>
      </c>
      <c r="J184" s="16">
        <f t="shared" si="164"/>
        <v>8.4519454603955637</v>
      </c>
      <c r="K184" s="16">
        <f t="shared" si="164"/>
        <v>8.6614710071829641</v>
      </c>
      <c r="L184" s="16">
        <f t="shared" si="164"/>
        <v>8.8660134143086058</v>
      </c>
      <c r="M184" s="16">
        <f t="shared" si="164"/>
        <v>9.0655398677958914</v>
      </c>
      <c r="N184" s="16">
        <f t="shared" si="164"/>
        <v>9.2600312054269764</v>
      </c>
      <c r="O184" s="16">
        <f t="shared" si="164"/>
        <v>9.4494822924363575</v>
      </c>
      <c r="P184" s="16">
        <f t="shared" si="164"/>
        <v>9.633903556554186</v>
      </c>
      <c r="Q184" s="16">
        <f t="shared" si="164"/>
        <v>9.8133206116972254</v>
      </c>
      <c r="R184" s="16">
        <f t="shared" si="164"/>
        <v>9.9877759752275477</v>
      </c>
      <c r="S184" s="16">
        <f t="shared" si="164"/>
        <v>10.157329253321944</v>
      </c>
      <c r="T184" s="16">
        <f t="shared" si="164"/>
        <v>10.322058202591373</v>
      </c>
      <c r="U184" s="16">
        <f t="shared" si="164"/>
        <v>10.482059782523073</v>
      </c>
      <c r="V184" s="16">
        <f t="shared" si="164"/>
        <v>10.637450235005383</v>
      </c>
      <c r="W184" s="16">
        <f t="shared" si="164"/>
        <v>10.788366765042992</v>
      </c>
      <c r="X184" s="16">
        <f t="shared" si="164"/>
        <v>10.934968193651336</v>
      </c>
      <c r="Y184" s="16">
        <f t="shared" si="164"/>
        <v>11.077435954837027</v>
      </c>
      <c r="Z184" s="16">
        <f t="shared" si="164"/>
        <v>11.21597461709097</v>
      </c>
      <c r="AA184" s="16">
        <f t="shared" si="164"/>
        <v>11.350813215324713</v>
      </c>
      <c r="AB184" s="16">
        <f t="shared" si="164"/>
        <v>11.482206741701612</v>
      </c>
      <c r="AC184" s="16">
        <f t="shared" si="164"/>
        <v>11.610436257452257</v>
      </c>
      <c r="AD184" s="16">
        <f t="shared" si="164"/>
        <v>11.7358102075218</v>
      </c>
      <c r="AE184" s="16">
        <f t="shared" si="164"/>
        <v>11.858666538758275</v>
      </c>
      <c r="AF184" s="16">
        <f t="shared" si="164"/>
        <v>11.979372315700129</v>
      </c>
      <c r="AG184" s="16">
        <f t="shared" si="164"/>
        <v>12.098325702800125</v>
      </c>
      <c r="AH184" s="16">
        <f t="shared" si="164"/>
        <v>12.215957515501984</v>
      </c>
      <c r="AI184" s="16">
        <f t="shared" si="164"/>
        <v>12.332731235874585</v>
      </c>
      <c r="AJ184" s="16">
        <f t="shared" si="164"/>
        <v>12.449145976757617</v>
      </c>
      <c r="AK184" s="16">
        <f t="shared" si="164"/>
        <v>12.565735806469952</v>
      </c>
      <c r="AL184" s="16">
        <f t="shared" si="164"/>
        <v>12.683073033429057</v>
      </c>
      <c r="AM184" s="16">
        <f t="shared" si="164"/>
        <v>12.80176835778556</v>
      </c>
      <c r="AN184" s="16">
        <f t="shared" si="164"/>
        <v>12.922472523629127</v>
      </c>
      <c r="AO184" s="16">
        <f t="shared" si="164"/>
        <v>13.045877827280959</v>
      </c>
      <c r="AP184" s="16">
        <f t="shared" si="164"/>
        <v>13.172719668496523</v>
      </c>
      <c r="AQ184" s="16">
        <f t="shared" si="164"/>
        <v>13.303778512223179</v>
      </c>
      <c r="AR184" s="16">
        <f t="shared" si="164"/>
        <v>13.439880347247181</v>
      </c>
    </row>
    <row r="185" spans="1:44" s="15" customFormat="1" x14ac:dyDescent="0.15">
      <c r="A185" s="19" t="s">
        <v>919</v>
      </c>
      <c r="B185" s="16">
        <f t="shared" ref="B185:AR185" si="165">B$188*$N11/$N$14</f>
        <v>0</v>
      </c>
      <c r="C185" s="16">
        <f t="shared" si="165"/>
        <v>0</v>
      </c>
      <c r="D185" s="16">
        <f t="shared" si="165"/>
        <v>0</v>
      </c>
      <c r="E185" s="16">
        <f t="shared" si="165"/>
        <v>0</v>
      </c>
      <c r="F185" s="16">
        <f t="shared" si="165"/>
        <v>0</v>
      </c>
      <c r="G185" s="16">
        <f t="shared" si="165"/>
        <v>0</v>
      </c>
      <c r="H185" s="16">
        <f t="shared" si="165"/>
        <v>0</v>
      </c>
      <c r="I185" s="16">
        <f t="shared" si="165"/>
        <v>0</v>
      </c>
      <c r="J185" s="16">
        <f t="shared" si="165"/>
        <v>0</v>
      </c>
      <c r="K185" s="16">
        <f t="shared" si="165"/>
        <v>0</v>
      </c>
      <c r="L185" s="16">
        <f t="shared" si="165"/>
        <v>0</v>
      </c>
      <c r="M185" s="16">
        <f t="shared" si="165"/>
        <v>0</v>
      </c>
      <c r="N185" s="16">
        <f t="shared" si="165"/>
        <v>0</v>
      </c>
      <c r="O185" s="16">
        <f t="shared" si="165"/>
        <v>0</v>
      </c>
      <c r="P185" s="16">
        <f t="shared" si="165"/>
        <v>0</v>
      </c>
      <c r="Q185" s="16">
        <f t="shared" si="165"/>
        <v>0</v>
      </c>
      <c r="R185" s="16">
        <f t="shared" si="165"/>
        <v>0</v>
      </c>
      <c r="S185" s="16">
        <f t="shared" si="165"/>
        <v>0</v>
      </c>
      <c r="T185" s="16">
        <f t="shared" si="165"/>
        <v>0</v>
      </c>
      <c r="U185" s="16">
        <f t="shared" si="165"/>
        <v>0</v>
      </c>
      <c r="V185" s="16">
        <f t="shared" si="165"/>
        <v>0</v>
      </c>
      <c r="W185" s="16">
        <f t="shared" si="165"/>
        <v>0</v>
      </c>
      <c r="X185" s="16">
        <f t="shared" si="165"/>
        <v>0</v>
      </c>
      <c r="Y185" s="16">
        <f t="shared" si="165"/>
        <v>0</v>
      </c>
      <c r="Z185" s="16">
        <f t="shared" si="165"/>
        <v>0</v>
      </c>
      <c r="AA185" s="16">
        <f t="shared" si="165"/>
        <v>0</v>
      </c>
      <c r="AB185" s="16">
        <f t="shared" si="165"/>
        <v>0</v>
      </c>
      <c r="AC185" s="16">
        <f t="shared" si="165"/>
        <v>0</v>
      </c>
      <c r="AD185" s="16">
        <f t="shared" si="165"/>
        <v>0</v>
      </c>
      <c r="AE185" s="16">
        <f t="shared" si="165"/>
        <v>0</v>
      </c>
      <c r="AF185" s="16">
        <f t="shared" si="165"/>
        <v>0</v>
      </c>
      <c r="AG185" s="16">
        <f t="shared" si="165"/>
        <v>0</v>
      </c>
      <c r="AH185" s="16">
        <f t="shared" si="165"/>
        <v>0</v>
      </c>
      <c r="AI185" s="16">
        <f t="shared" si="165"/>
        <v>0</v>
      </c>
      <c r="AJ185" s="16">
        <f t="shared" si="165"/>
        <v>0</v>
      </c>
      <c r="AK185" s="16">
        <f t="shared" si="165"/>
        <v>0</v>
      </c>
      <c r="AL185" s="16">
        <f t="shared" si="165"/>
        <v>0</v>
      </c>
      <c r="AM185" s="16">
        <f t="shared" si="165"/>
        <v>0</v>
      </c>
      <c r="AN185" s="16">
        <f t="shared" si="165"/>
        <v>0</v>
      </c>
      <c r="AO185" s="16">
        <f t="shared" si="165"/>
        <v>0</v>
      </c>
      <c r="AP185" s="16">
        <f t="shared" si="165"/>
        <v>0</v>
      </c>
      <c r="AQ185" s="16">
        <f t="shared" si="165"/>
        <v>0</v>
      </c>
      <c r="AR185" s="16">
        <f t="shared" si="165"/>
        <v>0</v>
      </c>
    </row>
    <row r="186" spans="1:44" s="15" customFormat="1" x14ac:dyDescent="0.15">
      <c r="A186" s="19" t="s">
        <v>920</v>
      </c>
      <c r="B186" s="16">
        <f t="shared" ref="B186:AR186" si="166">B$188*$N12/$N$14</f>
        <v>0</v>
      </c>
      <c r="C186" s="16">
        <f t="shared" si="166"/>
        <v>0</v>
      </c>
      <c r="D186" s="16">
        <f t="shared" si="166"/>
        <v>0</v>
      </c>
      <c r="E186" s="16">
        <f t="shared" si="166"/>
        <v>0</v>
      </c>
      <c r="F186" s="16">
        <f t="shared" si="166"/>
        <v>0</v>
      </c>
      <c r="G186" s="16">
        <f t="shared" si="166"/>
        <v>0</v>
      </c>
      <c r="H186" s="16">
        <f t="shared" si="166"/>
        <v>0</v>
      </c>
      <c r="I186" s="16">
        <f t="shared" si="166"/>
        <v>0</v>
      </c>
      <c r="J186" s="16">
        <f t="shared" si="166"/>
        <v>0</v>
      </c>
      <c r="K186" s="16">
        <f t="shared" si="166"/>
        <v>0</v>
      </c>
      <c r="L186" s="16">
        <f t="shared" si="166"/>
        <v>0</v>
      </c>
      <c r="M186" s="16">
        <f t="shared" si="166"/>
        <v>0</v>
      </c>
      <c r="N186" s="16">
        <f t="shared" si="166"/>
        <v>0</v>
      </c>
      <c r="O186" s="16">
        <f t="shared" si="166"/>
        <v>0</v>
      </c>
      <c r="P186" s="16">
        <f t="shared" si="166"/>
        <v>0</v>
      </c>
      <c r="Q186" s="16">
        <f t="shared" si="166"/>
        <v>0</v>
      </c>
      <c r="R186" s="16">
        <f t="shared" si="166"/>
        <v>0</v>
      </c>
      <c r="S186" s="16">
        <f t="shared" si="166"/>
        <v>0</v>
      </c>
      <c r="T186" s="16">
        <f t="shared" si="166"/>
        <v>0</v>
      </c>
      <c r="U186" s="16">
        <f t="shared" si="166"/>
        <v>0</v>
      </c>
      <c r="V186" s="16">
        <f t="shared" si="166"/>
        <v>0</v>
      </c>
      <c r="W186" s="16">
        <f t="shared" si="166"/>
        <v>0</v>
      </c>
      <c r="X186" s="16">
        <f t="shared" si="166"/>
        <v>0</v>
      </c>
      <c r="Y186" s="16">
        <f t="shared" si="166"/>
        <v>0</v>
      </c>
      <c r="Z186" s="16">
        <f t="shared" si="166"/>
        <v>0</v>
      </c>
      <c r="AA186" s="16">
        <f t="shared" si="166"/>
        <v>0</v>
      </c>
      <c r="AB186" s="16">
        <f t="shared" si="166"/>
        <v>0</v>
      </c>
      <c r="AC186" s="16">
        <f t="shared" si="166"/>
        <v>0</v>
      </c>
      <c r="AD186" s="16">
        <f t="shared" si="166"/>
        <v>0</v>
      </c>
      <c r="AE186" s="16">
        <f t="shared" si="166"/>
        <v>0</v>
      </c>
      <c r="AF186" s="16">
        <f t="shared" si="166"/>
        <v>0</v>
      </c>
      <c r="AG186" s="16">
        <f t="shared" si="166"/>
        <v>0</v>
      </c>
      <c r="AH186" s="16">
        <f t="shared" si="166"/>
        <v>0</v>
      </c>
      <c r="AI186" s="16">
        <f t="shared" si="166"/>
        <v>0</v>
      </c>
      <c r="AJ186" s="16">
        <f t="shared" si="166"/>
        <v>0</v>
      </c>
      <c r="AK186" s="16">
        <f t="shared" si="166"/>
        <v>0</v>
      </c>
      <c r="AL186" s="16">
        <f t="shared" si="166"/>
        <v>0</v>
      </c>
      <c r="AM186" s="16">
        <f t="shared" si="166"/>
        <v>0</v>
      </c>
      <c r="AN186" s="16">
        <f t="shared" si="166"/>
        <v>0</v>
      </c>
      <c r="AO186" s="16">
        <f t="shared" si="166"/>
        <v>0</v>
      </c>
      <c r="AP186" s="16">
        <f t="shared" si="166"/>
        <v>0</v>
      </c>
      <c r="AQ186" s="16">
        <f t="shared" si="166"/>
        <v>0</v>
      </c>
      <c r="AR186" s="16">
        <f t="shared" si="166"/>
        <v>0</v>
      </c>
    </row>
    <row r="187" spans="1:44" s="15" customFormat="1" x14ac:dyDescent="0.15">
      <c r="A187" s="19" t="s">
        <v>921</v>
      </c>
      <c r="B187" s="16">
        <f t="shared" ref="B187:AR187" si="167">B$188*$N13/$N$14</f>
        <v>0</v>
      </c>
      <c r="C187" s="16">
        <f t="shared" si="167"/>
        <v>0</v>
      </c>
      <c r="D187" s="16">
        <f t="shared" si="167"/>
        <v>0</v>
      </c>
      <c r="E187" s="16">
        <f t="shared" si="167"/>
        <v>0</v>
      </c>
      <c r="F187" s="16">
        <f t="shared" si="167"/>
        <v>0</v>
      </c>
      <c r="G187" s="16">
        <f t="shared" si="167"/>
        <v>0</v>
      </c>
      <c r="H187" s="16">
        <f t="shared" si="167"/>
        <v>0</v>
      </c>
      <c r="I187" s="16">
        <f t="shared" si="167"/>
        <v>0</v>
      </c>
      <c r="J187" s="16">
        <f t="shared" si="167"/>
        <v>0</v>
      </c>
      <c r="K187" s="16">
        <f t="shared" si="167"/>
        <v>0</v>
      </c>
      <c r="L187" s="16">
        <f t="shared" si="167"/>
        <v>0</v>
      </c>
      <c r="M187" s="16">
        <f t="shared" si="167"/>
        <v>0</v>
      </c>
      <c r="N187" s="16">
        <f t="shared" si="167"/>
        <v>0</v>
      </c>
      <c r="O187" s="16">
        <f t="shared" si="167"/>
        <v>0</v>
      </c>
      <c r="P187" s="16">
        <f t="shared" si="167"/>
        <v>0</v>
      </c>
      <c r="Q187" s="16">
        <f t="shared" si="167"/>
        <v>0</v>
      </c>
      <c r="R187" s="16">
        <f t="shared" si="167"/>
        <v>0</v>
      </c>
      <c r="S187" s="16">
        <f t="shared" si="167"/>
        <v>0</v>
      </c>
      <c r="T187" s="16">
        <f t="shared" si="167"/>
        <v>0</v>
      </c>
      <c r="U187" s="16">
        <f t="shared" si="167"/>
        <v>0</v>
      </c>
      <c r="V187" s="16">
        <f t="shared" si="167"/>
        <v>0</v>
      </c>
      <c r="W187" s="16">
        <f t="shared" si="167"/>
        <v>0</v>
      </c>
      <c r="X187" s="16">
        <f t="shared" si="167"/>
        <v>0</v>
      </c>
      <c r="Y187" s="16">
        <f t="shared" si="167"/>
        <v>0</v>
      </c>
      <c r="Z187" s="16">
        <f t="shared" si="167"/>
        <v>0</v>
      </c>
      <c r="AA187" s="16">
        <f t="shared" si="167"/>
        <v>0</v>
      </c>
      <c r="AB187" s="16">
        <f t="shared" si="167"/>
        <v>0</v>
      </c>
      <c r="AC187" s="16">
        <f t="shared" si="167"/>
        <v>0</v>
      </c>
      <c r="AD187" s="16">
        <f t="shared" si="167"/>
        <v>0</v>
      </c>
      <c r="AE187" s="16">
        <f t="shared" si="167"/>
        <v>0</v>
      </c>
      <c r="AF187" s="16">
        <f t="shared" si="167"/>
        <v>0</v>
      </c>
      <c r="AG187" s="16">
        <f t="shared" si="167"/>
        <v>0</v>
      </c>
      <c r="AH187" s="16">
        <f t="shared" si="167"/>
        <v>0</v>
      </c>
      <c r="AI187" s="16">
        <f t="shared" si="167"/>
        <v>0</v>
      </c>
      <c r="AJ187" s="16">
        <f t="shared" si="167"/>
        <v>0</v>
      </c>
      <c r="AK187" s="16">
        <f t="shared" si="167"/>
        <v>0</v>
      </c>
      <c r="AL187" s="16">
        <f t="shared" si="167"/>
        <v>0</v>
      </c>
      <c r="AM187" s="16">
        <f t="shared" si="167"/>
        <v>0</v>
      </c>
      <c r="AN187" s="16">
        <f t="shared" si="167"/>
        <v>0</v>
      </c>
      <c r="AO187" s="16">
        <f t="shared" si="167"/>
        <v>0</v>
      </c>
      <c r="AP187" s="16">
        <f t="shared" si="167"/>
        <v>0</v>
      </c>
      <c r="AQ187" s="16">
        <f t="shared" si="167"/>
        <v>0</v>
      </c>
      <c r="AR187" s="16">
        <f t="shared" si="167"/>
        <v>0</v>
      </c>
    </row>
    <row r="188" spans="1:44" s="17" customFormat="1" x14ac:dyDescent="0.15">
      <c r="A188" s="19" t="s">
        <v>911</v>
      </c>
      <c r="B188" s="17">
        <f>BAU建筑总能耗计算!B$7*$N$16</f>
        <v>4065.1262168957924</v>
      </c>
      <c r="C188" s="17">
        <f>BAU建筑总能耗计算!C$7*$N$16</f>
        <v>4274.9841640495952</v>
      </c>
      <c r="D188" s="17">
        <f>BAU建筑总能耗计算!D$7*$N$16</f>
        <v>4537.2821728543131</v>
      </c>
      <c r="E188" s="17">
        <f>BAU建筑总能耗计算!E$7*$N$16</f>
        <v>4689.5502780819688</v>
      </c>
      <c r="F188" s="17">
        <f>BAU建筑总能耗计算!F$7*$N$16</f>
        <v>4838.916725219502</v>
      </c>
      <c r="G188" s="17">
        <f>BAU建筑总能耗计算!G$7*$N$16</f>
        <v>4985.3169003719167</v>
      </c>
      <c r="H188" s="17">
        <f>BAU建筑总能耗计算!H$7*$N$16</f>
        <v>5128.692303239176</v>
      </c>
      <c r="I188" s="17">
        <f>BAU建筑总能耗计算!I$7*$N$16</f>
        <v>5268.9914790147641</v>
      </c>
      <c r="J188" s="17">
        <f>BAU建筑总能耗计算!J$7*$N$16</f>
        <v>5406.1695796473032</v>
      </c>
      <c r="K188" s="17">
        <f>BAU建筑总能耗计算!K$7*$N$16</f>
        <v>5540.1896869124066</v>
      </c>
      <c r="L188" s="17">
        <f>BAU建筑总能耗计算!L$7*$N$16</f>
        <v>5671.022398071279</v>
      </c>
      <c r="M188" s="17">
        <f>BAU建筑总能耗计算!M$7*$N$16</f>
        <v>5798.6467241193304</v>
      </c>
      <c r="N188" s="17">
        <f>BAU建筑总能耗计算!N$7*$N$16</f>
        <v>5923.0504082099378</v>
      </c>
      <c r="O188" s="17">
        <f>BAU建筑总能耗计算!O$7*$N$16</f>
        <v>6044.2301659616269</v>
      </c>
      <c r="P188" s="17">
        <f>BAU建筑总能耗计算!P$7*$N$16</f>
        <v>6162.1926673272301</v>
      </c>
      <c r="Q188" s="17">
        <f>BAU建筑总能耗计算!Q$7*$N$16</f>
        <v>6276.9542958930151</v>
      </c>
      <c r="R188" s="17">
        <f>BAU建筑总能耗计算!R$7*$N$16</f>
        <v>6388.5422472993905</v>
      </c>
      <c r="S188" s="17">
        <f>BAU建筑总能耗计算!S$7*$N$16</f>
        <v>6496.9946478098518</v>
      </c>
      <c r="T188" s="17">
        <f>BAU建筑总能耗计算!T$7*$N$16</f>
        <v>6602.3612333611472</v>
      </c>
      <c r="U188" s="17">
        <f>BAU建筑总能耗计算!U$7*$N$16</f>
        <v>6704.7040227432481</v>
      </c>
      <c r="V188" s="17">
        <f>BAU建筑总能耗计算!V$7*$N$16</f>
        <v>6804.0973684663022</v>
      </c>
      <c r="W188" s="17">
        <f>BAU建筑总能耗计算!W$7*$N$16</f>
        <v>6900.6290318068113</v>
      </c>
      <c r="X188" s="17">
        <f>BAU建筑总能耗计算!X$7*$N$16</f>
        <v>6994.4006004224666</v>
      </c>
      <c r="Y188" s="17">
        <f>BAU建筑总能耗计算!Y$7*$N$16</f>
        <v>7085.5281260568427</v>
      </c>
      <c r="Z188" s="17">
        <f>BAU建筑总能耗计算!Z$7*$N$16</f>
        <v>7174.1424581052233</v>
      </c>
      <c r="AA188" s="17">
        <f>BAU建筑总能耗计算!AA$7*$N$16</f>
        <v>7260.3900955692061</v>
      </c>
      <c r="AB188" s="17">
        <f>BAU建筑总能耗计算!AB$7*$N$16</f>
        <v>7344.4341406461517</v>
      </c>
      <c r="AC188" s="17">
        <f>BAU建筑总能耗计算!AC$7*$N$16</f>
        <v>7426.4543702503788</v>
      </c>
      <c r="AD188" s="17">
        <f>BAU建筑总能耗计算!AD$7*$N$16</f>
        <v>7506.6480769090649</v>
      </c>
      <c r="AE188" s="17">
        <f>BAU建筑总能耗计算!AE$7*$N$16</f>
        <v>7585.2314236320126</v>
      </c>
      <c r="AF188" s="17">
        <f>BAU建筑总能耗计算!AF$7*$N$16</f>
        <v>7662.4391981554645</v>
      </c>
      <c r="AG188" s="17">
        <f>BAU建筑总能耗计算!AG$7*$N$16</f>
        <v>7738.526080844118</v>
      </c>
      <c r="AH188" s="17">
        <f>BAU建筑总能耗计算!AH$7*$N$16</f>
        <v>7813.7676368157527</v>
      </c>
      <c r="AI188" s="17">
        <f>BAU建筑总能耗计算!AI$7*$N$16</f>
        <v>7888.4603259414416</v>
      </c>
      <c r="AJ188" s="17">
        <f>BAU建筑总能耗计算!AJ$7*$N$16</f>
        <v>7962.9233988201577</v>
      </c>
      <c r="AK188" s="17">
        <f>BAU建筑总能耗计算!AK$7*$N$16</f>
        <v>8037.4984648378686</v>
      </c>
      <c r="AL188" s="17">
        <f>BAU建筑总能耗计算!AL$7*$N$16</f>
        <v>8112.5515931287355</v>
      </c>
      <c r="AM188" s="17">
        <f>BAU建筑总能耗计算!AM$7*$N$16</f>
        <v>8188.4734095660679</v>
      </c>
      <c r="AN188" s="17">
        <f>BAU建筑总能耗计算!AN$7*$N$16</f>
        <v>8265.6801535728682</v>
      </c>
      <c r="AO188" s="17">
        <f>BAU建筑总能耗计算!AO$7*$N$16</f>
        <v>8344.6146428801912</v>
      </c>
      <c r="AP188" s="17">
        <f>BAU建筑总能耗计算!AP$7*$N$16</f>
        <v>8425.7472657324379</v>
      </c>
      <c r="AQ188" s="17">
        <f>BAU建筑总能耗计算!AQ$7*$N$16</f>
        <v>8509.5772356983871</v>
      </c>
      <c r="AR188" s="17">
        <f>BAU建筑总能耗计算!AR$7*$N$16</f>
        <v>8596.6328850383798</v>
      </c>
    </row>
    <row r="189" spans="1:44" s="15" customFormat="1" x14ac:dyDescent="0.15"/>
    <row r="190" spans="1:44" s="19" customFormat="1" x14ac:dyDescent="0.15">
      <c r="A190" s="18" t="s">
        <v>22</v>
      </c>
      <c r="B190" s="19">
        <v>2018</v>
      </c>
      <c r="C190" s="19">
        <v>2019</v>
      </c>
      <c r="D190" s="19">
        <v>2020</v>
      </c>
      <c r="E190" s="19">
        <v>2021</v>
      </c>
      <c r="F190" s="19">
        <v>2022</v>
      </c>
      <c r="G190" s="19">
        <v>2023</v>
      </c>
      <c r="H190" s="19">
        <v>2024</v>
      </c>
      <c r="I190" s="19">
        <v>2025</v>
      </c>
      <c r="J190" s="19">
        <v>2026</v>
      </c>
      <c r="K190" s="19">
        <v>2027</v>
      </c>
      <c r="L190" s="19">
        <v>2028</v>
      </c>
      <c r="M190" s="19">
        <v>2029</v>
      </c>
      <c r="N190" s="19">
        <v>2030</v>
      </c>
      <c r="O190" s="19">
        <v>2031</v>
      </c>
      <c r="P190" s="19">
        <v>2032</v>
      </c>
      <c r="Q190" s="19">
        <v>2033</v>
      </c>
      <c r="R190" s="19">
        <v>2034</v>
      </c>
      <c r="S190" s="19">
        <v>2035</v>
      </c>
      <c r="T190" s="19">
        <v>2036</v>
      </c>
      <c r="U190" s="19">
        <v>2037</v>
      </c>
      <c r="V190" s="19">
        <v>2038</v>
      </c>
      <c r="W190" s="19">
        <v>2039</v>
      </c>
      <c r="X190" s="19">
        <v>2040</v>
      </c>
      <c r="Y190" s="19">
        <v>2041</v>
      </c>
      <c r="Z190" s="19">
        <v>2042</v>
      </c>
      <c r="AA190" s="19">
        <v>2043</v>
      </c>
      <c r="AB190" s="19">
        <v>2044</v>
      </c>
      <c r="AC190" s="19">
        <v>2045</v>
      </c>
      <c r="AD190" s="19">
        <v>2046</v>
      </c>
      <c r="AE190" s="19">
        <v>2047</v>
      </c>
      <c r="AF190" s="19">
        <v>2048</v>
      </c>
      <c r="AG190" s="19">
        <v>2049</v>
      </c>
      <c r="AH190" s="19">
        <v>2050</v>
      </c>
      <c r="AI190" s="19">
        <v>2051</v>
      </c>
      <c r="AJ190" s="19">
        <v>2052</v>
      </c>
      <c r="AK190" s="19">
        <v>2053</v>
      </c>
      <c r="AL190" s="19">
        <v>2054</v>
      </c>
      <c r="AM190" s="19">
        <v>2055</v>
      </c>
      <c r="AN190" s="19">
        <v>2056</v>
      </c>
      <c r="AO190" s="19">
        <v>2057</v>
      </c>
      <c r="AP190" s="19">
        <v>2058</v>
      </c>
      <c r="AQ190" s="19">
        <v>2059</v>
      </c>
      <c r="AR190" s="19">
        <v>2060</v>
      </c>
    </row>
    <row r="191" spans="1:44" s="15" customFormat="1" x14ac:dyDescent="0.15">
      <c r="A191" s="19" t="s">
        <v>912</v>
      </c>
      <c r="B191" s="16">
        <f t="shared" ref="B191:AR191" si="168">B$201*$O4/$O$14</f>
        <v>4524.0447459619763</v>
      </c>
      <c r="C191" s="16">
        <f t="shared" si="168"/>
        <v>4583.3398201778191</v>
      </c>
      <c r="D191" s="16">
        <f t="shared" si="168"/>
        <v>4664.4128723393824</v>
      </c>
      <c r="E191" s="16">
        <f t="shared" si="168"/>
        <v>4701.6544385335119</v>
      </c>
      <c r="F191" s="16">
        <f t="shared" si="168"/>
        <v>4737.7848410601155</v>
      </c>
      <c r="G191" s="16">
        <f t="shared" si="168"/>
        <v>4772.7793366137121</v>
      </c>
      <c r="H191" s="16">
        <f t="shared" si="168"/>
        <v>4806.6155230345958</v>
      </c>
      <c r="I191" s="16">
        <f t="shared" si="168"/>
        <v>4839.2736961709516</v>
      </c>
      <c r="J191" s="16">
        <f t="shared" si="168"/>
        <v>4870.7366818679693</v>
      </c>
      <c r="K191" s="16">
        <f t="shared" si="168"/>
        <v>4900.9903426262163</v>
      </c>
      <c r="L191" s="16">
        <f t="shared" si="168"/>
        <v>4930.0234189333478</v>
      </c>
      <c r="M191" s="16">
        <f t="shared" si="168"/>
        <v>4957.827873240285</v>
      </c>
      <c r="N191" s="16">
        <f t="shared" si="168"/>
        <v>4984.3990118986958</v>
      </c>
      <c r="O191" s="16">
        <f t="shared" si="168"/>
        <v>5009.735577184465</v>
      </c>
      <c r="P191" s="16">
        <f t="shared" si="168"/>
        <v>5033.8401232955775</v>
      </c>
      <c r="Q191" s="16">
        <f t="shared" si="168"/>
        <v>5056.7189241779079</v>
      </c>
      <c r="R191" s="16">
        <f t="shared" si="168"/>
        <v>5078.382394155472</v>
      </c>
      <c r="S191" s="16">
        <f t="shared" si="168"/>
        <v>5098.845133335336</v>
      </c>
      <c r="T191" s="16">
        <f t="shared" si="168"/>
        <v>5118.1261876437093</v>
      </c>
      <c r="U191" s="16">
        <f t="shared" si="168"/>
        <v>5136.2493066141342</v>
      </c>
      <c r="V191" s="16">
        <f t="shared" si="168"/>
        <v>5153.2429628664986</v>
      </c>
      <c r="W191" s="16">
        <f t="shared" si="168"/>
        <v>5169.140763786253</v>
      </c>
      <c r="X191" s="16">
        <f t="shared" si="168"/>
        <v>5183.9816114462055</v>
      </c>
      <c r="Y191" s="16">
        <f t="shared" si="168"/>
        <v>5197.8099468097671</v>
      </c>
      <c r="Z191" s="16">
        <f t="shared" si="168"/>
        <v>5210.6758774669588</v>
      </c>
      <c r="AA191" s="16">
        <f t="shared" si="168"/>
        <v>5222.6355038827041</v>
      </c>
      <c r="AB191" s="16">
        <f t="shared" si="168"/>
        <v>5233.7512845652636</v>
      </c>
      <c r="AC191" s="16">
        <f t="shared" si="168"/>
        <v>5244.0920634546364</v>
      </c>
      <c r="AD191" s="16">
        <f t="shared" si="168"/>
        <v>5253.7333919360208</v>
      </c>
      <c r="AE191" s="16">
        <f t="shared" si="168"/>
        <v>5262.7580476749044</v>
      </c>
      <c r="AF191" s="16">
        <f t="shared" si="168"/>
        <v>5271.2559405069742</v>
      </c>
      <c r="AG191" s="16">
        <f t="shared" si="168"/>
        <v>5279.3245979696912</v>
      </c>
      <c r="AH191" s="16">
        <f t="shared" si="168"/>
        <v>5287.0695452274258</v>
      </c>
      <c r="AI191" s="16">
        <f t="shared" si="168"/>
        <v>5294.6043089009554</v>
      </c>
      <c r="AJ191" s="16">
        <f t="shared" si="168"/>
        <v>5302.0511431137465</v>
      </c>
      <c r="AK191" s="16">
        <f t="shared" si="168"/>
        <v>5309.5408640841079</v>
      </c>
      <c r="AL191" s="16">
        <f t="shared" si="168"/>
        <v>5317.2136546692363</v>
      </c>
      <c r="AM191" s="16">
        <f t="shared" si="168"/>
        <v>5325.2191015070248</v>
      </c>
      <c r="AN191" s="16">
        <f t="shared" si="168"/>
        <v>5333.7165997120828</v>
      </c>
      <c r="AO191" s="16">
        <f t="shared" si="168"/>
        <v>5342.8757223212069</v>
      </c>
      <c r="AP191" s="16">
        <f t="shared" si="168"/>
        <v>5352.8766002493994</v>
      </c>
      <c r="AQ191" s="16">
        <f t="shared" si="168"/>
        <v>5363.9104028083921</v>
      </c>
      <c r="AR191" s="16">
        <f t="shared" si="168"/>
        <v>5376.1794500489423</v>
      </c>
    </row>
    <row r="192" spans="1:44" s="15" customFormat="1" x14ac:dyDescent="0.15">
      <c r="A192" s="19" t="s">
        <v>913</v>
      </c>
      <c r="B192" s="16">
        <f t="shared" ref="B192:AR192" si="169">B$201*$O5/$O$14</f>
        <v>0</v>
      </c>
      <c r="C192" s="16">
        <f t="shared" si="169"/>
        <v>0</v>
      </c>
      <c r="D192" s="16">
        <f t="shared" si="169"/>
        <v>0</v>
      </c>
      <c r="E192" s="16">
        <f t="shared" si="169"/>
        <v>0</v>
      </c>
      <c r="F192" s="16">
        <f t="shared" si="169"/>
        <v>0</v>
      </c>
      <c r="G192" s="16">
        <f t="shared" si="169"/>
        <v>0</v>
      </c>
      <c r="H192" s="16">
        <f t="shared" si="169"/>
        <v>0</v>
      </c>
      <c r="I192" s="16">
        <f t="shared" si="169"/>
        <v>0</v>
      </c>
      <c r="J192" s="16">
        <f t="shared" si="169"/>
        <v>0</v>
      </c>
      <c r="K192" s="16">
        <f t="shared" si="169"/>
        <v>0</v>
      </c>
      <c r="L192" s="16">
        <f t="shared" si="169"/>
        <v>0</v>
      </c>
      <c r="M192" s="16">
        <f t="shared" si="169"/>
        <v>0</v>
      </c>
      <c r="N192" s="16">
        <f t="shared" si="169"/>
        <v>0</v>
      </c>
      <c r="O192" s="16">
        <f t="shared" si="169"/>
        <v>0</v>
      </c>
      <c r="P192" s="16">
        <f t="shared" si="169"/>
        <v>0</v>
      </c>
      <c r="Q192" s="16">
        <f t="shared" si="169"/>
        <v>0</v>
      </c>
      <c r="R192" s="16">
        <f t="shared" si="169"/>
        <v>0</v>
      </c>
      <c r="S192" s="16">
        <f t="shared" si="169"/>
        <v>0</v>
      </c>
      <c r="T192" s="16">
        <f t="shared" si="169"/>
        <v>0</v>
      </c>
      <c r="U192" s="16">
        <f t="shared" si="169"/>
        <v>0</v>
      </c>
      <c r="V192" s="16">
        <f t="shared" si="169"/>
        <v>0</v>
      </c>
      <c r="W192" s="16">
        <f t="shared" si="169"/>
        <v>0</v>
      </c>
      <c r="X192" s="16">
        <f t="shared" si="169"/>
        <v>0</v>
      </c>
      <c r="Y192" s="16">
        <f t="shared" si="169"/>
        <v>0</v>
      </c>
      <c r="Z192" s="16">
        <f t="shared" si="169"/>
        <v>0</v>
      </c>
      <c r="AA192" s="16">
        <f t="shared" si="169"/>
        <v>0</v>
      </c>
      <c r="AB192" s="16">
        <f t="shared" si="169"/>
        <v>0</v>
      </c>
      <c r="AC192" s="16">
        <f t="shared" si="169"/>
        <v>0</v>
      </c>
      <c r="AD192" s="16">
        <f t="shared" si="169"/>
        <v>0</v>
      </c>
      <c r="AE192" s="16">
        <f t="shared" si="169"/>
        <v>0</v>
      </c>
      <c r="AF192" s="16">
        <f t="shared" si="169"/>
        <v>0</v>
      </c>
      <c r="AG192" s="16">
        <f t="shared" si="169"/>
        <v>0</v>
      </c>
      <c r="AH192" s="16">
        <f t="shared" si="169"/>
        <v>0</v>
      </c>
      <c r="AI192" s="16">
        <f t="shared" si="169"/>
        <v>0</v>
      </c>
      <c r="AJ192" s="16">
        <f t="shared" si="169"/>
        <v>0</v>
      </c>
      <c r="AK192" s="16">
        <f t="shared" si="169"/>
        <v>0</v>
      </c>
      <c r="AL192" s="16">
        <f t="shared" si="169"/>
        <v>0</v>
      </c>
      <c r="AM192" s="16">
        <f t="shared" si="169"/>
        <v>0</v>
      </c>
      <c r="AN192" s="16">
        <f t="shared" si="169"/>
        <v>0</v>
      </c>
      <c r="AO192" s="16">
        <f t="shared" si="169"/>
        <v>0</v>
      </c>
      <c r="AP192" s="16">
        <f t="shared" si="169"/>
        <v>0</v>
      </c>
      <c r="AQ192" s="16">
        <f t="shared" si="169"/>
        <v>0</v>
      </c>
      <c r="AR192" s="16">
        <f t="shared" si="169"/>
        <v>0</v>
      </c>
    </row>
    <row r="193" spans="1:44" s="15" customFormat="1" x14ac:dyDescent="0.15">
      <c r="A193" s="19" t="s">
        <v>914</v>
      </c>
      <c r="B193" s="16">
        <f t="shared" ref="B193:AR193" si="170">B$201*$O6/$O$14</f>
        <v>0</v>
      </c>
      <c r="C193" s="16">
        <f t="shared" si="170"/>
        <v>0</v>
      </c>
      <c r="D193" s="16">
        <f t="shared" si="170"/>
        <v>0</v>
      </c>
      <c r="E193" s="16">
        <f t="shared" si="170"/>
        <v>0</v>
      </c>
      <c r="F193" s="16">
        <f t="shared" si="170"/>
        <v>0</v>
      </c>
      <c r="G193" s="16">
        <f t="shared" si="170"/>
        <v>0</v>
      </c>
      <c r="H193" s="16">
        <f t="shared" si="170"/>
        <v>0</v>
      </c>
      <c r="I193" s="16">
        <f t="shared" si="170"/>
        <v>0</v>
      </c>
      <c r="J193" s="16">
        <f t="shared" si="170"/>
        <v>0</v>
      </c>
      <c r="K193" s="16">
        <f t="shared" si="170"/>
        <v>0</v>
      </c>
      <c r="L193" s="16">
        <f t="shared" si="170"/>
        <v>0</v>
      </c>
      <c r="M193" s="16">
        <f t="shared" si="170"/>
        <v>0</v>
      </c>
      <c r="N193" s="16">
        <f t="shared" si="170"/>
        <v>0</v>
      </c>
      <c r="O193" s="16">
        <f t="shared" si="170"/>
        <v>0</v>
      </c>
      <c r="P193" s="16">
        <f t="shared" si="170"/>
        <v>0</v>
      </c>
      <c r="Q193" s="16">
        <f t="shared" si="170"/>
        <v>0</v>
      </c>
      <c r="R193" s="16">
        <f t="shared" si="170"/>
        <v>0</v>
      </c>
      <c r="S193" s="16">
        <f t="shared" si="170"/>
        <v>0</v>
      </c>
      <c r="T193" s="16">
        <f t="shared" si="170"/>
        <v>0</v>
      </c>
      <c r="U193" s="16">
        <f t="shared" si="170"/>
        <v>0</v>
      </c>
      <c r="V193" s="16">
        <f t="shared" si="170"/>
        <v>0</v>
      </c>
      <c r="W193" s="16">
        <f t="shared" si="170"/>
        <v>0</v>
      </c>
      <c r="X193" s="16">
        <f t="shared" si="170"/>
        <v>0</v>
      </c>
      <c r="Y193" s="16">
        <f t="shared" si="170"/>
        <v>0</v>
      </c>
      <c r="Z193" s="16">
        <f t="shared" si="170"/>
        <v>0</v>
      </c>
      <c r="AA193" s="16">
        <f t="shared" si="170"/>
        <v>0</v>
      </c>
      <c r="AB193" s="16">
        <f t="shared" si="170"/>
        <v>0</v>
      </c>
      <c r="AC193" s="16">
        <f t="shared" si="170"/>
        <v>0</v>
      </c>
      <c r="AD193" s="16">
        <f t="shared" si="170"/>
        <v>0</v>
      </c>
      <c r="AE193" s="16">
        <f t="shared" si="170"/>
        <v>0</v>
      </c>
      <c r="AF193" s="16">
        <f t="shared" si="170"/>
        <v>0</v>
      </c>
      <c r="AG193" s="16">
        <f t="shared" si="170"/>
        <v>0</v>
      </c>
      <c r="AH193" s="16">
        <f t="shared" si="170"/>
        <v>0</v>
      </c>
      <c r="AI193" s="16">
        <f t="shared" si="170"/>
        <v>0</v>
      </c>
      <c r="AJ193" s="16">
        <f t="shared" si="170"/>
        <v>0</v>
      </c>
      <c r="AK193" s="16">
        <f t="shared" si="170"/>
        <v>0</v>
      </c>
      <c r="AL193" s="16">
        <f t="shared" si="170"/>
        <v>0</v>
      </c>
      <c r="AM193" s="16">
        <f t="shared" si="170"/>
        <v>0</v>
      </c>
      <c r="AN193" s="16">
        <f t="shared" si="170"/>
        <v>0</v>
      </c>
      <c r="AO193" s="16">
        <f t="shared" si="170"/>
        <v>0</v>
      </c>
      <c r="AP193" s="16">
        <f t="shared" si="170"/>
        <v>0</v>
      </c>
      <c r="AQ193" s="16">
        <f t="shared" si="170"/>
        <v>0</v>
      </c>
      <c r="AR193" s="16">
        <f t="shared" si="170"/>
        <v>0</v>
      </c>
    </row>
    <row r="194" spans="1:44" s="15" customFormat="1" x14ac:dyDescent="0.15">
      <c r="A194" s="19" t="s">
        <v>915</v>
      </c>
      <c r="B194" s="16">
        <f t="shared" ref="B194:AR194" si="171">B$201*$O7/$O$14</f>
        <v>0</v>
      </c>
      <c r="C194" s="16">
        <f t="shared" si="171"/>
        <v>0</v>
      </c>
      <c r="D194" s="16">
        <f t="shared" si="171"/>
        <v>0</v>
      </c>
      <c r="E194" s="16">
        <f t="shared" si="171"/>
        <v>0</v>
      </c>
      <c r="F194" s="16">
        <f t="shared" si="171"/>
        <v>0</v>
      </c>
      <c r="G194" s="16">
        <f t="shared" si="171"/>
        <v>0</v>
      </c>
      <c r="H194" s="16">
        <f t="shared" si="171"/>
        <v>0</v>
      </c>
      <c r="I194" s="16">
        <f t="shared" si="171"/>
        <v>0</v>
      </c>
      <c r="J194" s="16">
        <f t="shared" si="171"/>
        <v>0</v>
      </c>
      <c r="K194" s="16">
        <f t="shared" si="171"/>
        <v>0</v>
      </c>
      <c r="L194" s="16">
        <f t="shared" si="171"/>
        <v>0</v>
      </c>
      <c r="M194" s="16">
        <f t="shared" si="171"/>
        <v>0</v>
      </c>
      <c r="N194" s="16">
        <f t="shared" si="171"/>
        <v>0</v>
      </c>
      <c r="O194" s="16">
        <f t="shared" si="171"/>
        <v>0</v>
      </c>
      <c r="P194" s="16">
        <f t="shared" si="171"/>
        <v>0</v>
      </c>
      <c r="Q194" s="16">
        <f t="shared" si="171"/>
        <v>0</v>
      </c>
      <c r="R194" s="16">
        <f t="shared" si="171"/>
        <v>0</v>
      </c>
      <c r="S194" s="16">
        <f t="shared" si="171"/>
        <v>0</v>
      </c>
      <c r="T194" s="16">
        <f t="shared" si="171"/>
        <v>0</v>
      </c>
      <c r="U194" s="16">
        <f t="shared" si="171"/>
        <v>0</v>
      </c>
      <c r="V194" s="16">
        <f t="shared" si="171"/>
        <v>0</v>
      </c>
      <c r="W194" s="16">
        <f t="shared" si="171"/>
        <v>0</v>
      </c>
      <c r="X194" s="16">
        <f t="shared" si="171"/>
        <v>0</v>
      </c>
      <c r="Y194" s="16">
        <f t="shared" si="171"/>
        <v>0</v>
      </c>
      <c r="Z194" s="16">
        <f t="shared" si="171"/>
        <v>0</v>
      </c>
      <c r="AA194" s="16">
        <f t="shared" si="171"/>
        <v>0</v>
      </c>
      <c r="AB194" s="16">
        <f t="shared" si="171"/>
        <v>0</v>
      </c>
      <c r="AC194" s="16">
        <f t="shared" si="171"/>
        <v>0</v>
      </c>
      <c r="AD194" s="16">
        <f t="shared" si="171"/>
        <v>0</v>
      </c>
      <c r="AE194" s="16">
        <f t="shared" si="171"/>
        <v>0</v>
      </c>
      <c r="AF194" s="16">
        <f t="shared" si="171"/>
        <v>0</v>
      </c>
      <c r="AG194" s="16">
        <f t="shared" si="171"/>
        <v>0</v>
      </c>
      <c r="AH194" s="16">
        <f t="shared" si="171"/>
        <v>0</v>
      </c>
      <c r="AI194" s="16">
        <f t="shared" si="171"/>
        <v>0</v>
      </c>
      <c r="AJ194" s="16">
        <f t="shared" si="171"/>
        <v>0</v>
      </c>
      <c r="AK194" s="16">
        <f t="shared" si="171"/>
        <v>0</v>
      </c>
      <c r="AL194" s="16">
        <f t="shared" si="171"/>
        <v>0</v>
      </c>
      <c r="AM194" s="16">
        <f t="shared" si="171"/>
        <v>0</v>
      </c>
      <c r="AN194" s="16">
        <f t="shared" si="171"/>
        <v>0</v>
      </c>
      <c r="AO194" s="16">
        <f t="shared" si="171"/>
        <v>0</v>
      </c>
      <c r="AP194" s="16">
        <f t="shared" si="171"/>
        <v>0</v>
      </c>
      <c r="AQ194" s="16">
        <f t="shared" si="171"/>
        <v>0</v>
      </c>
      <c r="AR194" s="16">
        <f t="shared" si="171"/>
        <v>0</v>
      </c>
    </row>
    <row r="195" spans="1:44" s="15" customFormat="1" x14ac:dyDescent="0.15">
      <c r="A195" s="19" t="s">
        <v>916</v>
      </c>
      <c r="B195" s="16">
        <f t="shared" ref="B195:AR195" si="172">B$201*$O8/$O$14</f>
        <v>0</v>
      </c>
      <c r="C195" s="16">
        <f t="shared" si="172"/>
        <v>0</v>
      </c>
      <c r="D195" s="16">
        <f t="shared" si="172"/>
        <v>0</v>
      </c>
      <c r="E195" s="16">
        <f t="shared" si="172"/>
        <v>0</v>
      </c>
      <c r="F195" s="16">
        <f t="shared" si="172"/>
        <v>0</v>
      </c>
      <c r="G195" s="16">
        <f t="shared" si="172"/>
        <v>0</v>
      </c>
      <c r="H195" s="16">
        <f t="shared" si="172"/>
        <v>0</v>
      </c>
      <c r="I195" s="16">
        <f t="shared" si="172"/>
        <v>0</v>
      </c>
      <c r="J195" s="16">
        <f t="shared" si="172"/>
        <v>0</v>
      </c>
      <c r="K195" s="16">
        <f t="shared" si="172"/>
        <v>0</v>
      </c>
      <c r="L195" s="16">
        <f t="shared" si="172"/>
        <v>0</v>
      </c>
      <c r="M195" s="16">
        <f t="shared" si="172"/>
        <v>0</v>
      </c>
      <c r="N195" s="16">
        <f t="shared" si="172"/>
        <v>0</v>
      </c>
      <c r="O195" s="16">
        <f t="shared" si="172"/>
        <v>0</v>
      </c>
      <c r="P195" s="16">
        <f t="shared" si="172"/>
        <v>0</v>
      </c>
      <c r="Q195" s="16">
        <f t="shared" si="172"/>
        <v>0</v>
      </c>
      <c r="R195" s="16">
        <f t="shared" si="172"/>
        <v>0</v>
      </c>
      <c r="S195" s="16">
        <f t="shared" si="172"/>
        <v>0</v>
      </c>
      <c r="T195" s="16">
        <f t="shared" si="172"/>
        <v>0</v>
      </c>
      <c r="U195" s="16">
        <f t="shared" si="172"/>
        <v>0</v>
      </c>
      <c r="V195" s="16">
        <f t="shared" si="172"/>
        <v>0</v>
      </c>
      <c r="W195" s="16">
        <f t="shared" si="172"/>
        <v>0</v>
      </c>
      <c r="X195" s="16">
        <f t="shared" si="172"/>
        <v>0</v>
      </c>
      <c r="Y195" s="16">
        <f t="shared" si="172"/>
        <v>0</v>
      </c>
      <c r="Z195" s="16">
        <f t="shared" si="172"/>
        <v>0</v>
      </c>
      <c r="AA195" s="16">
        <f t="shared" si="172"/>
        <v>0</v>
      </c>
      <c r="AB195" s="16">
        <f t="shared" si="172"/>
        <v>0</v>
      </c>
      <c r="AC195" s="16">
        <f t="shared" si="172"/>
        <v>0</v>
      </c>
      <c r="AD195" s="16">
        <f t="shared" si="172"/>
        <v>0</v>
      </c>
      <c r="AE195" s="16">
        <f t="shared" si="172"/>
        <v>0</v>
      </c>
      <c r="AF195" s="16">
        <f t="shared" si="172"/>
        <v>0</v>
      </c>
      <c r="AG195" s="16">
        <f t="shared" si="172"/>
        <v>0</v>
      </c>
      <c r="AH195" s="16">
        <f t="shared" si="172"/>
        <v>0</v>
      </c>
      <c r="AI195" s="16">
        <f t="shared" si="172"/>
        <v>0</v>
      </c>
      <c r="AJ195" s="16">
        <f t="shared" si="172"/>
        <v>0</v>
      </c>
      <c r="AK195" s="16">
        <f t="shared" si="172"/>
        <v>0</v>
      </c>
      <c r="AL195" s="16">
        <f t="shared" si="172"/>
        <v>0</v>
      </c>
      <c r="AM195" s="16">
        <f t="shared" si="172"/>
        <v>0</v>
      </c>
      <c r="AN195" s="16">
        <f t="shared" si="172"/>
        <v>0</v>
      </c>
      <c r="AO195" s="16">
        <f t="shared" si="172"/>
        <v>0</v>
      </c>
      <c r="AP195" s="16">
        <f t="shared" si="172"/>
        <v>0</v>
      </c>
      <c r="AQ195" s="16">
        <f t="shared" si="172"/>
        <v>0</v>
      </c>
      <c r="AR195" s="16">
        <f t="shared" si="172"/>
        <v>0</v>
      </c>
    </row>
    <row r="196" spans="1:44" s="15" customFormat="1" x14ac:dyDescent="0.15">
      <c r="A196" s="19" t="s">
        <v>917</v>
      </c>
      <c r="B196" s="16">
        <f t="shared" ref="B196:AR196" si="173">B$201*$O9/$O$14</f>
        <v>0</v>
      </c>
      <c r="C196" s="16">
        <f t="shared" si="173"/>
        <v>0</v>
      </c>
      <c r="D196" s="16">
        <f t="shared" si="173"/>
        <v>0</v>
      </c>
      <c r="E196" s="16">
        <f t="shared" si="173"/>
        <v>0</v>
      </c>
      <c r="F196" s="16">
        <f t="shared" si="173"/>
        <v>0</v>
      </c>
      <c r="G196" s="16">
        <f t="shared" si="173"/>
        <v>0</v>
      </c>
      <c r="H196" s="16">
        <f t="shared" si="173"/>
        <v>0</v>
      </c>
      <c r="I196" s="16">
        <f t="shared" si="173"/>
        <v>0</v>
      </c>
      <c r="J196" s="16">
        <f t="shared" si="173"/>
        <v>0</v>
      </c>
      <c r="K196" s="16">
        <f t="shared" si="173"/>
        <v>0</v>
      </c>
      <c r="L196" s="16">
        <f t="shared" si="173"/>
        <v>0</v>
      </c>
      <c r="M196" s="16">
        <f t="shared" si="173"/>
        <v>0</v>
      </c>
      <c r="N196" s="16">
        <f t="shared" si="173"/>
        <v>0</v>
      </c>
      <c r="O196" s="16">
        <f t="shared" si="173"/>
        <v>0</v>
      </c>
      <c r="P196" s="16">
        <f t="shared" si="173"/>
        <v>0</v>
      </c>
      <c r="Q196" s="16">
        <f t="shared" si="173"/>
        <v>0</v>
      </c>
      <c r="R196" s="16">
        <f t="shared" si="173"/>
        <v>0</v>
      </c>
      <c r="S196" s="16">
        <f t="shared" si="173"/>
        <v>0</v>
      </c>
      <c r="T196" s="16">
        <f t="shared" si="173"/>
        <v>0</v>
      </c>
      <c r="U196" s="16">
        <f t="shared" si="173"/>
        <v>0</v>
      </c>
      <c r="V196" s="16">
        <f t="shared" si="173"/>
        <v>0</v>
      </c>
      <c r="W196" s="16">
        <f t="shared" si="173"/>
        <v>0</v>
      </c>
      <c r="X196" s="16">
        <f t="shared" si="173"/>
        <v>0</v>
      </c>
      <c r="Y196" s="16">
        <f t="shared" si="173"/>
        <v>0</v>
      </c>
      <c r="Z196" s="16">
        <f t="shared" si="173"/>
        <v>0</v>
      </c>
      <c r="AA196" s="16">
        <f t="shared" si="173"/>
        <v>0</v>
      </c>
      <c r="AB196" s="16">
        <f t="shared" si="173"/>
        <v>0</v>
      </c>
      <c r="AC196" s="16">
        <f t="shared" si="173"/>
        <v>0</v>
      </c>
      <c r="AD196" s="16">
        <f t="shared" si="173"/>
        <v>0</v>
      </c>
      <c r="AE196" s="16">
        <f t="shared" si="173"/>
        <v>0</v>
      </c>
      <c r="AF196" s="16">
        <f t="shared" si="173"/>
        <v>0</v>
      </c>
      <c r="AG196" s="16">
        <f t="shared" si="173"/>
        <v>0</v>
      </c>
      <c r="AH196" s="16">
        <f t="shared" si="173"/>
        <v>0</v>
      </c>
      <c r="AI196" s="16">
        <f t="shared" si="173"/>
        <v>0</v>
      </c>
      <c r="AJ196" s="16">
        <f t="shared" si="173"/>
        <v>0</v>
      </c>
      <c r="AK196" s="16">
        <f t="shared" si="173"/>
        <v>0</v>
      </c>
      <c r="AL196" s="16">
        <f t="shared" si="173"/>
        <v>0</v>
      </c>
      <c r="AM196" s="16">
        <f t="shared" si="173"/>
        <v>0</v>
      </c>
      <c r="AN196" s="16">
        <f t="shared" si="173"/>
        <v>0</v>
      </c>
      <c r="AO196" s="16">
        <f t="shared" si="173"/>
        <v>0</v>
      </c>
      <c r="AP196" s="16">
        <f t="shared" si="173"/>
        <v>0</v>
      </c>
      <c r="AQ196" s="16">
        <f t="shared" si="173"/>
        <v>0</v>
      </c>
      <c r="AR196" s="16">
        <f t="shared" si="173"/>
        <v>0</v>
      </c>
    </row>
    <row r="197" spans="1:44" s="15" customFormat="1" x14ac:dyDescent="0.15">
      <c r="A197" s="19" t="s">
        <v>918</v>
      </c>
      <c r="B197" s="16">
        <f t="shared" ref="B197:AR197" si="174">B$201*$O10/$O$14</f>
        <v>0</v>
      </c>
      <c r="C197" s="16">
        <f t="shared" si="174"/>
        <v>0</v>
      </c>
      <c r="D197" s="16">
        <f t="shared" si="174"/>
        <v>0</v>
      </c>
      <c r="E197" s="16">
        <f t="shared" si="174"/>
        <v>0</v>
      </c>
      <c r="F197" s="16">
        <f t="shared" si="174"/>
        <v>0</v>
      </c>
      <c r="G197" s="16">
        <f t="shared" si="174"/>
        <v>0</v>
      </c>
      <c r="H197" s="16">
        <f t="shared" si="174"/>
        <v>0</v>
      </c>
      <c r="I197" s="16">
        <f t="shared" si="174"/>
        <v>0</v>
      </c>
      <c r="J197" s="16">
        <f t="shared" si="174"/>
        <v>0</v>
      </c>
      <c r="K197" s="16">
        <f t="shared" si="174"/>
        <v>0</v>
      </c>
      <c r="L197" s="16">
        <f t="shared" si="174"/>
        <v>0</v>
      </c>
      <c r="M197" s="16">
        <f t="shared" si="174"/>
        <v>0</v>
      </c>
      <c r="N197" s="16">
        <f t="shared" si="174"/>
        <v>0</v>
      </c>
      <c r="O197" s="16">
        <f t="shared" si="174"/>
        <v>0</v>
      </c>
      <c r="P197" s="16">
        <f t="shared" si="174"/>
        <v>0</v>
      </c>
      <c r="Q197" s="16">
        <f t="shared" si="174"/>
        <v>0</v>
      </c>
      <c r="R197" s="16">
        <f t="shared" si="174"/>
        <v>0</v>
      </c>
      <c r="S197" s="16">
        <f t="shared" si="174"/>
        <v>0</v>
      </c>
      <c r="T197" s="16">
        <f t="shared" si="174"/>
        <v>0</v>
      </c>
      <c r="U197" s="16">
        <f t="shared" si="174"/>
        <v>0</v>
      </c>
      <c r="V197" s="16">
        <f t="shared" si="174"/>
        <v>0</v>
      </c>
      <c r="W197" s="16">
        <f t="shared" si="174"/>
        <v>0</v>
      </c>
      <c r="X197" s="16">
        <f t="shared" si="174"/>
        <v>0</v>
      </c>
      <c r="Y197" s="16">
        <f t="shared" si="174"/>
        <v>0</v>
      </c>
      <c r="Z197" s="16">
        <f t="shared" si="174"/>
        <v>0</v>
      </c>
      <c r="AA197" s="16">
        <f t="shared" si="174"/>
        <v>0</v>
      </c>
      <c r="AB197" s="16">
        <f t="shared" si="174"/>
        <v>0</v>
      </c>
      <c r="AC197" s="16">
        <f t="shared" si="174"/>
        <v>0</v>
      </c>
      <c r="AD197" s="16">
        <f t="shared" si="174"/>
        <v>0</v>
      </c>
      <c r="AE197" s="16">
        <f t="shared" si="174"/>
        <v>0</v>
      </c>
      <c r="AF197" s="16">
        <f t="shared" si="174"/>
        <v>0</v>
      </c>
      <c r="AG197" s="16">
        <f t="shared" si="174"/>
        <v>0</v>
      </c>
      <c r="AH197" s="16">
        <f t="shared" si="174"/>
        <v>0</v>
      </c>
      <c r="AI197" s="16">
        <f t="shared" si="174"/>
        <v>0</v>
      </c>
      <c r="AJ197" s="16">
        <f t="shared" si="174"/>
        <v>0</v>
      </c>
      <c r="AK197" s="16">
        <f t="shared" si="174"/>
        <v>0</v>
      </c>
      <c r="AL197" s="16">
        <f t="shared" si="174"/>
        <v>0</v>
      </c>
      <c r="AM197" s="16">
        <f t="shared" si="174"/>
        <v>0</v>
      </c>
      <c r="AN197" s="16">
        <f t="shared" si="174"/>
        <v>0</v>
      </c>
      <c r="AO197" s="16">
        <f t="shared" si="174"/>
        <v>0</v>
      </c>
      <c r="AP197" s="16">
        <f t="shared" si="174"/>
        <v>0</v>
      </c>
      <c r="AQ197" s="16">
        <f t="shared" si="174"/>
        <v>0</v>
      </c>
      <c r="AR197" s="16">
        <f t="shared" si="174"/>
        <v>0</v>
      </c>
    </row>
    <row r="198" spans="1:44" s="15" customFormat="1" x14ac:dyDescent="0.15">
      <c r="A198" s="19" t="s">
        <v>919</v>
      </c>
      <c r="B198" s="16">
        <f t="shared" ref="B198:AR198" si="175">B$201*$O11/$O$14</f>
        <v>0</v>
      </c>
      <c r="C198" s="16">
        <f t="shared" si="175"/>
        <v>0</v>
      </c>
      <c r="D198" s="16">
        <f t="shared" si="175"/>
        <v>0</v>
      </c>
      <c r="E198" s="16">
        <f t="shared" si="175"/>
        <v>0</v>
      </c>
      <c r="F198" s="16">
        <f t="shared" si="175"/>
        <v>0</v>
      </c>
      <c r="G198" s="16">
        <f t="shared" si="175"/>
        <v>0</v>
      </c>
      <c r="H198" s="16">
        <f t="shared" si="175"/>
        <v>0</v>
      </c>
      <c r="I198" s="16">
        <f t="shared" si="175"/>
        <v>0</v>
      </c>
      <c r="J198" s="16">
        <f t="shared" si="175"/>
        <v>0</v>
      </c>
      <c r="K198" s="16">
        <f t="shared" si="175"/>
        <v>0</v>
      </c>
      <c r="L198" s="16">
        <f t="shared" si="175"/>
        <v>0</v>
      </c>
      <c r="M198" s="16">
        <f t="shared" si="175"/>
        <v>0</v>
      </c>
      <c r="N198" s="16">
        <f t="shared" si="175"/>
        <v>0</v>
      </c>
      <c r="O198" s="16">
        <f t="shared" si="175"/>
        <v>0</v>
      </c>
      <c r="P198" s="16">
        <f t="shared" si="175"/>
        <v>0</v>
      </c>
      <c r="Q198" s="16">
        <f t="shared" si="175"/>
        <v>0</v>
      </c>
      <c r="R198" s="16">
        <f t="shared" si="175"/>
        <v>0</v>
      </c>
      <c r="S198" s="16">
        <f t="shared" si="175"/>
        <v>0</v>
      </c>
      <c r="T198" s="16">
        <f t="shared" si="175"/>
        <v>0</v>
      </c>
      <c r="U198" s="16">
        <f t="shared" si="175"/>
        <v>0</v>
      </c>
      <c r="V198" s="16">
        <f t="shared" si="175"/>
        <v>0</v>
      </c>
      <c r="W198" s="16">
        <f t="shared" si="175"/>
        <v>0</v>
      </c>
      <c r="X198" s="16">
        <f t="shared" si="175"/>
        <v>0</v>
      </c>
      <c r="Y198" s="16">
        <f t="shared" si="175"/>
        <v>0</v>
      </c>
      <c r="Z198" s="16">
        <f t="shared" si="175"/>
        <v>0</v>
      </c>
      <c r="AA198" s="16">
        <f t="shared" si="175"/>
        <v>0</v>
      </c>
      <c r="AB198" s="16">
        <f t="shared" si="175"/>
        <v>0</v>
      </c>
      <c r="AC198" s="16">
        <f t="shared" si="175"/>
        <v>0</v>
      </c>
      <c r="AD198" s="16">
        <f t="shared" si="175"/>
        <v>0</v>
      </c>
      <c r="AE198" s="16">
        <f t="shared" si="175"/>
        <v>0</v>
      </c>
      <c r="AF198" s="16">
        <f t="shared" si="175"/>
        <v>0</v>
      </c>
      <c r="AG198" s="16">
        <f t="shared" si="175"/>
        <v>0</v>
      </c>
      <c r="AH198" s="16">
        <f t="shared" si="175"/>
        <v>0</v>
      </c>
      <c r="AI198" s="16">
        <f t="shared" si="175"/>
        <v>0</v>
      </c>
      <c r="AJ198" s="16">
        <f t="shared" si="175"/>
        <v>0</v>
      </c>
      <c r="AK198" s="16">
        <f t="shared" si="175"/>
        <v>0</v>
      </c>
      <c r="AL198" s="16">
        <f t="shared" si="175"/>
        <v>0</v>
      </c>
      <c r="AM198" s="16">
        <f t="shared" si="175"/>
        <v>0</v>
      </c>
      <c r="AN198" s="16">
        <f t="shared" si="175"/>
        <v>0</v>
      </c>
      <c r="AO198" s="16">
        <f t="shared" si="175"/>
        <v>0</v>
      </c>
      <c r="AP198" s="16">
        <f t="shared" si="175"/>
        <v>0</v>
      </c>
      <c r="AQ198" s="16">
        <f t="shared" si="175"/>
        <v>0</v>
      </c>
      <c r="AR198" s="16">
        <f t="shared" si="175"/>
        <v>0</v>
      </c>
    </row>
    <row r="199" spans="1:44" s="15" customFormat="1" x14ac:dyDescent="0.15">
      <c r="A199" s="19" t="s">
        <v>920</v>
      </c>
      <c r="B199" s="16">
        <f t="shared" ref="B199:AR199" si="176">B$201*$O12/$O$14</f>
        <v>0</v>
      </c>
      <c r="C199" s="16">
        <f t="shared" si="176"/>
        <v>0</v>
      </c>
      <c r="D199" s="16">
        <f t="shared" si="176"/>
        <v>0</v>
      </c>
      <c r="E199" s="16">
        <f t="shared" si="176"/>
        <v>0</v>
      </c>
      <c r="F199" s="16">
        <f t="shared" si="176"/>
        <v>0</v>
      </c>
      <c r="G199" s="16">
        <f t="shared" si="176"/>
        <v>0</v>
      </c>
      <c r="H199" s="16">
        <f t="shared" si="176"/>
        <v>0</v>
      </c>
      <c r="I199" s="16">
        <f t="shared" si="176"/>
        <v>0</v>
      </c>
      <c r="J199" s="16">
        <f t="shared" si="176"/>
        <v>0</v>
      </c>
      <c r="K199" s="16">
        <f t="shared" si="176"/>
        <v>0</v>
      </c>
      <c r="L199" s="16">
        <f t="shared" si="176"/>
        <v>0</v>
      </c>
      <c r="M199" s="16">
        <f t="shared" si="176"/>
        <v>0</v>
      </c>
      <c r="N199" s="16">
        <f t="shared" si="176"/>
        <v>0</v>
      </c>
      <c r="O199" s="16">
        <f t="shared" si="176"/>
        <v>0</v>
      </c>
      <c r="P199" s="16">
        <f t="shared" si="176"/>
        <v>0</v>
      </c>
      <c r="Q199" s="16">
        <f t="shared" si="176"/>
        <v>0</v>
      </c>
      <c r="R199" s="16">
        <f t="shared" si="176"/>
        <v>0</v>
      </c>
      <c r="S199" s="16">
        <f t="shared" si="176"/>
        <v>0</v>
      </c>
      <c r="T199" s="16">
        <f t="shared" si="176"/>
        <v>0</v>
      </c>
      <c r="U199" s="16">
        <f t="shared" si="176"/>
        <v>0</v>
      </c>
      <c r="V199" s="16">
        <f t="shared" si="176"/>
        <v>0</v>
      </c>
      <c r="W199" s="16">
        <f t="shared" si="176"/>
        <v>0</v>
      </c>
      <c r="X199" s="16">
        <f t="shared" si="176"/>
        <v>0</v>
      </c>
      <c r="Y199" s="16">
        <f t="shared" si="176"/>
        <v>0</v>
      </c>
      <c r="Z199" s="16">
        <f t="shared" si="176"/>
        <v>0</v>
      </c>
      <c r="AA199" s="16">
        <f t="shared" si="176"/>
        <v>0</v>
      </c>
      <c r="AB199" s="16">
        <f t="shared" si="176"/>
        <v>0</v>
      </c>
      <c r="AC199" s="16">
        <f t="shared" si="176"/>
        <v>0</v>
      </c>
      <c r="AD199" s="16">
        <f t="shared" si="176"/>
        <v>0</v>
      </c>
      <c r="AE199" s="16">
        <f t="shared" si="176"/>
        <v>0</v>
      </c>
      <c r="AF199" s="16">
        <f t="shared" si="176"/>
        <v>0</v>
      </c>
      <c r="AG199" s="16">
        <f t="shared" si="176"/>
        <v>0</v>
      </c>
      <c r="AH199" s="16">
        <f t="shared" si="176"/>
        <v>0</v>
      </c>
      <c r="AI199" s="16">
        <f t="shared" si="176"/>
        <v>0</v>
      </c>
      <c r="AJ199" s="16">
        <f t="shared" si="176"/>
        <v>0</v>
      </c>
      <c r="AK199" s="16">
        <f t="shared" si="176"/>
        <v>0</v>
      </c>
      <c r="AL199" s="16">
        <f t="shared" si="176"/>
        <v>0</v>
      </c>
      <c r="AM199" s="16">
        <f t="shared" si="176"/>
        <v>0</v>
      </c>
      <c r="AN199" s="16">
        <f t="shared" si="176"/>
        <v>0</v>
      </c>
      <c r="AO199" s="16">
        <f t="shared" si="176"/>
        <v>0</v>
      </c>
      <c r="AP199" s="16">
        <f t="shared" si="176"/>
        <v>0</v>
      </c>
      <c r="AQ199" s="16">
        <f t="shared" si="176"/>
        <v>0</v>
      </c>
      <c r="AR199" s="16">
        <f t="shared" si="176"/>
        <v>0</v>
      </c>
    </row>
    <row r="200" spans="1:44" s="15" customFormat="1" x14ac:dyDescent="0.15">
      <c r="A200" s="19" t="s">
        <v>921</v>
      </c>
      <c r="B200" s="16">
        <f t="shared" ref="B200:AR200" si="177">B$201*$O13/$O$14</f>
        <v>0</v>
      </c>
      <c r="C200" s="16">
        <f t="shared" si="177"/>
        <v>0</v>
      </c>
      <c r="D200" s="16">
        <f t="shared" si="177"/>
        <v>0</v>
      </c>
      <c r="E200" s="16">
        <f t="shared" si="177"/>
        <v>0</v>
      </c>
      <c r="F200" s="16">
        <f t="shared" si="177"/>
        <v>0</v>
      </c>
      <c r="G200" s="16">
        <f t="shared" si="177"/>
        <v>0</v>
      </c>
      <c r="H200" s="16">
        <f t="shared" si="177"/>
        <v>0</v>
      </c>
      <c r="I200" s="16">
        <f t="shared" si="177"/>
        <v>0</v>
      </c>
      <c r="J200" s="16">
        <f t="shared" si="177"/>
        <v>0</v>
      </c>
      <c r="K200" s="16">
        <f t="shared" si="177"/>
        <v>0</v>
      </c>
      <c r="L200" s="16">
        <f t="shared" si="177"/>
        <v>0</v>
      </c>
      <c r="M200" s="16">
        <f t="shared" si="177"/>
        <v>0</v>
      </c>
      <c r="N200" s="16">
        <f t="shared" si="177"/>
        <v>0</v>
      </c>
      <c r="O200" s="16">
        <f t="shared" si="177"/>
        <v>0</v>
      </c>
      <c r="P200" s="16">
        <f t="shared" si="177"/>
        <v>0</v>
      </c>
      <c r="Q200" s="16">
        <f t="shared" si="177"/>
        <v>0</v>
      </c>
      <c r="R200" s="16">
        <f t="shared" si="177"/>
        <v>0</v>
      </c>
      <c r="S200" s="16">
        <f t="shared" si="177"/>
        <v>0</v>
      </c>
      <c r="T200" s="16">
        <f t="shared" si="177"/>
        <v>0</v>
      </c>
      <c r="U200" s="16">
        <f t="shared" si="177"/>
        <v>0</v>
      </c>
      <c r="V200" s="16">
        <f t="shared" si="177"/>
        <v>0</v>
      </c>
      <c r="W200" s="16">
        <f t="shared" si="177"/>
        <v>0</v>
      </c>
      <c r="X200" s="16">
        <f t="shared" si="177"/>
        <v>0</v>
      </c>
      <c r="Y200" s="16">
        <f t="shared" si="177"/>
        <v>0</v>
      </c>
      <c r="Z200" s="16">
        <f t="shared" si="177"/>
        <v>0</v>
      </c>
      <c r="AA200" s="16">
        <f t="shared" si="177"/>
        <v>0</v>
      </c>
      <c r="AB200" s="16">
        <f t="shared" si="177"/>
        <v>0</v>
      </c>
      <c r="AC200" s="16">
        <f t="shared" si="177"/>
        <v>0</v>
      </c>
      <c r="AD200" s="16">
        <f t="shared" si="177"/>
        <v>0</v>
      </c>
      <c r="AE200" s="16">
        <f t="shared" si="177"/>
        <v>0</v>
      </c>
      <c r="AF200" s="16">
        <f t="shared" si="177"/>
        <v>0</v>
      </c>
      <c r="AG200" s="16">
        <f t="shared" si="177"/>
        <v>0</v>
      </c>
      <c r="AH200" s="16">
        <f t="shared" si="177"/>
        <v>0</v>
      </c>
      <c r="AI200" s="16">
        <f t="shared" si="177"/>
        <v>0</v>
      </c>
      <c r="AJ200" s="16">
        <f t="shared" si="177"/>
        <v>0</v>
      </c>
      <c r="AK200" s="16">
        <f t="shared" si="177"/>
        <v>0</v>
      </c>
      <c r="AL200" s="16">
        <f t="shared" si="177"/>
        <v>0</v>
      </c>
      <c r="AM200" s="16">
        <f t="shared" si="177"/>
        <v>0</v>
      </c>
      <c r="AN200" s="16">
        <f t="shared" si="177"/>
        <v>0</v>
      </c>
      <c r="AO200" s="16">
        <f t="shared" si="177"/>
        <v>0</v>
      </c>
      <c r="AP200" s="16">
        <f t="shared" si="177"/>
        <v>0</v>
      </c>
      <c r="AQ200" s="16">
        <f t="shared" si="177"/>
        <v>0</v>
      </c>
      <c r="AR200" s="16">
        <f t="shared" si="177"/>
        <v>0</v>
      </c>
    </row>
    <row r="201" spans="1:44" s="17" customFormat="1" x14ac:dyDescent="0.15">
      <c r="A201" s="19" t="s">
        <v>911</v>
      </c>
      <c r="B201" s="17">
        <f>BAU建筑总能耗计算!B$3*$O$16</f>
        <v>4524.0447459619763</v>
      </c>
      <c r="C201" s="17">
        <f>BAU建筑总能耗计算!C$3*$O$16</f>
        <v>4583.3398201778191</v>
      </c>
      <c r="D201" s="17">
        <f>BAU建筑总能耗计算!D$3*$O$16</f>
        <v>4664.4128723393824</v>
      </c>
      <c r="E201" s="17">
        <f>BAU建筑总能耗计算!E$3*$O$16</f>
        <v>4701.6544385335119</v>
      </c>
      <c r="F201" s="17">
        <f>BAU建筑总能耗计算!F$3*$O$16</f>
        <v>4737.7848410601155</v>
      </c>
      <c r="G201" s="17">
        <f>BAU建筑总能耗计算!G$3*$O$16</f>
        <v>4772.7793366137121</v>
      </c>
      <c r="H201" s="17">
        <f>BAU建筑总能耗计算!H$3*$O$16</f>
        <v>4806.6155230345958</v>
      </c>
      <c r="I201" s="17">
        <f>BAU建筑总能耗计算!I$3*$O$16</f>
        <v>4839.2736961709516</v>
      </c>
      <c r="J201" s="17">
        <f>BAU建筑总能耗计算!J$3*$O$16</f>
        <v>4870.7366818679702</v>
      </c>
      <c r="K201" s="17">
        <f>BAU建筑总能耗计算!K$3*$O$16</f>
        <v>4900.9903426262163</v>
      </c>
      <c r="L201" s="17">
        <f>BAU建筑总能耗计算!L$3*$O$16</f>
        <v>4930.0234189333478</v>
      </c>
      <c r="M201" s="17">
        <f>BAU建筑总能耗计算!M$3*$O$16</f>
        <v>4957.827873240285</v>
      </c>
      <c r="N201" s="17">
        <f>BAU建筑总能耗计算!N$3*$O$16</f>
        <v>4984.3990118986967</v>
      </c>
      <c r="O201" s="17">
        <f>BAU建筑总能耗计算!O$3*$O$16</f>
        <v>5009.7355771844659</v>
      </c>
      <c r="P201" s="17">
        <f>BAU建筑总能耗计算!P$3*$O$16</f>
        <v>5033.8401232955775</v>
      </c>
      <c r="Q201" s="17">
        <f>BAU建筑总能耗计算!Q$3*$O$16</f>
        <v>5056.7189241779079</v>
      </c>
      <c r="R201" s="17">
        <f>BAU建筑总能耗计算!R$3*$O$16</f>
        <v>5078.382394155472</v>
      </c>
      <c r="S201" s="17">
        <f>BAU建筑总能耗计算!S$3*$O$16</f>
        <v>5098.845133335336</v>
      </c>
      <c r="T201" s="17">
        <f>BAU建筑总能耗计算!T$3*$O$16</f>
        <v>5118.1261876437093</v>
      </c>
      <c r="U201" s="17">
        <f>BAU建筑总能耗计算!U$3*$O$16</f>
        <v>5136.2493066141342</v>
      </c>
      <c r="V201" s="17">
        <f>BAU建筑总能耗计算!V$3*$O$16</f>
        <v>5153.2429628664986</v>
      </c>
      <c r="W201" s="17">
        <f>BAU建筑总能耗计算!W$3*$O$16</f>
        <v>5169.140763786253</v>
      </c>
      <c r="X201" s="17">
        <f>BAU建筑总能耗计算!X$3*$O$16</f>
        <v>5183.9816114462055</v>
      </c>
      <c r="Y201" s="17">
        <f>BAU建筑总能耗计算!Y$3*$O$16</f>
        <v>5197.8099468097671</v>
      </c>
      <c r="Z201" s="17">
        <f>BAU建筑总能耗计算!Z$3*$O$16</f>
        <v>5210.6758774669588</v>
      </c>
      <c r="AA201" s="17">
        <f>BAU建筑总能耗计算!AA$3*$O$16</f>
        <v>5222.6355038827041</v>
      </c>
      <c r="AB201" s="17">
        <f>BAU建筑总能耗计算!AB$3*$O$16</f>
        <v>5233.7512845652636</v>
      </c>
      <c r="AC201" s="17">
        <f>BAU建筑总能耗计算!AC$3*$O$16</f>
        <v>5244.0920634546364</v>
      </c>
      <c r="AD201" s="17">
        <f>BAU建筑总能耗计算!AD$3*$O$16</f>
        <v>5253.7333919360208</v>
      </c>
      <c r="AE201" s="17">
        <f>BAU建筑总能耗计算!AE$3*$O$16</f>
        <v>5262.7580476749044</v>
      </c>
      <c r="AF201" s="17">
        <f>BAU建筑总能耗计算!AF$3*$O$16</f>
        <v>5271.2559405069751</v>
      </c>
      <c r="AG201" s="17">
        <f>BAU建筑总能耗计算!AG$3*$O$16</f>
        <v>5279.3245979696912</v>
      </c>
      <c r="AH201" s="17">
        <f>BAU建筑总能耗计算!AH$3*$O$16</f>
        <v>5287.0695452274267</v>
      </c>
      <c r="AI201" s="17">
        <f>BAU建筑总能耗计算!AI$3*$O$16</f>
        <v>5294.6043089009554</v>
      </c>
      <c r="AJ201" s="17">
        <f>BAU建筑总能耗计算!AJ$3*$O$16</f>
        <v>5302.0511431137465</v>
      </c>
      <c r="AK201" s="17">
        <f>BAU建筑总能耗计算!AK$3*$O$16</f>
        <v>5309.5408640841079</v>
      </c>
      <c r="AL201" s="17">
        <f>BAU建筑总能耗计算!AL$3*$O$16</f>
        <v>5317.2136546692363</v>
      </c>
      <c r="AM201" s="17">
        <f>BAU建筑总能耗计算!AM$3*$O$16</f>
        <v>5325.2191015070248</v>
      </c>
      <c r="AN201" s="17">
        <f>BAU建筑总能耗计算!AN$3*$O$16</f>
        <v>5333.7165997120828</v>
      </c>
      <c r="AO201" s="17">
        <f>BAU建筑总能耗计算!AO$3*$O$16</f>
        <v>5342.8757223212069</v>
      </c>
      <c r="AP201" s="17">
        <f>BAU建筑总能耗计算!AP$3*$O$16</f>
        <v>5352.8766002493994</v>
      </c>
      <c r="AQ201" s="17">
        <f>BAU建筑总能耗计算!AQ$3*$O$16</f>
        <v>5363.9104028083921</v>
      </c>
      <c r="AR201" s="17">
        <f>BAU建筑总能耗计算!AR$3*$O$16</f>
        <v>5376.1794500489423</v>
      </c>
    </row>
    <row r="202" spans="1:44" s="15" customFormat="1" x14ac:dyDescent="0.15"/>
    <row r="203" spans="1:44" s="19" customFormat="1" x14ac:dyDescent="0.15">
      <c r="A203" s="18" t="s">
        <v>30</v>
      </c>
      <c r="B203" s="19">
        <v>2018</v>
      </c>
      <c r="C203" s="19">
        <v>2019</v>
      </c>
      <c r="D203" s="19">
        <v>2020</v>
      </c>
      <c r="E203" s="19">
        <v>2021</v>
      </c>
      <c r="F203" s="19">
        <v>2022</v>
      </c>
      <c r="G203" s="19">
        <v>2023</v>
      </c>
      <c r="H203" s="19">
        <v>2024</v>
      </c>
      <c r="I203" s="19">
        <v>2025</v>
      </c>
      <c r="J203" s="19">
        <v>2026</v>
      </c>
      <c r="K203" s="19">
        <v>2027</v>
      </c>
      <c r="L203" s="19">
        <v>2028</v>
      </c>
      <c r="M203" s="19">
        <v>2029</v>
      </c>
      <c r="N203" s="19">
        <v>2030</v>
      </c>
      <c r="O203" s="19">
        <v>2031</v>
      </c>
      <c r="P203" s="19">
        <v>2032</v>
      </c>
      <c r="Q203" s="19">
        <v>2033</v>
      </c>
      <c r="R203" s="19">
        <v>2034</v>
      </c>
      <c r="S203" s="19">
        <v>2035</v>
      </c>
      <c r="T203" s="19">
        <v>2036</v>
      </c>
      <c r="U203" s="19">
        <v>2037</v>
      </c>
      <c r="V203" s="19">
        <v>2038</v>
      </c>
      <c r="W203" s="19">
        <v>2039</v>
      </c>
      <c r="X203" s="19">
        <v>2040</v>
      </c>
      <c r="Y203" s="19">
        <v>2041</v>
      </c>
      <c r="Z203" s="19">
        <v>2042</v>
      </c>
      <c r="AA203" s="19">
        <v>2043</v>
      </c>
      <c r="AB203" s="19">
        <v>2044</v>
      </c>
      <c r="AC203" s="19">
        <v>2045</v>
      </c>
      <c r="AD203" s="19">
        <v>2046</v>
      </c>
      <c r="AE203" s="19">
        <v>2047</v>
      </c>
      <c r="AF203" s="19">
        <v>2048</v>
      </c>
      <c r="AG203" s="19">
        <v>2049</v>
      </c>
      <c r="AH203" s="19">
        <v>2050</v>
      </c>
      <c r="AI203" s="19">
        <v>2051</v>
      </c>
      <c r="AJ203" s="19">
        <v>2052</v>
      </c>
      <c r="AK203" s="19">
        <v>2053</v>
      </c>
      <c r="AL203" s="19">
        <v>2054</v>
      </c>
      <c r="AM203" s="19">
        <v>2055</v>
      </c>
      <c r="AN203" s="19">
        <v>2056</v>
      </c>
      <c r="AO203" s="19">
        <v>2057</v>
      </c>
      <c r="AP203" s="19">
        <v>2058</v>
      </c>
      <c r="AQ203" s="19">
        <v>2059</v>
      </c>
      <c r="AR203" s="19">
        <v>2060</v>
      </c>
    </row>
    <row r="204" spans="1:44" s="15" customFormat="1" x14ac:dyDescent="0.15">
      <c r="A204" s="19" t="s">
        <v>912</v>
      </c>
      <c r="B204" s="15">
        <f t="shared" ref="B204:AR204" si="178">IFERROR(B$214*$P4/$P$14,0)</f>
        <v>0</v>
      </c>
      <c r="C204" s="15">
        <f t="shared" si="178"/>
        <v>0</v>
      </c>
      <c r="D204" s="15">
        <f t="shared" si="178"/>
        <v>0</v>
      </c>
      <c r="E204" s="15">
        <f t="shared" si="178"/>
        <v>0</v>
      </c>
      <c r="F204" s="15">
        <f t="shared" si="178"/>
        <v>0</v>
      </c>
      <c r="G204" s="15">
        <f t="shared" si="178"/>
        <v>0</v>
      </c>
      <c r="H204" s="15">
        <f t="shared" si="178"/>
        <v>0</v>
      </c>
      <c r="I204" s="15">
        <f t="shared" si="178"/>
        <v>0</v>
      </c>
      <c r="J204" s="15">
        <f t="shared" si="178"/>
        <v>0</v>
      </c>
      <c r="K204" s="15">
        <f t="shared" si="178"/>
        <v>0</v>
      </c>
      <c r="L204" s="15">
        <f t="shared" si="178"/>
        <v>0</v>
      </c>
      <c r="M204" s="15">
        <f t="shared" si="178"/>
        <v>0</v>
      </c>
      <c r="N204" s="15">
        <f t="shared" si="178"/>
        <v>0</v>
      </c>
      <c r="O204" s="15">
        <f t="shared" si="178"/>
        <v>0</v>
      </c>
      <c r="P204" s="15">
        <f t="shared" si="178"/>
        <v>0</v>
      </c>
      <c r="Q204" s="15">
        <f t="shared" si="178"/>
        <v>0</v>
      </c>
      <c r="R204" s="15">
        <f t="shared" si="178"/>
        <v>0</v>
      </c>
      <c r="S204" s="15">
        <f t="shared" si="178"/>
        <v>0</v>
      </c>
      <c r="T204" s="15">
        <f t="shared" si="178"/>
        <v>0</v>
      </c>
      <c r="U204" s="15">
        <f t="shared" si="178"/>
        <v>0</v>
      </c>
      <c r="V204" s="15">
        <f t="shared" si="178"/>
        <v>0</v>
      </c>
      <c r="W204" s="15">
        <f t="shared" si="178"/>
        <v>0</v>
      </c>
      <c r="X204" s="15">
        <f t="shared" si="178"/>
        <v>0</v>
      </c>
      <c r="Y204" s="15">
        <f t="shared" si="178"/>
        <v>0</v>
      </c>
      <c r="Z204" s="15">
        <f t="shared" si="178"/>
        <v>0</v>
      </c>
      <c r="AA204" s="15">
        <f t="shared" si="178"/>
        <v>0</v>
      </c>
      <c r="AB204" s="15">
        <f t="shared" si="178"/>
        <v>0</v>
      </c>
      <c r="AC204" s="15">
        <f t="shared" si="178"/>
        <v>0</v>
      </c>
      <c r="AD204" s="15">
        <f t="shared" si="178"/>
        <v>0</v>
      </c>
      <c r="AE204" s="15">
        <f t="shared" si="178"/>
        <v>0</v>
      </c>
      <c r="AF204" s="15">
        <f t="shared" si="178"/>
        <v>0</v>
      </c>
      <c r="AG204" s="15">
        <f t="shared" si="178"/>
        <v>0</v>
      </c>
      <c r="AH204" s="15">
        <f t="shared" si="178"/>
        <v>0</v>
      </c>
      <c r="AI204" s="15">
        <f t="shared" si="178"/>
        <v>0</v>
      </c>
      <c r="AJ204" s="15">
        <f t="shared" si="178"/>
        <v>0</v>
      </c>
      <c r="AK204" s="15">
        <f t="shared" si="178"/>
        <v>0</v>
      </c>
      <c r="AL204" s="15">
        <f t="shared" si="178"/>
        <v>0</v>
      </c>
      <c r="AM204" s="15">
        <f t="shared" si="178"/>
        <v>0</v>
      </c>
      <c r="AN204" s="15">
        <f t="shared" si="178"/>
        <v>0</v>
      </c>
      <c r="AO204" s="15">
        <f t="shared" si="178"/>
        <v>0</v>
      </c>
      <c r="AP204" s="15">
        <f t="shared" si="178"/>
        <v>0</v>
      </c>
      <c r="AQ204" s="15">
        <f t="shared" si="178"/>
        <v>0</v>
      </c>
      <c r="AR204" s="15">
        <f t="shared" si="178"/>
        <v>0</v>
      </c>
    </row>
    <row r="205" spans="1:44" s="15" customFormat="1" x14ac:dyDescent="0.15">
      <c r="A205" s="19" t="s">
        <v>913</v>
      </c>
      <c r="B205" s="15">
        <f t="shared" ref="B205:AR205" si="179">IFERROR(B$214*$P5/$P$14,0)</f>
        <v>0</v>
      </c>
      <c r="C205" s="15">
        <f t="shared" si="179"/>
        <v>0</v>
      </c>
      <c r="D205" s="15">
        <f t="shared" si="179"/>
        <v>0</v>
      </c>
      <c r="E205" s="15">
        <f t="shared" si="179"/>
        <v>0</v>
      </c>
      <c r="F205" s="15">
        <f t="shared" si="179"/>
        <v>0</v>
      </c>
      <c r="G205" s="15">
        <f t="shared" si="179"/>
        <v>0</v>
      </c>
      <c r="H205" s="15">
        <f t="shared" si="179"/>
        <v>0</v>
      </c>
      <c r="I205" s="15">
        <f t="shared" si="179"/>
        <v>0</v>
      </c>
      <c r="J205" s="15">
        <f t="shared" si="179"/>
        <v>0</v>
      </c>
      <c r="K205" s="15">
        <f t="shared" si="179"/>
        <v>0</v>
      </c>
      <c r="L205" s="15">
        <f t="shared" si="179"/>
        <v>0</v>
      </c>
      <c r="M205" s="15">
        <f t="shared" si="179"/>
        <v>0</v>
      </c>
      <c r="N205" s="15">
        <f t="shared" si="179"/>
        <v>0</v>
      </c>
      <c r="O205" s="15">
        <f t="shared" si="179"/>
        <v>0</v>
      </c>
      <c r="P205" s="15">
        <f t="shared" si="179"/>
        <v>0</v>
      </c>
      <c r="Q205" s="15">
        <f t="shared" si="179"/>
        <v>0</v>
      </c>
      <c r="R205" s="15">
        <f t="shared" si="179"/>
        <v>0</v>
      </c>
      <c r="S205" s="15">
        <f t="shared" si="179"/>
        <v>0</v>
      </c>
      <c r="T205" s="15">
        <f t="shared" si="179"/>
        <v>0</v>
      </c>
      <c r="U205" s="15">
        <f t="shared" si="179"/>
        <v>0</v>
      </c>
      <c r="V205" s="15">
        <f t="shared" si="179"/>
        <v>0</v>
      </c>
      <c r="W205" s="15">
        <f t="shared" si="179"/>
        <v>0</v>
      </c>
      <c r="X205" s="15">
        <f t="shared" si="179"/>
        <v>0</v>
      </c>
      <c r="Y205" s="15">
        <f t="shared" si="179"/>
        <v>0</v>
      </c>
      <c r="Z205" s="15">
        <f t="shared" si="179"/>
        <v>0</v>
      </c>
      <c r="AA205" s="15">
        <f t="shared" si="179"/>
        <v>0</v>
      </c>
      <c r="AB205" s="15">
        <f t="shared" si="179"/>
        <v>0</v>
      </c>
      <c r="AC205" s="15">
        <f t="shared" si="179"/>
        <v>0</v>
      </c>
      <c r="AD205" s="15">
        <f t="shared" si="179"/>
        <v>0</v>
      </c>
      <c r="AE205" s="15">
        <f t="shared" si="179"/>
        <v>0</v>
      </c>
      <c r="AF205" s="15">
        <f t="shared" si="179"/>
        <v>0</v>
      </c>
      <c r="AG205" s="15">
        <f t="shared" si="179"/>
        <v>0</v>
      </c>
      <c r="AH205" s="15">
        <f t="shared" si="179"/>
        <v>0</v>
      </c>
      <c r="AI205" s="15">
        <f t="shared" si="179"/>
        <v>0</v>
      </c>
      <c r="AJ205" s="15">
        <f t="shared" si="179"/>
        <v>0</v>
      </c>
      <c r="AK205" s="15">
        <f t="shared" si="179"/>
        <v>0</v>
      </c>
      <c r="AL205" s="15">
        <f t="shared" si="179"/>
        <v>0</v>
      </c>
      <c r="AM205" s="15">
        <f t="shared" si="179"/>
        <v>0</v>
      </c>
      <c r="AN205" s="15">
        <f t="shared" si="179"/>
        <v>0</v>
      </c>
      <c r="AO205" s="15">
        <f t="shared" si="179"/>
        <v>0</v>
      </c>
      <c r="AP205" s="15">
        <f t="shared" si="179"/>
        <v>0</v>
      </c>
      <c r="AQ205" s="15">
        <f t="shared" si="179"/>
        <v>0</v>
      </c>
      <c r="AR205" s="15">
        <f t="shared" si="179"/>
        <v>0</v>
      </c>
    </row>
    <row r="206" spans="1:44" s="15" customFormat="1" x14ac:dyDescent="0.15">
      <c r="A206" s="19" t="s">
        <v>914</v>
      </c>
      <c r="B206" s="15">
        <f t="shared" ref="B206:AR206" si="180">IFERROR(B$214*$P6/$P$14,0)</f>
        <v>0</v>
      </c>
      <c r="C206" s="15">
        <f t="shared" si="180"/>
        <v>0</v>
      </c>
      <c r="D206" s="15">
        <f t="shared" si="180"/>
        <v>0</v>
      </c>
      <c r="E206" s="15">
        <f t="shared" si="180"/>
        <v>0</v>
      </c>
      <c r="F206" s="15">
        <f t="shared" si="180"/>
        <v>0</v>
      </c>
      <c r="G206" s="15">
        <f t="shared" si="180"/>
        <v>0</v>
      </c>
      <c r="H206" s="15">
        <f t="shared" si="180"/>
        <v>0</v>
      </c>
      <c r="I206" s="15">
        <f t="shared" si="180"/>
        <v>0</v>
      </c>
      <c r="J206" s="15">
        <f t="shared" si="180"/>
        <v>0</v>
      </c>
      <c r="K206" s="15">
        <f t="shared" si="180"/>
        <v>0</v>
      </c>
      <c r="L206" s="15">
        <f t="shared" si="180"/>
        <v>0</v>
      </c>
      <c r="M206" s="15">
        <f t="shared" si="180"/>
        <v>0</v>
      </c>
      <c r="N206" s="15">
        <f t="shared" si="180"/>
        <v>0</v>
      </c>
      <c r="O206" s="15">
        <f t="shared" si="180"/>
        <v>0</v>
      </c>
      <c r="P206" s="15">
        <f t="shared" si="180"/>
        <v>0</v>
      </c>
      <c r="Q206" s="15">
        <f t="shared" si="180"/>
        <v>0</v>
      </c>
      <c r="R206" s="15">
        <f t="shared" si="180"/>
        <v>0</v>
      </c>
      <c r="S206" s="15">
        <f t="shared" si="180"/>
        <v>0</v>
      </c>
      <c r="T206" s="15">
        <f t="shared" si="180"/>
        <v>0</v>
      </c>
      <c r="U206" s="15">
        <f t="shared" si="180"/>
        <v>0</v>
      </c>
      <c r="V206" s="15">
        <f t="shared" si="180"/>
        <v>0</v>
      </c>
      <c r="W206" s="15">
        <f t="shared" si="180"/>
        <v>0</v>
      </c>
      <c r="X206" s="15">
        <f t="shared" si="180"/>
        <v>0</v>
      </c>
      <c r="Y206" s="15">
        <f t="shared" si="180"/>
        <v>0</v>
      </c>
      <c r="Z206" s="15">
        <f t="shared" si="180"/>
        <v>0</v>
      </c>
      <c r="AA206" s="15">
        <f t="shared" si="180"/>
        <v>0</v>
      </c>
      <c r="AB206" s="15">
        <f t="shared" si="180"/>
        <v>0</v>
      </c>
      <c r="AC206" s="15">
        <f t="shared" si="180"/>
        <v>0</v>
      </c>
      <c r="AD206" s="15">
        <f t="shared" si="180"/>
        <v>0</v>
      </c>
      <c r="AE206" s="15">
        <f t="shared" si="180"/>
        <v>0</v>
      </c>
      <c r="AF206" s="15">
        <f t="shared" si="180"/>
        <v>0</v>
      </c>
      <c r="AG206" s="15">
        <f t="shared" si="180"/>
        <v>0</v>
      </c>
      <c r="AH206" s="15">
        <f t="shared" si="180"/>
        <v>0</v>
      </c>
      <c r="AI206" s="15">
        <f t="shared" si="180"/>
        <v>0</v>
      </c>
      <c r="AJ206" s="15">
        <f t="shared" si="180"/>
        <v>0</v>
      </c>
      <c r="AK206" s="15">
        <f t="shared" si="180"/>
        <v>0</v>
      </c>
      <c r="AL206" s="15">
        <f t="shared" si="180"/>
        <v>0</v>
      </c>
      <c r="AM206" s="15">
        <f t="shared" si="180"/>
        <v>0</v>
      </c>
      <c r="AN206" s="15">
        <f t="shared" si="180"/>
        <v>0</v>
      </c>
      <c r="AO206" s="15">
        <f t="shared" si="180"/>
        <v>0</v>
      </c>
      <c r="AP206" s="15">
        <f t="shared" si="180"/>
        <v>0</v>
      </c>
      <c r="AQ206" s="15">
        <f t="shared" si="180"/>
        <v>0</v>
      </c>
      <c r="AR206" s="15">
        <f t="shared" si="180"/>
        <v>0</v>
      </c>
    </row>
    <row r="207" spans="1:44" s="15" customFormat="1" x14ac:dyDescent="0.15">
      <c r="A207" s="19" t="s">
        <v>915</v>
      </c>
      <c r="B207" s="15">
        <f t="shared" ref="B207:AR207" si="181">IFERROR(B$214*$P7/$P$14,0)</f>
        <v>0</v>
      </c>
      <c r="C207" s="15">
        <f t="shared" si="181"/>
        <v>0</v>
      </c>
      <c r="D207" s="15">
        <f t="shared" si="181"/>
        <v>0</v>
      </c>
      <c r="E207" s="15">
        <f t="shared" si="181"/>
        <v>0</v>
      </c>
      <c r="F207" s="15">
        <f t="shared" si="181"/>
        <v>0</v>
      </c>
      <c r="G207" s="15">
        <f t="shared" si="181"/>
        <v>0</v>
      </c>
      <c r="H207" s="15">
        <f t="shared" si="181"/>
        <v>0</v>
      </c>
      <c r="I207" s="15">
        <f t="shared" si="181"/>
        <v>0</v>
      </c>
      <c r="J207" s="15">
        <f t="shared" si="181"/>
        <v>0</v>
      </c>
      <c r="K207" s="15">
        <f t="shared" si="181"/>
        <v>0</v>
      </c>
      <c r="L207" s="15">
        <f t="shared" si="181"/>
        <v>0</v>
      </c>
      <c r="M207" s="15">
        <f t="shared" si="181"/>
        <v>0</v>
      </c>
      <c r="N207" s="15">
        <f t="shared" si="181"/>
        <v>0</v>
      </c>
      <c r="O207" s="15">
        <f t="shared" si="181"/>
        <v>0</v>
      </c>
      <c r="P207" s="15">
        <f t="shared" si="181"/>
        <v>0</v>
      </c>
      <c r="Q207" s="15">
        <f t="shared" si="181"/>
        <v>0</v>
      </c>
      <c r="R207" s="15">
        <f t="shared" si="181"/>
        <v>0</v>
      </c>
      <c r="S207" s="15">
        <f t="shared" si="181"/>
        <v>0</v>
      </c>
      <c r="T207" s="15">
        <f t="shared" si="181"/>
        <v>0</v>
      </c>
      <c r="U207" s="15">
        <f t="shared" si="181"/>
        <v>0</v>
      </c>
      <c r="V207" s="15">
        <f t="shared" si="181"/>
        <v>0</v>
      </c>
      <c r="W207" s="15">
        <f t="shared" si="181"/>
        <v>0</v>
      </c>
      <c r="X207" s="15">
        <f t="shared" si="181"/>
        <v>0</v>
      </c>
      <c r="Y207" s="15">
        <f t="shared" si="181"/>
        <v>0</v>
      </c>
      <c r="Z207" s="15">
        <f t="shared" si="181"/>
        <v>0</v>
      </c>
      <c r="AA207" s="15">
        <f t="shared" si="181"/>
        <v>0</v>
      </c>
      <c r="AB207" s="15">
        <f t="shared" si="181"/>
        <v>0</v>
      </c>
      <c r="AC207" s="15">
        <f t="shared" si="181"/>
        <v>0</v>
      </c>
      <c r="AD207" s="15">
        <f t="shared" si="181"/>
        <v>0</v>
      </c>
      <c r="AE207" s="15">
        <f t="shared" si="181"/>
        <v>0</v>
      </c>
      <c r="AF207" s="15">
        <f t="shared" si="181"/>
        <v>0</v>
      </c>
      <c r="AG207" s="15">
        <f t="shared" si="181"/>
        <v>0</v>
      </c>
      <c r="AH207" s="15">
        <f t="shared" si="181"/>
        <v>0</v>
      </c>
      <c r="AI207" s="15">
        <f t="shared" si="181"/>
        <v>0</v>
      </c>
      <c r="AJ207" s="15">
        <f t="shared" si="181"/>
        <v>0</v>
      </c>
      <c r="AK207" s="15">
        <f t="shared" si="181"/>
        <v>0</v>
      </c>
      <c r="AL207" s="15">
        <f t="shared" si="181"/>
        <v>0</v>
      </c>
      <c r="AM207" s="15">
        <f t="shared" si="181"/>
        <v>0</v>
      </c>
      <c r="AN207" s="15">
        <f t="shared" si="181"/>
        <v>0</v>
      </c>
      <c r="AO207" s="15">
        <f t="shared" si="181"/>
        <v>0</v>
      </c>
      <c r="AP207" s="15">
        <f t="shared" si="181"/>
        <v>0</v>
      </c>
      <c r="AQ207" s="15">
        <f t="shared" si="181"/>
        <v>0</v>
      </c>
      <c r="AR207" s="15">
        <f t="shared" si="181"/>
        <v>0</v>
      </c>
    </row>
    <row r="208" spans="1:44" s="15" customFormat="1" x14ac:dyDescent="0.15">
      <c r="A208" s="19" t="s">
        <v>916</v>
      </c>
      <c r="B208" s="15">
        <f t="shared" ref="B208:AR208" si="182">IFERROR(B$214*$P8/$P$14,0)</f>
        <v>0</v>
      </c>
      <c r="C208" s="15">
        <f t="shared" si="182"/>
        <v>0</v>
      </c>
      <c r="D208" s="15">
        <f t="shared" si="182"/>
        <v>0</v>
      </c>
      <c r="E208" s="15">
        <f t="shared" si="182"/>
        <v>0</v>
      </c>
      <c r="F208" s="15">
        <f t="shared" si="182"/>
        <v>0</v>
      </c>
      <c r="G208" s="15">
        <f t="shared" si="182"/>
        <v>0</v>
      </c>
      <c r="H208" s="15">
        <f t="shared" si="182"/>
        <v>0</v>
      </c>
      <c r="I208" s="15">
        <f t="shared" si="182"/>
        <v>0</v>
      </c>
      <c r="J208" s="15">
        <f t="shared" si="182"/>
        <v>0</v>
      </c>
      <c r="K208" s="15">
        <f t="shared" si="182"/>
        <v>0</v>
      </c>
      <c r="L208" s="15">
        <f t="shared" si="182"/>
        <v>0</v>
      </c>
      <c r="M208" s="15">
        <f t="shared" si="182"/>
        <v>0</v>
      </c>
      <c r="N208" s="15">
        <f t="shared" si="182"/>
        <v>0</v>
      </c>
      <c r="O208" s="15">
        <f t="shared" si="182"/>
        <v>0</v>
      </c>
      <c r="P208" s="15">
        <f t="shared" si="182"/>
        <v>0</v>
      </c>
      <c r="Q208" s="15">
        <f t="shared" si="182"/>
        <v>0</v>
      </c>
      <c r="R208" s="15">
        <f t="shared" si="182"/>
        <v>0</v>
      </c>
      <c r="S208" s="15">
        <f t="shared" si="182"/>
        <v>0</v>
      </c>
      <c r="T208" s="15">
        <f t="shared" si="182"/>
        <v>0</v>
      </c>
      <c r="U208" s="15">
        <f t="shared" si="182"/>
        <v>0</v>
      </c>
      <c r="V208" s="15">
        <f t="shared" si="182"/>
        <v>0</v>
      </c>
      <c r="W208" s="15">
        <f t="shared" si="182"/>
        <v>0</v>
      </c>
      <c r="X208" s="15">
        <f t="shared" si="182"/>
        <v>0</v>
      </c>
      <c r="Y208" s="15">
        <f t="shared" si="182"/>
        <v>0</v>
      </c>
      <c r="Z208" s="15">
        <f t="shared" si="182"/>
        <v>0</v>
      </c>
      <c r="AA208" s="15">
        <f t="shared" si="182"/>
        <v>0</v>
      </c>
      <c r="AB208" s="15">
        <f t="shared" si="182"/>
        <v>0</v>
      </c>
      <c r="AC208" s="15">
        <f t="shared" si="182"/>
        <v>0</v>
      </c>
      <c r="AD208" s="15">
        <f t="shared" si="182"/>
        <v>0</v>
      </c>
      <c r="AE208" s="15">
        <f t="shared" si="182"/>
        <v>0</v>
      </c>
      <c r="AF208" s="15">
        <f t="shared" si="182"/>
        <v>0</v>
      </c>
      <c r="AG208" s="15">
        <f t="shared" si="182"/>
        <v>0</v>
      </c>
      <c r="AH208" s="15">
        <f t="shared" si="182"/>
        <v>0</v>
      </c>
      <c r="AI208" s="15">
        <f t="shared" si="182"/>
        <v>0</v>
      </c>
      <c r="AJ208" s="15">
        <f t="shared" si="182"/>
        <v>0</v>
      </c>
      <c r="AK208" s="15">
        <f t="shared" si="182"/>
        <v>0</v>
      </c>
      <c r="AL208" s="15">
        <f t="shared" si="182"/>
        <v>0</v>
      </c>
      <c r="AM208" s="15">
        <f t="shared" si="182"/>
        <v>0</v>
      </c>
      <c r="AN208" s="15">
        <f t="shared" si="182"/>
        <v>0</v>
      </c>
      <c r="AO208" s="15">
        <f t="shared" si="182"/>
        <v>0</v>
      </c>
      <c r="AP208" s="15">
        <f t="shared" si="182"/>
        <v>0</v>
      </c>
      <c r="AQ208" s="15">
        <f t="shared" si="182"/>
        <v>0</v>
      </c>
      <c r="AR208" s="15">
        <f t="shared" si="182"/>
        <v>0</v>
      </c>
    </row>
    <row r="209" spans="1:44" s="15" customFormat="1" x14ac:dyDescent="0.15">
      <c r="A209" s="19" t="s">
        <v>917</v>
      </c>
      <c r="B209" s="15">
        <f t="shared" ref="B209:AR209" si="183">IFERROR(B$214*$P9/$P$14,0)</f>
        <v>0</v>
      </c>
      <c r="C209" s="15">
        <f t="shared" si="183"/>
        <v>0</v>
      </c>
      <c r="D209" s="15">
        <f t="shared" si="183"/>
        <v>0</v>
      </c>
      <c r="E209" s="15">
        <f t="shared" si="183"/>
        <v>0</v>
      </c>
      <c r="F209" s="15">
        <f t="shared" si="183"/>
        <v>0</v>
      </c>
      <c r="G209" s="15">
        <f t="shared" si="183"/>
        <v>0</v>
      </c>
      <c r="H209" s="15">
        <f t="shared" si="183"/>
        <v>0</v>
      </c>
      <c r="I209" s="15">
        <f t="shared" si="183"/>
        <v>0</v>
      </c>
      <c r="J209" s="15">
        <f t="shared" si="183"/>
        <v>0</v>
      </c>
      <c r="K209" s="15">
        <f t="shared" si="183"/>
        <v>0</v>
      </c>
      <c r="L209" s="15">
        <f t="shared" si="183"/>
        <v>0</v>
      </c>
      <c r="M209" s="15">
        <f t="shared" si="183"/>
        <v>0</v>
      </c>
      <c r="N209" s="15">
        <f t="shared" si="183"/>
        <v>0</v>
      </c>
      <c r="O209" s="15">
        <f t="shared" si="183"/>
        <v>0</v>
      </c>
      <c r="P209" s="15">
        <f t="shared" si="183"/>
        <v>0</v>
      </c>
      <c r="Q209" s="15">
        <f t="shared" si="183"/>
        <v>0</v>
      </c>
      <c r="R209" s="15">
        <f t="shared" si="183"/>
        <v>0</v>
      </c>
      <c r="S209" s="15">
        <f t="shared" si="183"/>
        <v>0</v>
      </c>
      <c r="T209" s="15">
        <f t="shared" si="183"/>
        <v>0</v>
      </c>
      <c r="U209" s="15">
        <f t="shared" si="183"/>
        <v>0</v>
      </c>
      <c r="V209" s="15">
        <f t="shared" si="183"/>
        <v>0</v>
      </c>
      <c r="W209" s="15">
        <f t="shared" si="183"/>
        <v>0</v>
      </c>
      <c r="X209" s="15">
        <f t="shared" si="183"/>
        <v>0</v>
      </c>
      <c r="Y209" s="15">
        <f t="shared" si="183"/>
        <v>0</v>
      </c>
      <c r="Z209" s="15">
        <f t="shared" si="183"/>
        <v>0</v>
      </c>
      <c r="AA209" s="15">
        <f t="shared" si="183"/>
        <v>0</v>
      </c>
      <c r="AB209" s="15">
        <f t="shared" si="183"/>
        <v>0</v>
      </c>
      <c r="AC209" s="15">
        <f t="shared" si="183"/>
        <v>0</v>
      </c>
      <c r="AD209" s="15">
        <f t="shared" si="183"/>
        <v>0</v>
      </c>
      <c r="AE209" s="15">
        <f t="shared" si="183"/>
        <v>0</v>
      </c>
      <c r="AF209" s="15">
        <f t="shared" si="183"/>
        <v>0</v>
      </c>
      <c r="AG209" s="15">
        <f t="shared" si="183"/>
        <v>0</v>
      </c>
      <c r="AH209" s="15">
        <f t="shared" si="183"/>
        <v>0</v>
      </c>
      <c r="AI209" s="15">
        <f t="shared" si="183"/>
        <v>0</v>
      </c>
      <c r="AJ209" s="15">
        <f t="shared" si="183"/>
        <v>0</v>
      </c>
      <c r="AK209" s="15">
        <f t="shared" si="183"/>
        <v>0</v>
      </c>
      <c r="AL209" s="15">
        <f t="shared" si="183"/>
        <v>0</v>
      </c>
      <c r="AM209" s="15">
        <f t="shared" si="183"/>
        <v>0</v>
      </c>
      <c r="AN209" s="15">
        <f t="shared" si="183"/>
        <v>0</v>
      </c>
      <c r="AO209" s="15">
        <f t="shared" si="183"/>
        <v>0</v>
      </c>
      <c r="AP209" s="15">
        <f t="shared" si="183"/>
        <v>0</v>
      </c>
      <c r="AQ209" s="15">
        <f t="shared" si="183"/>
        <v>0</v>
      </c>
      <c r="AR209" s="15">
        <f t="shared" si="183"/>
        <v>0</v>
      </c>
    </row>
    <row r="210" spans="1:44" s="15" customFormat="1" x14ac:dyDescent="0.15">
      <c r="A210" s="19" t="s">
        <v>918</v>
      </c>
      <c r="B210" s="15">
        <f t="shared" ref="B210:AR210" si="184">IFERROR(B$214*$P10/$P$14,0)</f>
        <v>0</v>
      </c>
      <c r="C210" s="15">
        <f t="shared" si="184"/>
        <v>0</v>
      </c>
      <c r="D210" s="15">
        <f t="shared" si="184"/>
        <v>0</v>
      </c>
      <c r="E210" s="15">
        <f t="shared" si="184"/>
        <v>0</v>
      </c>
      <c r="F210" s="15">
        <f t="shared" si="184"/>
        <v>0</v>
      </c>
      <c r="G210" s="15">
        <f t="shared" si="184"/>
        <v>0</v>
      </c>
      <c r="H210" s="15">
        <f t="shared" si="184"/>
        <v>0</v>
      </c>
      <c r="I210" s="15">
        <f t="shared" si="184"/>
        <v>0</v>
      </c>
      <c r="J210" s="15">
        <f t="shared" si="184"/>
        <v>0</v>
      </c>
      <c r="K210" s="15">
        <f t="shared" si="184"/>
        <v>0</v>
      </c>
      <c r="L210" s="15">
        <f t="shared" si="184"/>
        <v>0</v>
      </c>
      <c r="M210" s="15">
        <f t="shared" si="184"/>
        <v>0</v>
      </c>
      <c r="N210" s="15">
        <f t="shared" si="184"/>
        <v>0</v>
      </c>
      <c r="O210" s="15">
        <f t="shared" si="184"/>
        <v>0</v>
      </c>
      <c r="P210" s="15">
        <f t="shared" si="184"/>
        <v>0</v>
      </c>
      <c r="Q210" s="15">
        <f t="shared" si="184"/>
        <v>0</v>
      </c>
      <c r="R210" s="15">
        <f t="shared" si="184"/>
        <v>0</v>
      </c>
      <c r="S210" s="15">
        <f t="shared" si="184"/>
        <v>0</v>
      </c>
      <c r="T210" s="15">
        <f t="shared" si="184"/>
        <v>0</v>
      </c>
      <c r="U210" s="15">
        <f t="shared" si="184"/>
        <v>0</v>
      </c>
      <c r="V210" s="15">
        <f t="shared" si="184"/>
        <v>0</v>
      </c>
      <c r="W210" s="15">
        <f t="shared" si="184"/>
        <v>0</v>
      </c>
      <c r="X210" s="15">
        <f t="shared" si="184"/>
        <v>0</v>
      </c>
      <c r="Y210" s="15">
        <f t="shared" si="184"/>
        <v>0</v>
      </c>
      <c r="Z210" s="15">
        <f t="shared" si="184"/>
        <v>0</v>
      </c>
      <c r="AA210" s="15">
        <f t="shared" si="184"/>
        <v>0</v>
      </c>
      <c r="AB210" s="15">
        <f t="shared" si="184"/>
        <v>0</v>
      </c>
      <c r="AC210" s="15">
        <f t="shared" si="184"/>
        <v>0</v>
      </c>
      <c r="AD210" s="15">
        <f t="shared" si="184"/>
        <v>0</v>
      </c>
      <c r="AE210" s="15">
        <f t="shared" si="184"/>
        <v>0</v>
      </c>
      <c r="AF210" s="15">
        <f t="shared" si="184"/>
        <v>0</v>
      </c>
      <c r="AG210" s="15">
        <f t="shared" si="184"/>
        <v>0</v>
      </c>
      <c r="AH210" s="15">
        <f t="shared" si="184"/>
        <v>0</v>
      </c>
      <c r="AI210" s="15">
        <f t="shared" si="184"/>
        <v>0</v>
      </c>
      <c r="AJ210" s="15">
        <f t="shared" si="184"/>
        <v>0</v>
      </c>
      <c r="AK210" s="15">
        <f t="shared" si="184"/>
        <v>0</v>
      </c>
      <c r="AL210" s="15">
        <f t="shared" si="184"/>
        <v>0</v>
      </c>
      <c r="AM210" s="15">
        <f t="shared" si="184"/>
        <v>0</v>
      </c>
      <c r="AN210" s="15">
        <f t="shared" si="184"/>
        <v>0</v>
      </c>
      <c r="AO210" s="15">
        <f t="shared" si="184"/>
        <v>0</v>
      </c>
      <c r="AP210" s="15">
        <f t="shared" si="184"/>
        <v>0</v>
      </c>
      <c r="AQ210" s="15">
        <f t="shared" si="184"/>
        <v>0</v>
      </c>
      <c r="AR210" s="15">
        <f t="shared" si="184"/>
        <v>0</v>
      </c>
    </row>
    <row r="211" spans="1:44" s="15" customFormat="1" x14ac:dyDescent="0.15">
      <c r="A211" s="19" t="s">
        <v>919</v>
      </c>
      <c r="B211" s="15">
        <f t="shared" ref="B211:AR211" si="185">IFERROR(B$214*$P11/$P$14,0)</f>
        <v>0</v>
      </c>
      <c r="C211" s="15">
        <f t="shared" si="185"/>
        <v>0</v>
      </c>
      <c r="D211" s="15">
        <f t="shared" si="185"/>
        <v>0</v>
      </c>
      <c r="E211" s="15">
        <f t="shared" si="185"/>
        <v>0</v>
      </c>
      <c r="F211" s="15">
        <f t="shared" si="185"/>
        <v>0</v>
      </c>
      <c r="G211" s="15">
        <f t="shared" si="185"/>
        <v>0</v>
      </c>
      <c r="H211" s="15">
        <f t="shared" si="185"/>
        <v>0</v>
      </c>
      <c r="I211" s="15">
        <f t="shared" si="185"/>
        <v>0</v>
      </c>
      <c r="J211" s="15">
        <f t="shared" si="185"/>
        <v>0</v>
      </c>
      <c r="K211" s="15">
        <f t="shared" si="185"/>
        <v>0</v>
      </c>
      <c r="L211" s="15">
        <f t="shared" si="185"/>
        <v>0</v>
      </c>
      <c r="M211" s="15">
        <f t="shared" si="185"/>
        <v>0</v>
      </c>
      <c r="N211" s="15">
        <f t="shared" si="185"/>
        <v>0</v>
      </c>
      <c r="O211" s="15">
        <f t="shared" si="185"/>
        <v>0</v>
      </c>
      <c r="P211" s="15">
        <f t="shared" si="185"/>
        <v>0</v>
      </c>
      <c r="Q211" s="15">
        <f t="shared" si="185"/>
        <v>0</v>
      </c>
      <c r="R211" s="15">
        <f t="shared" si="185"/>
        <v>0</v>
      </c>
      <c r="S211" s="15">
        <f t="shared" si="185"/>
        <v>0</v>
      </c>
      <c r="T211" s="15">
        <f t="shared" si="185"/>
        <v>0</v>
      </c>
      <c r="U211" s="15">
        <f t="shared" si="185"/>
        <v>0</v>
      </c>
      <c r="V211" s="15">
        <f t="shared" si="185"/>
        <v>0</v>
      </c>
      <c r="W211" s="15">
        <f t="shared" si="185"/>
        <v>0</v>
      </c>
      <c r="X211" s="15">
        <f t="shared" si="185"/>
        <v>0</v>
      </c>
      <c r="Y211" s="15">
        <f t="shared" si="185"/>
        <v>0</v>
      </c>
      <c r="Z211" s="15">
        <f t="shared" si="185"/>
        <v>0</v>
      </c>
      <c r="AA211" s="15">
        <f t="shared" si="185"/>
        <v>0</v>
      </c>
      <c r="AB211" s="15">
        <f t="shared" si="185"/>
        <v>0</v>
      </c>
      <c r="AC211" s="15">
        <f t="shared" si="185"/>
        <v>0</v>
      </c>
      <c r="AD211" s="15">
        <f t="shared" si="185"/>
        <v>0</v>
      </c>
      <c r="AE211" s="15">
        <f t="shared" si="185"/>
        <v>0</v>
      </c>
      <c r="AF211" s="15">
        <f t="shared" si="185"/>
        <v>0</v>
      </c>
      <c r="AG211" s="15">
        <f t="shared" si="185"/>
        <v>0</v>
      </c>
      <c r="AH211" s="15">
        <f t="shared" si="185"/>
        <v>0</v>
      </c>
      <c r="AI211" s="15">
        <f t="shared" si="185"/>
        <v>0</v>
      </c>
      <c r="AJ211" s="15">
        <f t="shared" si="185"/>
        <v>0</v>
      </c>
      <c r="AK211" s="15">
        <f t="shared" si="185"/>
        <v>0</v>
      </c>
      <c r="AL211" s="15">
        <f t="shared" si="185"/>
        <v>0</v>
      </c>
      <c r="AM211" s="15">
        <f t="shared" si="185"/>
        <v>0</v>
      </c>
      <c r="AN211" s="15">
        <f t="shared" si="185"/>
        <v>0</v>
      </c>
      <c r="AO211" s="15">
        <f t="shared" si="185"/>
        <v>0</v>
      </c>
      <c r="AP211" s="15">
        <f t="shared" si="185"/>
        <v>0</v>
      </c>
      <c r="AQ211" s="15">
        <f t="shared" si="185"/>
        <v>0</v>
      </c>
      <c r="AR211" s="15">
        <f t="shared" si="185"/>
        <v>0</v>
      </c>
    </row>
    <row r="212" spans="1:44" s="15" customFormat="1" x14ac:dyDescent="0.15">
      <c r="A212" s="19" t="s">
        <v>920</v>
      </c>
      <c r="B212" s="15">
        <f t="shared" ref="B212:AR212" si="186">IFERROR(B$214*$P12/$P$14,0)</f>
        <v>0</v>
      </c>
      <c r="C212" s="15">
        <f t="shared" si="186"/>
        <v>0</v>
      </c>
      <c r="D212" s="15">
        <f t="shared" si="186"/>
        <v>0</v>
      </c>
      <c r="E212" s="15">
        <f t="shared" si="186"/>
        <v>0</v>
      </c>
      <c r="F212" s="15">
        <f t="shared" si="186"/>
        <v>0</v>
      </c>
      <c r="G212" s="15">
        <f t="shared" si="186"/>
        <v>0</v>
      </c>
      <c r="H212" s="15">
        <f t="shared" si="186"/>
        <v>0</v>
      </c>
      <c r="I212" s="15">
        <f t="shared" si="186"/>
        <v>0</v>
      </c>
      <c r="J212" s="15">
        <f t="shared" si="186"/>
        <v>0</v>
      </c>
      <c r="K212" s="15">
        <f t="shared" si="186"/>
        <v>0</v>
      </c>
      <c r="L212" s="15">
        <f t="shared" si="186"/>
        <v>0</v>
      </c>
      <c r="M212" s="15">
        <f t="shared" si="186"/>
        <v>0</v>
      </c>
      <c r="N212" s="15">
        <f t="shared" si="186"/>
        <v>0</v>
      </c>
      <c r="O212" s="15">
        <f t="shared" si="186"/>
        <v>0</v>
      </c>
      <c r="P212" s="15">
        <f t="shared" si="186"/>
        <v>0</v>
      </c>
      <c r="Q212" s="15">
        <f t="shared" si="186"/>
        <v>0</v>
      </c>
      <c r="R212" s="15">
        <f t="shared" si="186"/>
        <v>0</v>
      </c>
      <c r="S212" s="15">
        <f t="shared" si="186"/>
        <v>0</v>
      </c>
      <c r="T212" s="15">
        <f t="shared" si="186"/>
        <v>0</v>
      </c>
      <c r="U212" s="15">
        <f t="shared" si="186"/>
        <v>0</v>
      </c>
      <c r="V212" s="15">
        <f t="shared" si="186"/>
        <v>0</v>
      </c>
      <c r="W212" s="15">
        <f t="shared" si="186"/>
        <v>0</v>
      </c>
      <c r="X212" s="15">
        <f t="shared" si="186"/>
        <v>0</v>
      </c>
      <c r="Y212" s="15">
        <f t="shared" si="186"/>
        <v>0</v>
      </c>
      <c r="Z212" s="15">
        <f t="shared" si="186"/>
        <v>0</v>
      </c>
      <c r="AA212" s="15">
        <f t="shared" si="186"/>
        <v>0</v>
      </c>
      <c r="AB212" s="15">
        <f t="shared" si="186"/>
        <v>0</v>
      </c>
      <c r="AC212" s="15">
        <f t="shared" si="186"/>
        <v>0</v>
      </c>
      <c r="AD212" s="15">
        <f t="shared" si="186"/>
        <v>0</v>
      </c>
      <c r="AE212" s="15">
        <f t="shared" si="186"/>
        <v>0</v>
      </c>
      <c r="AF212" s="15">
        <f t="shared" si="186"/>
        <v>0</v>
      </c>
      <c r="AG212" s="15">
        <f t="shared" si="186"/>
        <v>0</v>
      </c>
      <c r="AH212" s="15">
        <f t="shared" si="186"/>
        <v>0</v>
      </c>
      <c r="AI212" s="15">
        <f t="shared" si="186"/>
        <v>0</v>
      </c>
      <c r="AJ212" s="15">
        <f t="shared" si="186"/>
        <v>0</v>
      </c>
      <c r="AK212" s="15">
        <f t="shared" si="186"/>
        <v>0</v>
      </c>
      <c r="AL212" s="15">
        <f t="shared" si="186"/>
        <v>0</v>
      </c>
      <c r="AM212" s="15">
        <f t="shared" si="186"/>
        <v>0</v>
      </c>
      <c r="AN212" s="15">
        <f t="shared" si="186"/>
        <v>0</v>
      </c>
      <c r="AO212" s="15">
        <f t="shared" si="186"/>
        <v>0</v>
      </c>
      <c r="AP212" s="15">
        <f t="shared" si="186"/>
        <v>0</v>
      </c>
      <c r="AQ212" s="15">
        <f t="shared" si="186"/>
        <v>0</v>
      </c>
      <c r="AR212" s="15">
        <f t="shared" si="186"/>
        <v>0</v>
      </c>
    </row>
    <row r="213" spans="1:44" s="15" customFormat="1" x14ac:dyDescent="0.15">
      <c r="A213" s="19" t="s">
        <v>921</v>
      </c>
      <c r="B213" s="15">
        <f t="shared" ref="B213:AR213" si="187">IFERROR(B$214*$P13/$P$14,0)</f>
        <v>0</v>
      </c>
      <c r="C213" s="15">
        <f t="shared" si="187"/>
        <v>0</v>
      </c>
      <c r="D213" s="15">
        <f t="shared" si="187"/>
        <v>0</v>
      </c>
      <c r="E213" s="15">
        <f t="shared" si="187"/>
        <v>0</v>
      </c>
      <c r="F213" s="15">
        <f t="shared" si="187"/>
        <v>0</v>
      </c>
      <c r="G213" s="15">
        <f t="shared" si="187"/>
        <v>0</v>
      </c>
      <c r="H213" s="15">
        <f t="shared" si="187"/>
        <v>0</v>
      </c>
      <c r="I213" s="15">
        <f t="shared" si="187"/>
        <v>0</v>
      </c>
      <c r="J213" s="15">
        <f t="shared" si="187"/>
        <v>0</v>
      </c>
      <c r="K213" s="15">
        <f t="shared" si="187"/>
        <v>0</v>
      </c>
      <c r="L213" s="15">
        <f t="shared" si="187"/>
        <v>0</v>
      </c>
      <c r="M213" s="15">
        <f t="shared" si="187"/>
        <v>0</v>
      </c>
      <c r="N213" s="15">
        <f t="shared" si="187"/>
        <v>0</v>
      </c>
      <c r="O213" s="15">
        <f t="shared" si="187"/>
        <v>0</v>
      </c>
      <c r="P213" s="15">
        <f t="shared" si="187"/>
        <v>0</v>
      </c>
      <c r="Q213" s="15">
        <f t="shared" si="187"/>
        <v>0</v>
      </c>
      <c r="R213" s="15">
        <f t="shared" si="187"/>
        <v>0</v>
      </c>
      <c r="S213" s="15">
        <f t="shared" si="187"/>
        <v>0</v>
      </c>
      <c r="T213" s="15">
        <f t="shared" si="187"/>
        <v>0</v>
      </c>
      <c r="U213" s="15">
        <f t="shared" si="187"/>
        <v>0</v>
      </c>
      <c r="V213" s="15">
        <f t="shared" si="187"/>
        <v>0</v>
      </c>
      <c r="W213" s="15">
        <f t="shared" si="187"/>
        <v>0</v>
      </c>
      <c r="X213" s="15">
        <f t="shared" si="187"/>
        <v>0</v>
      </c>
      <c r="Y213" s="15">
        <f t="shared" si="187"/>
        <v>0</v>
      </c>
      <c r="Z213" s="15">
        <f t="shared" si="187"/>
        <v>0</v>
      </c>
      <c r="AA213" s="15">
        <f t="shared" si="187"/>
        <v>0</v>
      </c>
      <c r="AB213" s="15">
        <f t="shared" si="187"/>
        <v>0</v>
      </c>
      <c r="AC213" s="15">
        <f t="shared" si="187"/>
        <v>0</v>
      </c>
      <c r="AD213" s="15">
        <f t="shared" si="187"/>
        <v>0</v>
      </c>
      <c r="AE213" s="15">
        <f t="shared" si="187"/>
        <v>0</v>
      </c>
      <c r="AF213" s="15">
        <f t="shared" si="187"/>
        <v>0</v>
      </c>
      <c r="AG213" s="15">
        <f t="shared" si="187"/>
        <v>0</v>
      </c>
      <c r="AH213" s="15">
        <f t="shared" si="187"/>
        <v>0</v>
      </c>
      <c r="AI213" s="15">
        <f t="shared" si="187"/>
        <v>0</v>
      </c>
      <c r="AJ213" s="15">
        <f t="shared" si="187"/>
        <v>0</v>
      </c>
      <c r="AK213" s="15">
        <f t="shared" si="187"/>
        <v>0</v>
      </c>
      <c r="AL213" s="15">
        <f t="shared" si="187"/>
        <v>0</v>
      </c>
      <c r="AM213" s="15">
        <f t="shared" si="187"/>
        <v>0</v>
      </c>
      <c r="AN213" s="15">
        <f t="shared" si="187"/>
        <v>0</v>
      </c>
      <c r="AO213" s="15">
        <f t="shared" si="187"/>
        <v>0</v>
      </c>
      <c r="AP213" s="15">
        <f t="shared" si="187"/>
        <v>0</v>
      </c>
      <c r="AQ213" s="15">
        <f t="shared" si="187"/>
        <v>0</v>
      </c>
      <c r="AR213" s="15">
        <f t="shared" si="187"/>
        <v>0</v>
      </c>
    </row>
    <row r="214" spans="1:44" s="17" customFormat="1" x14ac:dyDescent="0.15">
      <c r="A214" s="19" t="s">
        <v>911</v>
      </c>
      <c r="B214" s="17">
        <f>BAU建筑总能耗计算!B$3*$P$16</f>
        <v>0</v>
      </c>
      <c r="C214" s="17">
        <f>BAU建筑总能耗计算!C$3*$O$16</f>
        <v>4583.3398201778191</v>
      </c>
      <c r="D214" s="17">
        <f>BAU建筑总能耗计算!D$3*$O$16</f>
        <v>4664.4128723393824</v>
      </c>
      <c r="E214" s="17">
        <f>BAU建筑总能耗计算!E$3*$O$16</f>
        <v>4701.6544385335119</v>
      </c>
      <c r="F214" s="17">
        <f>BAU建筑总能耗计算!F$3*$O$16</f>
        <v>4737.7848410601155</v>
      </c>
      <c r="G214" s="17">
        <f>BAU建筑总能耗计算!G$3*$O$16</f>
        <v>4772.7793366137121</v>
      </c>
      <c r="H214" s="17">
        <f>BAU建筑总能耗计算!H$3*$O$16</f>
        <v>4806.6155230345958</v>
      </c>
      <c r="I214" s="17">
        <f>BAU建筑总能耗计算!I$3*$O$16</f>
        <v>4839.2736961709516</v>
      </c>
      <c r="J214" s="17">
        <f>BAU建筑总能耗计算!J$3*$O$16</f>
        <v>4870.7366818679702</v>
      </c>
      <c r="K214" s="17">
        <f>BAU建筑总能耗计算!K$3*$O$16</f>
        <v>4900.9903426262163</v>
      </c>
      <c r="L214" s="17">
        <f>BAU建筑总能耗计算!L$3*$O$16</f>
        <v>4930.0234189333478</v>
      </c>
      <c r="M214" s="17">
        <f>BAU建筑总能耗计算!M$3*$O$16</f>
        <v>4957.827873240285</v>
      </c>
      <c r="N214" s="17">
        <f>BAU建筑总能耗计算!N$3*$O$16</f>
        <v>4984.3990118986967</v>
      </c>
      <c r="O214" s="17">
        <f>BAU建筑总能耗计算!O$3*$O$16</f>
        <v>5009.7355771844659</v>
      </c>
      <c r="P214" s="17">
        <f>BAU建筑总能耗计算!P$3*$O$16</f>
        <v>5033.8401232955775</v>
      </c>
      <c r="Q214" s="17">
        <f>BAU建筑总能耗计算!Q$3*$O$16</f>
        <v>5056.7189241779079</v>
      </c>
      <c r="R214" s="17">
        <f>BAU建筑总能耗计算!R$3*$O$16</f>
        <v>5078.382394155472</v>
      </c>
      <c r="S214" s="17">
        <f>BAU建筑总能耗计算!S$3*$O$16</f>
        <v>5098.845133335336</v>
      </c>
      <c r="T214" s="17">
        <f>BAU建筑总能耗计算!T$3*$O$16</f>
        <v>5118.1261876437093</v>
      </c>
      <c r="U214" s="17">
        <f>BAU建筑总能耗计算!U$3*$O$16</f>
        <v>5136.2493066141342</v>
      </c>
      <c r="V214" s="17">
        <f>BAU建筑总能耗计算!V$3*$O$16</f>
        <v>5153.2429628664986</v>
      </c>
      <c r="W214" s="17">
        <f>BAU建筑总能耗计算!W$3*$O$16</f>
        <v>5169.140763786253</v>
      </c>
      <c r="X214" s="17">
        <f>BAU建筑总能耗计算!X$3*$O$16</f>
        <v>5183.9816114462055</v>
      </c>
      <c r="Y214" s="17">
        <f>BAU建筑总能耗计算!Y$3*$O$16</f>
        <v>5197.8099468097671</v>
      </c>
      <c r="Z214" s="17">
        <f>BAU建筑总能耗计算!Z$3*$O$16</f>
        <v>5210.6758774669588</v>
      </c>
      <c r="AA214" s="17">
        <f>BAU建筑总能耗计算!AA$3*$O$16</f>
        <v>5222.6355038827041</v>
      </c>
      <c r="AB214" s="17">
        <f>BAU建筑总能耗计算!AB$3*$O$16</f>
        <v>5233.7512845652636</v>
      </c>
      <c r="AC214" s="17">
        <f>BAU建筑总能耗计算!AC$3*$O$16</f>
        <v>5244.0920634546364</v>
      </c>
      <c r="AD214" s="17">
        <f>BAU建筑总能耗计算!AD$3*$O$16</f>
        <v>5253.7333919360208</v>
      </c>
      <c r="AE214" s="17">
        <f>BAU建筑总能耗计算!AE$3*$O$16</f>
        <v>5262.7580476749044</v>
      </c>
      <c r="AF214" s="17">
        <f>BAU建筑总能耗计算!AF$3*$O$16</f>
        <v>5271.2559405069751</v>
      </c>
      <c r="AG214" s="17">
        <f>BAU建筑总能耗计算!AG$3*$O$16</f>
        <v>5279.3245979696912</v>
      </c>
      <c r="AH214" s="17">
        <f>BAU建筑总能耗计算!AH$3*$O$16</f>
        <v>5287.0695452274267</v>
      </c>
      <c r="AI214" s="17">
        <f>BAU建筑总能耗计算!AI$3*$O$16</f>
        <v>5294.6043089009554</v>
      </c>
      <c r="AJ214" s="17">
        <f>BAU建筑总能耗计算!AJ$3*$O$16</f>
        <v>5302.0511431137465</v>
      </c>
      <c r="AK214" s="17">
        <f>BAU建筑总能耗计算!AK$3*$O$16</f>
        <v>5309.5408640841079</v>
      </c>
      <c r="AL214" s="17">
        <f>BAU建筑总能耗计算!AL$3*$O$16</f>
        <v>5317.2136546692363</v>
      </c>
      <c r="AM214" s="17">
        <f>BAU建筑总能耗计算!AM$3*$O$16</f>
        <v>5325.2191015070248</v>
      </c>
      <c r="AN214" s="17">
        <f>BAU建筑总能耗计算!AN$3*$O$16</f>
        <v>5333.7165997120828</v>
      </c>
      <c r="AO214" s="17">
        <f>BAU建筑总能耗计算!AO$3*$O$16</f>
        <v>5342.8757223212069</v>
      </c>
      <c r="AP214" s="17">
        <f>BAU建筑总能耗计算!AP$3*$O$16</f>
        <v>5352.8766002493994</v>
      </c>
      <c r="AQ214" s="17">
        <f>BAU建筑总能耗计算!AQ$3*$O$16</f>
        <v>5363.9104028083921</v>
      </c>
      <c r="AR214" s="17">
        <f>BAU建筑总能耗计算!AR$3*$O$16</f>
        <v>5376.1794500489423</v>
      </c>
    </row>
    <row r="215" spans="1:44" s="15" customFormat="1" x14ac:dyDescent="0.15"/>
    <row r="216" spans="1:44" s="19" customFormat="1" x14ac:dyDescent="0.15">
      <c r="A216" s="18" t="s">
        <v>23</v>
      </c>
      <c r="B216" s="19">
        <v>2018</v>
      </c>
      <c r="C216" s="19">
        <v>2019</v>
      </c>
      <c r="D216" s="19">
        <v>2020</v>
      </c>
      <c r="E216" s="19">
        <v>2021</v>
      </c>
      <c r="F216" s="19">
        <v>2022</v>
      </c>
      <c r="G216" s="19">
        <v>2023</v>
      </c>
      <c r="H216" s="19">
        <v>2024</v>
      </c>
      <c r="I216" s="19">
        <v>2025</v>
      </c>
      <c r="J216" s="19">
        <v>2026</v>
      </c>
      <c r="K216" s="19">
        <v>2027</v>
      </c>
      <c r="L216" s="19">
        <v>2028</v>
      </c>
      <c r="M216" s="19">
        <v>2029</v>
      </c>
      <c r="N216" s="19">
        <v>2030</v>
      </c>
      <c r="O216" s="19">
        <v>2031</v>
      </c>
      <c r="P216" s="19">
        <v>2032</v>
      </c>
      <c r="Q216" s="19">
        <v>2033</v>
      </c>
      <c r="R216" s="19">
        <v>2034</v>
      </c>
      <c r="S216" s="19">
        <v>2035</v>
      </c>
      <c r="T216" s="19">
        <v>2036</v>
      </c>
      <c r="U216" s="19">
        <v>2037</v>
      </c>
      <c r="V216" s="19">
        <v>2038</v>
      </c>
      <c r="W216" s="19">
        <v>2039</v>
      </c>
      <c r="X216" s="19">
        <v>2040</v>
      </c>
      <c r="Y216" s="19">
        <v>2041</v>
      </c>
      <c r="Z216" s="19">
        <v>2042</v>
      </c>
      <c r="AA216" s="19">
        <v>2043</v>
      </c>
      <c r="AB216" s="19">
        <v>2044</v>
      </c>
      <c r="AC216" s="19">
        <v>2045</v>
      </c>
      <c r="AD216" s="19">
        <v>2046</v>
      </c>
      <c r="AE216" s="19">
        <v>2047</v>
      </c>
      <c r="AF216" s="19">
        <v>2048</v>
      </c>
      <c r="AG216" s="19">
        <v>2049</v>
      </c>
      <c r="AH216" s="19">
        <v>2050</v>
      </c>
      <c r="AI216" s="19">
        <v>2051</v>
      </c>
      <c r="AJ216" s="19">
        <v>2052</v>
      </c>
      <c r="AK216" s="19">
        <v>2053</v>
      </c>
      <c r="AL216" s="19">
        <v>2054</v>
      </c>
      <c r="AM216" s="19">
        <v>2055</v>
      </c>
      <c r="AN216" s="19">
        <v>2056</v>
      </c>
      <c r="AO216" s="19">
        <v>2057</v>
      </c>
      <c r="AP216" s="19">
        <v>2058</v>
      </c>
      <c r="AQ216" s="19">
        <v>2059</v>
      </c>
      <c r="AR216" s="19">
        <v>2060</v>
      </c>
    </row>
    <row r="217" spans="1:44" s="15" customFormat="1" x14ac:dyDescent="0.15">
      <c r="A217" s="19" t="s">
        <v>912</v>
      </c>
      <c r="B217" s="16">
        <f t="shared" ref="B217:AR217" si="188">B$227*$Q4/$Q$14</f>
        <v>7060.0144651517348</v>
      </c>
      <c r="C217" s="16">
        <f t="shared" si="188"/>
        <v>7152.5476086511999</v>
      </c>
      <c r="D217" s="16">
        <f t="shared" si="188"/>
        <v>7279.0664547579991</v>
      </c>
      <c r="E217" s="16">
        <f t="shared" si="188"/>
        <v>7337.1839161889757</v>
      </c>
      <c r="F217" s="16">
        <f t="shared" si="188"/>
        <v>7393.5673471214968</v>
      </c>
      <c r="G217" s="16">
        <f t="shared" si="188"/>
        <v>7448.1781343002931</v>
      </c>
      <c r="H217" s="16">
        <f t="shared" si="188"/>
        <v>7500.9813179536441</v>
      </c>
      <c r="I217" s="16">
        <f t="shared" si="188"/>
        <v>7551.9461486958462</v>
      </c>
      <c r="J217" s="16">
        <f t="shared" si="188"/>
        <v>7601.0458253372144</v>
      </c>
      <c r="K217" s="16">
        <f t="shared" si="188"/>
        <v>7648.2582855516393</v>
      </c>
      <c r="L217" s="16">
        <f t="shared" si="188"/>
        <v>7693.5659582662283</v>
      </c>
      <c r="M217" s="16">
        <f t="shared" si="188"/>
        <v>7736.9563004545644</v>
      </c>
      <c r="N217" s="16">
        <f t="shared" si="188"/>
        <v>7778.4219874266882</v>
      </c>
      <c r="O217" s="16">
        <f t="shared" si="188"/>
        <v>7817.9610564366585</v>
      </c>
      <c r="P217" s="16">
        <f t="shared" si="188"/>
        <v>7855.5774934474239</v>
      </c>
      <c r="Q217" s="16">
        <f t="shared" si="188"/>
        <v>7891.2810892880161</v>
      </c>
      <c r="R217" s="16">
        <f t="shared" si="188"/>
        <v>7925.088096069614</v>
      </c>
      <c r="S217" s="16">
        <f t="shared" si="188"/>
        <v>7957.0212980423412</v>
      </c>
      <c r="T217" s="16">
        <f t="shared" si="188"/>
        <v>7987.1104173955482</v>
      </c>
      <c r="U217" s="16">
        <f t="shared" si="188"/>
        <v>8015.3925165500859</v>
      </c>
      <c r="V217" s="16">
        <f t="shared" si="188"/>
        <v>8041.9120285563704</v>
      </c>
      <c r="W217" s="16">
        <f t="shared" si="188"/>
        <v>8066.7213995418706</v>
      </c>
      <c r="X217" s="16">
        <f t="shared" si="188"/>
        <v>8089.8813382776443</v>
      </c>
      <c r="Y217" s="16">
        <f t="shared" si="188"/>
        <v>8111.461197270608</v>
      </c>
      <c r="Z217" s="16">
        <f t="shared" si="188"/>
        <v>8131.5391721024189</v>
      </c>
      <c r="AA217" s="16">
        <f t="shared" si="188"/>
        <v>8150.2028105574391</v>
      </c>
      <c r="AB217" s="16">
        <f t="shared" si="188"/>
        <v>8167.5495824876625</v>
      </c>
      <c r="AC217" s="16">
        <f t="shared" si="188"/>
        <v>8183.6869225537766</v>
      </c>
      <c r="AD217" s="16">
        <f t="shared" si="188"/>
        <v>8198.7327327444491</v>
      </c>
      <c r="AE217" s="16">
        <f t="shared" si="188"/>
        <v>8212.8161920463062</v>
      </c>
      <c r="AF217" s="16">
        <f t="shared" si="188"/>
        <v>8226.0776095800902</v>
      </c>
      <c r="AG217" s="16">
        <f t="shared" si="188"/>
        <v>8238.6691822987232</v>
      </c>
      <c r="AH217" s="16">
        <f t="shared" si="188"/>
        <v>8250.7555878808653</v>
      </c>
      <c r="AI217" s="16">
        <f t="shared" si="188"/>
        <v>8262.5139907070297</v>
      </c>
      <c r="AJ217" s="16">
        <f t="shared" si="188"/>
        <v>8274.1351748937723</v>
      </c>
      <c r="AK217" s="16">
        <f t="shared" si="188"/>
        <v>8285.823286165858</v>
      </c>
      <c r="AL217" s="16">
        <f t="shared" si="188"/>
        <v>8297.7970873904014</v>
      </c>
      <c r="AM217" s="16">
        <f t="shared" si="188"/>
        <v>8310.2900165386454</v>
      </c>
      <c r="AN217" s="16">
        <f t="shared" si="188"/>
        <v>8323.5508182358135</v>
      </c>
      <c r="AO217" s="16">
        <f t="shared" si="188"/>
        <v>8337.8441203005696</v>
      </c>
      <c r="AP217" s="16">
        <f t="shared" si="188"/>
        <v>8353.4510266867801</v>
      </c>
      <c r="AQ217" s="16">
        <f t="shared" si="188"/>
        <v>8370.6698673584251</v>
      </c>
      <c r="AR217" s="16">
        <f t="shared" si="188"/>
        <v>8389.8163736057904</v>
      </c>
    </row>
    <row r="218" spans="1:44" s="15" customFormat="1" x14ac:dyDescent="0.15">
      <c r="A218" s="19" t="s">
        <v>913</v>
      </c>
      <c r="B218" s="16">
        <f t="shared" ref="B218:AR218" si="189">B$227*$Q5/$Q$14</f>
        <v>0</v>
      </c>
      <c r="C218" s="16">
        <f t="shared" si="189"/>
        <v>0</v>
      </c>
      <c r="D218" s="16">
        <f t="shared" si="189"/>
        <v>0</v>
      </c>
      <c r="E218" s="16">
        <f t="shared" si="189"/>
        <v>0</v>
      </c>
      <c r="F218" s="16">
        <f t="shared" si="189"/>
        <v>0</v>
      </c>
      <c r="G218" s="16">
        <f t="shared" si="189"/>
        <v>0</v>
      </c>
      <c r="H218" s="16">
        <f t="shared" si="189"/>
        <v>0</v>
      </c>
      <c r="I218" s="16">
        <f t="shared" si="189"/>
        <v>0</v>
      </c>
      <c r="J218" s="16">
        <f t="shared" si="189"/>
        <v>0</v>
      </c>
      <c r="K218" s="16">
        <f t="shared" si="189"/>
        <v>0</v>
      </c>
      <c r="L218" s="16">
        <f t="shared" si="189"/>
        <v>0</v>
      </c>
      <c r="M218" s="16">
        <f t="shared" si="189"/>
        <v>0</v>
      </c>
      <c r="N218" s="16">
        <f t="shared" si="189"/>
        <v>0</v>
      </c>
      <c r="O218" s="16">
        <f t="shared" si="189"/>
        <v>0</v>
      </c>
      <c r="P218" s="16">
        <f t="shared" si="189"/>
        <v>0</v>
      </c>
      <c r="Q218" s="16">
        <f t="shared" si="189"/>
        <v>0</v>
      </c>
      <c r="R218" s="16">
        <f t="shared" si="189"/>
        <v>0</v>
      </c>
      <c r="S218" s="16">
        <f t="shared" si="189"/>
        <v>0</v>
      </c>
      <c r="T218" s="16">
        <f t="shared" si="189"/>
        <v>0</v>
      </c>
      <c r="U218" s="16">
        <f t="shared" si="189"/>
        <v>0</v>
      </c>
      <c r="V218" s="16">
        <f t="shared" si="189"/>
        <v>0</v>
      </c>
      <c r="W218" s="16">
        <f t="shared" si="189"/>
        <v>0</v>
      </c>
      <c r="X218" s="16">
        <f t="shared" si="189"/>
        <v>0</v>
      </c>
      <c r="Y218" s="16">
        <f t="shared" si="189"/>
        <v>0</v>
      </c>
      <c r="Z218" s="16">
        <f t="shared" si="189"/>
        <v>0</v>
      </c>
      <c r="AA218" s="16">
        <f t="shared" si="189"/>
        <v>0</v>
      </c>
      <c r="AB218" s="16">
        <f t="shared" si="189"/>
        <v>0</v>
      </c>
      <c r="AC218" s="16">
        <f t="shared" si="189"/>
        <v>0</v>
      </c>
      <c r="AD218" s="16">
        <f t="shared" si="189"/>
        <v>0</v>
      </c>
      <c r="AE218" s="16">
        <f t="shared" si="189"/>
        <v>0</v>
      </c>
      <c r="AF218" s="16">
        <f t="shared" si="189"/>
        <v>0</v>
      </c>
      <c r="AG218" s="16">
        <f t="shared" si="189"/>
        <v>0</v>
      </c>
      <c r="AH218" s="16">
        <f t="shared" si="189"/>
        <v>0</v>
      </c>
      <c r="AI218" s="16">
        <f t="shared" si="189"/>
        <v>0</v>
      </c>
      <c r="AJ218" s="16">
        <f t="shared" si="189"/>
        <v>0</v>
      </c>
      <c r="AK218" s="16">
        <f t="shared" si="189"/>
        <v>0</v>
      </c>
      <c r="AL218" s="16">
        <f t="shared" si="189"/>
        <v>0</v>
      </c>
      <c r="AM218" s="16">
        <f t="shared" si="189"/>
        <v>0</v>
      </c>
      <c r="AN218" s="16">
        <f t="shared" si="189"/>
        <v>0</v>
      </c>
      <c r="AO218" s="16">
        <f t="shared" si="189"/>
        <v>0</v>
      </c>
      <c r="AP218" s="16">
        <f t="shared" si="189"/>
        <v>0</v>
      </c>
      <c r="AQ218" s="16">
        <f t="shared" si="189"/>
        <v>0</v>
      </c>
      <c r="AR218" s="16">
        <f t="shared" si="189"/>
        <v>0</v>
      </c>
    </row>
    <row r="219" spans="1:44" s="15" customFormat="1" x14ac:dyDescent="0.15">
      <c r="A219" s="19" t="s">
        <v>914</v>
      </c>
      <c r="B219" s="16">
        <f t="shared" ref="B219:AR219" si="190">B$227*$Q6/$Q$14</f>
        <v>0</v>
      </c>
      <c r="C219" s="16">
        <f t="shared" si="190"/>
        <v>0</v>
      </c>
      <c r="D219" s="16">
        <f t="shared" si="190"/>
        <v>0</v>
      </c>
      <c r="E219" s="16">
        <f t="shared" si="190"/>
        <v>0</v>
      </c>
      <c r="F219" s="16">
        <f t="shared" si="190"/>
        <v>0</v>
      </c>
      <c r="G219" s="16">
        <f t="shared" si="190"/>
        <v>0</v>
      </c>
      <c r="H219" s="16">
        <f t="shared" si="190"/>
        <v>0</v>
      </c>
      <c r="I219" s="16">
        <f t="shared" si="190"/>
        <v>0</v>
      </c>
      <c r="J219" s="16">
        <f t="shared" si="190"/>
        <v>0</v>
      </c>
      <c r="K219" s="16">
        <f t="shared" si="190"/>
        <v>0</v>
      </c>
      <c r="L219" s="16">
        <f t="shared" si="190"/>
        <v>0</v>
      </c>
      <c r="M219" s="16">
        <f t="shared" si="190"/>
        <v>0</v>
      </c>
      <c r="N219" s="16">
        <f t="shared" si="190"/>
        <v>0</v>
      </c>
      <c r="O219" s="16">
        <f t="shared" si="190"/>
        <v>0</v>
      </c>
      <c r="P219" s="16">
        <f t="shared" si="190"/>
        <v>0</v>
      </c>
      <c r="Q219" s="16">
        <f t="shared" si="190"/>
        <v>0</v>
      </c>
      <c r="R219" s="16">
        <f t="shared" si="190"/>
        <v>0</v>
      </c>
      <c r="S219" s="16">
        <f t="shared" si="190"/>
        <v>0</v>
      </c>
      <c r="T219" s="16">
        <f t="shared" si="190"/>
        <v>0</v>
      </c>
      <c r="U219" s="16">
        <f t="shared" si="190"/>
        <v>0</v>
      </c>
      <c r="V219" s="16">
        <f t="shared" si="190"/>
        <v>0</v>
      </c>
      <c r="W219" s="16">
        <f t="shared" si="190"/>
        <v>0</v>
      </c>
      <c r="X219" s="16">
        <f t="shared" si="190"/>
        <v>0</v>
      </c>
      <c r="Y219" s="16">
        <f t="shared" si="190"/>
        <v>0</v>
      </c>
      <c r="Z219" s="16">
        <f t="shared" si="190"/>
        <v>0</v>
      </c>
      <c r="AA219" s="16">
        <f t="shared" si="190"/>
        <v>0</v>
      </c>
      <c r="AB219" s="16">
        <f t="shared" si="190"/>
        <v>0</v>
      </c>
      <c r="AC219" s="16">
        <f t="shared" si="190"/>
        <v>0</v>
      </c>
      <c r="AD219" s="16">
        <f t="shared" si="190"/>
        <v>0</v>
      </c>
      <c r="AE219" s="16">
        <f t="shared" si="190"/>
        <v>0</v>
      </c>
      <c r="AF219" s="16">
        <f t="shared" si="190"/>
        <v>0</v>
      </c>
      <c r="AG219" s="16">
        <f t="shared" si="190"/>
        <v>0</v>
      </c>
      <c r="AH219" s="16">
        <f t="shared" si="190"/>
        <v>0</v>
      </c>
      <c r="AI219" s="16">
        <f t="shared" si="190"/>
        <v>0</v>
      </c>
      <c r="AJ219" s="16">
        <f t="shared" si="190"/>
        <v>0</v>
      </c>
      <c r="AK219" s="16">
        <f t="shared" si="190"/>
        <v>0</v>
      </c>
      <c r="AL219" s="16">
        <f t="shared" si="190"/>
        <v>0</v>
      </c>
      <c r="AM219" s="16">
        <f t="shared" si="190"/>
        <v>0</v>
      </c>
      <c r="AN219" s="16">
        <f t="shared" si="190"/>
        <v>0</v>
      </c>
      <c r="AO219" s="16">
        <f t="shared" si="190"/>
        <v>0</v>
      </c>
      <c r="AP219" s="16">
        <f t="shared" si="190"/>
        <v>0</v>
      </c>
      <c r="AQ219" s="16">
        <f t="shared" si="190"/>
        <v>0</v>
      </c>
      <c r="AR219" s="16">
        <f t="shared" si="190"/>
        <v>0</v>
      </c>
    </row>
    <row r="220" spans="1:44" s="15" customFormat="1" x14ac:dyDescent="0.15">
      <c r="A220" s="19" t="s">
        <v>915</v>
      </c>
      <c r="B220" s="16">
        <f t="shared" ref="B220:AR220" si="191">B$227*$Q7/$Q$14</f>
        <v>0</v>
      </c>
      <c r="C220" s="16">
        <f t="shared" si="191"/>
        <v>0</v>
      </c>
      <c r="D220" s="16">
        <f t="shared" si="191"/>
        <v>0</v>
      </c>
      <c r="E220" s="16">
        <f t="shared" si="191"/>
        <v>0</v>
      </c>
      <c r="F220" s="16">
        <f t="shared" si="191"/>
        <v>0</v>
      </c>
      <c r="G220" s="16">
        <f t="shared" si="191"/>
        <v>0</v>
      </c>
      <c r="H220" s="16">
        <f t="shared" si="191"/>
        <v>0</v>
      </c>
      <c r="I220" s="16">
        <f t="shared" si="191"/>
        <v>0</v>
      </c>
      <c r="J220" s="16">
        <f t="shared" si="191"/>
        <v>0</v>
      </c>
      <c r="K220" s="16">
        <f t="shared" si="191"/>
        <v>0</v>
      </c>
      <c r="L220" s="16">
        <f t="shared" si="191"/>
        <v>0</v>
      </c>
      <c r="M220" s="16">
        <f t="shared" si="191"/>
        <v>0</v>
      </c>
      <c r="N220" s="16">
        <f t="shared" si="191"/>
        <v>0</v>
      </c>
      <c r="O220" s="16">
        <f t="shared" si="191"/>
        <v>0</v>
      </c>
      <c r="P220" s="16">
        <f t="shared" si="191"/>
        <v>0</v>
      </c>
      <c r="Q220" s="16">
        <f t="shared" si="191"/>
        <v>0</v>
      </c>
      <c r="R220" s="16">
        <f t="shared" si="191"/>
        <v>0</v>
      </c>
      <c r="S220" s="16">
        <f t="shared" si="191"/>
        <v>0</v>
      </c>
      <c r="T220" s="16">
        <f t="shared" si="191"/>
        <v>0</v>
      </c>
      <c r="U220" s="16">
        <f t="shared" si="191"/>
        <v>0</v>
      </c>
      <c r="V220" s="16">
        <f t="shared" si="191"/>
        <v>0</v>
      </c>
      <c r="W220" s="16">
        <f t="shared" si="191"/>
        <v>0</v>
      </c>
      <c r="X220" s="16">
        <f t="shared" si="191"/>
        <v>0</v>
      </c>
      <c r="Y220" s="16">
        <f t="shared" si="191"/>
        <v>0</v>
      </c>
      <c r="Z220" s="16">
        <f t="shared" si="191"/>
        <v>0</v>
      </c>
      <c r="AA220" s="16">
        <f t="shared" si="191"/>
        <v>0</v>
      </c>
      <c r="AB220" s="16">
        <f t="shared" si="191"/>
        <v>0</v>
      </c>
      <c r="AC220" s="16">
        <f t="shared" si="191"/>
        <v>0</v>
      </c>
      <c r="AD220" s="16">
        <f t="shared" si="191"/>
        <v>0</v>
      </c>
      <c r="AE220" s="16">
        <f t="shared" si="191"/>
        <v>0</v>
      </c>
      <c r="AF220" s="16">
        <f t="shared" si="191"/>
        <v>0</v>
      </c>
      <c r="AG220" s="16">
        <f t="shared" si="191"/>
        <v>0</v>
      </c>
      <c r="AH220" s="16">
        <f t="shared" si="191"/>
        <v>0</v>
      </c>
      <c r="AI220" s="16">
        <f t="shared" si="191"/>
        <v>0</v>
      </c>
      <c r="AJ220" s="16">
        <f t="shared" si="191"/>
        <v>0</v>
      </c>
      <c r="AK220" s="16">
        <f t="shared" si="191"/>
        <v>0</v>
      </c>
      <c r="AL220" s="16">
        <f t="shared" si="191"/>
        <v>0</v>
      </c>
      <c r="AM220" s="16">
        <f t="shared" si="191"/>
        <v>0</v>
      </c>
      <c r="AN220" s="16">
        <f t="shared" si="191"/>
        <v>0</v>
      </c>
      <c r="AO220" s="16">
        <f t="shared" si="191"/>
        <v>0</v>
      </c>
      <c r="AP220" s="16">
        <f t="shared" si="191"/>
        <v>0</v>
      </c>
      <c r="AQ220" s="16">
        <f t="shared" si="191"/>
        <v>0</v>
      </c>
      <c r="AR220" s="16">
        <f t="shared" si="191"/>
        <v>0</v>
      </c>
    </row>
    <row r="221" spans="1:44" s="15" customFormat="1" x14ac:dyDescent="0.15">
      <c r="A221" s="19" t="s">
        <v>916</v>
      </c>
      <c r="B221" s="16">
        <f t="shared" ref="B221:AR221" si="192">B$227*$Q8/$Q$14</f>
        <v>0</v>
      </c>
      <c r="C221" s="16">
        <f t="shared" si="192"/>
        <v>0</v>
      </c>
      <c r="D221" s="16">
        <f t="shared" si="192"/>
        <v>0</v>
      </c>
      <c r="E221" s="16">
        <f t="shared" si="192"/>
        <v>0</v>
      </c>
      <c r="F221" s="16">
        <f t="shared" si="192"/>
        <v>0</v>
      </c>
      <c r="G221" s="16">
        <f t="shared" si="192"/>
        <v>0</v>
      </c>
      <c r="H221" s="16">
        <f t="shared" si="192"/>
        <v>0</v>
      </c>
      <c r="I221" s="16">
        <f t="shared" si="192"/>
        <v>0</v>
      </c>
      <c r="J221" s="16">
        <f t="shared" si="192"/>
        <v>0</v>
      </c>
      <c r="K221" s="16">
        <f t="shared" si="192"/>
        <v>0</v>
      </c>
      <c r="L221" s="16">
        <f t="shared" si="192"/>
        <v>0</v>
      </c>
      <c r="M221" s="16">
        <f t="shared" si="192"/>
        <v>0</v>
      </c>
      <c r="N221" s="16">
        <f t="shared" si="192"/>
        <v>0</v>
      </c>
      <c r="O221" s="16">
        <f t="shared" si="192"/>
        <v>0</v>
      </c>
      <c r="P221" s="16">
        <f t="shared" si="192"/>
        <v>0</v>
      </c>
      <c r="Q221" s="16">
        <f t="shared" si="192"/>
        <v>0</v>
      </c>
      <c r="R221" s="16">
        <f t="shared" si="192"/>
        <v>0</v>
      </c>
      <c r="S221" s="16">
        <f t="shared" si="192"/>
        <v>0</v>
      </c>
      <c r="T221" s="16">
        <f t="shared" si="192"/>
        <v>0</v>
      </c>
      <c r="U221" s="16">
        <f t="shared" si="192"/>
        <v>0</v>
      </c>
      <c r="V221" s="16">
        <f t="shared" si="192"/>
        <v>0</v>
      </c>
      <c r="W221" s="16">
        <f t="shared" si="192"/>
        <v>0</v>
      </c>
      <c r="X221" s="16">
        <f t="shared" si="192"/>
        <v>0</v>
      </c>
      <c r="Y221" s="16">
        <f t="shared" si="192"/>
        <v>0</v>
      </c>
      <c r="Z221" s="16">
        <f t="shared" si="192"/>
        <v>0</v>
      </c>
      <c r="AA221" s="16">
        <f t="shared" si="192"/>
        <v>0</v>
      </c>
      <c r="AB221" s="16">
        <f t="shared" si="192"/>
        <v>0</v>
      </c>
      <c r="AC221" s="16">
        <f t="shared" si="192"/>
        <v>0</v>
      </c>
      <c r="AD221" s="16">
        <f t="shared" si="192"/>
        <v>0</v>
      </c>
      <c r="AE221" s="16">
        <f t="shared" si="192"/>
        <v>0</v>
      </c>
      <c r="AF221" s="16">
        <f t="shared" si="192"/>
        <v>0</v>
      </c>
      <c r="AG221" s="16">
        <f t="shared" si="192"/>
        <v>0</v>
      </c>
      <c r="AH221" s="16">
        <f t="shared" si="192"/>
        <v>0</v>
      </c>
      <c r="AI221" s="16">
        <f t="shared" si="192"/>
        <v>0</v>
      </c>
      <c r="AJ221" s="16">
        <f t="shared" si="192"/>
        <v>0</v>
      </c>
      <c r="AK221" s="16">
        <f t="shared" si="192"/>
        <v>0</v>
      </c>
      <c r="AL221" s="16">
        <f t="shared" si="192"/>
        <v>0</v>
      </c>
      <c r="AM221" s="16">
        <f t="shared" si="192"/>
        <v>0</v>
      </c>
      <c r="AN221" s="16">
        <f t="shared" si="192"/>
        <v>0</v>
      </c>
      <c r="AO221" s="16">
        <f t="shared" si="192"/>
        <v>0</v>
      </c>
      <c r="AP221" s="16">
        <f t="shared" si="192"/>
        <v>0</v>
      </c>
      <c r="AQ221" s="16">
        <f t="shared" si="192"/>
        <v>0</v>
      </c>
      <c r="AR221" s="16">
        <f t="shared" si="192"/>
        <v>0</v>
      </c>
    </row>
    <row r="222" spans="1:44" s="15" customFormat="1" x14ac:dyDescent="0.15">
      <c r="A222" s="19" t="s">
        <v>917</v>
      </c>
      <c r="B222" s="16">
        <f t="shared" ref="B222:AR222" si="193">B$227*$Q9/$Q$14</f>
        <v>0</v>
      </c>
      <c r="C222" s="16">
        <f t="shared" si="193"/>
        <v>0</v>
      </c>
      <c r="D222" s="16">
        <f t="shared" si="193"/>
        <v>0</v>
      </c>
      <c r="E222" s="16">
        <f t="shared" si="193"/>
        <v>0</v>
      </c>
      <c r="F222" s="16">
        <f t="shared" si="193"/>
        <v>0</v>
      </c>
      <c r="G222" s="16">
        <f t="shared" si="193"/>
        <v>0</v>
      </c>
      <c r="H222" s="16">
        <f t="shared" si="193"/>
        <v>0</v>
      </c>
      <c r="I222" s="16">
        <f t="shared" si="193"/>
        <v>0</v>
      </c>
      <c r="J222" s="16">
        <f t="shared" si="193"/>
        <v>0</v>
      </c>
      <c r="K222" s="16">
        <f t="shared" si="193"/>
        <v>0</v>
      </c>
      <c r="L222" s="16">
        <f t="shared" si="193"/>
        <v>0</v>
      </c>
      <c r="M222" s="16">
        <f t="shared" si="193"/>
        <v>0</v>
      </c>
      <c r="N222" s="16">
        <f t="shared" si="193"/>
        <v>0</v>
      </c>
      <c r="O222" s="16">
        <f t="shared" si="193"/>
        <v>0</v>
      </c>
      <c r="P222" s="16">
        <f t="shared" si="193"/>
        <v>0</v>
      </c>
      <c r="Q222" s="16">
        <f t="shared" si="193"/>
        <v>0</v>
      </c>
      <c r="R222" s="16">
        <f t="shared" si="193"/>
        <v>0</v>
      </c>
      <c r="S222" s="16">
        <f t="shared" si="193"/>
        <v>0</v>
      </c>
      <c r="T222" s="16">
        <f t="shared" si="193"/>
        <v>0</v>
      </c>
      <c r="U222" s="16">
        <f t="shared" si="193"/>
        <v>0</v>
      </c>
      <c r="V222" s="16">
        <f t="shared" si="193"/>
        <v>0</v>
      </c>
      <c r="W222" s="16">
        <f t="shared" si="193"/>
        <v>0</v>
      </c>
      <c r="X222" s="16">
        <f t="shared" si="193"/>
        <v>0</v>
      </c>
      <c r="Y222" s="16">
        <f t="shared" si="193"/>
        <v>0</v>
      </c>
      <c r="Z222" s="16">
        <f t="shared" si="193"/>
        <v>0</v>
      </c>
      <c r="AA222" s="16">
        <f t="shared" si="193"/>
        <v>0</v>
      </c>
      <c r="AB222" s="16">
        <f t="shared" si="193"/>
        <v>0</v>
      </c>
      <c r="AC222" s="16">
        <f t="shared" si="193"/>
        <v>0</v>
      </c>
      <c r="AD222" s="16">
        <f t="shared" si="193"/>
        <v>0</v>
      </c>
      <c r="AE222" s="16">
        <f t="shared" si="193"/>
        <v>0</v>
      </c>
      <c r="AF222" s="16">
        <f t="shared" si="193"/>
        <v>0</v>
      </c>
      <c r="AG222" s="16">
        <f t="shared" si="193"/>
        <v>0</v>
      </c>
      <c r="AH222" s="16">
        <f t="shared" si="193"/>
        <v>0</v>
      </c>
      <c r="AI222" s="16">
        <f t="shared" si="193"/>
        <v>0</v>
      </c>
      <c r="AJ222" s="16">
        <f t="shared" si="193"/>
        <v>0</v>
      </c>
      <c r="AK222" s="16">
        <f t="shared" si="193"/>
        <v>0</v>
      </c>
      <c r="AL222" s="16">
        <f t="shared" si="193"/>
        <v>0</v>
      </c>
      <c r="AM222" s="16">
        <f t="shared" si="193"/>
        <v>0</v>
      </c>
      <c r="AN222" s="16">
        <f t="shared" si="193"/>
        <v>0</v>
      </c>
      <c r="AO222" s="16">
        <f t="shared" si="193"/>
        <v>0</v>
      </c>
      <c r="AP222" s="16">
        <f t="shared" si="193"/>
        <v>0</v>
      </c>
      <c r="AQ222" s="16">
        <f t="shared" si="193"/>
        <v>0</v>
      </c>
      <c r="AR222" s="16">
        <f t="shared" si="193"/>
        <v>0</v>
      </c>
    </row>
    <row r="223" spans="1:44" s="15" customFormat="1" x14ac:dyDescent="0.15">
      <c r="A223" s="19" t="s">
        <v>918</v>
      </c>
      <c r="B223" s="16">
        <f t="shared" ref="B223:AR223" si="194">B$227*$Q10/$Q$14</f>
        <v>0</v>
      </c>
      <c r="C223" s="16">
        <f t="shared" si="194"/>
        <v>0</v>
      </c>
      <c r="D223" s="16">
        <f t="shared" si="194"/>
        <v>0</v>
      </c>
      <c r="E223" s="16">
        <f t="shared" si="194"/>
        <v>0</v>
      </c>
      <c r="F223" s="16">
        <f t="shared" si="194"/>
        <v>0</v>
      </c>
      <c r="G223" s="16">
        <f t="shared" si="194"/>
        <v>0</v>
      </c>
      <c r="H223" s="16">
        <f t="shared" si="194"/>
        <v>0</v>
      </c>
      <c r="I223" s="16">
        <f t="shared" si="194"/>
        <v>0</v>
      </c>
      <c r="J223" s="16">
        <f t="shared" si="194"/>
        <v>0</v>
      </c>
      <c r="K223" s="16">
        <f t="shared" si="194"/>
        <v>0</v>
      </c>
      <c r="L223" s="16">
        <f t="shared" si="194"/>
        <v>0</v>
      </c>
      <c r="M223" s="16">
        <f t="shared" si="194"/>
        <v>0</v>
      </c>
      <c r="N223" s="16">
        <f t="shared" si="194"/>
        <v>0</v>
      </c>
      <c r="O223" s="16">
        <f t="shared" si="194"/>
        <v>0</v>
      </c>
      <c r="P223" s="16">
        <f t="shared" si="194"/>
        <v>0</v>
      </c>
      <c r="Q223" s="16">
        <f t="shared" si="194"/>
        <v>0</v>
      </c>
      <c r="R223" s="16">
        <f t="shared" si="194"/>
        <v>0</v>
      </c>
      <c r="S223" s="16">
        <f t="shared" si="194"/>
        <v>0</v>
      </c>
      <c r="T223" s="16">
        <f t="shared" si="194"/>
        <v>0</v>
      </c>
      <c r="U223" s="16">
        <f t="shared" si="194"/>
        <v>0</v>
      </c>
      <c r="V223" s="16">
        <f t="shared" si="194"/>
        <v>0</v>
      </c>
      <c r="W223" s="16">
        <f t="shared" si="194"/>
        <v>0</v>
      </c>
      <c r="X223" s="16">
        <f t="shared" si="194"/>
        <v>0</v>
      </c>
      <c r="Y223" s="16">
        <f t="shared" si="194"/>
        <v>0</v>
      </c>
      <c r="Z223" s="16">
        <f t="shared" si="194"/>
        <v>0</v>
      </c>
      <c r="AA223" s="16">
        <f t="shared" si="194"/>
        <v>0</v>
      </c>
      <c r="AB223" s="16">
        <f t="shared" si="194"/>
        <v>0</v>
      </c>
      <c r="AC223" s="16">
        <f t="shared" si="194"/>
        <v>0</v>
      </c>
      <c r="AD223" s="16">
        <f t="shared" si="194"/>
        <v>0</v>
      </c>
      <c r="AE223" s="16">
        <f t="shared" si="194"/>
        <v>0</v>
      </c>
      <c r="AF223" s="16">
        <f t="shared" si="194"/>
        <v>0</v>
      </c>
      <c r="AG223" s="16">
        <f t="shared" si="194"/>
        <v>0</v>
      </c>
      <c r="AH223" s="16">
        <f t="shared" si="194"/>
        <v>0</v>
      </c>
      <c r="AI223" s="16">
        <f t="shared" si="194"/>
        <v>0</v>
      </c>
      <c r="AJ223" s="16">
        <f t="shared" si="194"/>
        <v>0</v>
      </c>
      <c r="AK223" s="16">
        <f t="shared" si="194"/>
        <v>0</v>
      </c>
      <c r="AL223" s="16">
        <f t="shared" si="194"/>
        <v>0</v>
      </c>
      <c r="AM223" s="16">
        <f t="shared" si="194"/>
        <v>0</v>
      </c>
      <c r="AN223" s="16">
        <f t="shared" si="194"/>
        <v>0</v>
      </c>
      <c r="AO223" s="16">
        <f t="shared" si="194"/>
        <v>0</v>
      </c>
      <c r="AP223" s="16">
        <f t="shared" si="194"/>
        <v>0</v>
      </c>
      <c r="AQ223" s="16">
        <f t="shared" si="194"/>
        <v>0</v>
      </c>
      <c r="AR223" s="16">
        <f t="shared" si="194"/>
        <v>0</v>
      </c>
    </row>
    <row r="224" spans="1:44" s="15" customFormat="1" x14ac:dyDescent="0.15">
      <c r="A224" s="19" t="s">
        <v>919</v>
      </c>
      <c r="B224" s="16">
        <f t="shared" ref="B224:AR224" si="195">B$227*$Q11/$Q$14</f>
        <v>0</v>
      </c>
      <c r="C224" s="16">
        <f t="shared" si="195"/>
        <v>0</v>
      </c>
      <c r="D224" s="16">
        <f t="shared" si="195"/>
        <v>0</v>
      </c>
      <c r="E224" s="16">
        <f t="shared" si="195"/>
        <v>0</v>
      </c>
      <c r="F224" s="16">
        <f t="shared" si="195"/>
        <v>0</v>
      </c>
      <c r="G224" s="16">
        <f t="shared" si="195"/>
        <v>0</v>
      </c>
      <c r="H224" s="16">
        <f t="shared" si="195"/>
        <v>0</v>
      </c>
      <c r="I224" s="16">
        <f t="shared" si="195"/>
        <v>0</v>
      </c>
      <c r="J224" s="16">
        <f t="shared" si="195"/>
        <v>0</v>
      </c>
      <c r="K224" s="16">
        <f t="shared" si="195"/>
        <v>0</v>
      </c>
      <c r="L224" s="16">
        <f t="shared" si="195"/>
        <v>0</v>
      </c>
      <c r="M224" s="16">
        <f t="shared" si="195"/>
        <v>0</v>
      </c>
      <c r="N224" s="16">
        <f t="shared" si="195"/>
        <v>0</v>
      </c>
      <c r="O224" s="16">
        <f t="shared" si="195"/>
        <v>0</v>
      </c>
      <c r="P224" s="16">
        <f t="shared" si="195"/>
        <v>0</v>
      </c>
      <c r="Q224" s="16">
        <f t="shared" si="195"/>
        <v>0</v>
      </c>
      <c r="R224" s="16">
        <f t="shared" si="195"/>
        <v>0</v>
      </c>
      <c r="S224" s="16">
        <f t="shared" si="195"/>
        <v>0</v>
      </c>
      <c r="T224" s="16">
        <f t="shared" si="195"/>
        <v>0</v>
      </c>
      <c r="U224" s="16">
        <f t="shared" si="195"/>
        <v>0</v>
      </c>
      <c r="V224" s="16">
        <f t="shared" si="195"/>
        <v>0</v>
      </c>
      <c r="W224" s="16">
        <f t="shared" si="195"/>
        <v>0</v>
      </c>
      <c r="X224" s="16">
        <f t="shared" si="195"/>
        <v>0</v>
      </c>
      <c r="Y224" s="16">
        <f t="shared" si="195"/>
        <v>0</v>
      </c>
      <c r="Z224" s="16">
        <f t="shared" si="195"/>
        <v>0</v>
      </c>
      <c r="AA224" s="16">
        <f t="shared" si="195"/>
        <v>0</v>
      </c>
      <c r="AB224" s="16">
        <f t="shared" si="195"/>
        <v>0</v>
      </c>
      <c r="AC224" s="16">
        <f t="shared" si="195"/>
        <v>0</v>
      </c>
      <c r="AD224" s="16">
        <f t="shared" si="195"/>
        <v>0</v>
      </c>
      <c r="AE224" s="16">
        <f t="shared" si="195"/>
        <v>0</v>
      </c>
      <c r="AF224" s="16">
        <f t="shared" si="195"/>
        <v>0</v>
      </c>
      <c r="AG224" s="16">
        <f t="shared" si="195"/>
        <v>0</v>
      </c>
      <c r="AH224" s="16">
        <f t="shared" si="195"/>
        <v>0</v>
      </c>
      <c r="AI224" s="16">
        <f t="shared" si="195"/>
        <v>0</v>
      </c>
      <c r="AJ224" s="16">
        <f t="shared" si="195"/>
        <v>0</v>
      </c>
      <c r="AK224" s="16">
        <f t="shared" si="195"/>
        <v>0</v>
      </c>
      <c r="AL224" s="16">
        <f t="shared" si="195"/>
        <v>0</v>
      </c>
      <c r="AM224" s="16">
        <f t="shared" si="195"/>
        <v>0</v>
      </c>
      <c r="AN224" s="16">
        <f t="shared" si="195"/>
        <v>0</v>
      </c>
      <c r="AO224" s="16">
        <f t="shared" si="195"/>
        <v>0</v>
      </c>
      <c r="AP224" s="16">
        <f t="shared" si="195"/>
        <v>0</v>
      </c>
      <c r="AQ224" s="16">
        <f t="shared" si="195"/>
        <v>0</v>
      </c>
      <c r="AR224" s="16">
        <f t="shared" si="195"/>
        <v>0</v>
      </c>
    </row>
    <row r="225" spans="1:44" s="15" customFormat="1" x14ac:dyDescent="0.15">
      <c r="A225" s="19" t="s">
        <v>920</v>
      </c>
      <c r="B225" s="16">
        <f t="shared" ref="B225:AR225" si="196">B$227*$Q12/$Q$14</f>
        <v>0</v>
      </c>
      <c r="C225" s="16">
        <f t="shared" si="196"/>
        <v>0</v>
      </c>
      <c r="D225" s="16">
        <f t="shared" si="196"/>
        <v>0</v>
      </c>
      <c r="E225" s="16">
        <f t="shared" si="196"/>
        <v>0</v>
      </c>
      <c r="F225" s="16">
        <f t="shared" si="196"/>
        <v>0</v>
      </c>
      <c r="G225" s="16">
        <f t="shared" si="196"/>
        <v>0</v>
      </c>
      <c r="H225" s="16">
        <f t="shared" si="196"/>
        <v>0</v>
      </c>
      <c r="I225" s="16">
        <f t="shared" si="196"/>
        <v>0</v>
      </c>
      <c r="J225" s="16">
        <f t="shared" si="196"/>
        <v>0</v>
      </c>
      <c r="K225" s="16">
        <f t="shared" si="196"/>
        <v>0</v>
      </c>
      <c r="L225" s="16">
        <f t="shared" si="196"/>
        <v>0</v>
      </c>
      <c r="M225" s="16">
        <f t="shared" si="196"/>
        <v>0</v>
      </c>
      <c r="N225" s="16">
        <f t="shared" si="196"/>
        <v>0</v>
      </c>
      <c r="O225" s="16">
        <f t="shared" si="196"/>
        <v>0</v>
      </c>
      <c r="P225" s="16">
        <f t="shared" si="196"/>
        <v>0</v>
      </c>
      <c r="Q225" s="16">
        <f t="shared" si="196"/>
        <v>0</v>
      </c>
      <c r="R225" s="16">
        <f t="shared" si="196"/>
        <v>0</v>
      </c>
      <c r="S225" s="16">
        <f t="shared" si="196"/>
        <v>0</v>
      </c>
      <c r="T225" s="16">
        <f t="shared" si="196"/>
        <v>0</v>
      </c>
      <c r="U225" s="16">
        <f t="shared" si="196"/>
        <v>0</v>
      </c>
      <c r="V225" s="16">
        <f t="shared" si="196"/>
        <v>0</v>
      </c>
      <c r="W225" s="16">
        <f t="shared" si="196"/>
        <v>0</v>
      </c>
      <c r="X225" s="16">
        <f t="shared" si="196"/>
        <v>0</v>
      </c>
      <c r="Y225" s="16">
        <f t="shared" si="196"/>
        <v>0</v>
      </c>
      <c r="Z225" s="16">
        <f t="shared" si="196"/>
        <v>0</v>
      </c>
      <c r="AA225" s="16">
        <f t="shared" si="196"/>
        <v>0</v>
      </c>
      <c r="AB225" s="16">
        <f t="shared" si="196"/>
        <v>0</v>
      </c>
      <c r="AC225" s="16">
        <f t="shared" si="196"/>
        <v>0</v>
      </c>
      <c r="AD225" s="16">
        <f t="shared" si="196"/>
        <v>0</v>
      </c>
      <c r="AE225" s="16">
        <f t="shared" si="196"/>
        <v>0</v>
      </c>
      <c r="AF225" s="16">
        <f t="shared" si="196"/>
        <v>0</v>
      </c>
      <c r="AG225" s="16">
        <f t="shared" si="196"/>
        <v>0</v>
      </c>
      <c r="AH225" s="16">
        <f t="shared" si="196"/>
        <v>0</v>
      </c>
      <c r="AI225" s="16">
        <f t="shared" si="196"/>
        <v>0</v>
      </c>
      <c r="AJ225" s="16">
        <f t="shared" si="196"/>
        <v>0</v>
      </c>
      <c r="AK225" s="16">
        <f t="shared" si="196"/>
        <v>0</v>
      </c>
      <c r="AL225" s="16">
        <f t="shared" si="196"/>
        <v>0</v>
      </c>
      <c r="AM225" s="16">
        <f t="shared" si="196"/>
        <v>0</v>
      </c>
      <c r="AN225" s="16">
        <f t="shared" si="196"/>
        <v>0</v>
      </c>
      <c r="AO225" s="16">
        <f t="shared" si="196"/>
        <v>0</v>
      </c>
      <c r="AP225" s="16">
        <f t="shared" si="196"/>
        <v>0</v>
      </c>
      <c r="AQ225" s="16">
        <f t="shared" si="196"/>
        <v>0</v>
      </c>
      <c r="AR225" s="16">
        <f t="shared" si="196"/>
        <v>0</v>
      </c>
    </row>
    <row r="226" spans="1:44" s="15" customFormat="1" x14ac:dyDescent="0.15">
      <c r="A226" s="19" t="s">
        <v>921</v>
      </c>
      <c r="B226" s="16">
        <f t="shared" ref="B226:AR226" si="197">B$227*$Q13/$Q$14</f>
        <v>0</v>
      </c>
      <c r="C226" s="16">
        <f t="shared" si="197"/>
        <v>0</v>
      </c>
      <c r="D226" s="16">
        <f t="shared" si="197"/>
        <v>0</v>
      </c>
      <c r="E226" s="16">
        <f t="shared" si="197"/>
        <v>0</v>
      </c>
      <c r="F226" s="16">
        <f t="shared" si="197"/>
        <v>0</v>
      </c>
      <c r="G226" s="16">
        <f t="shared" si="197"/>
        <v>0</v>
      </c>
      <c r="H226" s="16">
        <f t="shared" si="197"/>
        <v>0</v>
      </c>
      <c r="I226" s="16">
        <f t="shared" si="197"/>
        <v>0</v>
      </c>
      <c r="J226" s="16">
        <f t="shared" si="197"/>
        <v>0</v>
      </c>
      <c r="K226" s="16">
        <f t="shared" si="197"/>
        <v>0</v>
      </c>
      <c r="L226" s="16">
        <f t="shared" si="197"/>
        <v>0</v>
      </c>
      <c r="M226" s="16">
        <f t="shared" si="197"/>
        <v>0</v>
      </c>
      <c r="N226" s="16">
        <f t="shared" si="197"/>
        <v>0</v>
      </c>
      <c r="O226" s="16">
        <f t="shared" si="197"/>
        <v>0</v>
      </c>
      <c r="P226" s="16">
        <f t="shared" si="197"/>
        <v>0</v>
      </c>
      <c r="Q226" s="16">
        <f t="shared" si="197"/>
        <v>0</v>
      </c>
      <c r="R226" s="16">
        <f t="shared" si="197"/>
        <v>0</v>
      </c>
      <c r="S226" s="16">
        <f t="shared" si="197"/>
        <v>0</v>
      </c>
      <c r="T226" s="16">
        <f t="shared" si="197"/>
        <v>0</v>
      </c>
      <c r="U226" s="16">
        <f t="shared" si="197"/>
        <v>0</v>
      </c>
      <c r="V226" s="16">
        <f t="shared" si="197"/>
        <v>0</v>
      </c>
      <c r="W226" s="16">
        <f t="shared" si="197"/>
        <v>0</v>
      </c>
      <c r="X226" s="16">
        <f t="shared" si="197"/>
        <v>0</v>
      </c>
      <c r="Y226" s="16">
        <f t="shared" si="197"/>
        <v>0</v>
      </c>
      <c r="Z226" s="16">
        <f t="shared" si="197"/>
        <v>0</v>
      </c>
      <c r="AA226" s="16">
        <f t="shared" si="197"/>
        <v>0</v>
      </c>
      <c r="AB226" s="16">
        <f t="shared" si="197"/>
        <v>0</v>
      </c>
      <c r="AC226" s="16">
        <f t="shared" si="197"/>
        <v>0</v>
      </c>
      <c r="AD226" s="16">
        <f t="shared" si="197"/>
        <v>0</v>
      </c>
      <c r="AE226" s="16">
        <f t="shared" si="197"/>
        <v>0</v>
      </c>
      <c r="AF226" s="16">
        <f t="shared" si="197"/>
        <v>0</v>
      </c>
      <c r="AG226" s="16">
        <f t="shared" si="197"/>
        <v>0</v>
      </c>
      <c r="AH226" s="16">
        <f t="shared" si="197"/>
        <v>0</v>
      </c>
      <c r="AI226" s="16">
        <f t="shared" si="197"/>
        <v>0</v>
      </c>
      <c r="AJ226" s="16">
        <f t="shared" si="197"/>
        <v>0</v>
      </c>
      <c r="AK226" s="16">
        <f t="shared" si="197"/>
        <v>0</v>
      </c>
      <c r="AL226" s="16">
        <f t="shared" si="197"/>
        <v>0</v>
      </c>
      <c r="AM226" s="16">
        <f t="shared" si="197"/>
        <v>0</v>
      </c>
      <c r="AN226" s="16">
        <f t="shared" si="197"/>
        <v>0</v>
      </c>
      <c r="AO226" s="16">
        <f t="shared" si="197"/>
        <v>0</v>
      </c>
      <c r="AP226" s="16">
        <f t="shared" si="197"/>
        <v>0</v>
      </c>
      <c r="AQ226" s="16">
        <f t="shared" si="197"/>
        <v>0</v>
      </c>
      <c r="AR226" s="16">
        <f t="shared" si="197"/>
        <v>0</v>
      </c>
    </row>
    <row r="227" spans="1:44" s="17" customFormat="1" x14ac:dyDescent="0.15">
      <c r="A227" s="19" t="s">
        <v>911</v>
      </c>
      <c r="B227" s="17">
        <f>BAU建筑总能耗计算!B$3*$Q$16</f>
        <v>7060.0144651517348</v>
      </c>
      <c r="C227" s="17">
        <f>BAU建筑总能耗计算!C$3*$Q$16</f>
        <v>7152.5476086512008</v>
      </c>
      <c r="D227" s="17">
        <f>BAU建筑总能耗计算!D$3*$Q$16</f>
        <v>7279.066454758</v>
      </c>
      <c r="E227" s="17">
        <f>BAU建筑总能耗计算!E$3*$Q$16</f>
        <v>7337.1839161889766</v>
      </c>
      <c r="F227" s="17">
        <f>BAU建筑总能耗计算!F$3*$Q$16</f>
        <v>7393.5673471214968</v>
      </c>
      <c r="G227" s="17">
        <f>BAU建筑总能耗计算!G$3*$Q$16</f>
        <v>7448.1781343002931</v>
      </c>
      <c r="H227" s="17">
        <f>BAU建筑总能耗计算!H$3*$Q$16</f>
        <v>7500.9813179536441</v>
      </c>
      <c r="I227" s="17">
        <f>BAU建筑总能耗计算!I$3*$Q$16</f>
        <v>7551.9461486958462</v>
      </c>
      <c r="J227" s="17">
        <f>BAU建筑总能耗计算!J$3*$Q$16</f>
        <v>7601.0458253372144</v>
      </c>
      <c r="K227" s="17">
        <f>BAU建筑总能耗计算!K$3*$Q$16</f>
        <v>7648.2582855516393</v>
      </c>
      <c r="L227" s="17">
        <f>BAU建筑总能耗计算!L$3*$Q$16</f>
        <v>7693.5659582662292</v>
      </c>
      <c r="M227" s="17">
        <f>BAU建筑总能耗计算!M$3*$Q$16</f>
        <v>7736.9563004545635</v>
      </c>
      <c r="N227" s="17">
        <f>BAU建筑总能耗计算!N$3*$Q$16</f>
        <v>7778.4219874266873</v>
      </c>
      <c r="O227" s="17">
        <f>BAU建筑总能耗计算!O$3*$Q$16</f>
        <v>7817.9610564366585</v>
      </c>
      <c r="P227" s="17">
        <f>BAU建筑总能耗计算!P$3*$Q$16</f>
        <v>7855.5774934474248</v>
      </c>
      <c r="Q227" s="17">
        <f>BAU建筑总能耗计算!Q$3*$Q$16</f>
        <v>7891.2810892880161</v>
      </c>
      <c r="R227" s="17">
        <f>BAU建筑总能耗计算!R$3*$Q$16</f>
        <v>7925.088096069614</v>
      </c>
      <c r="S227" s="17">
        <f>BAU建筑总能耗计算!S$3*$Q$16</f>
        <v>7957.0212980423421</v>
      </c>
      <c r="T227" s="17">
        <f>BAU建筑总能耗计算!T$3*$Q$16</f>
        <v>7987.1104173955482</v>
      </c>
      <c r="U227" s="17">
        <f>BAU建筑总能耗计算!U$3*$Q$16</f>
        <v>8015.3925165500859</v>
      </c>
      <c r="V227" s="17">
        <f>BAU建筑总能耗计算!V$3*$Q$16</f>
        <v>8041.9120285563713</v>
      </c>
      <c r="W227" s="17">
        <f>BAU建筑总能耗计算!W$3*$Q$16</f>
        <v>8066.7213995418697</v>
      </c>
      <c r="X227" s="17">
        <f>BAU建筑总能耗计算!X$3*$Q$16</f>
        <v>8089.8813382776443</v>
      </c>
      <c r="Y227" s="17">
        <f>BAU建筑总能耗计算!Y$3*$Q$16</f>
        <v>8111.461197270607</v>
      </c>
      <c r="Z227" s="17">
        <f>BAU建筑总能耗计算!Z$3*$Q$16</f>
        <v>8131.539172102418</v>
      </c>
      <c r="AA227" s="17">
        <f>BAU建筑总能耗计算!AA$3*$Q$16</f>
        <v>8150.2028105574391</v>
      </c>
      <c r="AB227" s="17">
        <f>BAU建筑总能耗计算!AB$3*$Q$16</f>
        <v>8167.5495824876625</v>
      </c>
      <c r="AC227" s="17">
        <f>BAU建筑总能耗计算!AC$3*$Q$16</f>
        <v>8183.6869225537766</v>
      </c>
      <c r="AD227" s="17">
        <f>BAU建筑总能耗计算!AD$3*$Q$16</f>
        <v>8198.7327327444491</v>
      </c>
      <c r="AE227" s="17">
        <f>BAU建筑总能耗计算!AE$3*$Q$16</f>
        <v>8212.8161920463062</v>
      </c>
      <c r="AF227" s="17">
        <f>BAU建筑总能耗计算!AF$3*$Q$16</f>
        <v>8226.0776095800902</v>
      </c>
      <c r="AG227" s="17">
        <f>BAU建筑总能耗计算!AG$3*$Q$16</f>
        <v>8238.6691822987232</v>
      </c>
      <c r="AH227" s="17">
        <f>BAU建筑总能耗计算!AH$3*$Q$16</f>
        <v>8250.7555878808653</v>
      </c>
      <c r="AI227" s="17">
        <f>BAU建筑总能耗计算!AI$3*$Q$16</f>
        <v>8262.5139907070297</v>
      </c>
      <c r="AJ227" s="17">
        <f>BAU建筑总能耗计算!AJ$3*$Q$16</f>
        <v>8274.1351748937723</v>
      </c>
      <c r="AK227" s="17">
        <f>BAU建筑总能耗计算!AK$3*$Q$16</f>
        <v>8285.823286165858</v>
      </c>
      <c r="AL227" s="17">
        <f>BAU建筑总能耗计算!AL$3*$Q$16</f>
        <v>8297.7970873904014</v>
      </c>
      <c r="AM227" s="17">
        <f>BAU建筑总能耗计算!AM$3*$Q$16</f>
        <v>8310.2900165386454</v>
      </c>
      <c r="AN227" s="17">
        <f>BAU建筑总能耗计算!AN$3*$Q$16</f>
        <v>8323.5508182358135</v>
      </c>
      <c r="AO227" s="17">
        <f>BAU建筑总能耗计算!AO$3*$Q$16</f>
        <v>8337.8441203005696</v>
      </c>
      <c r="AP227" s="17">
        <f>BAU建筑总能耗计算!AP$3*$Q$16</f>
        <v>8353.4510266867801</v>
      </c>
      <c r="AQ227" s="17">
        <f>BAU建筑总能耗计算!AQ$3*$Q$16</f>
        <v>8370.6698673584251</v>
      </c>
      <c r="AR227" s="17">
        <f>BAU建筑总能耗计算!AR$3*$Q$16</f>
        <v>8389.8163736057904</v>
      </c>
    </row>
    <row r="228" spans="1:44" s="15" customFormat="1" x14ac:dyDescent="0.15"/>
    <row r="229" spans="1:44" s="19" customFormat="1" x14ac:dyDescent="0.15">
      <c r="A229" s="18" t="s">
        <v>24</v>
      </c>
      <c r="B229" s="19">
        <v>2018</v>
      </c>
      <c r="C229" s="19">
        <v>2019</v>
      </c>
      <c r="D229" s="19">
        <v>2020</v>
      </c>
      <c r="E229" s="19">
        <v>2021</v>
      </c>
      <c r="F229" s="19">
        <v>2022</v>
      </c>
      <c r="G229" s="19">
        <v>2023</v>
      </c>
      <c r="H229" s="19">
        <v>2024</v>
      </c>
      <c r="I229" s="19">
        <v>2025</v>
      </c>
      <c r="J229" s="19">
        <v>2026</v>
      </c>
      <c r="K229" s="19">
        <v>2027</v>
      </c>
      <c r="L229" s="19">
        <v>2028</v>
      </c>
      <c r="M229" s="19">
        <v>2029</v>
      </c>
      <c r="N229" s="19">
        <v>2030</v>
      </c>
      <c r="O229" s="19">
        <v>2031</v>
      </c>
      <c r="P229" s="19">
        <v>2032</v>
      </c>
      <c r="Q229" s="19">
        <v>2033</v>
      </c>
      <c r="R229" s="19">
        <v>2034</v>
      </c>
      <c r="S229" s="19">
        <v>2035</v>
      </c>
      <c r="T229" s="19">
        <v>2036</v>
      </c>
      <c r="U229" s="19">
        <v>2037</v>
      </c>
      <c r="V229" s="19">
        <v>2038</v>
      </c>
      <c r="W229" s="19">
        <v>2039</v>
      </c>
      <c r="X229" s="19">
        <v>2040</v>
      </c>
      <c r="Y229" s="19">
        <v>2041</v>
      </c>
      <c r="Z229" s="19">
        <v>2042</v>
      </c>
      <c r="AA229" s="19">
        <v>2043</v>
      </c>
      <c r="AB229" s="19">
        <v>2044</v>
      </c>
      <c r="AC229" s="19">
        <v>2045</v>
      </c>
      <c r="AD229" s="19">
        <v>2046</v>
      </c>
      <c r="AE229" s="19">
        <v>2047</v>
      </c>
      <c r="AF229" s="19">
        <v>2048</v>
      </c>
      <c r="AG229" s="19">
        <v>2049</v>
      </c>
      <c r="AH229" s="19">
        <v>2050</v>
      </c>
      <c r="AI229" s="19">
        <v>2051</v>
      </c>
      <c r="AJ229" s="19">
        <v>2052</v>
      </c>
      <c r="AK229" s="19">
        <v>2053</v>
      </c>
      <c r="AL229" s="19">
        <v>2054</v>
      </c>
      <c r="AM229" s="19">
        <v>2055</v>
      </c>
      <c r="AN229" s="19">
        <v>2056</v>
      </c>
      <c r="AO229" s="19">
        <v>2057</v>
      </c>
      <c r="AP229" s="19">
        <v>2058</v>
      </c>
      <c r="AQ229" s="19">
        <v>2059</v>
      </c>
      <c r="AR229" s="19">
        <v>2060</v>
      </c>
    </row>
    <row r="230" spans="1:44" s="15" customFormat="1" x14ac:dyDescent="0.15">
      <c r="A230" s="19" t="s">
        <v>912</v>
      </c>
      <c r="B230" s="16">
        <f t="shared" ref="B230:AR230" si="198">B$240*$R4/$R$14</f>
        <v>4539.6988800310473</v>
      </c>
      <c r="C230" s="16">
        <f t="shared" si="198"/>
        <v>4599.1991275140745</v>
      </c>
      <c r="D230" s="16">
        <f t="shared" si="198"/>
        <v>4680.5527092678913</v>
      </c>
      <c r="E230" s="16">
        <f t="shared" si="198"/>
        <v>4717.9231390128652</v>
      </c>
      <c r="F230" s="16">
        <f t="shared" si="198"/>
        <v>4754.178560233333</v>
      </c>
      <c r="G230" s="16">
        <f t="shared" si="198"/>
        <v>4789.2941440068389</v>
      </c>
      <c r="H230" s="16">
        <f t="shared" si="198"/>
        <v>4823.2474106575519</v>
      </c>
      <c r="I230" s="16">
        <f t="shared" si="198"/>
        <v>4856.0185878532029</v>
      </c>
      <c r="J230" s="16">
        <f t="shared" si="198"/>
        <v>4887.5904420128409</v>
      </c>
      <c r="K230" s="16">
        <f t="shared" si="198"/>
        <v>4917.948786718347</v>
      </c>
      <c r="L230" s="16">
        <f t="shared" si="198"/>
        <v>4947.0823234971303</v>
      </c>
      <c r="M230" s="16">
        <f t="shared" si="198"/>
        <v>4974.9829869885198</v>
      </c>
      <c r="N230" s="16">
        <f t="shared" si="198"/>
        <v>5001.6460673031897</v>
      </c>
      <c r="O230" s="16">
        <f t="shared" si="198"/>
        <v>5027.0703023650331</v>
      </c>
      <c r="P230" s="16">
        <f t="shared" si="198"/>
        <v>5051.2582552100939</v>
      </c>
      <c r="Q230" s="16">
        <f t="shared" si="198"/>
        <v>5074.2162214934015</v>
      </c>
      <c r="R230" s="16">
        <f t="shared" si="198"/>
        <v>5095.9546515746943</v>
      </c>
      <c r="S230" s="16">
        <f t="shared" si="198"/>
        <v>5116.4881960804396</v>
      </c>
      <c r="T230" s="16">
        <f t="shared" si="198"/>
        <v>5135.8359668397079</v>
      </c>
      <c r="U230" s="16">
        <f t="shared" si="198"/>
        <v>5154.0217955643548</v>
      </c>
      <c r="V230" s="16">
        <f t="shared" si="198"/>
        <v>5171.0742533954481</v>
      </c>
      <c r="W230" s="16">
        <f t="shared" si="198"/>
        <v>5187.0270640069648</v>
      </c>
      <c r="X230" s="16">
        <f t="shared" si="198"/>
        <v>5201.9192640809661</v>
      </c>
      <c r="Y230" s="16">
        <f t="shared" si="198"/>
        <v>5215.7954483558215</v>
      </c>
      <c r="Z230" s="16">
        <f t="shared" si="198"/>
        <v>5228.7058978042141</v>
      </c>
      <c r="AA230" s="16">
        <f t="shared" si="198"/>
        <v>5240.7069070103253</v>
      </c>
      <c r="AB230" s="16">
        <f t="shared" si="198"/>
        <v>5251.8611506018206</v>
      </c>
      <c r="AC230" s="16">
        <f t="shared" si="198"/>
        <v>5262.2377107330249</v>
      </c>
      <c r="AD230" s="16">
        <f t="shared" si="198"/>
        <v>5271.9124002126146</v>
      </c>
      <c r="AE230" s="16">
        <f t="shared" si="198"/>
        <v>5280.9682831339869</v>
      </c>
      <c r="AF230" s="16">
        <f t="shared" si="198"/>
        <v>5289.4955804395231</v>
      </c>
      <c r="AG230" s="16">
        <f t="shared" si="198"/>
        <v>5297.5921571322151</v>
      </c>
      <c r="AH230" s="16">
        <f t="shared" si="198"/>
        <v>5305.3639035154101</v>
      </c>
      <c r="AI230" s="16">
        <f t="shared" si="198"/>
        <v>5312.9247390355604</v>
      </c>
      <c r="AJ230" s="16">
        <f t="shared" si="198"/>
        <v>5320.3973408407828</v>
      </c>
      <c r="AK230" s="16">
        <f t="shared" si="198"/>
        <v>5327.9129778006609</v>
      </c>
      <c r="AL230" s="16">
        <f t="shared" si="198"/>
        <v>5335.6123178341813</v>
      </c>
      <c r="AM230" s="16">
        <f t="shared" si="198"/>
        <v>5343.6454651800577</v>
      </c>
      <c r="AN230" s="16">
        <f t="shared" si="198"/>
        <v>5352.1723664930933</v>
      </c>
      <c r="AO230" s="16">
        <f t="shared" si="198"/>
        <v>5361.363181567991</v>
      </c>
      <c r="AP230" s="16">
        <f t="shared" si="198"/>
        <v>5371.398664610123</v>
      </c>
      <c r="AQ230" s="16">
        <f t="shared" si="198"/>
        <v>5382.4706464167248</v>
      </c>
      <c r="AR230" s="16">
        <f t="shared" si="198"/>
        <v>5394.7821471079333</v>
      </c>
    </row>
    <row r="231" spans="1:44" s="15" customFormat="1" x14ac:dyDescent="0.15">
      <c r="A231" s="19" t="s">
        <v>913</v>
      </c>
      <c r="B231" s="16">
        <f t="shared" ref="B231:AR231" si="199">B$240*$R5/$R$14</f>
        <v>0</v>
      </c>
      <c r="C231" s="16">
        <f t="shared" si="199"/>
        <v>0</v>
      </c>
      <c r="D231" s="16">
        <f t="shared" si="199"/>
        <v>0</v>
      </c>
      <c r="E231" s="16">
        <f t="shared" si="199"/>
        <v>0</v>
      </c>
      <c r="F231" s="16">
        <f t="shared" si="199"/>
        <v>0</v>
      </c>
      <c r="G231" s="16">
        <f t="shared" si="199"/>
        <v>0</v>
      </c>
      <c r="H231" s="16">
        <f t="shared" si="199"/>
        <v>0</v>
      </c>
      <c r="I231" s="16">
        <f t="shared" si="199"/>
        <v>0</v>
      </c>
      <c r="J231" s="16">
        <f t="shared" si="199"/>
        <v>0</v>
      </c>
      <c r="K231" s="16">
        <f t="shared" si="199"/>
        <v>0</v>
      </c>
      <c r="L231" s="16">
        <f t="shared" si="199"/>
        <v>0</v>
      </c>
      <c r="M231" s="16">
        <f t="shared" si="199"/>
        <v>0</v>
      </c>
      <c r="N231" s="16">
        <f t="shared" si="199"/>
        <v>0</v>
      </c>
      <c r="O231" s="16">
        <f t="shared" si="199"/>
        <v>0</v>
      </c>
      <c r="P231" s="16">
        <f t="shared" si="199"/>
        <v>0</v>
      </c>
      <c r="Q231" s="16">
        <f t="shared" si="199"/>
        <v>0</v>
      </c>
      <c r="R231" s="16">
        <f t="shared" si="199"/>
        <v>0</v>
      </c>
      <c r="S231" s="16">
        <f t="shared" si="199"/>
        <v>0</v>
      </c>
      <c r="T231" s="16">
        <f t="shared" si="199"/>
        <v>0</v>
      </c>
      <c r="U231" s="16">
        <f t="shared" si="199"/>
        <v>0</v>
      </c>
      <c r="V231" s="16">
        <f t="shared" si="199"/>
        <v>0</v>
      </c>
      <c r="W231" s="16">
        <f t="shared" si="199"/>
        <v>0</v>
      </c>
      <c r="X231" s="16">
        <f t="shared" si="199"/>
        <v>0</v>
      </c>
      <c r="Y231" s="16">
        <f t="shared" si="199"/>
        <v>0</v>
      </c>
      <c r="Z231" s="16">
        <f t="shared" si="199"/>
        <v>0</v>
      </c>
      <c r="AA231" s="16">
        <f t="shared" si="199"/>
        <v>0</v>
      </c>
      <c r="AB231" s="16">
        <f t="shared" si="199"/>
        <v>0</v>
      </c>
      <c r="AC231" s="16">
        <f t="shared" si="199"/>
        <v>0</v>
      </c>
      <c r="AD231" s="16">
        <f t="shared" si="199"/>
        <v>0</v>
      </c>
      <c r="AE231" s="16">
        <f t="shared" si="199"/>
        <v>0</v>
      </c>
      <c r="AF231" s="16">
        <f t="shared" si="199"/>
        <v>0</v>
      </c>
      <c r="AG231" s="16">
        <f t="shared" si="199"/>
        <v>0</v>
      </c>
      <c r="AH231" s="16">
        <f t="shared" si="199"/>
        <v>0</v>
      </c>
      <c r="AI231" s="16">
        <f t="shared" si="199"/>
        <v>0</v>
      </c>
      <c r="AJ231" s="16">
        <f t="shared" si="199"/>
        <v>0</v>
      </c>
      <c r="AK231" s="16">
        <f t="shared" si="199"/>
        <v>0</v>
      </c>
      <c r="AL231" s="16">
        <f t="shared" si="199"/>
        <v>0</v>
      </c>
      <c r="AM231" s="16">
        <f t="shared" si="199"/>
        <v>0</v>
      </c>
      <c r="AN231" s="16">
        <f t="shared" si="199"/>
        <v>0</v>
      </c>
      <c r="AO231" s="16">
        <f t="shared" si="199"/>
        <v>0</v>
      </c>
      <c r="AP231" s="16">
        <f t="shared" si="199"/>
        <v>0</v>
      </c>
      <c r="AQ231" s="16">
        <f t="shared" si="199"/>
        <v>0</v>
      </c>
      <c r="AR231" s="16">
        <f t="shared" si="199"/>
        <v>0</v>
      </c>
    </row>
    <row r="232" spans="1:44" s="15" customFormat="1" x14ac:dyDescent="0.15">
      <c r="A232" s="19" t="s">
        <v>914</v>
      </c>
      <c r="B232" s="16">
        <f t="shared" ref="B232:AR232" si="200">B$240*$R6/$R$14</f>
        <v>3865.4768853585961</v>
      </c>
      <c r="C232" s="16">
        <f t="shared" si="200"/>
        <v>3916.1403406662712</v>
      </c>
      <c r="D232" s="16">
        <f t="shared" si="200"/>
        <v>3985.4115408319449</v>
      </c>
      <c r="E232" s="16">
        <f t="shared" si="200"/>
        <v>4017.2318302812141</v>
      </c>
      <c r="F232" s="16">
        <f t="shared" si="200"/>
        <v>4048.1027088130736</v>
      </c>
      <c r="G232" s="16">
        <f t="shared" si="200"/>
        <v>4078.0030350196066</v>
      </c>
      <c r="H232" s="16">
        <f t="shared" si="200"/>
        <v>4106.9136678366995</v>
      </c>
      <c r="I232" s="16">
        <f t="shared" si="200"/>
        <v>4134.8177714575359</v>
      </c>
      <c r="J232" s="16">
        <f t="shared" si="200"/>
        <v>4161.7006717791446</v>
      </c>
      <c r="K232" s="16">
        <f t="shared" si="200"/>
        <v>4187.5502893062176</v>
      </c>
      <c r="L232" s="16">
        <f t="shared" si="200"/>
        <v>4212.3570035802622</v>
      </c>
      <c r="M232" s="16">
        <f t="shared" si="200"/>
        <v>4236.1139470829548</v>
      </c>
      <c r="N232" s="16">
        <f t="shared" si="200"/>
        <v>4258.8171094231211</v>
      </c>
      <c r="O232" s="16">
        <f t="shared" si="200"/>
        <v>4280.4654159642832</v>
      </c>
      <c r="P232" s="16">
        <f t="shared" si="200"/>
        <v>4301.0610490883209</v>
      </c>
      <c r="Q232" s="16">
        <f t="shared" si="200"/>
        <v>4320.6093694391093</v>
      </c>
      <c r="R232" s="16">
        <f t="shared" si="200"/>
        <v>4339.1192753213809</v>
      </c>
      <c r="S232" s="16">
        <f t="shared" si="200"/>
        <v>4356.6032414960046</v>
      </c>
      <c r="T232" s="16">
        <f t="shared" si="200"/>
        <v>4373.077541362487</v>
      </c>
      <c r="U232" s="16">
        <f t="shared" si="200"/>
        <v>4388.5624672207705</v>
      </c>
      <c r="V232" s="16">
        <f t="shared" si="200"/>
        <v>4403.0823469146835</v>
      </c>
      <c r="W232" s="16">
        <f t="shared" si="200"/>
        <v>4416.6658955827625</v>
      </c>
      <c r="X232" s="16">
        <f t="shared" si="200"/>
        <v>4429.3463523001456</v>
      </c>
      <c r="Y232" s="16">
        <f t="shared" si="200"/>
        <v>4441.161688733001</v>
      </c>
      <c r="Z232" s="16">
        <f t="shared" si="200"/>
        <v>4452.1547182799322</v>
      </c>
      <c r="AA232" s="16">
        <f t="shared" si="200"/>
        <v>4462.3733748281138</v>
      </c>
      <c r="AB232" s="16">
        <f t="shared" si="200"/>
        <v>4471.8710247639374</v>
      </c>
      <c r="AC232" s="16">
        <f t="shared" si="200"/>
        <v>4480.706490374474</v>
      </c>
      <c r="AD232" s="16">
        <f t="shared" si="200"/>
        <v>4488.9443249852402</v>
      </c>
      <c r="AE232" s="16">
        <f t="shared" si="200"/>
        <v>4496.6552562681618</v>
      </c>
      <c r="AF232" s="16">
        <f t="shared" si="200"/>
        <v>4503.916105831142</v>
      </c>
      <c r="AG232" s="16">
        <f t="shared" si="200"/>
        <v>4510.8102040705207</v>
      </c>
      <c r="AH232" s="16">
        <f t="shared" si="200"/>
        <v>4517.4277147902849</v>
      </c>
      <c r="AI232" s="16">
        <f t="shared" si="200"/>
        <v>4523.8656384740998</v>
      </c>
      <c r="AJ232" s="16">
        <f t="shared" si="200"/>
        <v>4530.2284326406107</v>
      </c>
      <c r="AK232" s="16">
        <f t="shared" si="200"/>
        <v>4536.6278705141103</v>
      </c>
      <c r="AL232" s="16">
        <f t="shared" si="200"/>
        <v>4543.1837284506364</v>
      </c>
      <c r="AM232" s="16">
        <f t="shared" si="200"/>
        <v>4550.0238176730199</v>
      </c>
      <c r="AN232" s="16">
        <f t="shared" si="200"/>
        <v>4557.2843300550758</v>
      </c>
      <c r="AO232" s="16">
        <f t="shared" si="200"/>
        <v>4565.1101537866671</v>
      </c>
      <c r="AP232" s="16">
        <f t="shared" si="200"/>
        <v>4573.6551980193144</v>
      </c>
      <c r="AQ232" s="16">
        <f t="shared" si="200"/>
        <v>4583.0828034353453</v>
      </c>
      <c r="AR232" s="16">
        <f t="shared" si="200"/>
        <v>4593.56583823646</v>
      </c>
    </row>
    <row r="233" spans="1:44" s="15" customFormat="1" x14ac:dyDescent="0.15">
      <c r="A233" s="19" t="s">
        <v>915</v>
      </c>
      <c r="B233" s="16">
        <f t="shared" ref="B233:AR233" si="201">B$240*$R7/$R$14</f>
        <v>0</v>
      </c>
      <c r="C233" s="16">
        <f t="shared" si="201"/>
        <v>0</v>
      </c>
      <c r="D233" s="16">
        <f t="shared" si="201"/>
        <v>0</v>
      </c>
      <c r="E233" s="16">
        <f t="shared" si="201"/>
        <v>0</v>
      </c>
      <c r="F233" s="16">
        <f t="shared" si="201"/>
        <v>0</v>
      </c>
      <c r="G233" s="16">
        <f t="shared" si="201"/>
        <v>0</v>
      </c>
      <c r="H233" s="16">
        <f t="shared" si="201"/>
        <v>0</v>
      </c>
      <c r="I233" s="16">
        <f t="shared" si="201"/>
        <v>0</v>
      </c>
      <c r="J233" s="16">
        <f t="shared" si="201"/>
        <v>0</v>
      </c>
      <c r="K233" s="16">
        <f t="shared" si="201"/>
        <v>0</v>
      </c>
      <c r="L233" s="16">
        <f t="shared" si="201"/>
        <v>0</v>
      </c>
      <c r="M233" s="16">
        <f t="shared" si="201"/>
        <v>0</v>
      </c>
      <c r="N233" s="16">
        <f t="shared" si="201"/>
        <v>0</v>
      </c>
      <c r="O233" s="16">
        <f t="shared" si="201"/>
        <v>0</v>
      </c>
      <c r="P233" s="16">
        <f t="shared" si="201"/>
        <v>0</v>
      </c>
      <c r="Q233" s="16">
        <f t="shared" si="201"/>
        <v>0</v>
      </c>
      <c r="R233" s="16">
        <f t="shared" si="201"/>
        <v>0</v>
      </c>
      <c r="S233" s="16">
        <f t="shared" si="201"/>
        <v>0</v>
      </c>
      <c r="T233" s="16">
        <f t="shared" si="201"/>
        <v>0</v>
      </c>
      <c r="U233" s="16">
        <f t="shared" si="201"/>
        <v>0</v>
      </c>
      <c r="V233" s="16">
        <f t="shared" si="201"/>
        <v>0</v>
      </c>
      <c r="W233" s="16">
        <f t="shared" si="201"/>
        <v>0</v>
      </c>
      <c r="X233" s="16">
        <f t="shared" si="201"/>
        <v>0</v>
      </c>
      <c r="Y233" s="16">
        <f t="shared" si="201"/>
        <v>0</v>
      </c>
      <c r="Z233" s="16">
        <f t="shared" si="201"/>
        <v>0</v>
      </c>
      <c r="AA233" s="16">
        <f t="shared" si="201"/>
        <v>0</v>
      </c>
      <c r="AB233" s="16">
        <f t="shared" si="201"/>
        <v>0</v>
      </c>
      <c r="AC233" s="16">
        <f t="shared" si="201"/>
        <v>0</v>
      </c>
      <c r="AD233" s="16">
        <f t="shared" si="201"/>
        <v>0</v>
      </c>
      <c r="AE233" s="16">
        <f t="shared" si="201"/>
        <v>0</v>
      </c>
      <c r="AF233" s="16">
        <f t="shared" si="201"/>
        <v>0</v>
      </c>
      <c r="AG233" s="16">
        <f t="shared" si="201"/>
        <v>0</v>
      </c>
      <c r="AH233" s="16">
        <f t="shared" si="201"/>
        <v>0</v>
      </c>
      <c r="AI233" s="16">
        <f t="shared" si="201"/>
        <v>0</v>
      </c>
      <c r="AJ233" s="16">
        <f t="shared" si="201"/>
        <v>0</v>
      </c>
      <c r="AK233" s="16">
        <f t="shared" si="201"/>
        <v>0</v>
      </c>
      <c r="AL233" s="16">
        <f t="shared" si="201"/>
        <v>0</v>
      </c>
      <c r="AM233" s="16">
        <f t="shared" si="201"/>
        <v>0</v>
      </c>
      <c r="AN233" s="16">
        <f t="shared" si="201"/>
        <v>0</v>
      </c>
      <c r="AO233" s="16">
        <f t="shared" si="201"/>
        <v>0</v>
      </c>
      <c r="AP233" s="16">
        <f t="shared" si="201"/>
        <v>0</v>
      </c>
      <c r="AQ233" s="16">
        <f t="shared" si="201"/>
        <v>0</v>
      </c>
      <c r="AR233" s="16">
        <f t="shared" si="201"/>
        <v>0</v>
      </c>
    </row>
    <row r="234" spans="1:44" s="15" customFormat="1" x14ac:dyDescent="0.15">
      <c r="A234" s="19" t="s">
        <v>916</v>
      </c>
      <c r="B234" s="16">
        <f t="shared" ref="B234:AR234" si="202">B$240*$R8/$R$14</f>
        <v>0</v>
      </c>
      <c r="C234" s="16">
        <f t="shared" si="202"/>
        <v>0</v>
      </c>
      <c r="D234" s="16">
        <f t="shared" si="202"/>
        <v>0</v>
      </c>
      <c r="E234" s="16">
        <f t="shared" si="202"/>
        <v>0</v>
      </c>
      <c r="F234" s="16">
        <f t="shared" si="202"/>
        <v>0</v>
      </c>
      <c r="G234" s="16">
        <f t="shared" si="202"/>
        <v>0</v>
      </c>
      <c r="H234" s="16">
        <f t="shared" si="202"/>
        <v>0</v>
      </c>
      <c r="I234" s="16">
        <f t="shared" si="202"/>
        <v>0</v>
      </c>
      <c r="J234" s="16">
        <f t="shared" si="202"/>
        <v>0</v>
      </c>
      <c r="K234" s="16">
        <f t="shared" si="202"/>
        <v>0</v>
      </c>
      <c r="L234" s="16">
        <f t="shared" si="202"/>
        <v>0</v>
      </c>
      <c r="M234" s="16">
        <f t="shared" si="202"/>
        <v>0</v>
      </c>
      <c r="N234" s="16">
        <f t="shared" si="202"/>
        <v>0</v>
      </c>
      <c r="O234" s="16">
        <f t="shared" si="202"/>
        <v>0</v>
      </c>
      <c r="P234" s="16">
        <f t="shared" si="202"/>
        <v>0</v>
      </c>
      <c r="Q234" s="16">
        <f t="shared" si="202"/>
        <v>0</v>
      </c>
      <c r="R234" s="16">
        <f t="shared" si="202"/>
        <v>0</v>
      </c>
      <c r="S234" s="16">
        <f t="shared" si="202"/>
        <v>0</v>
      </c>
      <c r="T234" s="16">
        <f t="shared" si="202"/>
        <v>0</v>
      </c>
      <c r="U234" s="16">
        <f t="shared" si="202"/>
        <v>0</v>
      </c>
      <c r="V234" s="16">
        <f t="shared" si="202"/>
        <v>0</v>
      </c>
      <c r="W234" s="16">
        <f t="shared" si="202"/>
        <v>0</v>
      </c>
      <c r="X234" s="16">
        <f t="shared" si="202"/>
        <v>0</v>
      </c>
      <c r="Y234" s="16">
        <f t="shared" si="202"/>
        <v>0</v>
      </c>
      <c r="Z234" s="16">
        <f t="shared" si="202"/>
        <v>0</v>
      </c>
      <c r="AA234" s="16">
        <f t="shared" si="202"/>
        <v>0</v>
      </c>
      <c r="AB234" s="16">
        <f t="shared" si="202"/>
        <v>0</v>
      </c>
      <c r="AC234" s="16">
        <f t="shared" si="202"/>
        <v>0</v>
      </c>
      <c r="AD234" s="16">
        <f t="shared" si="202"/>
        <v>0</v>
      </c>
      <c r="AE234" s="16">
        <f t="shared" si="202"/>
        <v>0</v>
      </c>
      <c r="AF234" s="16">
        <f t="shared" si="202"/>
        <v>0</v>
      </c>
      <c r="AG234" s="16">
        <f t="shared" si="202"/>
        <v>0</v>
      </c>
      <c r="AH234" s="16">
        <f t="shared" si="202"/>
        <v>0</v>
      </c>
      <c r="AI234" s="16">
        <f t="shared" si="202"/>
        <v>0</v>
      </c>
      <c r="AJ234" s="16">
        <f t="shared" si="202"/>
        <v>0</v>
      </c>
      <c r="AK234" s="16">
        <f t="shared" si="202"/>
        <v>0</v>
      </c>
      <c r="AL234" s="16">
        <f t="shared" si="202"/>
        <v>0</v>
      </c>
      <c r="AM234" s="16">
        <f t="shared" si="202"/>
        <v>0</v>
      </c>
      <c r="AN234" s="16">
        <f t="shared" si="202"/>
        <v>0</v>
      </c>
      <c r="AO234" s="16">
        <f t="shared" si="202"/>
        <v>0</v>
      </c>
      <c r="AP234" s="16">
        <f t="shared" si="202"/>
        <v>0</v>
      </c>
      <c r="AQ234" s="16">
        <f t="shared" si="202"/>
        <v>0</v>
      </c>
      <c r="AR234" s="16">
        <f t="shared" si="202"/>
        <v>0</v>
      </c>
    </row>
    <row r="235" spans="1:44" s="15" customFormat="1" x14ac:dyDescent="0.15">
      <c r="A235" s="19" t="s">
        <v>917</v>
      </c>
      <c r="B235" s="16">
        <f t="shared" ref="B235:AR235" si="203">B$240*$R9/$R$14</f>
        <v>0</v>
      </c>
      <c r="C235" s="16">
        <f t="shared" si="203"/>
        <v>0</v>
      </c>
      <c r="D235" s="16">
        <f t="shared" si="203"/>
        <v>0</v>
      </c>
      <c r="E235" s="16">
        <f t="shared" si="203"/>
        <v>0</v>
      </c>
      <c r="F235" s="16">
        <f t="shared" si="203"/>
        <v>0</v>
      </c>
      <c r="G235" s="16">
        <f t="shared" si="203"/>
        <v>0</v>
      </c>
      <c r="H235" s="16">
        <f t="shared" si="203"/>
        <v>0</v>
      </c>
      <c r="I235" s="16">
        <f t="shared" si="203"/>
        <v>0</v>
      </c>
      <c r="J235" s="16">
        <f t="shared" si="203"/>
        <v>0</v>
      </c>
      <c r="K235" s="16">
        <f t="shared" si="203"/>
        <v>0</v>
      </c>
      <c r="L235" s="16">
        <f t="shared" si="203"/>
        <v>0</v>
      </c>
      <c r="M235" s="16">
        <f t="shared" si="203"/>
        <v>0</v>
      </c>
      <c r="N235" s="16">
        <f t="shared" si="203"/>
        <v>0</v>
      </c>
      <c r="O235" s="16">
        <f t="shared" si="203"/>
        <v>0</v>
      </c>
      <c r="P235" s="16">
        <f t="shared" si="203"/>
        <v>0</v>
      </c>
      <c r="Q235" s="16">
        <f t="shared" si="203"/>
        <v>0</v>
      </c>
      <c r="R235" s="16">
        <f t="shared" si="203"/>
        <v>0</v>
      </c>
      <c r="S235" s="16">
        <f t="shared" si="203"/>
        <v>0</v>
      </c>
      <c r="T235" s="16">
        <f t="shared" si="203"/>
        <v>0</v>
      </c>
      <c r="U235" s="16">
        <f t="shared" si="203"/>
        <v>0</v>
      </c>
      <c r="V235" s="16">
        <f t="shared" si="203"/>
        <v>0</v>
      </c>
      <c r="W235" s="16">
        <f t="shared" si="203"/>
        <v>0</v>
      </c>
      <c r="X235" s="16">
        <f t="shared" si="203"/>
        <v>0</v>
      </c>
      <c r="Y235" s="16">
        <f t="shared" si="203"/>
        <v>0</v>
      </c>
      <c r="Z235" s="16">
        <f t="shared" si="203"/>
        <v>0</v>
      </c>
      <c r="AA235" s="16">
        <f t="shared" si="203"/>
        <v>0</v>
      </c>
      <c r="AB235" s="16">
        <f t="shared" si="203"/>
        <v>0</v>
      </c>
      <c r="AC235" s="16">
        <f t="shared" si="203"/>
        <v>0</v>
      </c>
      <c r="AD235" s="16">
        <f t="shared" si="203"/>
        <v>0</v>
      </c>
      <c r="AE235" s="16">
        <f t="shared" si="203"/>
        <v>0</v>
      </c>
      <c r="AF235" s="16">
        <f t="shared" si="203"/>
        <v>0</v>
      </c>
      <c r="AG235" s="16">
        <f t="shared" si="203"/>
        <v>0</v>
      </c>
      <c r="AH235" s="16">
        <f t="shared" si="203"/>
        <v>0</v>
      </c>
      <c r="AI235" s="16">
        <f t="shared" si="203"/>
        <v>0</v>
      </c>
      <c r="AJ235" s="16">
        <f t="shared" si="203"/>
        <v>0</v>
      </c>
      <c r="AK235" s="16">
        <f t="shared" si="203"/>
        <v>0</v>
      </c>
      <c r="AL235" s="16">
        <f t="shared" si="203"/>
        <v>0</v>
      </c>
      <c r="AM235" s="16">
        <f t="shared" si="203"/>
        <v>0</v>
      </c>
      <c r="AN235" s="16">
        <f t="shared" si="203"/>
        <v>0</v>
      </c>
      <c r="AO235" s="16">
        <f t="shared" si="203"/>
        <v>0</v>
      </c>
      <c r="AP235" s="16">
        <f t="shared" si="203"/>
        <v>0</v>
      </c>
      <c r="AQ235" s="16">
        <f t="shared" si="203"/>
        <v>0</v>
      </c>
      <c r="AR235" s="16">
        <f t="shared" si="203"/>
        <v>0</v>
      </c>
    </row>
    <row r="236" spans="1:44" s="15" customFormat="1" x14ac:dyDescent="0.15">
      <c r="A236" s="19" t="s">
        <v>918</v>
      </c>
      <c r="B236" s="16">
        <f t="shared" ref="B236:AR236" si="204">B$240*$R10/$R$14</f>
        <v>0</v>
      </c>
      <c r="C236" s="16">
        <f t="shared" si="204"/>
        <v>0</v>
      </c>
      <c r="D236" s="16">
        <f t="shared" si="204"/>
        <v>0</v>
      </c>
      <c r="E236" s="16">
        <f t="shared" si="204"/>
        <v>0</v>
      </c>
      <c r="F236" s="16">
        <f t="shared" si="204"/>
        <v>0</v>
      </c>
      <c r="G236" s="16">
        <f t="shared" si="204"/>
        <v>0</v>
      </c>
      <c r="H236" s="16">
        <f t="shared" si="204"/>
        <v>0</v>
      </c>
      <c r="I236" s="16">
        <f t="shared" si="204"/>
        <v>0</v>
      </c>
      <c r="J236" s="16">
        <f t="shared" si="204"/>
        <v>0</v>
      </c>
      <c r="K236" s="16">
        <f t="shared" si="204"/>
        <v>0</v>
      </c>
      <c r="L236" s="16">
        <f t="shared" si="204"/>
        <v>0</v>
      </c>
      <c r="M236" s="16">
        <f t="shared" si="204"/>
        <v>0</v>
      </c>
      <c r="N236" s="16">
        <f t="shared" si="204"/>
        <v>0</v>
      </c>
      <c r="O236" s="16">
        <f t="shared" si="204"/>
        <v>0</v>
      </c>
      <c r="P236" s="16">
        <f t="shared" si="204"/>
        <v>0</v>
      </c>
      <c r="Q236" s="16">
        <f t="shared" si="204"/>
        <v>0</v>
      </c>
      <c r="R236" s="16">
        <f t="shared" si="204"/>
        <v>0</v>
      </c>
      <c r="S236" s="16">
        <f t="shared" si="204"/>
        <v>0</v>
      </c>
      <c r="T236" s="16">
        <f t="shared" si="204"/>
        <v>0</v>
      </c>
      <c r="U236" s="16">
        <f t="shared" si="204"/>
        <v>0</v>
      </c>
      <c r="V236" s="16">
        <f t="shared" si="204"/>
        <v>0</v>
      </c>
      <c r="W236" s="16">
        <f t="shared" si="204"/>
        <v>0</v>
      </c>
      <c r="X236" s="16">
        <f t="shared" si="204"/>
        <v>0</v>
      </c>
      <c r="Y236" s="16">
        <f t="shared" si="204"/>
        <v>0</v>
      </c>
      <c r="Z236" s="16">
        <f t="shared" si="204"/>
        <v>0</v>
      </c>
      <c r="AA236" s="16">
        <f t="shared" si="204"/>
        <v>0</v>
      </c>
      <c r="AB236" s="16">
        <f t="shared" si="204"/>
        <v>0</v>
      </c>
      <c r="AC236" s="16">
        <f t="shared" si="204"/>
        <v>0</v>
      </c>
      <c r="AD236" s="16">
        <f t="shared" si="204"/>
        <v>0</v>
      </c>
      <c r="AE236" s="16">
        <f t="shared" si="204"/>
        <v>0</v>
      </c>
      <c r="AF236" s="16">
        <f t="shared" si="204"/>
        <v>0</v>
      </c>
      <c r="AG236" s="16">
        <f t="shared" si="204"/>
        <v>0</v>
      </c>
      <c r="AH236" s="16">
        <f t="shared" si="204"/>
        <v>0</v>
      </c>
      <c r="AI236" s="16">
        <f t="shared" si="204"/>
        <v>0</v>
      </c>
      <c r="AJ236" s="16">
        <f t="shared" si="204"/>
        <v>0</v>
      </c>
      <c r="AK236" s="16">
        <f t="shared" si="204"/>
        <v>0</v>
      </c>
      <c r="AL236" s="16">
        <f t="shared" si="204"/>
        <v>0</v>
      </c>
      <c r="AM236" s="16">
        <f t="shared" si="204"/>
        <v>0</v>
      </c>
      <c r="AN236" s="16">
        <f t="shared" si="204"/>
        <v>0</v>
      </c>
      <c r="AO236" s="16">
        <f t="shared" si="204"/>
        <v>0</v>
      </c>
      <c r="AP236" s="16">
        <f t="shared" si="204"/>
        <v>0</v>
      </c>
      <c r="AQ236" s="16">
        <f t="shared" si="204"/>
        <v>0</v>
      </c>
      <c r="AR236" s="16">
        <f t="shared" si="204"/>
        <v>0</v>
      </c>
    </row>
    <row r="237" spans="1:44" s="15" customFormat="1" x14ac:dyDescent="0.15">
      <c r="A237" s="19" t="s">
        <v>919</v>
      </c>
      <c r="B237" s="16">
        <f t="shared" ref="B237:AR237" si="205">B$240*$R11/$R$14</f>
        <v>0</v>
      </c>
      <c r="C237" s="16">
        <f t="shared" si="205"/>
        <v>0</v>
      </c>
      <c r="D237" s="16">
        <f t="shared" si="205"/>
        <v>0</v>
      </c>
      <c r="E237" s="16">
        <f t="shared" si="205"/>
        <v>0</v>
      </c>
      <c r="F237" s="16">
        <f t="shared" si="205"/>
        <v>0</v>
      </c>
      <c r="G237" s="16">
        <f t="shared" si="205"/>
        <v>0</v>
      </c>
      <c r="H237" s="16">
        <f t="shared" si="205"/>
        <v>0</v>
      </c>
      <c r="I237" s="16">
        <f t="shared" si="205"/>
        <v>0</v>
      </c>
      <c r="J237" s="16">
        <f t="shared" si="205"/>
        <v>0</v>
      </c>
      <c r="K237" s="16">
        <f t="shared" si="205"/>
        <v>0</v>
      </c>
      <c r="L237" s="16">
        <f t="shared" si="205"/>
        <v>0</v>
      </c>
      <c r="M237" s="16">
        <f t="shared" si="205"/>
        <v>0</v>
      </c>
      <c r="N237" s="16">
        <f t="shared" si="205"/>
        <v>0</v>
      </c>
      <c r="O237" s="16">
        <f t="shared" si="205"/>
        <v>0</v>
      </c>
      <c r="P237" s="16">
        <f t="shared" si="205"/>
        <v>0</v>
      </c>
      <c r="Q237" s="16">
        <f t="shared" si="205"/>
        <v>0</v>
      </c>
      <c r="R237" s="16">
        <f t="shared" si="205"/>
        <v>0</v>
      </c>
      <c r="S237" s="16">
        <f t="shared" si="205"/>
        <v>0</v>
      </c>
      <c r="T237" s="16">
        <f t="shared" si="205"/>
        <v>0</v>
      </c>
      <c r="U237" s="16">
        <f t="shared" si="205"/>
        <v>0</v>
      </c>
      <c r="V237" s="16">
        <f t="shared" si="205"/>
        <v>0</v>
      </c>
      <c r="W237" s="16">
        <f t="shared" si="205"/>
        <v>0</v>
      </c>
      <c r="X237" s="16">
        <f t="shared" si="205"/>
        <v>0</v>
      </c>
      <c r="Y237" s="16">
        <f t="shared" si="205"/>
        <v>0</v>
      </c>
      <c r="Z237" s="16">
        <f t="shared" si="205"/>
        <v>0</v>
      </c>
      <c r="AA237" s="16">
        <f t="shared" si="205"/>
        <v>0</v>
      </c>
      <c r="AB237" s="16">
        <f t="shared" si="205"/>
        <v>0</v>
      </c>
      <c r="AC237" s="16">
        <f t="shared" si="205"/>
        <v>0</v>
      </c>
      <c r="AD237" s="16">
        <f t="shared" si="205"/>
        <v>0</v>
      </c>
      <c r="AE237" s="16">
        <f t="shared" si="205"/>
        <v>0</v>
      </c>
      <c r="AF237" s="16">
        <f t="shared" si="205"/>
        <v>0</v>
      </c>
      <c r="AG237" s="16">
        <f t="shared" si="205"/>
        <v>0</v>
      </c>
      <c r="AH237" s="16">
        <f t="shared" si="205"/>
        <v>0</v>
      </c>
      <c r="AI237" s="16">
        <f t="shared" si="205"/>
        <v>0</v>
      </c>
      <c r="AJ237" s="16">
        <f t="shared" si="205"/>
        <v>0</v>
      </c>
      <c r="AK237" s="16">
        <f t="shared" si="205"/>
        <v>0</v>
      </c>
      <c r="AL237" s="16">
        <f t="shared" si="205"/>
        <v>0</v>
      </c>
      <c r="AM237" s="16">
        <f t="shared" si="205"/>
        <v>0</v>
      </c>
      <c r="AN237" s="16">
        <f t="shared" si="205"/>
        <v>0</v>
      </c>
      <c r="AO237" s="16">
        <f t="shared" si="205"/>
        <v>0</v>
      </c>
      <c r="AP237" s="16">
        <f t="shared" si="205"/>
        <v>0</v>
      </c>
      <c r="AQ237" s="16">
        <f t="shared" si="205"/>
        <v>0</v>
      </c>
      <c r="AR237" s="16">
        <f t="shared" si="205"/>
        <v>0</v>
      </c>
    </row>
    <row r="238" spans="1:44" s="15" customFormat="1" x14ac:dyDescent="0.15">
      <c r="A238" s="19" t="s">
        <v>920</v>
      </c>
      <c r="B238" s="16">
        <f t="shared" ref="B238:AR238" si="206">B$240*$R12/$R$14</f>
        <v>0</v>
      </c>
      <c r="C238" s="16">
        <f t="shared" si="206"/>
        <v>0</v>
      </c>
      <c r="D238" s="16">
        <f t="shared" si="206"/>
        <v>0</v>
      </c>
      <c r="E238" s="16">
        <f t="shared" si="206"/>
        <v>0</v>
      </c>
      <c r="F238" s="16">
        <f t="shared" si="206"/>
        <v>0</v>
      </c>
      <c r="G238" s="16">
        <f t="shared" si="206"/>
        <v>0</v>
      </c>
      <c r="H238" s="16">
        <f t="shared" si="206"/>
        <v>0</v>
      </c>
      <c r="I238" s="16">
        <f t="shared" si="206"/>
        <v>0</v>
      </c>
      <c r="J238" s="16">
        <f t="shared" si="206"/>
        <v>0</v>
      </c>
      <c r="K238" s="16">
        <f t="shared" si="206"/>
        <v>0</v>
      </c>
      <c r="L238" s="16">
        <f t="shared" si="206"/>
        <v>0</v>
      </c>
      <c r="M238" s="16">
        <f t="shared" si="206"/>
        <v>0</v>
      </c>
      <c r="N238" s="16">
        <f t="shared" si="206"/>
        <v>0</v>
      </c>
      <c r="O238" s="16">
        <f t="shared" si="206"/>
        <v>0</v>
      </c>
      <c r="P238" s="16">
        <f t="shared" si="206"/>
        <v>0</v>
      </c>
      <c r="Q238" s="16">
        <f t="shared" si="206"/>
        <v>0</v>
      </c>
      <c r="R238" s="16">
        <f t="shared" si="206"/>
        <v>0</v>
      </c>
      <c r="S238" s="16">
        <f t="shared" si="206"/>
        <v>0</v>
      </c>
      <c r="T238" s="16">
        <f t="shared" si="206"/>
        <v>0</v>
      </c>
      <c r="U238" s="16">
        <f t="shared" si="206"/>
        <v>0</v>
      </c>
      <c r="V238" s="16">
        <f t="shared" si="206"/>
        <v>0</v>
      </c>
      <c r="W238" s="16">
        <f t="shared" si="206"/>
        <v>0</v>
      </c>
      <c r="X238" s="16">
        <f t="shared" si="206"/>
        <v>0</v>
      </c>
      <c r="Y238" s="16">
        <f t="shared" si="206"/>
        <v>0</v>
      </c>
      <c r="Z238" s="16">
        <f t="shared" si="206"/>
        <v>0</v>
      </c>
      <c r="AA238" s="16">
        <f t="shared" si="206"/>
        <v>0</v>
      </c>
      <c r="AB238" s="16">
        <f t="shared" si="206"/>
        <v>0</v>
      </c>
      <c r="AC238" s="16">
        <f t="shared" si="206"/>
        <v>0</v>
      </c>
      <c r="AD238" s="16">
        <f t="shared" si="206"/>
        <v>0</v>
      </c>
      <c r="AE238" s="16">
        <f t="shared" si="206"/>
        <v>0</v>
      </c>
      <c r="AF238" s="16">
        <f t="shared" si="206"/>
        <v>0</v>
      </c>
      <c r="AG238" s="16">
        <f t="shared" si="206"/>
        <v>0</v>
      </c>
      <c r="AH238" s="16">
        <f t="shared" si="206"/>
        <v>0</v>
      </c>
      <c r="AI238" s="16">
        <f t="shared" si="206"/>
        <v>0</v>
      </c>
      <c r="AJ238" s="16">
        <f t="shared" si="206"/>
        <v>0</v>
      </c>
      <c r="AK238" s="16">
        <f t="shared" si="206"/>
        <v>0</v>
      </c>
      <c r="AL238" s="16">
        <f t="shared" si="206"/>
        <v>0</v>
      </c>
      <c r="AM238" s="16">
        <f t="shared" si="206"/>
        <v>0</v>
      </c>
      <c r="AN238" s="16">
        <f t="shared" si="206"/>
        <v>0</v>
      </c>
      <c r="AO238" s="16">
        <f t="shared" si="206"/>
        <v>0</v>
      </c>
      <c r="AP238" s="16">
        <f t="shared" si="206"/>
        <v>0</v>
      </c>
      <c r="AQ238" s="16">
        <f t="shared" si="206"/>
        <v>0</v>
      </c>
      <c r="AR238" s="16">
        <f t="shared" si="206"/>
        <v>0</v>
      </c>
    </row>
    <row r="239" spans="1:44" s="15" customFormat="1" x14ac:dyDescent="0.15">
      <c r="A239" s="19" t="s">
        <v>921</v>
      </c>
      <c r="B239" s="16">
        <f t="shared" ref="B239:AR239" si="207">B$240*$R13/$R$14</f>
        <v>0</v>
      </c>
      <c r="C239" s="16">
        <f t="shared" si="207"/>
        <v>0</v>
      </c>
      <c r="D239" s="16">
        <f t="shared" si="207"/>
        <v>0</v>
      </c>
      <c r="E239" s="16">
        <f t="shared" si="207"/>
        <v>0</v>
      </c>
      <c r="F239" s="16">
        <f t="shared" si="207"/>
        <v>0</v>
      </c>
      <c r="G239" s="16">
        <f t="shared" si="207"/>
        <v>0</v>
      </c>
      <c r="H239" s="16">
        <f t="shared" si="207"/>
        <v>0</v>
      </c>
      <c r="I239" s="16">
        <f t="shared" si="207"/>
        <v>0</v>
      </c>
      <c r="J239" s="16">
        <f t="shared" si="207"/>
        <v>0</v>
      </c>
      <c r="K239" s="16">
        <f t="shared" si="207"/>
        <v>0</v>
      </c>
      <c r="L239" s="16">
        <f t="shared" si="207"/>
        <v>0</v>
      </c>
      <c r="M239" s="16">
        <f t="shared" si="207"/>
        <v>0</v>
      </c>
      <c r="N239" s="16">
        <f t="shared" si="207"/>
        <v>0</v>
      </c>
      <c r="O239" s="16">
        <f t="shared" si="207"/>
        <v>0</v>
      </c>
      <c r="P239" s="16">
        <f t="shared" si="207"/>
        <v>0</v>
      </c>
      <c r="Q239" s="16">
        <f t="shared" si="207"/>
        <v>0</v>
      </c>
      <c r="R239" s="16">
        <f t="shared" si="207"/>
        <v>0</v>
      </c>
      <c r="S239" s="16">
        <f t="shared" si="207"/>
        <v>0</v>
      </c>
      <c r="T239" s="16">
        <f t="shared" si="207"/>
        <v>0</v>
      </c>
      <c r="U239" s="16">
        <f t="shared" si="207"/>
        <v>0</v>
      </c>
      <c r="V239" s="16">
        <f t="shared" si="207"/>
        <v>0</v>
      </c>
      <c r="W239" s="16">
        <f t="shared" si="207"/>
        <v>0</v>
      </c>
      <c r="X239" s="16">
        <f t="shared" si="207"/>
        <v>0</v>
      </c>
      <c r="Y239" s="16">
        <f t="shared" si="207"/>
        <v>0</v>
      </c>
      <c r="Z239" s="16">
        <f t="shared" si="207"/>
        <v>0</v>
      </c>
      <c r="AA239" s="16">
        <f t="shared" si="207"/>
        <v>0</v>
      </c>
      <c r="AB239" s="16">
        <f t="shared" si="207"/>
        <v>0</v>
      </c>
      <c r="AC239" s="16">
        <f t="shared" si="207"/>
        <v>0</v>
      </c>
      <c r="AD239" s="16">
        <f t="shared" si="207"/>
        <v>0</v>
      </c>
      <c r="AE239" s="16">
        <f t="shared" si="207"/>
        <v>0</v>
      </c>
      <c r="AF239" s="16">
        <f t="shared" si="207"/>
        <v>0</v>
      </c>
      <c r="AG239" s="16">
        <f t="shared" si="207"/>
        <v>0</v>
      </c>
      <c r="AH239" s="16">
        <f t="shared" si="207"/>
        <v>0</v>
      </c>
      <c r="AI239" s="16">
        <f t="shared" si="207"/>
        <v>0</v>
      </c>
      <c r="AJ239" s="16">
        <f t="shared" si="207"/>
        <v>0</v>
      </c>
      <c r="AK239" s="16">
        <f t="shared" si="207"/>
        <v>0</v>
      </c>
      <c r="AL239" s="16">
        <f t="shared" si="207"/>
        <v>0</v>
      </c>
      <c r="AM239" s="16">
        <f t="shared" si="207"/>
        <v>0</v>
      </c>
      <c r="AN239" s="16">
        <f t="shared" si="207"/>
        <v>0</v>
      </c>
      <c r="AO239" s="16">
        <f t="shared" si="207"/>
        <v>0</v>
      </c>
      <c r="AP239" s="16">
        <f t="shared" si="207"/>
        <v>0</v>
      </c>
      <c r="AQ239" s="16">
        <f t="shared" si="207"/>
        <v>0</v>
      </c>
      <c r="AR239" s="16">
        <f t="shared" si="207"/>
        <v>0</v>
      </c>
    </row>
    <row r="240" spans="1:44" s="17" customFormat="1" x14ac:dyDescent="0.15">
      <c r="A240" s="19" t="s">
        <v>911</v>
      </c>
      <c r="B240" s="17">
        <f>BAU建筑总能耗计算!B$3*$R$16</f>
        <v>8405.1757653896439</v>
      </c>
      <c r="C240" s="17">
        <f>BAU建筑总能耗计算!C$3*$R$16</f>
        <v>8515.3394681803456</v>
      </c>
      <c r="D240" s="17">
        <f>BAU建筑总能耗计算!D$3*$R$16</f>
        <v>8665.9642500998361</v>
      </c>
      <c r="E240" s="17">
        <f>BAU建筑总能耗计算!E$3*$R$16</f>
        <v>8735.1549692940789</v>
      </c>
      <c r="F240" s="17">
        <f>BAU建筑总能耗计算!F$3*$R$16</f>
        <v>8802.281269046407</v>
      </c>
      <c r="G240" s="17">
        <f>BAU建筑总能耗计算!G$3*$R$16</f>
        <v>8867.2971790264455</v>
      </c>
      <c r="H240" s="17">
        <f>BAU建筑总能耗计算!H$3*$R$16</f>
        <v>8930.1610784942513</v>
      </c>
      <c r="I240" s="17">
        <f>BAU建筑总能耗计算!I$3*$R$16</f>
        <v>8990.8363593107388</v>
      </c>
      <c r="J240" s="17">
        <f>BAU建筑总能耗计算!J$3*$R$16</f>
        <v>9049.2911137919855</v>
      </c>
      <c r="K240" s="17">
        <f>BAU建筑总能耗计算!K$3*$R$16</f>
        <v>9105.4990760245655</v>
      </c>
      <c r="L240" s="17">
        <f>BAU建筑总能耗计算!L$3*$R$16</f>
        <v>9159.4393270773926</v>
      </c>
      <c r="M240" s="17">
        <f>BAU建筑总能耗计算!M$3*$R$16</f>
        <v>9211.0969340714746</v>
      </c>
      <c r="N240" s="17">
        <f>BAU建筑总能耗计算!N$3*$R$16</f>
        <v>9260.4631767263108</v>
      </c>
      <c r="O240" s="17">
        <f>BAU建筑总能耗计算!O$3*$R$16</f>
        <v>9307.5357183293163</v>
      </c>
      <c r="P240" s="17">
        <f>BAU建筑总能耗计算!P$3*$R$16</f>
        <v>9352.3193042984149</v>
      </c>
      <c r="Q240" s="17">
        <f>BAU建筑总能耗计算!Q$3*$R$16</f>
        <v>9394.8255909325107</v>
      </c>
      <c r="R240" s="17">
        <f>BAU建筑总能耗计算!R$3*$R$16</f>
        <v>9435.0739268960751</v>
      </c>
      <c r="S240" s="17">
        <f>BAU建筑总能耗计算!S$3*$R$16</f>
        <v>9473.0914375764442</v>
      </c>
      <c r="T240" s="17">
        <f>BAU建筑总能耗计算!T$3*$R$16</f>
        <v>9508.9135082021949</v>
      </c>
      <c r="U240" s="17">
        <f>BAU建筑总能耗计算!U$3*$R$16</f>
        <v>9542.5842627851252</v>
      </c>
      <c r="V240" s="17">
        <f>BAU建筑总能耗计算!V$3*$R$16</f>
        <v>9574.1566003101307</v>
      </c>
      <c r="W240" s="17">
        <f>BAU建筑总能耗计算!W$3*$R$16</f>
        <v>9603.6929595897273</v>
      </c>
      <c r="X240" s="17">
        <f>BAU建筑总能耗计算!X$3*$R$16</f>
        <v>9631.2656163811116</v>
      </c>
      <c r="Y240" s="17">
        <f>BAU建筑总能耗计算!Y$3*$R$16</f>
        <v>9656.9571370888225</v>
      </c>
      <c r="Z240" s="17">
        <f>BAU建筑总能耗计算!Z$3*$R$16</f>
        <v>9680.8606160841464</v>
      </c>
      <c r="AA240" s="17">
        <f>BAU建筑总能耗计算!AA$3*$R$16</f>
        <v>9703.0802818384382</v>
      </c>
      <c r="AB240" s="17">
        <f>BAU建筑总能耗计算!AB$3*$R$16</f>
        <v>9723.7321753657579</v>
      </c>
      <c r="AC240" s="17">
        <f>BAU建筑总能耗计算!AC$3*$R$16</f>
        <v>9742.9442011074989</v>
      </c>
      <c r="AD240" s="17">
        <f>BAU建筑总能耗计算!AD$3*$R$16</f>
        <v>9760.8567251978548</v>
      </c>
      <c r="AE240" s="17">
        <f>BAU建筑总能耗计算!AE$3*$R$16</f>
        <v>9777.6235394021478</v>
      </c>
      <c r="AF240" s="17">
        <f>BAU建筑总能耗计算!AF$3*$R$16</f>
        <v>9793.4116862706651</v>
      </c>
      <c r="AG240" s="17">
        <f>BAU建筑总能耗计算!AG$3*$R$16</f>
        <v>9808.4023612027358</v>
      </c>
      <c r="AH240" s="17">
        <f>BAU建筑总能耗计算!AH$3*$R$16</f>
        <v>9822.791618305695</v>
      </c>
      <c r="AI240" s="17">
        <f>BAU建筑总能耗计算!AI$3*$R$16</f>
        <v>9836.7903775096602</v>
      </c>
      <c r="AJ240" s="17">
        <f>BAU建筑总能耗计算!AJ$3*$R$16</f>
        <v>9850.6257734813935</v>
      </c>
      <c r="AK240" s="17">
        <f>BAU建筑总能耗计算!AK$3*$R$16</f>
        <v>9864.5408483147712</v>
      </c>
      <c r="AL240" s="17">
        <f>BAU建筑总能耗计算!AL$3*$R$16</f>
        <v>9878.7960462848168</v>
      </c>
      <c r="AM240" s="17">
        <f>BAU建筑总能耗计算!AM$3*$R$16</f>
        <v>9893.6692828530777</v>
      </c>
      <c r="AN240" s="17">
        <f>BAU建筑总能耗计算!AN$3*$R$16</f>
        <v>9909.4566965481681</v>
      </c>
      <c r="AO240" s="17">
        <f>BAU建筑总能耗计算!AO$3*$R$16</f>
        <v>9926.473335354658</v>
      </c>
      <c r="AP240" s="17">
        <f>BAU建筑总能耗计算!AP$3*$R$16</f>
        <v>9945.0538626294365</v>
      </c>
      <c r="AQ240" s="17">
        <f>BAU建筑总能耗计算!AQ$3*$R$16</f>
        <v>9965.5534498520701</v>
      </c>
      <c r="AR240" s="17">
        <f>BAU建筑总能耗计算!AR$3*$R$16</f>
        <v>9988.3479853443932</v>
      </c>
    </row>
    <row r="241" spans="1:44" s="15" customFormat="1" x14ac:dyDescent="0.15"/>
    <row r="242" spans="1:44" s="19" customFormat="1" x14ac:dyDescent="0.15">
      <c r="A242" s="18" t="s">
        <v>922</v>
      </c>
      <c r="B242" s="19">
        <v>2018</v>
      </c>
      <c r="C242" s="19">
        <v>2019</v>
      </c>
      <c r="D242" s="19">
        <v>2020</v>
      </c>
      <c r="E242" s="19">
        <v>2021</v>
      </c>
      <c r="F242" s="19">
        <v>2022</v>
      </c>
      <c r="G242" s="19">
        <v>2023</v>
      </c>
      <c r="H242" s="19">
        <v>2024</v>
      </c>
      <c r="I242" s="19">
        <v>2025</v>
      </c>
      <c r="J242" s="19">
        <v>2026</v>
      </c>
      <c r="K242" s="19">
        <v>2027</v>
      </c>
      <c r="L242" s="19">
        <v>2028</v>
      </c>
      <c r="M242" s="19">
        <v>2029</v>
      </c>
      <c r="N242" s="19">
        <v>2030</v>
      </c>
      <c r="O242" s="19">
        <v>2031</v>
      </c>
      <c r="P242" s="19">
        <v>2032</v>
      </c>
      <c r="Q242" s="19">
        <v>2033</v>
      </c>
      <c r="R242" s="19">
        <v>2034</v>
      </c>
      <c r="S242" s="19">
        <v>2035</v>
      </c>
      <c r="T242" s="19">
        <v>2036</v>
      </c>
      <c r="U242" s="19">
        <v>2037</v>
      </c>
      <c r="V242" s="19">
        <v>2038</v>
      </c>
      <c r="W242" s="19">
        <v>2039</v>
      </c>
      <c r="X242" s="19">
        <v>2040</v>
      </c>
      <c r="Y242" s="19">
        <v>2041</v>
      </c>
      <c r="Z242" s="19">
        <v>2042</v>
      </c>
      <c r="AA242" s="19">
        <v>2043</v>
      </c>
      <c r="AB242" s="19">
        <v>2044</v>
      </c>
      <c r="AC242" s="19">
        <v>2045</v>
      </c>
      <c r="AD242" s="19">
        <v>2046</v>
      </c>
      <c r="AE242" s="19">
        <v>2047</v>
      </c>
      <c r="AF242" s="19">
        <v>2048</v>
      </c>
      <c r="AG242" s="19">
        <v>2049</v>
      </c>
      <c r="AH242" s="19">
        <v>2050</v>
      </c>
      <c r="AI242" s="19">
        <v>2051</v>
      </c>
      <c r="AJ242" s="19">
        <v>2052</v>
      </c>
      <c r="AK242" s="19">
        <v>2053</v>
      </c>
      <c r="AL242" s="19">
        <v>2054</v>
      </c>
      <c r="AM242" s="19">
        <v>2055</v>
      </c>
      <c r="AN242" s="19">
        <v>2056</v>
      </c>
      <c r="AO242" s="19">
        <v>2057</v>
      </c>
      <c r="AP242" s="19">
        <v>2058</v>
      </c>
      <c r="AQ242" s="19">
        <v>2059</v>
      </c>
      <c r="AR242" s="19">
        <v>2060</v>
      </c>
    </row>
    <row r="243" spans="1:44" s="15" customFormat="1" x14ac:dyDescent="0.15">
      <c r="A243" s="19" t="s">
        <v>912</v>
      </c>
      <c r="B243" s="16">
        <f t="shared" ref="B243:AR243" si="208">B$253*$S4/$S$14</f>
        <v>292.21050262268807</v>
      </c>
      <c r="C243" s="16">
        <f t="shared" si="208"/>
        <v>296.04040361010124</v>
      </c>
      <c r="D243" s="16">
        <f t="shared" si="208"/>
        <v>301.27695599885277</v>
      </c>
      <c r="E243" s="16">
        <f t="shared" si="208"/>
        <v>303.68240894795457</v>
      </c>
      <c r="F243" s="16">
        <f t="shared" si="208"/>
        <v>306.0160912334099</v>
      </c>
      <c r="G243" s="16">
        <f t="shared" si="208"/>
        <v>308.27640467170454</v>
      </c>
      <c r="H243" s="16">
        <f t="shared" si="208"/>
        <v>310.46190229519874</v>
      </c>
      <c r="I243" s="16">
        <f t="shared" si="208"/>
        <v>312.57131140204524</v>
      </c>
      <c r="J243" s="16">
        <f t="shared" si="208"/>
        <v>314.60352270427478</v>
      </c>
      <c r="K243" s="16">
        <f t="shared" si="208"/>
        <v>316.55762305313499</v>
      </c>
      <c r="L243" s="16">
        <f t="shared" si="208"/>
        <v>318.4328851906198</v>
      </c>
      <c r="M243" s="16">
        <f t="shared" si="208"/>
        <v>320.22878996707709</v>
      </c>
      <c r="N243" s="16">
        <f t="shared" si="208"/>
        <v>321.94503421721674</v>
      </c>
      <c r="O243" s="16">
        <f t="shared" si="208"/>
        <v>323.58153670395615</v>
      </c>
      <c r="P243" s="16">
        <f t="shared" si="208"/>
        <v>325.13846240432781</v>
      </c>
      <c r="Q243" s="16">
        <f t="shared" si="208"/>
        <v>326.61621655589704</v>
      </c>
      <c r="R243" s="16">
        <f t="shared" si="208"/>
        <v>328.01547182549751</v>
      </c>
      <c r="S243" s="16">
        <f t="shared" si="208"/>
        <v>329.33717124195931</v>
      </c>
      <c r="T243" s="16">
        <f t="shared" si="208"/>
        <v>330.58254499198114</v>
      </c>
      <c r="U243" s="16">
        <f t="shared" si="208"/>
        <v>331.753127070809</v>
      </c>
      <c r="V243" s="16">
        <f t="shared" si="208"/>
        <v>332.85075654039662</v>
      </c>
      <c r="W243" s="16">
        <f t="shared" si="208"/>
        <v>333.87760411998858</v>
      </c>
      <c r="X243" s="16">
        <f t="shared" si="208"/>
        <v>334.83618251555646</v>
      </c>
      <c r="Y243" s="16">
        <f t="shared" si="208"/>
        <v>335.72936219301835</v>
      </c>
      <c r="Z243" s="16">
        <f t="shared" si="208"/>
        <v>336.5603796287769</v>
      </c>
      <c r="AA243" s="16">
        <f t="shared" si="208"/>
        <v>337.33285838227374</v>
      </c>
      <c r="AB243" s="16">
        <f t="shared" si="208"/>
        <v>338.050832682416</v>
      </c>
      <c r="AC243" s="16">
        <f t="shared" si="208"/>
        <v>338.71874919660848</v>
      </c>
      <c r="AD243" s="16">
        <f t="shared" si="208"/>
        <v>339.34148782977752</v>
      </c>
      <c r="AE243" s="16">
        <f t="shared" si="208"/>
        <v>339.92439523621056</v>
      </c>
      <c r="AF243" s="16">
        <f t="shared" si="208"/>
        <v>340.4732787409348</v>
      </c>
      <c r="AG243" s="16">
        <f t="shared" si="208"/>
        <v>340.9944377004644</v>
      </c>
      <c r="AH243" s="16">
        <f t="shared" si="208"/>
        <v>341.49468804237119</v>
      </c>
      <c r="AI243" s="16">
        <f t="shared" si="208"/>
        <v>341.98136251263367</v>
      </c>
      <c r="AJ243" s="16">
        <f t="shared" si="208"/>
        <v>342.46235757136066</v>
      </c>
      <c r="AK243" s="16">
        <f t="shared" si="208"/>
        <v>342.94612270900797</v>
      </c>
      <c r="AL243" s="16">
        <f t="shared" si="208"/>
        <v>343.44171241231504</v>
      </c>
      <c r="AM243" s="16">
        <f t="shared" si="208"/>
        <v>343.95878856331404</v>
      </c>
      <c r="AN243" s="16">
        <f t="shared" si="208"/>
        <v>344.50764657886572</v>
      </c>
      <c r="AO243" s="16">
        <f t="shared" si="208"/>
        <v>345.09923927334194</v>
      </c>
      <c r="AP243" s="16">
        <f t="shared" si="208"/>
        <v>345.74520140019172</v>
      </c>
      <c r="AQ243" s="16">
        <f t="shared" si="208"/>
        <v>346.45788068889254</v>
      </c>
      <c r="AR243" s="16">
        <f t="shared" si="208"/>
        <v>347.25034510120031</v>
      </c>
    </row>
    <row r="244" spans="1:44" s="15" customFormat="1" x14ac:dyDescent="0.15">
      <c r="A244" s="19" t="s">
        <v>913</v>
      </c>
      <c r="B244" s="16">
        <f t="shared" ref="B244:AR244" si="209">B$253*$S5/$S$14</f>
        <v>239.91350309193035</v>
      </c>
      <c r="C244" s="16">
        <f t="shared" si="209"/>
        <v>243.05796557407456</v>
      </c>
      <c r="D244" s="16">
        <f t="shared" si="209"/>
        <v>247.35733064286535</v>
      </c>
      <c r="E244" s="16">
        <f t="shared" si="209"/>
        <v>249.33227897073911</v>
      </c>
      <c r="F244" s="16">
        <f t="shared" si="209"/>
        <v>251.24830145173155</v>
      </c>
      <c r="G244" s="16">
        <f t="shared" si="209"/>
        <v>253.10408592970168</v>
      </c>
      <c r="H244" s="16">
        <f t="shared" si="209"/>
        <v>254.89844440123346</v>
      </c>
      <c r="I244" s="16">
        <f t="shared" si="209"/>
        <v>256.63033194030328</v>
      </c>
      <c r="J244" s="16">
        <f t="shared" si="209"/>
        <v>258.29883778853576</v>
      </c>
      <c r="K244" s="16">
        <f t="shared" si="209"/>
        <v>259.90321222367908</v>
      </c>
      <c r="L244" s="16">
        <f t="shared" si="209"/>
        <v>261.44285814530622</v>
      </c>
      <c r="M244" s="16">
        <f t="shared" si="209"/>
        <v>262.91734931613092</v>
      </c>
      <c r="N244" s="16">
        <f t="shared" si="209"/>
        <v>264.32643682844412</v>
      </c>
      <c r="O244" s="16">
        <f t="shared" si="209"/>
        <v>265.67005398418769</v>
      </c>
      <c r="P244" s="16">
        <f t="shared" si="209"/>
        <v>266.94833623440627</v>
      </c>
      <c r="Q244" s="16">
        <f t="shared" si="209"/>
        <v>268.16161629117892</v>
      </c>
      <c r="R244" s="16">
        <f t="shared" si="209"/>
        <v>269.31044643395836</v>
      </c>
      <c r="S244" s="16">
        <f t="shared" si="209"/>
        <v>270.39560091742794</v>
      </c>
      <c r="T244" s="16">
        <f t="shared" si="209"/>
        <v>271.4180897614113</v>
      </c>
      <c r="U244" s="16">
        <f t="shared" si="209"/>
        <v>272.37917242157448</v>
      </c>
      <c r="V244" s="16">
        <f t="shared" si="209"/>
        <v>273.28035882241278</v>
      </c>
      <c r="W244" s="16">
        <f t="shared" si="209"/>
        <v>274.12343118890976</v>
      </c>
      <c r="X244" s="16">
        <f t="shared" si="209"/>
        <v>274.91045252731078</v>
      </c>
      <c r="Y244" s="16">
        <f t="shared" si="209"/>
        <v>275.64377957540489</v>
      </c>
      <c r="Z244" s="16">
        <f t="shared" si="209"/>
        <v>276.32606957646198</v>
      </c>
      <c r="AA244" s="16">
        <f t="shared" si="209"/>
        <v>276.96029758042533</v>
      </c>
      <c r="AB244" s="16">
        <f t="shared" si="209"/>
        <v>277.54977580906899</v>
      </c>
      <c r="AC244" s="16">
        <f t="shared" si="209"/>
        <v>278.0981551084256</v>
      </c>
      <c r="AD244" s="16">
        <f t="shared" si="209"/>
        <v>278.60944202540259</v>
      </c>
      <c r="AE244" s="16">
        <f t="shared" si="209"/>
        <v>279.08802632199843</v>
      </c>
      <c r="AF244" s="16">
        <f t="shared" si="209"/>
        <v>279.53867598457339</v>
      </c>
      <c r="AG244" s="16">
        <f t="shared" si="209"/>
        <v>279.966562971955</v>
      </c>
      <c r="AH244" s="16">
        <f t="shared" si="209"/>
        <v>280.3772833631545</v>
      </c>
      <c r="AI244" s="16">
        <f t="shared" si="209"/>
        <v>280.77685756044764</v>
      </c>
      <c r="AJ244" s="16">
        <f t="shared" si="209"/>
        <v>281.17176879215685</v>
      </c>
      <c r="AK244" s="16">
        <f t="shared" si="209"/>
        <v>281.56895434094798</v>
      </c>
      <c r="AL244" s="16">
        <f t="shared" si="209"/>
        <v>281.97584820940762</v>
      </c>
      <c r="AM244" s="16">
        <f t="shared" si="209"/>
        <v>282.40038308970128</v>
      </c>
      <c r="AN244" s="16">
        <f t="shared" si="209"/>
        <v>282.85101182490831</v>
      </c>
      <c r="AO244" s="16">
        <f t="shared" si="209"/>
        <v>283.33672700099373</v>
      </c>
      <c r="AP244" s="16">
        <f t="shared" si="209"/>
        <v>283.86708109616245</v>
      </c>
      <c r="AQ244" s="16">
        <f t="shared" si="209"/>
        <v>284.45221196311849</v>
      </c>
      <c r="AR244" s="16">
        <f t="shared" si="209"/>
        <v>285.10284878666187</v>
      </c>
    </row>
    <row r="245" spans="1:44" s="15" customFormat="1" x14ac:dyDescent="0.15">
      <c r="A245" s="19" t="s">
        <v>914</v>
      </c>
      <c r="B245" s="16">
        <f t="shared" ref="B245:AR245" si="210">B$253*$S6/$S$14</f>
        <v>0</v>
      </c>
      <c r="C245" s="16">
        <f t="shared" si="210"/>
        <v>0</v>
      </c>
      <c r="D245" s="16">
        <f t="shared" si="210"/>
        <v>0</v>
      </c>
      <c r="E245" s="16">
        <f t="shared" si="210"/>
        <v>0</v>
      </c>
      <c r="F245" s="16">
        <f t="shared" si="210"/>
        <v>0</v>
      </c>
      <c r="G245" s="16">
        <f t="shared" si="210"/>
        <v>0</v>
      </c>
      <c r="H245" s="16">
        <f t="shared" si="210"/>
        <v>0</v>
      </c>
      <c r="I245" s="16">
        <f t="shared" si="210"/>
        <v>0</v>
      </c>
      <c r="J245" s="16">
        <f t="shared" si="210"/>
        <v>0</v>
      </c>
      <c r="K245" s="16">
        <f t="shared" si="210"/>
        <v>0</v>
      </c>
      <c r="L245" s="16">
        <f t="shared" si="210"/>
        <v>0</v>
      </c>
      <c r="M245" s="16">
        <f t="shared" si="210"/>
        <v>0</v>
      </c>
      <c r="N245" s="16">
        <f t="shared" si="210"/>
        <v>0</v>
      </c>
      <c r="O245" s="16">
        <f t="shared" si="210"/>
        <v>0</v>
      </c>
      <c r="P245" s="16">
        <f t="shared" si="210"/>
        <v>0</v>
      </c>
      <c r="Q245" s="16">
        <f t="shared" si="210"/>
        <v>0</v>
      </c>
      <c r="R245" s="16">
        <f t="shared" si="210"/>
        <v>0</v>
      </c>
      <c r="S245" s="16">
        <f t="shared" si="210"/>
        <v>0</v>
      </c>
      <c r="T245" s="16">
        <f t="shared" si="210"/>
        <v>0</v>
      </c>
      <c r="U245" s="16">
        <f t="shared" si="210"/>
        <v>0</v>
      </c>
      <c r="V245" s="16">
        <f t="shared" si="210"/>
        <v>0</v>
      </c>
      <c r="W245" s="16">
        <f t="shared" si="210"/>
        <v>0</v>
      </c>
      <c r="X245" s="16">
        <f t="shared" si="210"/>
        <v>0</v>
      </c>
      <c r="Y245" s="16">
        <f t="shared" si="210"/>
        <v>0</v>
      </c>
      <c r="Z245" s="16">
        <f t="shared" si="210"/>
        <v>0</v>
      </c>
      <c r="AA245" s="16">
        <f t="shared" si="210"/>
        <v>0</v>
      </c>
      <c r="AB245" s="16">
        <f t="shared" si="210"/>
        <v>0</v>
      </c>
      <c r="AC245" s="16">
        <f t="shared" si="210"/>
        <v>0</v>
      </c>
      <c r="AD245" s="16">
        <f t="shared" si="210"/>
        <v>0</v>
      </c>
      <c r="AE245" s="16">
        <f t="shared" si="210"/>
        <v>0</v>
      </c>
      <c r="AF245" s="16">
        <f t="shared" si="210"/>
        <v>0</v>
      </c>
      <c r="AG245" s="16">
        <f t="shared" si="210"/>
        <v>0</v>
      </c>
      <c r="AH245" s="16">
        <f t="shared" si="210"/>
        <v>0</v>
      </c>
      <c r="AI245" s="16">
        <f t="shared" si="210"/>
        <v>0</v>
      </c>
      <c r="AJ245" s="16">
        <f t="shared" si="210"/>
        <v>0</v>
      </c>
      <c r="AK245" s="16">
        <f t="shared" si="210"/>
        <v>0</v>
      </c>
      <c r="AL245" s="16">
        <f t="shared" si="210"/>
        <v>0</v>
      </c>
      <c r="AM245" s="16">
        <f t="shared" si="210"/>
        <v>0</v>
      </c>
      <c r="AN245" s="16">
        <f t="shared" si="210"/>
        <v>0</v>
      </c>
      <c r="AO245" s="16">
        <f t="shared" si="210"/>
        <v>0</v>
      </c>
      <c r="AP245" s="16">
        <f t="shared" si="210"/>
        <v>0</v>
      </c>
      <c r="AQ245" s="16">
        <f t="shared" si="210"/>
        <v>0</v>
      </c>
      <c r="AR245" s="16">
        <f t="shared" si="210"/>
        <v>0</v>
      </c>
    </row>
    <row r="246" spans="1:44" s="15" customFormat="1" x14ac:dyDescent="0.15">
      <c r="A246" s="19" t="s">
        <v>915</v>
      </c>
      <c r="B246" s="16">
        <f t="shared" ref="B246:AR246" si="211">B$253*$S7/$S$14</f>
        <v>107.47839120913726</v>
      </c>
      <c r="C246" s="16">
        <f t="shared" si="211"/>
        <v>108.88707294002276</v>
      </c>
      <c r="D246" s="16">
        <f t="shared" si="211"/>
        <v>110.81313727095512</v>
      </c>
      <c r="E246" s="16">
        <f t="shared" si="211"/>
        <v>111.69789059357119</v>
      </c>
      <c r="F246" s="16">
        <f t="shared" si="211"/>
        <v>112.55624583878929</v>
      </c>
      <c r="G246" s="16">
        <f t="shared" si="211"/>
        <v>113.38761517629044</v>
      </c>
      <c r="H246" s="16">
        <f t="shared" si="211"/>
        <v>114.19146639469736</v>
      </c>
      <c r="I246" s="16">
        <f t="shared" si="211"/>
        <v>114.96733137960007</v>
      </c>
      <c r="J246" s="16">
        <f t="shared" si="211"/>
        <v>115.71480212209659</v>
      </c>
      <c r="K246" s="16">
        <f t="shared" si="211"/>
        <v>116.43354275554978</v>
      </c>
      <c r="L246" s="16">
        <f t="shared" si="211"/>
        <v>117.12328578608188</v>
      </c>
      <c r="M246" s="16">
        <f t="shared" si="211"/>
        <v>117.78384026446649</v>
      </c>
      <c r="N246" s="16">
        <f t="shared" si="211"/>
        <v>118.4150946830153</v>
      </c>
      <c r="O246" s="16">
        <f t="shared" si="211"/>
        <v>119.0170191617929</v>
      </c>
      <c r="P246" s="16">
        <f t="shared" si="211"/>
        <v>119.58967438125356</v>
      </c>
      <c r="Q246" s="16">
        <f t="shared" si="211"/>
        <v>120.13320939244501</v>
      </c>
      <c r="R246" s="16">
        <f t="shared" si="211"/>
        <v>120.64787160998262</v>
      </c>
      <c r="S246" s="16">
        <f t="shared" si="211"/>
        <v>121.13400789074045</v>
      </c>
      <c r="T246" s="16">
        <f t="shared" si="211"/>
        <v>121.59207071156678</v>
      </c>
      <c r="U246" s="16">
        <f t="shared" si="211"/>
        <v>122.02262429359571</v>
      </c>
      <c r="V246" s="16">
        <f t="shared" si="211"/>
        <v>122.42634506501281</v>
      </c>
      <c r="W246" s="16">
        <f t="shared" si="211"/>
        <v>122.80403144137843</v>
      </c>
      <c r="X246" s="16">
        <f t="shared" si="211"/>
        <v>123.15660762491316</v>
      </c>
      <c r="Y246" s="16">
        <f t="shared" si="211"/>
        <v>123.48512940606986</v>
      </c>
      <c r="Z246" s="16">
        <f t="shared" si="211"/>
        <v>123.79078719817667</v>
      </c>
      <c r="AA246" s="16">
        <f t="shared" si="211"/>
        <v>124.07491378816542</v>
      </c>
      <c r="AB246" s="16">
        <f t="shared" si="211"/>
        <v>124.33899301193115</v>
      </c>
      <c r="AC246" s="16">
        <f t="shared" si="211"/>
        <v>124.58466040500264</v>
      </c>
      <c r="AD246" s="16">
        <f t="shared" si="211"/>
        <v>124.81371085266299</v>
      </c>
      <c r="AE246" s="16">
        <f t="shared" si="211"/>
        <v>125.02811091599067</v>
      </c>
      <c r="AF246" s="16">
        <f t="shared" si="211"/>
        <v>125.22999659607237</v>
      </c>
      <c r="AG246" s="16">
        <f t="shared" si="211"/>
        <v>125.42168486884738</v>
      </c>
      <c r="AH246" s="16">
        <f t="shared" si="211"/>
        <v>125.60568271104468</v>
      </c>
      <c r="AI246" s="16">
        <f t="shared" si="211"/>
        <v>125.78468719116057</v>
      </c>
      <c r="AJ246" s="16">
        <f t="shared" si="211"/>
        <v>125.96160271824645</v>
      </c>
      <c r="AK246" s="16">
        <f t="shared" si="211"/>
        <v>126.13953711229023</v>
      </c>
      <c r="AL246" s="16">
        <f t="shared" si="211"/>
        <v>126.32182071788684</v>
      </c>
      <c r="AM246" s="16">
        <f t="shared" si="211"/>
        <v>126.5120072866213</v>
      </c>
      <c r="AN246" s="16">
        <f t="shared" si="211"/>
        <v>126.71388359149151</v>
      </c>
      <c r="AO246" s="16">
        <f t="shared" si="211"/>
        <v>126.93147820387777</v>
      </c>
      <c r="AP246" s="16">
        <f t="shared" si="211"/>
        <v>127.16907052021385</v>
      </c>
      <c r="AQ246" s="16">
        <f t="shared" si="211"/>
        <v>127.4312021777352</v>
      </c>
      <c r="AR246" s="16">
        <f t="shared" si="211"/>
        <v>127.72267972341162</v>
      </c>
    </row>
    <row r="247" spans="1:44" s="15" customFormat="1" x14ac:dyDescent="0.15">
      <c r="A247" s="19" t="s">
        <v>916</v>
      </c>
      <c r="B247" s="16">
        <f t="shared" ref="B247:AR247" si="212">B$253*$S8/$S$14</f>
        <v>0</v>
      </c>
      <c r="C247" s="16">
        <f t="shared" si="212"/>
        <v>0</v>
      </c>
      <c r="D247" s="16">
        <f t="shared" si="212"/>
        <v>0</v>
      </c>
      <c r="E247" s="16">
        <f t="shared" si="212"/>
        <v>0</v>
      </c>
      <c r="F247" s="16">
        <f t="shared" si="212"/>
        <v>0</v>
      </c>
      <c r="G247" s="16">
        <f t="shared" si="212"/>
        <v>0</v>
      </c>
      <c r="H247" s="16">
        <f t="shared" si="212"/>
        <v>0</v>
      </c>
      <c r="I247" s="16">
        <f t="shared" si="212"/>
        <v>0</v>
      </c>
      <c r="J247" s="16">
        <f t="shared" si="212"/>
        <v>0</v>
      </c>
      <c r="K247" s="16">
        <f t="shared" si="212"/>
        <v>0</v>
      </c>
      <c r="L247" s="16">
        <f t="shared" si="212"/>
        <v>0</v>
      </c>
      <c r="M247" s="16">
        <f t="shared" si="212"/>
        <v>0</v>
      </c>
      <c r="N247" s="16">
        <f t="shared" si="212"/>
        <v>0</v>
      </c>
      <c r="O247" s="16">
        <f t="shared" si="212"/>
        <v>0</v>
      </c>
      <c r="P247" s="16">
        <f t="shared" si="212"/>
        <v>0</v>
      </c>
      <c r="Q247" s="16">
        <f t="shared" si="212"/>
        <v>0</v>
      </c>
      <c r="R247" s="16">
        <f t="shared" si="212"/>
        <v>0</v>
      </c>
      <c r="S247" s="16">
        <f t="shared" si="212"/>
        <v>0</v>
      </c>
      <c r="T247" s="16">
        <f t="shared" si="212"/>
        <v>0</v>
      </c>
      <c r="U247" s="16">
        <f t="shared" si="212"/>
        <v>0</v>
      </c>
      <c r="V247" s="16">
        <f t="shared" si="212"/>
        <v>0</v>
      </c>
      <c r="W247" s="16">
        <f t="shared" si="212"/>
        <v>0</v>
      </c>
      <c r="X247" s="16">
        <f t="shared" si="212"/>
        <v>0</v>
      </c>
      <c r="Y247" s="16">
        <f t="shared" si="212"/>
        <v>0</v>
      </c>
      <c r="Z247" s="16">
        <f t="shared" si="212"/>
        <v>0</v>
      </c>
      <c r="AA247" s="16">
        <f t="shared" si="212"/>
        <v>0</v>
      </c>
      <c r="AB247" s="16">
        <f t="shared" si="212"/>
        <v>0</v>
      </c>
      <c r="AC247" s="16">
        <f t="shared" si="212"/>
        <v>0</v>
      </c>
      <c r="AD247" s="16">
        <f t="shared" si="212"/>
        <v>0</v>
      </c>
      <c r="AE247" s="16">
        <f t="shared" si="212"/>
        <v>0</v>
      </c>
      <c r="AF247" s="16">
        <f t="shared" si="212"/>
        <v>0</v>
      </c>
      <c r="AG247" s="16">
        <f t="shared" si="212"/>
        <v>0</v>
      </c>
      <c r="AH247" s="16">
        <f t="shared" si="212"/>
        <v>0</v>
      </c>
      <c r="AI247" s="16">
        <f t="shared" si="212"/>
        <v>0</v>
      </c>
      <c r="AJ247" s="16">
        <f t="shared" si="212"/>
        <v>0</v>
      </c>
      <c r="AK247" s="16">
        <f t="shared" si="212"/>
        <v>0</v>
      </c>
      <c r="AL247" s="16">
        <f t="shared" si="212"/>
        <v>0</v>
      </c>
      <c r="AM247" s="16">
        <f t="shared" si="212"/>
        <v>0</v>
      </c>
      <c r="AN247" s="16">
        <f t="shared" si="212"/>
        <v>0</v>
      </c>
      <c r="AO247" s="16">
        <f t="shared" si="212"/>
        <v>0</v>
      </c>
      <c r="AP247" s="16">
        <f t="shared" si="212"/>
        <v>0</v>
      </c>
      <c r="AQ247" s="16">
        <f t="shared" si="212"/>
        <v>0</v>
      </c>
      <c r="AR247" s="16">
        <f t="shared" si="212"/>
        <v>0</v>
      </c>
    </row>
    <row r="248" spans="1:44" s="15" customFormat="1" x14ac:dyDescent="0.15">
      <c r="A248" s="19" t="s">
        <v>917</v>
      </c>
      <c r="B248" s="16">
        <f t="shared" ref="B248:AR248" si="213">B$253*$S9/$S$14</f>
        <v>0</v>
      </c>
      <c r="C248" s="16">
        <f t="shared" si="213"/>
        <v>0</v>
      </c>
      <c r="D248" s="16">
        <f t="shared" si="213"/>
        <v>0</v>
      </c>
      <c r="E248" s="16">
        <f t="shared" si="213"/>
        <v>0</v>
      </c>
      <c r="F248" s="16">
        <f t="shared" si="213"/>
        <v>0</v>
      </c>
      <c r="G248" s="16">
        <f t="shared" si="213"/>
        <v>0</v>
      </c>
      <c r="H248" s="16">
        <f t="shared" si="213"/>
        <v>0</v>
      </c>
      <c r="I248" s="16">
        <f t="shared" si="213"/>
        <v>0</v>
      </c>
      <c r="J248" s="16">
        <f t="shared" si="213"/>
        <v>0</v>
      </c>
      <c r="K248" s="16">
        <f t="shared" si="213"/>
        <v>0</v>
      </c>
      <c r="L248" s="16">
        <f t="shared" si="213"/>
        <v>0</v>
      </c>
      <c r="M248" s="16">
        <f t="shared" si="213"/>
        <v>0</v>
      </c>
      <c r="N248" s="16">
        <f t="shared" si="213"/>
        <v>0</v>
      </c>
      <c r="O248" s="16">
        <f t="shared" si="213"/>
        <v>0</v>
      </c>
      <c r="P248" s="16">
        <f t="shared" si="213"/>
        <v>0</v>
      </c>
      <c r="Q248" s="16">
        <f t="shared" si="213"/>
        <v>0</v>
      </c>
      <c r="R248" s="16">
        <f t="shared" si="213"/>
        <v>0</v>
      </c>
      <c r="S248" s="16">
        <f t="shared" si="213"/>
        <v>0</v>
      </c>
      <c r="T248" s="16">
        <f t="shared" si="213"/>
        <v>0</v>
      </c>
      <c r="U248" s="16">
        <f t="shared" si="213"/>
        <v>0</v>
      </c>
      <c r="V248" s="16">
        <f t="shared" si="213"/>
        <v>0</v>
      </c>
      <c r="W248" s="16">
        <f t="shared" si="213"/>
        <v>0</v>
      </c>
      <c r="X248" s="16">
        <f t="shared" si="213"/>
        <v>0</v>
      </c>
      <c r="Y248" s="16">
        <f t="shared" si="213"/>
        <v>0</v>
      </c>
      <c r="Z248" s="16">
        <f t="shared" si="213"/>
        <v>0</v>
      </c>
      <c r="AA248" s="16">
        <f t="shared" si="213"/>
        <v>0</v>
      </c>
      <c r="AB248" s="16">
        <f t="shared" si="213"/>
        <v>0</v>
      </c>
      <c r="AC248" s="16">
        <f t="shared" si="213"/>
        <v>0</v>
      </c>
      <c r="AD248" s="16">
        <f t="shared" si="213"/>
        <v>0</v>
      </c>
      <c r="AE248" s="16">
        <f t="shared" si="213"/>
        <v>0</v>
      </c>
      <c r="AF248" s="16">
        <f t="shared" si="213"/>
        <v>0</v>
      </c>
      <c r="AG248" s="16">
        <f t="shared" si="213"/>
        <v>0</v>
      </c>
      <c r="AH248" s="16">
        <f t="shared" si="213"/>
        <v>0</v>
      </c>
      <c r="AI248" s="16">
        <f t="shared" si="213"/>
        <v>0</v>
      </c>
      <c r="AJ248" s="16">
        <f t="shared" si="213"/>
        <v>0</v>
      </c>
      <c r="AK248" s="16">
        <f t="shared" si="213"/>
        <v>0</v>
      </c>
      <c r="AL248" s="16">
        <f t="shared" si="213"/>
        <v>0</v>
      </c>
      <c r="AM248" s="16">
        <f t="shared" si="213"/>
        <v>0</v>
      </c>
      <c r="AN248" s="16">
        <f t="shared" si="213"/>
        <v>0</v>
      </c>
      <c r="AO248" s="16">
        <f t="shared" si="213"/>
        <v>0</v>
      </c>
      <c r="AP248" s="16">
        <f t="shared" si="213"/>
        <v>0</v>
      </c>
      <c r="AQ248" s="16">
        <f t="shared" si="213"/>
        <v>0</v>
      </c>
      <c r="AR248" s="16">
        <f t="shared" si="213"/>
        <v>0</v>
      </c>
    </row>
    <row r="249" spans="1:44" s="15" customFormat="1" x14ac:dyDescent="0.15">
      <c r="A249" s="19" t="s">
        <v>918</v>
      </c>
      <c r="B249" s="16">
        <f t="shared" ref="B249:AR249" si="214">B$253*$S10/$S$14</f>
        <v>0</v>
      </c>
      <c r="C249" s="16">
        <f t="shared" si="214"/>
        <v>0</v>
      </c>
      <c r="D249" s="16">
        <f t="shared" si="214"/>
        <v>0</v>
      </c>
      <c r="E249" s="16">
        <f t="shared" si="214"/>
        <v>0</v>
      </c>
      <c r="F249" s="16">
        <f t="shared" si="214"/>
        <v>0</v>
      </c>
      <c r="G249" s="16">
        <f t="shared" si="214"/>
        <v>0</v>
      </c>
      <c r="H249" s="16">
        <f t="shared" si="214"/>
        <v>0</v>
      </c>
      <c r="I249" s="16">
        <f t="shared" si="214"/>
        <v>0</v>
      </c>
      <c r="J249" s="16">
        <f t="shared" si="214"/>
        <v>0</v>
      </c>
      <c r="K249" s="16">
        <f t="shared" si="214"/>
        <v>0</v>
      </c>
      <c r="L249" s="16">
        <f t="shared" si="214"/>
        <v>0</v>
      </c>
      <c r="M249" s="16">
        <f t="shared" si="214"/>
        <v>0</v>
      </c>
      <c r="N249" s="16">
        <f t="shared" si="214"/>
        <v>0</v>
      </c>
      <c r="O249" s="16">
        <f t="shared" si="214"/>
        <v>0</v>
      </c>
      <c r="P249" s="16">
        <f t="shared" si="214"/>
        <v>0</v>
      </c>
      <c r="Q249" s="16">
        <f t="shared" si="214"/>
        <v>0</v>
      </c>
      <c r="R249" s="16">
        <f t="shared" si="214"/>
        <v>0</v>
      </c>
      <c r="S249" s="16">
        <f t="shared" si="214"/>
        <v>0</v>
      </c>
      <c r="T249" s="16">
        <f t="shared" si="214"/>
        <v>0</v>
      </c>
      <c r="U249" s="16">
        <f t="shared" si="214"/>
        <v>0</v>
      </c>
      <c r="V249" s="16">
        <f t="shared" si="214"/>
        <v>0</v>
      </c>
      <c r="W249" s="16">
        <f t="shared" si="214"/>
        <v>0</v>
      </c>
      <c r="X249" s="16">
        <f t="shared" si="214"/>
        <v>0</v>
      </c>
      <c r="Y249" s="16">
        <f t="shared" si="214"/>
        <v>0</v>
      </c>
      <c r="Z249" s="16">
        <f t="shared" si="214"/>
        <v>0</v>
      </c>
      <c r="AA249" s="16">
        <f t="shared" si="214"/>
        <v>0</v>
      </c>
      <c r="AB249" s="16">
        <f t="shared" si="214"/>
        <v>0</v>
      </c>
      <c r="AC249" s="16">
        <f t="shared" si="214"/>
        <v>0</v>
      </c>
      <c r="AD249" s="16">
        <f t="shared" si="214"/>
        <v>0</v>
      </c>
      <c r="AE249" s="16">
        <f t="shared" si="214"/>
        <v>0</v>
      </c>
      <c r="AF249" s="16">
        <f t="shared" si="214"/>
        <v>0</v>
      </c>
      <c r="AG249" s="16">
        <f t="shared" si="214"/>
        <v>0</v>
      </c>
      <c r="AH249" s="16">
        <f t="shared" si="214"/>
        <v>0</v>
      </c>
      <c r="AI249" s="16">
        <f t="shared" si="214"/>
        <v>0</v>
      </c>
      <c r="AJ249" s="16">
        <f t="shared" si="214"/>
        <v>0</v>
      </c>
      <c r="AK249" s="16">
        <f t="shared" si="214"/>
        <v>0</v>
      </c>
      <c r="AL249" s="16">
        <f t="shared" si="214"/>
        <v>0</v>
      </c>
      <c r="AM249" s="16">
        <f t="shared" si="214"/>
        <v>0</v>
      </c>
      <c r="AN249" s="16">
        <f t="shared" si="214"/>
        <v>0</v>
      </c>
      <c r="AO249" s="16">
        <f t="shared" si="214"/>
        <v>0</v>
      </c>
      <c r="AP249" s="16">
        <f t="shared" si="214"/>
        <v>0</v>
      </c>
      <c r="AQ249" s="16">
        <f t="shared" si="214"/>
        <v>0</v>
      </c>
      <c r="AR249" s="16">
        <f t="shared" si="214"/>
        <v>0</v>
      </c>
    </row>
    <row r="250" spans="1:44" s="15" customFormat="1" x14ac:dyDescent="0.15">
      <c r="A250" s="19" t="s">
        <v>919</v>
      </c>
      <c r="B250" s="16">
        <f t="shared" ref="B250:AR250" si="215">B$253*$S11/$S$14</f>
        <v>0</v>
      </c>
      <c r="C250" s="16">
        <f t="shared" si="215"/>
        <v>0</v>
      </c>
      <c r="D250" s="16">
        <f t="shared" si="215"/>
        <v>0</v>
      </c>
      <c r="E250" s="16">
        <f t="shared" si="215"/>
        <v>0</v>
      </c>
      <c r="F250" s="16">
        <f t="shared" si="215"/>
        <v>0</v>
      </c>
      <c r="G250" s="16">
        <f t="shared" si="215"/>
        <v>0</v>
      </c>
      <c r="H250" s="16">
        <f t="shared" si="215"/>
        <v>0</v>
      </c>
      <c r="I250" s="16">
        <f t="shared" si="215"/>
        <v>0</v>
      </c>
      <c r="J250" s="16">
        <f t="shared" si="215"/>
        <v>0</v>
      </c>
      <c r="K250" s="16">
        <f t="shared" si="215"/>
        <v>0</v>
      </c>
      <c r="L250" s="16">
        <f t="shared" si="215"/>
        <v>0</v>
      </c>
      <c r="M250" s="16">
        <f t="shared" si="215"/>
        <v>0</v>
      </c>
      <c r="N250" s="16">
        <f t="shared" si="215"/>
        <v>0</v>
      </c>
      <c r="O250" s="16">
        <f t="shared" si="215"/>
        <v>0</v>
      </c>
      <c r="P250" s="16">
        <f t="shared" si="215"/>
        <v>0</v>
      </c>
      <c r="Q250" s="16">
        <f t="shared" si="215"/>
        <v>0</v>
      </c>
      <c r="R250" s="16">
        <f t="shared" si="215"/>
        <v>0</v>
      </c>
      <c r="S250" s="16">
        <f t="shared" si="215"/>
        <v>0</v>
      </c>
      <c r="T250" s="16">
        <f t="shared" si="215"/>
        <v>0</v>
      </c>
      <c r="U250" s="16">
        <f t="shared" si="215"/>
        <v>0</v>
      </c>
      <c r="V250" s="16">
        <f t="shared" si="215"/>
        <v>0</v>
      </c>
      <c r="W250" s="16">
        <f t="shared" si="215"/>
        <v>0</v>
      </c>
      <c r="X250" s="16">
        <f t="shared" si="215"/>
        <v>0</v>
      </c>
      <c r="Y250" s="16">
        <f t="shared" si="215"/>
        <v>0</v>
      </c>
      <c r="Z250" s="16">
        <f t="shared" si="215"/>
        <v>0</v>
      </c>
      <c r="AA250" s="16">
        <f t="shared" si="215"/>
        <v>0</v>
      </c>
      <c r="AB250" s="16">
        <f t="shared" si="215"/>
        <v>0</v>
      </c>
      <c r="AC250" s="16">
        <f t="shared" si="215"/>
        <v>0</v>
      </c>
      <c r="AD250" s="16">
        <f t="shared" si="215"/>
        <v>0</v>
      </c>
      <c r="AE250" s="16">
        <f t="shared" si="215"/>
        <v>0</v>
      </c>
      <c r="AF250" s="16">
        <f t="shared" si="215"/>
        <v>0</v>
      </c>
      <c r="AG250" s="16">
        <f t="shared" si="215"/>
        <v>0</v>
      </c>
      <c r="AH250" s="16">
        <f t="shared" si="215"/>
        <v>0</v>
      </c>
      <c r="AI250" s="16">
        <f t="shared" si="215"/>
        <v>0</v>
      </c>
      <c r="AJ250" s="16">
        <f t="shared" si="215"/>
        <v>0</v>
      </c>
      <c r="AK250" s="16">
        <f t="shared" si="215"/>
        <v>0</v>
      </c>
      <c r="AL250" s="16">
        <f t="shared" si="215"/>
        <v>0</v>
      </c>
      <c r="AM250" s="16">
        <f t="shared" si="215"/>
        <v>0</v>
      </c>
      <c r="AN250" s="16">
        <f t="shared" si="215"/>
        <v>0</v>
      </c>
      <c r="AO250" s="16">
        <f t="shared" si="215"/>
        <v>0</v>
      </c>
      <c r="AP250" s="16">
        <f t="shared" si="215"/>
        <v>0</v>
      </c>
      <c r="AQ250" s="16">
        <f t="shared" si="215"/>
        <v>0</v>
      </c>
      <c r="AR250" s="16">
        <f t="shared" si="215"/>
        <v>0</v>
      </c>
    </row>
    <row r="251" spans="1:44" s="15" customFormat="1" x14ac:dyDescent="0.15">
      <c r="A251" s="19" t="s">
        <v>920</v>
      </c>
      <c r="B251" s="16">
        <f t="shared" ref="B251:AR251" si="216">B$253*$S12/$S$14</f>
        <v>799.95829769917066</v>
      </c>
      <c r="C251" s="16">
        <f t="shared" si="216"/>
        <v>810.44307167802879</v>
      </c>
      <c r="D251" s="16">
        <f t="shared" si="216"/>
        <v>824.77870813572031</v>
      </c>
      <c r="E251" s="16">
        <f t="shared" si="216"/>
        <v>831.36389939027129</v>
      </c>
      <c r="F251" s="16">
        <f t="shared" si="216"/>
        <v>837.75261058199101</v>
      </c>
      <c r="G251" s="16">
        <f t="shared" si="216"/>
        <v>843.94046650823566</v>
      </c>
      <c r="H251" s="16">
        <f t="shared" si="216"/>
        <v>849.92350593640242</v>
      </c>
      <c r="I251" s="16">
        <f t="shared" si="216"/>
        <v>855.69824470560718</v>
      </c>
      <c r="J251" s="16">
        <f t="shared" si="216"/>
        <v>861.26164601837843</v>
      </c>
      <c r="K251" s="16">
        <f t="shared" si="216"/>
        <v>866.61121002986101</v>
      </c>
      <c r="L251" s="16">
        <f t="shared" si="216"/>
        <v>871.74494579150507</v>
      </c>
      <c r="M251" s="16">
        <f t="shared" si="216"/>
        <v>876.66143207420248</v>
      </c>
      <c r="N251" s="16">
        <f t="shared" si="216"/>
        <v>881.35983892972365</v>
      </c>
      <c r="O251" s="16">
        <f t="shared" si="216"/>
        <v>885.83994396264541</v>
      </c>
      <c r="P251" s="16">
        <f t="shared" si="216"/>
        <v>890.10219881568742</v>
      </c>
      <c r="Q251" s="16">
        <f t="shared" si="216"/>
        <v>894.14771287112717</v>
      </c>
      <c r="R251" s="16">
        <f t="shared" si="216"/>
        <v>897.97832762819326</v>
      </c>
      <c r="S251" s="16">
        <f t="shared" si="216"/>
        <v>901.59662473173034</v>
      </c>
      <c r="T251" s="16">
        <f t="shared" si="216"/>
        <v>905.00597195274065</v>
      </c>
      <c r="U251" s="16">
        <f t="shared" si="216"/>
        <v>908.21056877144372</v>
      </c>
      <c r="V251" s="16">
        <f t="shared" si="216"/>
        <v>911.215449821628</v>
      </c>
      <c r="W251" s="16">
        <f t="shared" si="216"/>
        <v>914.02655768528871</v>
      </c>
      <c r="X251" s="16">
        <f t="shared" si="216"/>
        <v>916.65077117059184</v>
      </c>
      <c r="Y251" s="16">
        <f t="shared" si="216"/>
        <v>919.09594849279279</v>
      </c>
      <c r="Z251" s="16">
        <f t="shared" si="216"/>
        <v>921.3709498609885</v>
      </c>
      <c r="AA251" s="16">
        <f t="shared" si="216"/>
        <v>923.48569516654652</v>
      </c>
      <c r="AB251" s="16">
        <f t="shared" si="216"/>
        <v>925.45122855353497</v>
      </c>
      <c r="AC251" s="16">
        <f t="shared" si="216"/>
        <v>927.27972326164104</v>
      </c>
      <c r="AD251" s="16">
        <f t="shared" si="216"/>
        <v>928.98453856578021</v>
      </c>
      <c r="AE251" s="16">
        <f t="shared" si="216"/>
        <v>930.58031151843329</v>
      </c>
      <c r="AF251" s="16">
        <f t="shared" si="216"/>
        <v>932.0829403087522</v>
      </c>
      <c r="AG251" s="16">
        <f t="shared" si="216"/>
        <v>933.50967011604541</v>
      </c>
      <c r="AH251" s="16">
        <f t="shared" si="216"/>
        <v>934.8791602895451</v>
      </c>
      <c r="AI251" s="16">
        <f t="shared" si="216"/>
        <v>936.21148502555081</v>
      </c>
      <c r="AJ251" s="16">
        <f t="shared" si="216"/>
        <v>937.52826174961592</v>
      </c>
      <c r="AK251" s="16">
        <f t="shared" si="216"/>
        <v>938.85262186852049</v>
      </c>
      <c r="AL251" s="16">
        <f t="shared" si="216"/>
        <v>940.20935303272051</v>
      </c>
      <c r="AM251" s="16">
        <f t="shared" si="216"/>
        <v>941.62490570389912</v>
      </c>
      <c r="AN251" s="16">
        <f t="shared" si="216"/>
        <v>943.12746471481262</v>
      </c>
      <c r="AO251" s="16">
        <f t="shared" si="216"/>
        <v>944.74701459600067</v>
      </c>
      <c r="AP251" s="16">
        <f t="shared" si="216"/>
        <v>946.51540676101513</v>
      </c>
      <c r="AQ251" s="16">
        <f t="shared" si="216"/>
        <v>948.46644447347796</v>
      </c>
      <c r="AR251" s="16">
        <f t="shared" si="216"/>
        <v>950.63590271186092</v>
      </c>
    </row>
    <row r="252" spans="1:44" s="15" customFormat="1" x14ac:dyDescent="0.15">
      <c r="A252" s="19" t="s">
        <v>921</v>
      </c>
      <c r="B252" s="16">
        <f t="shared" ref="B252:AR252" si="217">B$253*$S13/$S$14</f>
        <v>0</v>
      </c>
      <c r="C252" s="16">
        <f t="shared" si="217"/>
        <v>0</v>
      </c>
      <c r="D252" s="16">
        <f t="shared" si="217"/>
        <v>0</v>
      </c>
      <c r="E252" s="16">
        <f t="shared" si="217"/>
        <v>0</v>
      </c>
      <c r="F252" s="16">
        <f t="shared" si="217"/>
        <v>0</v>
      </c>
      <c r="G252" s="16">
        <f t="shared" si="217"/>
        <v>0</v>
      </c>
      <c r="H252" s="16">
        <f t="shared" si="217"/>
        <v>0</v>
      </c>
      <c r="I252" s="16">
        <f t="shared" si="217"/>
        <v>0</v>
      </c>
      <c r="J252" s="16">
        <f t="shared" si="217"/>
        <v>0</v>
      </c>
      <c r="K252" s="16">
        <f t="shared" si="217"/>
        <v>0</v>
      </c>
      <c r="L252" s="16">
        <f t="shared" si="217"/>
        <v>0</v>
      </c>
      <c r="M252" s="16">
        <f t="shared" si="217"/>
        <v>0</v>
      </c>
      <c r="N252" s="16">
        <f t="shared" si="217"/>
        <v>0</v>
      </c>
      <c r="O252" s="16">
        <f t="shared" si="217"/>
        <v>0</v>
      </c>
      <c r="P252" s="16">
        <f t="shared" si="217"/>
        <v>0</v>
      </c>
      <c r="Q252" s="16">
        <f t="shared" si="217"/>
        <v>0</v>
      </c>
      <c r="R252" s="16">
        <f t="shared" si="217"/>
        <v>0</v>
      </c>
      <c r="S252" s="16">
        <f t="shared" si="217"/>
        <v>0</v>
      </c>
      <c r="T252" s="16">
        <f t="shared" si="217"/>
        <v>0</v>
      </c>
      <c r="U252" s="16">
        <f t="shared" si="217"/>
        <v>0</v>
      </c>
      <c r="V252" s="16">
        <f t="shared" si="217"/>
        <v>0</v>
      </c>
      <c r="W252" s="16">
        <f t="shared" si="217"/>
        <v>0</v>
      </c>
      <c r="X252" s="16">
        <f t="shared" si="217"/>
        <v>0</v>
      </c>
      <c r="Y252" s="16">
        <f t="shared" si="217"/>
        <v>0</v>
      </c>
      <c r="Z252" s="16">
        <f t="shared" si="217"/>
        <v>0</v>
      </c>
      <c r="AA252" s="16">
        <f t="shared" si="217"/>
        <v>0</v>
      </c>
      <c r="AB252" s="16">
        <f t="shared" si="217"/>
        <v>0</v>
      </c>
      <c r="AC252" s="16">
        <f t="shared" si="217"/>
        <v>0</v>
      </c>
      <c r="AD252" s="16">
        <f t="shared" si="217"/>
        <v>0</v>
      </c>
      <c r="AE252" s="16">
        <f t="shared" si="217"/>
        <v>0</v>
      </c>
      <c r="AF252" s="16">
        <f t="shared" si="217"/>
        <v>0</v>
      </c>
      <c r="AG252" s="16">
        <f t="shared" si="217"/>
        <v>0</v>
      </c>
      <c r="AH252" s="16">
        <f t="shared" si="217"/>
        <v>0</v>
      </c>
      <c r="AI252" s="16">
        <f t="shared" si="217"/>
        <v>0</v>
      </c>
      <c r="AJ252" s="16">
        <f t="shared" si="217"/>
        <v>0</v>
      </c>
      <c r="AK252" s="16">
        <f t="shared" si="217"/>
        <v>0</v>
      </c>
      <c r="AL252" s="16">
        <f t="shared" si="217"/>
        <v>0</v>
      </c>
      <c r="AM252" s="16">
        <f t="shared" si="217"/>
        <v>0</v>
      </c>
      <c r="AN252" s="16">
        <f t="shared" si="217"/>
        <v>0</v>
      </c>
      <c r="AO252" s="16">
        <f t="shared" si="217"/>
        <v>0</v>
      </c>
      <c r="AP252" s="16">
        <f t="shared" si="217"/>
        <v>0</v>
      </c>
      <c r="AQ252" s="16">
        <f t="shared" si="217"/>
        <v>0</v>
      </c>
      <c r="AR252" s="16">
        <f t="shared" si="217"/>
        <v>0</v>
      </c>
    </row>
    <row r="253" spans="1:44" s="17" customFormat="1" x14ac:dyDescent="0.15">
      <c r="A253" s="19" t="s">
        <v>911</v>
      </c>
      <c r="B253" s="17">
        <f>BAU建筑总能耗计算!B$3*$S$16</f>
        <v>1439.5606946229263</v>
      </c>
      <c r="C253" s="17">
        <f>BAU建筑总能耗计算!C$3*$S$16</f>
        <v>1458.4285138022274</v>
      </c>
      <c r="D253" s="17">
        <f>BAU建筑总能耗计算!D$3*$S$16</f>
        <v>1484.2261320483935</v>
      </c>
      <c r="E253" s="17">
        <f>BAU建筑总能耗计算!E$3*$S$16</f>
        <v>1496.0764779025362</v>
      </c>
      <c r="F253" s="17">
        <f>BAU建筑总能耗计算!F$3*$S$16</f>
        <v>1507.5732491059218</v>
      </c>
      <c r="G253" s="17">
        <f>BAU建筑总能耗计算!G$3*$S$16</f>
        <v>1518.7085722859324</v>
      </c>
      <c r="H253" s="17">
        <f>BAU建筑总能耗计算!H$3*$S$16</f>
        <v>1529.4753190275321</v>
      </c>
      <c r="I253" s="17">
        <f>BAU建筑总能耗计算!I$3*$S$16</f>
        <v>1539.8672194275559</v>
      </c>
      <c r="J253" s="17">
        <f>BAU建筑总能耗计算!J$3*$S$16</f>
        <v>1549.8788086332856</v>
      </c>
      <c r="K253" s="17">
        <f>BAU建筑总能耗计算!K$3*$S$16</f>
        <v>1559.5055880622249</v>
      </c>
      <c r="L253" s="17">
        <f>BAU建筑总能耗计算!L$3*$S$16</f>
        <v>1568.7439749135131</v>
      </c>
      <c r="M253" s="17">
        <f>BAU建筑总能耗计算!M$3*$S$16</f>
        <v>1577.5914116218771</v>
      </c>
      <c r="N253" s="17">
        <f>BAU建筑总能耗计算!N$3*$S$16</f>
        <v>1586.0464046584</v>
      </c>
      <c r="O253" s="17">
        <f>BAU建筑总能耗计算!O$3*$S$16</f>
        <v>1594.1085538125822</v>
      </c>
      <c r="P253" s="17">
        <f>BAU建筑总能耗计算!P$3*$S$16</f>
        <v>1601.7786718356751</v>
      </c>
      <c r="Q253" s="17">
        <f>BAU建筑总能耗计算!Q$3*$S$16</f>
        <v>1609.0587551106482</v>
      </c>
      <c r="R253" s="17">
        <f>BAU建筑总能耗计算!R$3*$S$16</f>
        <v>1615.9521174976319</v>
      </c>
      <c r="S253" s="17">
        <f>BAU建筑总能耗计算!S$3*$S$16</f>
        <v>1622.4634047818581</v>
      </c>
      <c r="T253" s="17">
        <f>BAU建筑总能耗计算!T$3*$S$16</f>
        <v>1628.5986774176999</v>
      </c>
      <c r="U253" s="17">
        <f>BAU建筑总能耗计算!U$3*$S$16</f>
        <v>1634.3654925574231</v>
      </c>
      <c r="V253" s="17">
        <f>BAU建筑总能耗计算!V$3*$S$16</f>
        <v>1639.7729102494502</v>
      </c>
      <c r="W253" s="17">
        <f>BAU建筑总能耗计算!W$3*$S$16</f>
        <v>1644.8316244355656</v>
      </c>
      <c r="X253" s="17">
        <f>BAU建筑总能耗计算!X$3*$S$16</f>
        <v>1649.5540138383724</v>
      </c>
      <c r="Y253" s="17">
        <f>BAU建筑总能耗计算!Y$3*$S$16</f>
        <v>1653.954219667286</v>
      </c>
      <c r="Z253" s="17">
        <f>BAU建筑总能耗计算!Z$3*$S$16</f>
        <v>1658.0481862644042</v>
      </c>
      <c r="AA253" s="17">
        <f>BAU建筑总能耗计算!AA$3*$S$16</f>
        <v>1661.8537649174111</v>
      </c>
      <c r="AB253" s="17">
        <f>BAU建筑总能耗计算!AB$3*$S$16</f>
        <v>1665.3908300569512</v>
      </c>
      <c r="AC253" s="17">
        <f>BAU建筑总能耗计算!AC$3*$S$16</f>
        <v>1668.6812879716779</v>
      </c>
      <c r="AD253" s="17">
        <f>BAU建筑总能耗计算!AD$3*$S$16</f>
        <v>1671.7491792736234</v>
      </c>
      <c r="AE253" s="17">
        <f>BAU建筑总能耗计算!AE$3*$S$16</f>
        <v>1674.6208439926331</v>
      </c>
      <c r="AF253" s="17">
        <f>BAU建筑总能耗计算!AF$3*$S$16</f>
        <v>1677.3248916303328</v>
      </c>
      <c r="AG253" s="17">
        <f>BAU建筑总能耗计算!AG$3*$S$16</f>
        <v>1679.8923556573122</v>
      </c>
      <c r="AH253" s="17">
        <f>BAU建筑总能耗计算!AH$3*$S$16</f>
        <v>1682.3568144061155</v>
      </c>
      <c r="AI253" s="17">
        <f>BAU建筑总能耗计算!AI$3*$S$16</f>
        <v>1684.7543922897928</v>
      </c>
      <c r="AJ253" s="17">
        <f>BAU建筑总能耗计算!AJ$3*$S$16</f>
        <v>1687.1239908313801</v>
      </c>
      <c r="AK253" s="17">
        <f>BAU建筑总能耗计算!AK$3*$S$16</f>
        <v>1689.5072360307668</v>
      </c>
      <c r="AL253" s="17">
        <f>BAU建筑总能耗计算!AL$3*$S$16</f>
        <v>1691.9487343723301</v>
      </c>
      <c r="AM253" s="17">
        <f>BAU建筑总能耗计算!AM$3*$S$16</f>
        <v>1694.4960846435358</v>
      </c>
      <c r="AN253" s="17">
        <f>BAU建筑总能耗计算!AN$3*$S$16</f>
        <v>1697.2000067100782</v>
      </c>
      <c r="AO253" s="17">
        <f>BAU建筑总能耗计算!AO$3*$S$16</f>
        <v>1700.1144590742142</v>
      </c>
      <c r="AP253" s="17">
        <f>BAU建筑总能耗计算!AP$3*$S$16</f>
        <v>1703.2967597775832</v>
      </c>
      <c r="AQ253" s="17">
        <f>BAU建筑总能耗计算!AQ$3*$S$16</f>
        <v>1706.8077393032243</v>
      </c>
      <c r="AR253" s="17">
        <f>BAU建筑总能耗计算!AR$3*$S$16</f>
        <v>1710.7117763231349</v>
      </c>
    </row>
    <row r="255" spans="1:44" x14ac:dyDescent="0.15">
      <c r="D255">
        <f>3.98*10^4</f>
        <v>39800</v>
      </c>
    </row>
  </sheetData>
  <mergeCells count="1">
    <mergeCell ref="A2:B2"/>
  </mergeCells>
  <phoneticPr fontId="3" type="noConversion"/>
  <conditionalFormatting sqref="B4:S17 C18:S1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6A8D-EB97-4ED4-9B74-40E962727748}">
  <dimension ref="A2:A5"/>
  <sheetViews>
    <sheetView workbookViewId="0"/>
  </sheetViews>
  <sheetFormatPr defaultRowHeight="13.5" x14ac:dyDescent="0.15"/>
  <cols>
    <col min="1" max="1" width="62.75" customWidth="1"/>
  </cols>
  <sheetData>
    <row r="2" spans="1:1" x14ac:dyDescent="0.15">
      <c r="A2" t="s">
        <v>953</v>
      </c>
    </row>
    <row r="3" spans="1:1" x14ac:dyDescent="0.15">
      <c r="A3" s="9" t="s">
        <v>954</v>
      </c>
    </row>
    <row r="4" spans="1:1" x14ac:dyDescent="0.15">
      <c r="A4" t="s">
        <v>955</v>
      </c>
    </row>
    <row r="5" spans="1:1" ht="27" x14ac:dyDescent="0.15">
      <c r="A5" s="2" t="s">
        <v>956</v>
      </c>
    </row>
  </sheetData>
  <phoneticPr fontId="3" type="noConversion"/>
  <hyperlinks>
    <hyperlink ref="A3" r:id="rId1" xr:uid="{FD57DE46-7D71-46B7-8B48-28E5D5490B6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CF5C-6F77-4D52-AF53-3FDC40B95EA7}">
  <dimension ref="A1:G39"/>
  <sheetViews>
    <sheetView workbookViewId="0"/>
  </sheetViews>
  <sheetFormatPr defaultRowHeight="13.5" x14ac:dyDescent="0.15"/>
  <cols>
    <col min="1" max="1" width="23.875" bestFit="1" customWidth="1"/>
    <col min="2" max="2" width="11" bestFit="1" customWidth="1"/>
    <col min="4" max="4" width="12.75" bestFit="1" customWidth="1"/>
    <col min="5" max="5" width="13" bestFit="1" customWidth="1"/>
    <col min="6" max="7" width="11.875" bestFit="1" customWidth="1"/>
  </cols>
  <sheetData>
    <row r="1" spans="1:7" ht="27" x14ac:dyDescent="0.15">
      <c r="A1" s="2" t="s">
        <v>834</v>
      </c>
      <c r="B1" s="2" t="s">
        <v>835</v>
      </c>
      <c r="C1" s="2" t="s">
        <v>836</v>
      </c>
      <c r="D1" s="2" t="s">
        <v>837</v>
      </c>
      <c r="E1" s="2" t="s">
        <v>838</v>
      </c>
      <c r="F1" s="2"/>
      <c r="G1" s="2" t="s">
        <v>839</v>
      </c>
    </row>
    <row r="2" spans="1:7" x14ac:dyDescent="0.15">
      <c r="C2" t="s">
        <v>840</v>
      </c>
      <c r="D2" t="s">
        <v>841</v>
      </c>
      <c r="E2" t="s">
        <v>842</v>
      </c>
    </row>
    <row r="3" spans="1:7" x14ac:dyDescent="0.15">
      <c r="A3" t="s">
        <v>843</v>
      </c>
      <c r="C3">
        <v>0</v>
      </c>
    </row>
    <row r="4" spans="1:7" x14ac:dyDescent="0.15">
      <c r="A4" t="s">
        <v>844</v>
      </c>
      <c r="B4" t="s">
        <v>845</v>
      </c>
      <c r="C4">
        <v>209.08</v>
      </c>
      <c r="D4">
        <f>C4/293</f>
        <v>0.71358361774744028</v>
      </c>
      <c r="E4">
        <f>D4*2.7771*10^11</f>
        <v>198169306484.64163</v>
      </c>
      <c r="G4">
        <f>E4/D4</f>
        <v>277710000000</v>
      </c>
    </row>
    <row r="5" spans="1:7" x14ac:dyDescent="0.15">
      <c r="A5" t="s">
        <v>846</v>
      </c>
      <c r="B5" t="s">
        <v>845</v>
      </c>
      <c r="C5">
        <v>263.44</v>
      </c>
      <c r="D5">
        <f t="shared" ref="D5:D34" si="0">C5/293</f>
        <v>0.89911262798634817</v>
      </c>
      <c r="E5">
        <f t="shared" ref="E5:E34" si="1">D5*2.7771*10^11</f>
        <v>249692567918.08875</v>
      </c>
    </row>
    <row r="6" spans="1:7" x14ac:dyDescent="0.15">
      <c r="A6" t="s">
        <v>847</v>
      </c>
      <c r="B6" t="s">
        <v>845</v>
      </c>
      <c r="C6">
        <v>83.63</v>
      </c>
      <c r="D6">
        <f t="shared" si="0"/>
        <v>0.28542662116040957</v>
      </c>
      <c r="E6">
        <f t="shared" si="1"/>
        <v>79265826962.457336</v>
      </c>
    </row>
    <row r="7" spans="1:7" x14ac:dyDescent="0.15">
      <c r="A7" t="s">
        <v>848</v>
      </c>
      <c r="B7" t="s">
        <v>845</v>
      </c>
      <c r="C7">
        <v>154.72999999999999</v>
      </c>
      <c r="D7">
        <f t="shared" si="0"/>
        <v>0.52808873720136518</v>
      </c>
      <c r="E7">
        <f t="shared" si="1"/>
        <v>146655523208.1911</v>
      </c>
    </row>
    <row r="8" spans="1:7" x14ac:dyDescent="0.15">
      <c r="A8" t="s">
        <v>849</v>
      </c>
      <c r="B8" t="s">
        <v>845</v>
      </c>
      <c r="C8">
        <v>83.74</v>
      </c>
      <c r="D8">
        <f t="shared" si="0"/>
        <v>0.28580204778156992</v>
      </c>
      <c r="E8">
        <f t="shared" si="1"/>
        <v>79370086689.419785</v>
      </c>
    </row>
    <row r="9" spans="1:7" x14ac:dyDescent="0.15">
      <c r="A9" t="s">
        <v>850</v>
      </c>
      <c r="B9" t="s">
        <v>845</v>
      </c>
      <c r="C9">
        <v>284.35000000000002</v>
      </c>
      <c r="D9">
        <f t="shared" si="0"/>
        <v>0.97047781569965874</v>
      </c>
      <c r="E9">
        <f t="shared" si="1"/>
        <v>269511394197.95221</v>
      </c>
    </row>
    <row r="10" spans="1:7" x14ac:dyDescent="0.15">
      <c r="A10" t="s">
        <v>851</v>
      </c>
      <c r="B10" t="s">
        <v>852</v>
      </c>
      <c r="C10">
        <v>1735.35</v>
      </c>
      <c r="D10">
        <f t="shared" si="0"/>
        <v>5.9226962457337882</v>
      </c>
      <c r="E10">
        <f t="shared" si="1"/>
        <v>1644791974402.7302</v>
      </c>
    </row>
    <row r="11" spans="1:7" x14ac:dyDescent="0.15">
      <c r="A11" t="s">
        <v>853</v>
      </c>
      <c r="B11" t="s">
        <v>852</v>
      </c>
      <c r="C11">
        <v>376.3</v>
      </c>
      <c r="D11">
        <f t="shared" si="0"/>
        <v>1.2843003412969283</v>
      </c>
      <c r="E11">
        <f t="shared" si="1"/>
        <v>356663047781.56995</v>
      </c>
    </row>
    <row r="12" spans="1:7" x14ac:dyDescent="0.15">
      <c r="A12" t="s">
        <v>854</v>
      </c>
      <c r="B12" t="s">
        <v>852</v>
      </c>
      <c r="C12">
        <v>794.5</v>
      </c>
      <c r="D12">
        <f t="shared" si="0"/>
        <v>2.71160409556314</v>
      </c>
      <c r="E12">
        <f t="shared" si="1"/>
        <v>753039573378.8396</v>
      </c>
    </row>
    <row r="13" spans="1:7" x14ac:dyDescent="0.15">
      <c r="A13" t="s">
        <v>855</v>
      </c>
      <c r="B13" t="s">
        <v>852</v>
      </c>
      <c r="C13">
        <v>522.70000000000005</v>
      </c>
      <c r="D13">
        <f t="shared" si="0"/>
        <v>1.7839590443686009</v>
      </c>
      <c r="E13">
        <f t="shared" si="1"/>
        <v>495423266211.60413</v>
      </c>
    </row>
    <row r="14" spans="1:7" x14ac:dyDescent="0.15">
      <c r="A14" t="s">
        <v>856</v>
      </c>
      <c r="B14" t="s">
        <v>845</v>
      </c>
      <c r="C14">
        <v>334.53</v>
      </c>
      <c r="D14">
        <f t="shared" si="0"/>
        <v>1.1417406143344708</v>
      </c>
      <c r="E14">
        <f t="shared" si="1"/>
        <v>317072786006.82587</v>
      </c>
    </row>
    <row r="15" spans="1:7" x14ac:dyDescent="0.15">
      <c r="A15" t="s">
        <v>857</v>
      </c>
      <c r="C15">
        <v>0</v>
      </c>
      <c r="D15">
        <f t="shared" si="0"/>
        <v>0</v>
      </c>
      <c r="E15">
        <f t="shared" si="1"/>
        <v>0</v>
      </c>
    </row>
    <row r="16" spans="1:7" x14ac:dyDescent="0.15">
      <c r="A16" t="s">
        <v>858</v>
      </c>
      <c r="B16" t="s">
        <v>845</v>
      </c>
      <c r="C16">
        <v>418.16</v>
      </c>
      <c r="D16">
        <f t="shared" si="0"/>
        <v>1.4271672354948806</v>
      </c>
      <c r="E16">
        <f t="shared" si="1"/>
        <v>396338612969.28326</v>
      </c>
    </row>
    <row r="17" spans="1:5" x14ac:dyDescent="0.15">
      <c r="A17" t="s">
        <v>859</v>
      </c>
      <c r="B17" t="s">
        <v>845</v>
      </c>
      <c r="C17">
        <v>430.7</v>
      </c>
      <c r="D17">
        <f t="shared" si="0"/>
        <v>1.4699658703071672</v>
      </c>
      <c r="E17">
        <f t="shared" si="1"/>
        <v>408224221843.00342</v>
      </c>
    </row>
    <row r="18" spans="1:5" x14ac:dyDescent="0.15">
      <c r="A18" t="s">
        <v>860</v>
      </c>
      <c r="B18" t="s">
        <v>845</v>
      </c>
      <c r="C18">
        <v>430.7</v>
      </c>
      <c r="D18">
        <f t="shared" si="0"/>
        <v>1.4699658703071672</v>
      </c>
      <c r="E18">
        <f t="shared" si="1"/>
        <v>408224221843.00342</v>
      </c>
    </row>
    <row r="19" spans="1:5" x14ac:dyDescent="0.15">
      <c r="A19" t="s">
        <v>861</v>
      </c>
      <c r="B19" t="s">
        <v>845</v>
      </c>
      <c r="C19">
        <v>426.52</v>
      </c>
      <c r="D19">
        <f t="shared" si="0"/>
        <v>1.4556996587030717</v>
      </c>
      <c r="E19">
        <f t="shared" si="1"/>
        <v>404262352218.42999</v>
      </c>
    </row>
    <row r="20" spans="1:5" x14ac:dyDescent="0.15">
      <c r="A20" t="s">
        <v>862</v>
      </c>
      <c r="B20" t="s">
        <v>845</v>
      </c>
      <c r="C20">
        <v>418.16</v>
      </c>
      <c r="D20">
        <f t="shared" si="0"/>
        <v>1.4271672354948806</v>
      </c>
      <c r="E20">
        <f t="shared" si="1"/>
        <v>396338612969.28326</v>
      </c>
    </row>
    <row r="21" spans="1:5" x14ac:dyDescent="0.15">
      <c r="A21" t="s">
        <v>863</v>
      </c>
      <c r="B21" t="s">
        <v>845</v>
      </c>
      <c r="C21">
        <v>439.07</v>
      </c>
      <c r="D21">
        <f t="shared" si="0"/>
        <v>1.4985324232081911</v>
      </c>
      <c r="E21">
        <f t="shared" si="1"/>
        <v>416157439249.14679</v>
      </c>
    </row>
    <row r="22" spans="1:5" x14ac:dyDescent="0.15">
      <c r="A22" t="s">
        <v>864</v>
      </c>
      <c r="B22" t="s">
        <v>845</v>
      </c>
      <c r="C22">
        <v>413.98</v>
      </c>
      <c r="D22">
        <f t="shared" si="0"/>
        <v>1.4129010238907851</v>
      </c>
      <c r="E22">
        <f t="shared" si="1"/>
        <v>392376743344.70996</v>
      </c>
    </row>
    <row r="23" spans="1:5" x14ac:dyDescent="0.15">
      <c r="A23" t="s">
        <v>865</v>
      </c>
      <c r="B23" t="s">
        <v>845</v>
      </c>
      <c r="C23">
        <v>399.25</v>
      </c>
      <c r="D23">
        <f t="shared" si="0"/>
        <v>1.3626279863481228</v>
      </c>
      <c r="E23">
        <f t="shared" si="1"/>
        <v>378415418088.73718</v>
      </c>
    </row>
    <row r="24" spans="1:5" x14ac:dyDescent="0.15">
      <c r="A24" t="s">
        <v>866</v>
      </c>
      <c r="B24" t="s">
        <v>845</v>
      </c>
      <c r="C24">
        <v>429.45</v>
      </c>
      <c r="D24">
        <f t="shared" si="0"/>
        <v>1.4656996587030717</v>
      </c>
      <c r="E24">
        <f t="shared" si="1"/>
        <v>407039452218.43005</v>
      </c>
    </row>
    <row r="25" spans="1:5" x14ac:dyDescent="0.15">
      <c r="A25" t="s">
        <v>867</v>
      </c>
      <c r="B25" t="s">
        <v>845</v>
      </c>
      <c r="C25">
        <v>389.31</v>
      </c>
      <c r="D25">
        <f t="shared" si="0"/>
        <v>1.3287030716723549</v>
      </c>
      <c r="E25">
        <f t="shared" si="1"/>
        <v>368994130034.1297</v>
      </c>
    </row>
    <row r="26" spans="1:5" x14ac:dyDescent="0.15">
      <c r="A26" t="s">
        <v>868</v>
      </c>
      <c r="B26" t="s">
        <v>845</v>
      </c>
      <c r="C26">
        <v>319.47000000000003</v>
      </c>
      <c r="D26">
        <f t="shared" si="0"/>
        <v>1.0903412969283277</v>
      </c>
      <c r="E26">
        <f t="shared" si="1"/>
        <v>302798681569.96588</v>
      </c>
    </row>
    <row r="27" spans="1:5" x14ac:dyDescent="0.15">
      <c r="A27" t="s">
        <v>869</v>
      </c>
      <c r="B27" t="s">
        <v>845</v>
      </c>
      <c r="C27">
        <v>501.79</v>
      </c>
      <c r="D27">
        <f t="shared" si="0"/>
        <v>1.7125938566552901</v>
      </c>
      <c r="E27">
        <f t="shared" si="1"/>
        <v>475604439931.7406</v>
      </c>
    </row>
    <row r="28" spans="1:5" x14ac:dyDescent="0.15">
      <c r="A28" t="s">
        <v>870</v>
      </c>
      <c r="B28" t="s">
        <v>845</v>
      </c>
      <c r="C28">
        <v>459.98</v>
      </c>
      <c r="D28">
        <f t="shared" si="0"/>
        <v>1.5698976109215017</v>
      </c>
      <c r="E28">
        <f t="shared" si="1"/>
        <v>435976265529.01019</v>
      </c>
    </row>
    <row r="29" spans="1:5" x14ac:dyDescent="0.15">
      <c r="A29" t="s">
        <v>871</v>
      </c>
      <c r="B29" t="s">
        <v>845</v>
      </c>
      <c r="C29">
        <v>409.8</v>
      </c>
      <c r="D29">
        <f t="shared" si="0"/>
        <v>1.3986348122866894</v>
      </c>
      <c r="E29">
        <f t="shared" si="1"/>
        <v>388414873720.13647</v>
      </c>
    </row>
    <row r="30" spans="1:5" x14ac:dyDescent="0.15">
      <c r="A30" t="s">
        <v>872</v>
      </c>
      <c r="B30" t="s">
        <v>852</v>
      </c>
      <c r="C30">
        <v>3558.45</v>
      </c>
      <c r="D30">
        <f t="shared" si="0"/>
        <v>12.144880546075084</v>
      </c>
      <c r="E30">
        <f t="shared" si="1"/>
        <v>3372754776450.5117</v>
      </c>
    </row>
    <row r="31" spans="1:5" x14ac:dyDescent="0.15">
      <c r="A31" t="s">
        <v>873</v>
      </c>
      <c r="B31" t="s">
        <v>845</v>
      </c>
      <c r="C31">
        <v>514.34</v>
      </c>
      <c r="D31">
        <f t="shared" si="0"/>
        <v>1.7554266211604097</v>
      </c>
      <c r="E31">
        <f t="shared" si="1"/>
        <v>487499526962.45734</v>
      </c>
    </row>
    <row r="32" spans="1:5" x14ac:dyDescent="0.15">
      <c r="A32" t="s">
        <v>874</v>
      </c>
      <c r="B32" t="s">
        <v>875</v>
      </c>
      <c r="C32">
        <v>10</v>
      </c>
      <c r="D32">
        <f t="shared" si="0"/>
        <v>3.4129692832764506E-2</v>
      </c>
      <c r="E32">
        <f t="shared" si="1"/>
        <v>9478156996.5870304</v>
      </c>
    </row>
    <row r="33" spans="1:5" x14ac:dyDescent="0.15">
      <c r="A33" t="s">
        <v>876</v>
      </c>
      <c r="B33" t="s">
        <v>877</v>
      </c>
      <c r="C33">
        <v>360</v>
      </c>
      <c r="D33">
        <f t="shared" si="0"/>
        <v>1.2286689419795223</v>
      </c>
      <c r="E33">
        <f t="shared" si="1"/>
        <v>341213651877.13312</v>
      </c>
    </row>
    <row r="34" spans="1:5" x14ac:dyDescent="0.15">
      <c r="A34" t="s">
        <v>878</v>
      </c>
      <c r="B34" t="s">
        <v>879</v>
      </c>
      <c r="C34">
        <v>292.70999999999998</v>
      </c>
      <c r="D34">
        <f t="shared" si="0"/>
        <v>0.99901023890784979</v>
      </c>
      <c r="E34">
        <f t="shared" si="1"/>
        <v>277435133447.09894</v>
      </c>
    </row>
    <row r="39" spans="1:5" x14ac:dyDescent="0.15">
      <c r="A39" t="s">
        <v>880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4351-80D1-4706-970F-4FEA69F21D4B}">
  <dimension ref="A1:AQ9"/>
  <sheetViews>
    <sheetView workbookViewId="0"/>
  </sheetViews>
  <sheetFormatPr defaultRowHeight="13.5" x14ac:dyDescent="0.15"/>
  <cols>
    <col min="1" max="1" width="16.625" customWidth="1"/>
  </cols>
  <sheetData>
    <row r="1" spans="1:43" x14ac:dyDescent="0.15">
      <c r="A1" t="s">
        <v>959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884</v>
      </c>
      <c r="B2">
        <f>BAU建筑面积计算!C7/BAU建筑面积计算!C4</f>
        <v>3.2703084244563342E-2</v>
      </c>
      <c r="C2">
        <f>BAU建筑面积计算!D7/BAU建筑面积计算!D4</f>
        <v>3.9178442470044844E-2</v>
      </c>
      <c r="D2">
        <f>BAU建筑面积计算!E7/BAU建筑面积计算!E4</f>
        <v>2.3598936478233013E-2</v>
      </c>
      <c r="E2">
        <f>BAU建筑面积计算!F7/BAU建筑面积计算!F4</f>
        <v>2.2840759189902835E-2</v>
      </c>
      <c r="F2">
        <f>BAU建筑面积计算!G7/BAU建筑面积计算!G4</f>
        <v>2.2107126307119456E-2</v>
      </c>
      <c r="G2">
        <f>BAU建筑面积计算!H7/BAU建筑面积计算!H4</f>
        <v>2.1397000462763181E-2</v>
      </c>
      <c r="H2">
        <f>BAU建筑面积计算!I7/BAU建筑面积计算!I4</f>
        <v>2.0709534663615289E-2</v>
      </c>
      <c r="I2">
        <f>BAU建筑面积计算!J7/BAU建筑面积计算!J4</f>
        <v>2.0043895247526009E-2</v>
      </c>
      <c r="J2">
        <f>BAU建筑面积计算!K7/BAU建筑面积计算!K4</f>
        <v>1.9399468537588071E-2</v>
      </c>
      <c r="K2">
        <f>BAU建筑面积计算!L7/BAU建筑面积计算!L4</f>
        <v>1.8775644322505607E-2</v>
      </c>
      <c r="L2">
        <f>BAU建筑面积计算!M7/BAU建筑面积计算!M4</f>
        <v>1.8171967439485768E-2</v>
      </c>
      <c r="M2">
        <f>BAU建筑面积计算!N7/BAU建筑面积计算!N4</f>
        <v>1.758806271462449E-2</v>
      </c>
      <c r="N2">
        <f>BAU建筑面积计算!O7/BAU建筑面积计算!O4</f>
        <v>1.7023622728037761E-2</v>
      </c>
      <c r="O2">
        <f>BAU建筑面积计算!P7/BAU建筑面积计算!P4</f>
        <v>1.6478487219723111E-2</v>
      </c>
      <c r="P2">
        <f>BAU建筑面积计算!Q7/BAU建筑面积计算!Q4</f>
        <v>1.5952501991511686E-2</v>
      </c>
      <c r="Q2">
        <f>BAU建筑面积计算!R7/BAU建筑面积计算!R4</f>
        <v>1.544566600848272E-2</v>
      </c>
      <c r="R2">
        <f>BAU建筑面积计算!S7/BAU建筑面积计算!S4</f>
        <v>1.4958019223194199E-2</v>
      </c>
      <c r="S2">
        <f>BAU建筑面积计算!T7/BAU建筑面积计算!T4</f>
        <v>1.4489702362270915E-2</v>
      </c>
      <c r="T2">
        <f>BAU建筑面积计算!U7/BAU建筑面积计算!U4</f>
        <v>1.404095307409201E-2</v>
      </c>
      <c r="U2">
        <f>BAU建筑面积计算!V7/BAU建筑面积计算!V4</f>
        <v>1.3612038039222193E-2</v>
      </c>
      <c r="V2">
        <f>BAU建筑面积计算!W7/BAU建筑面积计算!W4</f>
        <v>1.3203360290350753E-2</v>
      </c>
      <c r="W2">
        <f>BAU建筑面积计算!X7/BAU建筑面积计算!X4</f>
        <v>1.2815386792567713E-2</v>
      </c>
      <c r="X2">
        <f>BAU建筑面积计算!Y7/BAU建筑面积计算!Y4</f>
        <v>1.2448670098150341E-2</v>
      </c>
      <c r="Y2">
        <f>BAU建筑面积计算!Z7/BAU建筑面积计算!Z4</f>
        <v>1.2103815325143532E-2</v>
      </c>
      <c r="Z2">
        <f>BAU建筑面积计算!AA7/BAU建筑面积计算!AA4</f>
        <v>1.1781531796300244E-2</v>
      </c>
      <c r="AA2">
        <f>BAU建筑面积计算!AB7/BAU建筑面积计算!AB4</f>
        <v>1.1482639893328334E-2</v>
      </c>
      <c r="AB2">
        <f>BAU建筑面积计算!AC7/BAU建筑面积计算!AC4</f>
        <v>1.1207978984140072E-2</v>
      </c>
      <c r="AC2">
        <f>BAU建筑面积计算!AD7/BAU建筑面积计算!AD4</f>
        <v>1.0958483188593585E-2</v>
      </c>
      <c r="AD2">
        <f>BAU建筑面积计算!AE7/BAU建筑面积计算!AE4</f>
        <v>1.0735227733423648E-2</v>
      </c>
      <c r="AE2">
        <f>BAU建筑面积计算!AF7/BAU建筑面积计算!AF4</f>
        <v>1.0539264693027977E-2</v>
      </c>
      <c r="AF2">
        <f>BAU建筑面积计算!AG7/BAU建筑面积计算!AG4</f>
        <v>1.037176932024932E-2</v>
      </c>
      <c r="AG2">
        <f>BAU建筑面积计算!AH7/BAU建筑面积计算!AH4</f>
        <v>1.0234004923791404E-2</v>
      </c>
      <c r="AH2">
        <f>BAU建筑面积计算!AI7/BAU建筑面积计算!AI4</f>
        <v>1.0127219524490409E-2</v>
      </c>
      <c r="AI2">
        <f>BAU建筑面积计算!AJ7/BAU建筑面积计算!AJ4</f>
        <v>1.0052821372211831E-2</v>
      </c>
      <c r="AJ2">
        <f>BAU建筑面积计算!AK7/BAU建筑面积计算!AK4</f>
        <v>1.0012141798469968E-2</v>
      </c>
      <c r="AK2">
        <f>BAU建筑面积计算!AL7/BAU建筑面积计算!AL4</f>
        <v>1.0006669059169724E-2</v>
      </c>
      <c r="AL2">
        <f>BAU建筑面积计算!AM7/BAU建筑面积计算!AM4</f>
        <v>1.003784021642235E-2</v>
      </c>
      <c r="AM2">
        <f>BAU建筑面积计算!AN7/BAU建筑面积计算!AN4</f>
        <v>1.0107118645659181E-2</v>
      </c>
      <c r="AN2">
        <f>BAU建筑面积计算!AO7/BAU建筑面积计算!AO4</f>
        <v>1.0215967062505309E-2</v>
      </c>
      <c r="AO2">
        <f>BAU建筑面积计算!AP7/BAU建筑面积计算!AP4</f>
        <v>1.0365829987526278E-2</v>
      </c>
      <c r="AP2">
        <f>BAU建筑面积计算!AQ7/BAU建筑面积计算!AQ4</f>
        <v>1.0558135762834236E-2</v>
      </c>
      <c r="AQ2">
        <f>BAU建筑面积计算!AR7/BAU建筑面积计算!AR4</f>
        <v>1.0794182496187551E-2</v>
      </c>
    </row>
    <row r="3" spans="1:43" x14ac:dyDescent="0.15">
      <c r="A3" t="s">
        <v>881</v>
      </c>
      <c r="B3">
        <f>BAU建筑面积计算!C15/BAU建筑面积计算!C12</f>
        <v>0</v>
      </c>
      <c r="C3">
        <f>BAU建筑面积计算!D15/BAU建筑面积计算!D12</f>
        <v>0</v>
      </c>
      <c r="D3">
        <f>BAU建筑面积计算!E15/BAU建筑面积计算!E12</f>
        <v>8.994523364969708E-3</v>
      </c>
      <c r="E3">
        <f>BAU建筑面积计算!F15/BAU建筑面积计算!F12</f>
        <v>8.1698502307658641E-3</v>
      </c>
      <c r="F3">
        <f>BAU建筑面积计算!G15/BAU建筑面积计算!G12</f>
        <v>7.3657664513015145E-3</v>
      </c>
      <c r="G3">
        <f>BAU建筑面积计算!H15/BAU建筑面积计算!H12</f>
        <v>6.581291479806759E-3</v>
      </c>
      <c r="H3">
        <f>BAU建筑面积计算!I15/BAU建筑面积计算!I12</f>
        <v>5.8156233959321046E-3</v>
      </c>
      <c r="I3">
        <f>BAU建筑面积计算!J15/BAU建筑面积计算!J12</f>
        <v>5.067959773539194E-3</v>
      </c>
      <c r="J3">
        <f>BAU建筑面积计算!K15/BAU建筑面积计算!K12</f>
        <v>4.3377081106677189E-3</v>
      </c>
      <c r="K3">
        <f>BAU建筑面积计算!L15/BAU建筑面积计算!L12</f>
        <v>3.6242662380648453E-3</v>
      </c>
      <c r="L3">
        <f>BAU建筑面积计算!M15/BAU建筑面积计算!M12</f>
        <v>2.9271765822398159E-3</v>
      </c>
      <c r="M3">
        <f>BAU建筑面积计算!N15/BAU建筑面积计算!N12</f>
        <v>2.2460499769919127E-3</v>
      </c>
      <c r="N3">
        <f>BAU建筑面积计算!O15/BAU建筑面积计算!O12</f>
        <v>1.5805532117851712E-3</v>
      </c>
      <c r="O3">
        <f>BAU建筑面积计算!P15/BAU建筑面积计算!P12</f>
        <v>9.3048955561136838E-4</v>
      </c>
      <c r="P3">
        <f>BAU建筑面积计算!Q15/BAU建筑面积计算!Q12</f>
        <v>2.95655021395374E-4</v>
      </c>
      <c r="Q3">
        <f>BAU建筑面积计算!R15/BAU建筑面积计算!R12</f>
        <v>0</v>
      </c>
      <c r="R3">
        <f>BAU建筑面积计算!S15/BAU建筑面积计算!S12</f>
        <v>0</v>
      </c>
      <c r="S3">
        <f>BAU建筑面积计算!T15/BAU建筑面积计算!T12</f>
        <v>0</v>
      </c>
      <c r="T3">
        <f>BAU建筑面积计算!U15/BAU建筑面积计算!U12</f>
        <v>0</v>
      </c>
      <c r="U3">
        <f>BAU建筑面积计算!V15/BAU建筑面积计算!V12</f>
        <v>0</v>
      </c>
      <c r="V3">
        <f>BAU建筑面积计算!W15/BAU建筑面积计算!W12</f>
        <v>0</v>
      </c>
      <c r="W3">
        <f>BAU建筑面积计算!X15/BAU建筑面积计算!X12</f>
        <v>0</v>
      </c>
      <c r="X3">
        <f>BAU建筑面积计算!Y15/BAU建筑面积计算!Y12</f>
        <v>0</v>
      </c>
      <c r="Y3">
        <f>BAU建筑面积计算!Z15/BAU建筑面积计算!Z12</f>
        <v>0</v>
      </c>
      <c r="Z3">
        <f>BAU建筑面积计算!AA15/BAU建筑面积计算!AA12</f>
        <v>0</v>
      </c>
      <c r="AA3">
        <f>BAU建筑面积计算!AB15/BAU建筑面积计算!AB12</f>
        <v>0</v>
      </c>
      <c r="AB3">
        <f>BAU建筑面积计算!AC15/BAU建筑面积计算!AC12</f>
        <v>0</v>
      </c>
      <c r="AC3">
        <f>BAU建筑面积计算!AD15/BAU建筑面积计算!AD12</f>
        <v>0</v>
      </c>
      <c r="AD3">
        <f>BAU建筑面积计算!AE15/BAU建筑面积计算!AE12</f>
        <v>0</v>
      </c>
      <c r="AE3">
        <f>BAU建筑面积计算!AF15/BAU建筑面积计算!AF12</f>
        <v>0</v>
      </c>
      <c r="AF3">
        <f>BAU建筑面积计算!AG15/BAU建筑面积计算!AG12</f>
        <v>0</v>
      </c>
      <c r="AG3">
        <f>BAU建筑面积计算!AH15/BAU建筑面积计算!AH12</f>
        <v>0</v>
      </c>
      <c r="AH3">
        <f>BAU建筑面积计算!AI15/BAU建筑面积计算!AI12</f>
        <v>0</v>
      </c>
      <c r="AI3">
        <f>BAU建筑面积计算!AJ15/BAU建筑面积计算!AJ12</f>
        <v>0</v>
      </c>
      <c r="AJ3">
        <f>BAU建筑面积计算!AK15/BAU建筑面积计算!AK12</f>
        <v>0</v>
      </c>
      <c r="AK3">
        <f>BAU建筑面积计算!AL15/BAU建筑面积计算!AL12</f>
        <v>0</v>
      </c>
      <c r="AL3">
        <f>BAU建筑面积计算!AM15/BAU建筑面积计算!AM12</f>
        <v>0</v>
      </c>
      <c r="AM3">
        <f>BAU建筑面积计算!AN15/BAU建筑面积计算!AN12</f>
        <v>0</v>
      </c>
      <c r="AN3">
        <f>BAU建筑面积计算!AO15/BAU建筑面积计算!AO12</f>
        <v>0</v>
      </c>
      <c r="AO3">
        <f>BAU建筑面积计算!AP15/BAU建筑面积计算!AP12</f>
        <v>0</v>
      </c>
      <c r="AP3">
        <f>BAU建筑面积计算!AQ15/BAU建筑面积计算!AQ12</f>
        <v>0</v>
      </c>
      <c r="AQ3">
        <f>BAU建筑面积计算!AR15/BAU建筑面积计算!AR12</f>
        <v>0</v>
      </c>
    </row>
    <row r="4" spans="1:43" x14ac:dyDescent="0.15">
      <c r="A4" t="s">
        <v>882</v>
      </c>
      <c r="B4">
        <f>BAU建筑面积计算!C23/BAU建筑面积计算!C20</f>
        <v>3.2703084244563571E-2</v>
      </c>
      <c r="C4">
        <f>BAU建筑面积计算!D23/BAU建筑面积计算!D20</f>
        <v>3.9178442470044775E-2</v>
      </c>
      <c r="D4">
        <f>BAU建筑面积计算!E23/BAU建筑面积计算!E20</f>
        <v>2.3598936478232871E-2</v>
      </c>
      <c r="E4">
        <f>BAU建筑面积计算!F23/BAU建筑面积计算!F20</f>
        <v>2.2840759189902905E-2</v>
      </c>
      <c r="F4">
        <f>BAU建筑面积计算!G23/BAU建筑面积计算!G20</f>
        <v>2.210712630711946E-2</v>
      </c>
      <c r="G4">
        <f>BAU建筑面积计算!H23/BAU建筑面积计算!H20</f>
        <v>2.1397000462763365E-2</v>
      </c>
      <c r="H4">
        <f>BAU建筑面积计算!I23/BAU建筑面积计算!I20</f>
        <v>2.0709534663615223E-2</v>
      </c>
      <c r="I4">
        <f>BAU建筑面积计算!J23/BAU建筑面积计算!J20</f>
        <v>2.0043895247525905E-2</v>
      </c>
      <c r="J4">
        <f>BAU建筑面积计算!K23/BAU建筑面积计算!K20</f>
        <v>1.9399468537588185E-2</v>
      </c>
      <c r="K4">
        <f>BAU建筑面积计算!L23/BAU建筑面积计算!L20</f>
        <v>1.8775644322505579E-2</v>
      </c>
      <c r="L4">
        <f>BAU建筑面积计算!M23/BAU建筑面积计算!M20</f>
        <v>1.8171967439485764E-2</v>
      </c>
      <c r="M4">
        <f>BAU建筑面积计算!N23/BAU建筑面积计算!N20</f>
        <v>1.7588062714624503E-2</v>
      </c>
      <c r="N4">
        <f>BAU建筑面积计算!O23/BAU建筑面积计算!O20</f>
        <v>1.7023622728037605E-2</v>
      </c>
      <c r="O4">
        <f>BAU建筑面积计算!P23/BAU建筑面积计算!P20</f>
        <v>1.6478487219723299E-2</v>
      </c>
      <c r="P4">
        <f>BAU建筑面积计算!Q23/BAU建筑面积计算!Q20</f>
        <v>1.5952501991511738E-2</v>
      </c>
      <c r="Q4">
        <f>BAU建筑面积计算!R23/BAU建筑面积计算!R20</f>
        <v>1.54456660084825E-2</v>
      </c>
      <c r="R4">
        <f>BAU建筑面积计算!S23/BAU建筑面积计算!S20</f>
        <v>1.4958019223194476E-2</v>
      </c>
      <c r="S4">
        <f>BAU建筑面积计算!T23/BAU建筑面积计算!T20</f>
        <v>1.4489702362270667E-2</v>
      </c>
      <c r="T4">
        <f>BAU建筑面积计算!U23/BAU建筑面积计算!U20</f>
        <v>1.4040953074091898E-2</v>
      </c>
      <c r="U4">
        <f>BAU建筑面积计算!V23/BAU建筑面积计算!V20</f>
        <v>1.3612038039222235E-2</v>
      </c>
      <c r="V4">
        <f>BAU建筑面积计算!W23/BAU建筑面积计算!W20</f>
        <v>1.3203360290350897E-2</v>
      </c>
      <c r="W4">
        <f>BAU建筑面积计算!X23/BAU建筑面积计算!X20</f>
        <v>1.2815386792567428E-2</v>
      </c>
      <c r="X4">
        <f>BAU建筑面积计算!Y23/BAU建筑面积计算!Y20</f>
        <v>1.244867009815059E-2</v>
      </c>
      <c r="Y4">
        <f>BAU建筑面积计算!Z23/BAU建筑面积计算!Z20</f>
        <v>1.2103815325143354E-2</v>
      </c>
      <c r="Z4">
        <f>BAU建筑面积计算!AA23/BAU建筑面积计算!AA20</f>
        <v>1.178153179630022E-2</v>
      </c>
      <c r="AA4">
        <f>BAU建筑面积计算!AB23/BAU建筑面积计算!AB20</f>
        <v>1.1482639893328414E-2</v>
      </c>
      <c r="AB4">
        <f>BAU建筑面积计算!AC23/BAU建筑面积计算!AC20</f>
        <v>1.1207978984140138E-2</v>
      </c>
      <c r="AC4">
        <f>BAU建筑面积计算!AD23/BAU建筑面积计算!AD20</f>
        <v>1.0958483188593724E-2</v>
      </c>
      <c r="AD4">
        <f>BAU建筑面积计算!AE23/BAU建筑面积计算!AE20</f>
        <v>1.0735227733423511E-2</v>
      </c>
      <c r="AE4">
        <f>BAU建筑面积计算!AF23/BAU建筑面积计算!AF20</f>
        <v>1.053926469302828E-2</v>
      </c>
      <c r="AF4">
        <f>BAU建筑面积计算!AG23/BAU建筑面积计算!AG20</f>
        <v>1.0371769320249106E-2</v>
      </c>
      <c r="AG4">
        <f>BAU建筑面积计算!AH23/BAU建筑面积计算!AH20</f>
        <v>1.0234004923791404E-2</v>
      </c>
      <c r="AH4">
        <f>BAU建筑面积计算!AI23/BAU建筑面积计算!AI20</f>
        <v>1.012721952449034E-2</v>
      </c>
      <c r="AI4">
        <f>BAU建筑面积计算!AJ23/BAU建筑面积计算!AJ20</f>
        <v>1.0052821372211848E-2</v>
      </c>
      <c r="AJ4">
        <f>BAU建筑面积计算!AK23/BAU建筑面积计算!AK20</f>
        <v>1.0012141798469706E-2</v>
      </c>
      <c r="AK4">
        <f>BAU建筑面积计算!AL23/BAU建筑面积计算!AL20</f>
        <v>1.0006669059169946E-2</v>
      </c>
      <c r="AL4">
        <f>BAU建筑面积计算!AM23/BAU建筑面积计算!AM20</f>
        <v>1.003784021642211E-2</v>
      </c>
      <c r="AM4">
        <f>BAU建筑面积计算!AN23/BAU建筑面积计算!AN20</f>
        <v>1.0107118645659399E-2</v>
      </c>
      <c r="AN4">
        <f>BAU建筑面积计算!AO23/BAU建筑面积计算!AO20</f>
        <v>1.0215967062505424E-2</v>
      </c>
      <c r="AO4">
        <f>BAU建筑面积计算!AP23/BAU建筑面积计算!AP20</f>
        <v>1.0365829987525964E-2</v>
      </c>
      <c r="AP4">
        <f>BAU建筑面积计算!AQ23/BAU建筑面积计算!AQ20</f>
        <v>1.0558135762834738E-2</v>
      </c>
      <c r="AQ4">
        <f>BAU建筑面积计算!AR23/BAU建筑面积计算!AR20</f>
        <v>1.0794182496187587E-2</v>
      </c>
    </row>
    <row r="6" spans="1:43" x14ac:dyDescent="0.15">
      <c r="A6" t="s">
        <v>960</v>
      </c>
    </row>
    <row r="7" spans="1:43" x14ac:dyDescent="0.15">
      <c r="A7" t="s">
        <v>884</v>
      </c>
      <c r="B7">
        <f>AVERAGE(B2:AQ2)</f>
        <v>1.5206546944977391E-2</v>
      </c>
    </row>
    <row r="8" spans="1:43" x14ac:dyDescent="0.15">
      <c r="A8" t="s">
        <v>881</v>
      </c>
      <c r="B8">
        <f>AVERAGE(B3:AQ3)</f>
        <v>1.3794503188826514E-3</v>
      </c>
    </row>
    <row r="9" spans="1:43" x14ac:dyDescent="0.15">
      <c r="A9" t="s">
        <v>882</v>
      </c>
      <c r="B9">
        <f>AVERAGE(B4:AQ4)</f>
        <v>1.5206546944977391E-2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2B44-A982-4375-9294-A2E2860CD95F}">
  <dimension ref="A1:B4"/>
  <sheetViews>
    <sheetView workbookViewId="0"/>
  </sheetViews>
  <sheetFormatPr defaultRowHeight="13.5" x14ac:dyDescent="0.15"/>
  <cols>
    <col min="2" max="2" width="32.25" customWidth="1"/>
  </cols>
  <sheetData>
    <row r="1" spans="1:2" x14ac:dyDescent="0.15">
      <c r="B1" t="s">
        <v>997</v>
      </c>
    </row>
    <row r="2" spans="1:2" x14ac:dyDescent="0.15">
      <c r="A2" t="s">
        <v>884</v>
      </c>
      <c r="B2" s="8">
        <v>0.4</v>
      </c>
    </row>
    <row r="3" spans="1:2" x14ac:dyDescent="0.15">
      <c r="A3" t="s">
        <v>881</v>
      </c>
      <c r="B3" s="8">
        <v>0.4</v>
      </c>
    </row>
    <row r="4" spans="1:2" x14ac:dyDescent="0.15">
      <c r="A4" t="s">
        <v>996</v>
      </c>
      <c r="B4" s="8">
        <v>0.4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2DF8-A71A-4A2F-A0C3-87AC7B88ECDE}">
  <dimension ref="A1:AP18"/>
  <sheetViews>
    <sheetView workbookViewId="0"/>
  </sheetViews>
  <sheetFormatPr defaultRowHeight="13.5" x14ac:dyDescent="0.15"/>
  <cols>
    <col min="1" max="1" width="23.625" customWidth="1"/>
  </cols>
  <sheetData>
    <row r="1" spans="1:42" x14ac:dyDescent="0.15">
      <c r="A1" s="50" t="s">
        <v>983</v>
      </c>
      <c r="B1" s="51"/>
      <c r="C1" s="51"/>
      <c r="D1" s="51"/>
      <c r="E1" s="51"/>
    </row>
    <row r="2" spans="1:42" x14ac:dyDescent="0.15">
      <c r="B2">
        <v>2020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  <c r="AG2">
        <v>2051</v>
      </c>
      <c r="AH2">
        <v>2052</v>
      </c>
      <c r="AI2">
        <v>2053</v>
      </c>
      <c r="AJ2">
        <v>2054</v>
      </c>
      <c r="AK2">
        <v>2055</v>
      </c>
      <c r="AL2">
        <v>2056</v>
      </c>
      <c r="AM2">
        <v>2057</v>
      </c>
      <c r="AN2">
        <v>2058</v>
      </c>
      <c r="AO2">
        <v>2059</v>
      </c>
      <c r="AP2">
        <v>2060</v>
      </c>
    </row>
    <row r="3" spans="1:42" x14ac:dyDescent="0.15">
      <c r="A3" t="s">
        <v>975</v>
      </c>
      <c r="B3">
        <f>'改造情景建筑面积计算 '!D7/'改造情景建筑面积计算 '!D4</f>
        <v>9.6944301098586521E-3</v>
      </c>
      <c r="C3">
        <f>'改造情景建筑面积计算 '!E7/'改造情景建筑面积计算 '!E4</f>
        <v>9.5484266602734198E-3</v>
      </c>
      <c r="D3">
        <f>'改造情景建筑面积计算 '!F7/'改造情景建筑面积计算 '!F4</f>
        <v>9.4108456391111348E-3</v>
      </c>
      <c r="E3">
        <f>'改造情景建筑面积计算 '!G7/'改造情景建筑面积计算 '!G4</f>
        <v>9.2812045812834879E-3</v>
      </c>
      <c r="F3">
        <f>'改造情景建筑面积计算 '!H7/'改造情景建筑面积计算 '!H4</f>
        <v>9.159057592155356E-3</v>
      </c>
      <c r="G3">
        <f>'改造情景建筑面积计算 '!I7/'改造情景建筑面积计算 '!I4</f>
        <v>9.0439909282543172E-3</v>
      </c>
      <c r="H3">
        <f>'改造情景建筑面积计算 '!J7/'改造情景建筑面积计算 '!J4</f>
        <v>8.9356205591550799E-3</v>
      </c>
      <c r="I3">
        <f>'改造情景建筑面积计算 '!K7/'改造情景建筑面积计算 '!K4</f>
        <v>8.8335880813789139E-3</v>
      </c>
      <c r="J3">
        <f>'改造情景建筑面积计算 '!L7/'改造情景建筑面积计算 '!L4</f>
        <v>8.7375588706290457E-3</v>
      </c>
      <c r="K3">
        <f>'改造情景建筑面积计算 '!M7/'改造情景建筑面积计算 '!M4</f>
        <v>8.647219052986448E-3</v>
      </c>
      <c r="L3">
        <f>'改造情景建筑面积计算 '!N7/'改造情景建筑面积计算 '!N4</f>
        <v>8.5622733461802169E-3</v>
      </c>
      <c r="M3">
        <f>'改造情景建筑面积计算 '!O7/'改造情景建筑面积计算 '!O4</f>
        <v>8.482443159618153E-3</v>
      </c>
      <c r="N3">
        <f>'改造情景建筑面积计算 '!P7/'改造情景建筑面积计算 '!P4</f>
        <v>8.4074641462383165E-3</v>
      </c>
      <c r="O3">
        <f>'改造情景建筑面积计算 '!Q7/'改造情景建筑面积计算 '!Q4</f>
        <v>8.3370850981252242E-3</v>
      </c>
      <c r="P3">
        <f>'改造情景建筑面积计算 '!R7/'改造情景建筑面积计算 '!R4</f>
        <v>8.2710656814335703E-3</v>
      </c>
      <c r="Q3">
        <f>'改造情景建筑面积计算 '!S7/'改造情景建筑面积计算 '!S4</f>
        <v>8.2091752273248629E-3</v>
      </c>
      <c r="R3">
        <f>'改造情景建筑面积计算 '!T7/'改造情景建筑面积计算 '!T4</f>
        <v>8.1511910956613316E-3</v>
      </c>
      <c r="S3">
        <f>'改造情景建筑面积计算 '!U7/'改造情景建筑面积计算 '!U4</f>
        <v>8.0968971493587481E-3</v>
      </c>
      <c r="T3">
        <f>'改造情景建筑面积计算 '!V7/'改造情景建筑面积计算 '!V4</f>
        <v>8.0460828503613729E-3</v>
      </c>
      <c r="U3">
        <f>'改造情景建筑面积计算 '!W7/'改造情景建筑面积计算 '!W4</f>
        <v>7.9985415272536362E-3</v>
      </c>
      <c r="V3">
        <f>'改造情景建筑面积计算 '!X7/'改造情景建筑面积计算 '!X4</f>
        <v>7.9540692911345915E-3</v>
      </c>
      <c r="W3">
        <f>'改造情景建筑面积计算 '!Y7/'改造情景建筑面积计算 '!Y4</f>
        <v>7.9124638175095824E-3</v>
      </c>
      <c r="X3">
        <f>'改造情景建筑面积计算 '!Z7/'改造情景建筑面积计算 '!Z4</f>
        <v>7.8735234321999498E-3</v>
      </c>
      <c r="Y3">
        <f>'改造情景建筑面积计算 '!AA7/'改造情景建筑面积计算 '!AA4</f>
        <v>7.8370458187034531E-3</v>
      </c>
      <c r="Z3">
        <f>'改造情景建筑面积计算 '!AB7/'改造情景建筑面积计算 '!AB4</f>
        <v>7.8028267108557941E-3</v>
      </c>
      <c r="AA3">
        <f>'改造情景建筑面积计算 '!AC7/'改造情景建筑面积计算 '!AC4</f>
        <v>7.770659347294164E-3</v>
      </c>
      <c r="AB3">
        <f>'改造情景建筑面积计算 '!AD7/'改造情景建筑面积计算 '!AD4</f>
        <v>7.7403333558338479E-3</v>
      </c>
      <c r="AC3">
        <f>'改造情景建筑面积计算 '!AE7/'改造情景建筑面积计算 '!AE4</f>
        <v>7.7116333137983674E-3</v>
      </c>
      <c r="AD3">
        <f>'改造情景建筑面积计算 '!AF7/'改造情景建筑面积计算 '!AF4</f>
        <v>7.6843386292887207E-3</v>
      </c>
      <c r="AE3">
        <f>'改造情景建筑面积计算 '!AG7/'改造情景建筑面积计算 '!AG4</f>
        <v>7.6582223166754924E-3</v>
      </c>
      <c r="AF3">
        <f>'改造情景建筑面积计算 '!AH7/'改造情景建筑面积计算 '!AH4</f>
        <v>7.6330500947388849E-3</v>
      </c>
      <c r="AG3">
        <f>'改造情景建筑面积计算 '!AI7/'改造情景建筑面积计算 '!AI4</f>
        <v>7.6085803323434195E-3</v>
      </c>
      <c r="AH3">
        <f>'改造情景建筑面积计算 '!AJ7/'改造情景建筑面积计算 '!AJ4</f>
        <v>7.5845626990854393E-3</v>
      </c>
      <c r="AI3">
        <f>'改造情景建筑面积计算 '!AK7/'改造情景建筑面积计算 '!AK4</f>
        <v>7.5607387061126883E-3</v>
      </c>
      <c r="AJ3">
        <f>'改造情景建筑面积计算 '!AL7/'改造情景建筑面积计算 '!AL4</f>
        <v>7.5368405306812476E-3</v>
      </c>
      <c r="AK3">
        <f>'改造情景建筑面积计算 '!AM7/'改造情景建筑面积计算 '!AM4</f>
        <v>7.5125915216982496E-3</v>
      </c>
      <c r="AL3">
        <f>'改造情景建筑面积计算 '!AN7/'改造情景建筑面积计算 '!AN4</f>
        <v>7.487706211508946E-3</v>
      </c>
      <c r="AM3">
        <f>'改造情景建筑面积计算 '!AO7/'改造情景建筑面积计算 '!AO4</f>
        <v>7.4618906460076377E-3</v>
      </c>
      <c r="AN3">
        <f>'改造情景建筑面积计算 '!AP7/'改造情景建筑面积计算 '!AP4</f>
        <v>7.4348429729492217E-3</v>
      </c>
      <c r="AO3">
        <f>'改造情景建筑面积计算 '!AQ7/'改造情景建筑面积计算 '!AQ4</f>
        <v>7.4062541539419956E-3</v>
      </c>
      <c r="AP3">
        <f>'改造情景建筑面积计算 '!AR7/'改造情景建筑面积计算 '!AR4</f>
        <v>7.3758096798559672E-3</v>
      </c>
    </row>
    <row r="4" spans="1:42" x14ac:dyDescent="0.15">
      <c r="A4" t="s">
        <v>976</v>
      </c>
      <c r="B4" s="49">
        <v>0.69</v>
      </c>
      <c r="C4" s="49">
        <v>0.69</v>
      </c>
      <c r="D4" s="49">
        <v>0.69</v>
      </c>
      <c r="E4" s="49">
        <v>0.69</v>
      </c>
      <c r="F4" s="49">
        <v>0.69</v>
      </c>
      <c r="G4" s="49">
        <v>0.69</v>
      </c>
      <c r="H4" s="49">
        <v>0.69</v>
      </c>
      <c r="I4" s="49">
        <v>0.69</v>
      </c>
      <c r="J4" s="49">
        <v>0.69</v>
      </c>
      <c r="K4" s="49">
        <v>0.69</v>
      </c>
      <c r="L4" s="49">
        <v>0.69</v>
      </c>
      <c r="M4" s="49">
        <v>0.69</v>
      </c>
      <c r="N4" s="49">
        <v>0.69</v>
      </c>
      <c r="O4" s="49">
        <v>0.69</v>
      </c>
      <c r="P4" s="49">
        <v>0.69</v>
      </c>
      <c r="Q4" s="49">
        <v>0.69</v>
      </c>
      <c r="R4" s="49">
        <v>0.69</v>
      </c>
      <c r="S4" s="49">
        <v>0.69</v>
      </c>
      <c r="T4" s="49">
        <v>0.69</v>
      </c>
      <c r="U4" s="49">
        <v>0.69</v>
      </c>
      <c r="V4" s="49">
        <v>0.69</v>
      </c>
      <c r="W4" s="49">
        <v>0.69</v>
      </c>
      <c r="X4" s="49">
        <v>0.69</v>
      </c>
      <c r="Y4" s="49">
        <v>0.69</v>
      </c>
      <c r="Z4" s="49">
        <v>0.69</v>
      </c>
      <c r="AA4" s="49">
        <v>0.69</v>
      </c>
      <c r="AB4" s="49">
        <v>0.69</v>
      </c>
      <c r="AC4" s="49">
        <v>0.69</v>
      </c>
      <c r="AD4" s="49">
        <v>0.69</v>
      </c>
      <c r="AE4" s="49">
        <v>0.69</v>
      </c>
      <c r="AF4" s="49">
        <v>0.69</v>
      </c>
      <c r="AG4" s="49">
        <v>0.69</v>
      </c>
      <c r="AH4" s="49">
        <v>0.69</v>
      </c>
      <c r="AI4" s="49">
        <v>0.69</v>
      </c>
      <c r="AJ4" s="49">
        <v>0.69</v>
      </c>
      <c r="AK4" s="49">
        <v>0.69</v>
      </c>
      <c r="AL4" s="49">
        <v>0.69</v>
      </c>
      <c r="AM4" s="49">
        <v>0.69</v>
      </c>
      <c r="AN4" s="49">
        <v>0.69</v>
      </c>
      <c r="AO4" s="49">
        <v>0.69</v>
      </c>
      <c r="AP4" s="49">
        <v>0.69</v>
      </c>
    </row>
    <row r="5" spans="1:42" x14ac:dyDescent="0.15">
      <c r="A5" t="s">
        <v>985</v>
      </c>
      <c r="B5" s="52">
        <f>AVERAGE(B3:AP3)</f>
        <v>8.1561498765575346E-3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</row>
    <row r="6" spans="1:42" x14ac:dyDescent="0.15">
      <c r="A6" t="s">
        <v>984</v>
      </c>
      <c r="B6" s="52">
        <f>AVERAGE(B4:AP4)</f>
        <v>0.69000000000000028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</row>
    <row r="8" spans="1:42" x14ac:dyDescent="0.15">
      <c r="B8">
        <v>2020</v>
      </c>
      <c r="C8">
        <v>2021</v>
      </c>
      <c r="D8">
        <v>2022</v>
      </c>
      <c r="E8">
        <v>2023</v>
      </c>
      <c r="F8">
        <v>2024</v>
      </c>
      <c r="G8">
        <v>2025</v>
      </c>
      <c r="H8">
        <v>2026</v>
      </c>
      <c r="I8">
        <v>2027</v>
      </c>
      <c r="J8">
        <v>2028</v>
      </c>
      <c r="K8">
        <v>2029</v>
      </c>
      <c r="L8">
        <v>2030</v>
      </c>
      <c r="M8">
        <v>2031</v>
      </c>
      <c r="N8">
        <v>2032</v>
      </c>
      <c r="O8">
        <v>2033</v>
      </c>
      <c r="P8">
        <v>2034</v>
      </c>
      <c r="Q8">
        <v>2035</v>
      </c>
      <c r="R8">
        <v>2036</v>
      </c>
      <c r="S8">
        <v>2037</v>
      </c>
      <c r="T8">
        <v>2038</v>
      </c>
      <c r="U8">
        <v>2039</v>
      </c>
      <c r="V8">
        <v>2040</v>
      </c>
      <c r="W8">
        <v>2041</v>
      </c>
      <c r="X8">
        <v>2042</v>
      </c>
      <c r="Y8">
        <v>2043</v>
      </c>
      <c r="Z8">
        <v>2044</v>
      </c>
      <c r="AA8">
        <v>2045</v>
      </c>
      <c r="AB8">
        <v>2046</v>
      </c>
      <c r="AC8">
        <v>2047</v>
      </c>
      <c r="AD8">
        <v>2048</v>
      </c>
      <c r="AE8">
        <v>2049</v>
      </c>
      <c r="AF8">
        <v>2050</v>
      </c>
      <c r="AG8">
        <v>2051</v>
      </c>
      <c r="AH8">
        <v>2052</v>
      </c>
      <c r="AI8">
        <v>2053</v>
      </c>
      <c r="AJ8">
        <v>2054</v>
      </c>
      <c r="AK8">
        <v>2055</v>
      </c>
      <c r="AL8">
        <v>2056</v>
      </c>
      <c r="AM8">
        <v>2057</v>
      </c>
      <c r="AN8">
        <v>2058</v>
      </c>
      <c r="AO8">
        <v>2059</v>
      </c>
      <c r="AP8">
        <v>2060</v>
      </c>
    </row>
    <row r="9" spans="1:42" x14ac:dyDescent="0.15">
      <c r="A9" t="s">
        <v>977</v>
      </c>
      <c r="B9">
        <f>'改造情景建筑面积计算 '!D16/'改造情景建筑面积计算 '!D13</f>
        <v>1.0258696592156362E-2</v>
      </c>
      <c r="C9">
        <f>'改造情景建筑面积计算 '!E16/'改造情景建筑面积计算 '!E13</f>
        <v>1.0263461502822018E-2</v>
      </c>
      <c r="D9">
        <f>'改造情景建筑面积计算 '!F16/'改造情景建筑面积计算 '!F13</f>
        <v>1.027665519879767E-2</v>
      </c>
      <c r="E9">
        <f>'改造情景建筑面积计算 '!G16/'改造情景建筑面积计算 '!G13</f>
        <v>1.0298153132452229E-2</v>
      </c>
      <c r="F9">
        <f>'改造情景建筑面积计算 '!H16/'改造情景建筑面积计算 '!H13</f>
        <v>1.0327859240938226E-2</v>
      </c>
      <c r="G9">
        <f>'改造情景建筑面积计算 '!I16/'改造情景建筑面积计算 '!I13</f>
        <v>1.0365703381000886E-2</v>
      </c>
      <c r="H9">
        <f>'改造情景建筑面积计算 '!J16/'改造情景建筑面积计算 '!J13</f>
        <v>1.0411640774843819E-2</v>
      </c>
      <c r="I9">
        <f>'改造情景建筑面积计算 '!K16/'改造情景建筑面积计算 '!K13</f>
        <v>1.0465649409495341E-2</v>
      </c>
      <c r="J9">
        <f>'改造情景建筑面积计算 '!L16/'改造情景建筑面积计算 '!L13</f>
        <v>1.0527729830497287E-2</v>
      </c>
      <c r="K9">
        <f>'改造情景建筑面积计算 '!M16/'改造情景建筑面积计算 '!M13</f>
        <v>1.0597903432944675E-2</v>
      </c>
      <c r="L9">
        <f>'改造情景建筑面积计算 '!N16/'改造情景建筑面积计算 '!N13</f>
        <v>1.0676211625414577E-2</v>
      </c>
      <c r="M9">
        <f>'改造情景建筑面积计算 '!O16/'改造情景建筑面积计算 '!O13</f>
        <v>1.0762715202615838E-2</v>
      </c>
      <c r="N9">
        <f>'改造情景建筑面积计算 '!P16/'改造情景建筑面积计算 '!P13</f>
        <v>1.0857492912855957E-2</v>
      </c>
      <c r="O9">
        <f>'改造情景建筑面积计算 '!Q16/'改造情景建筑面积计算 '!Q13</f>
        <v>1.0960641607796645E-2</v>
      </c>
      <c r="P9">
        <f>'改造情景建筑面积计算 '!R16/'改造情景建筑面积计算 '!R13</f>
        <v>1.1072274827442987E-2</v>
      </c>
      <c r="Q9">
        <f>'改造情景建筑面积计算 '!S16/'改造情景建筑面积计算 '!S13</f>
        <v>1.1192522640263197E-2</v>
      </c>
      <c r="R9">
        <f>'改造情景建筑面积计算 '!T16/'改造情景建筑面积计算 '!T13</f>
        <v>1.1321530846275933E-2</v>
      </c>
      <c r="S9">
        <f>'改造情景建筑面积计算 '!U16/'改造情景建筑面积计算 '!U13</f>
        <v>1.1459460220502324E-2</v>
      </c>
      <c r="T9">
        <f>'改造情景建筑面积计算 '!V16/'改造情景建筑面积计算 '!V13</f>
        <v>1.1606486541435581E-2</v>
      </c>
      <c r="U9">
        <f>'改造情景建筑面积计算 '!W16/'改造情景建筑面积计算 '!W13</f>
        <v>1.1762799381334737E-2</v>
      </c>
      <c r="V9">
        <f>'改造情景建筑面积计算 '!X16/'改造情景建筑面积计算 '!X13</f>
        <v>1.1928601701752927E-2</v>
      </c>
      <c r="W9">
        <f>'改造情景建筑面积计算 '!Y16/'改造情景建筑面积计算 '!Y13</f>
        <v>1.2104109173853047E-2</v>
      </c>
      <c r="X9">
        <f>'改造情景建筑面积计算 '!Z16/'改造情景建筑面积计算 '!Z13</f>
        <v>1.2289549869250899E-2</v>
      </c>
      <c r="Y9">
        <f>'改造情景建筑面积计算 '!AA16/'改造情景建筑面积计算 '!AA13</f>
        <v>1.2485163289485974E-2</v>
      </c>
      <c r="Z9">
        <f>'改造情景建筑面积计算 '!AB16/'改造情景建筑面积计算 '!AB13</f>
        <v>1.269119922991975E-2</v>
      </c>
      <c r="AA9">
        <f>'改造情景建筑面积计算 '!AC16/'改造情景建筑面积计算 '!AC13</f>
        <v>1.2907917745956128E-2</v>
      </c>
      <c r="AB9">
        <f>'改造情景建筑面积计算 '!AD16/'改造情景建筑面积计算 '!AD13</f>
        <v>1.313558813134579E-2</v>
      </c>
      <c r="AC9">
        <f>'改造情景建筑面积计算 '!AE16/'改造情景建筑面积计算 '!AE13</f>
        <v>1.3374487183622897E-2</v>
      </c>
      <c r="AD9">
        <f>'改造情景建筑面积计算 '!AF16/'改造情景建筑面积计算 '!AF13</f>
        <v>1.3624899564793354E-2</v>
      </c>
      <c r="AE9">
        <f>'改造情景建筑面积计算 '!AG16/'改造情景建筑面积计算 '!AG13</f>
        <v>1.3887116194874701E-2</v>
      </c>
      <c r="AF9">
        <f>'改造情景建筑面积计算 '!AH16/'改造情景建筑面积计算 '!AH13</f>
        <v>1.4161433009274201E-2</v>
      </c>
      <c r="AG9">
        <f>'改造情景建筑面积计算 '!AI16/'改造情景建筑面积计算 '!AI13</f>
        <v>1.4448151141290748E-2</v>
      </c>
      <c r="AH9">
        <f>'改造情景建筑面积计算 '!AJ16/'改造情景建筑面积计算 '!AJ13</f>
        <v>1.4747574606336303E-2</v>
      </c>
      <c r="AI9">
        <f>'改造情景建筑面积计算 '!AK16/'改造情景建筑面积计算 '!AK13</f>
        <v>1.5060011405185404E-2</v>
      </c>
      <c r="AJ9">
        <f>'改造情景建筑面积计算 '!AL16/'改造情景建筑面积计算 '!AL13</f>
        <v>1.5385771286186557E-2</v>
      </c>
      <c r="AK9">
        <f>'改造情景建筑面积计算 '!AM16/'改造情景建筑面积计算 '!AM13</f>
        <v>1.5725166681145285E-2</v>
      </c>
      <c r="AL9">
        <f>'改造情景建筑面积计算 '!AN16/'改造情景建筑面积计算 '!AN13</f>
        <v>1.6078512726611444E-2</v>
      </c>
      <c r="AM9">
        <f>'改造情景建筑面积计算 '!AO16/'改造情景建筑面积计算 '!AO13</f>
        <v>1.6446127988457879E-2</v>
      </c>
      <c r="AN9">
        <f>'改造情景建筑面积计算 '!AP16/'改造情景建筑面积计算 '!AP13</f>
        <v>1.6828335886369374E-2</v>
      </c>
      <c r="AO9">
        <f>'改造情景建筑面积计算 '!AQ16/'改造情景建筑面积计算 '!AQ13</f>
        <v>1.7225466638030297E-2</v>
      </c>
      <c r="AP9">
        <f>'改造情景建筑面积计算 '!AR16/'改造情景建筑面积计算 '!AR13</f>
        <v>1.7637861924512277E-2</v>
      </c>
    </row>
    <row r="10" spans="1:42" x14ac:dyDescent="0.15">
      <c r="A10" t="s">
        <v>976</v>
      </c>
      <c r="B10" s="49">
        <f>B4</f>
        <v>0.69</v>
      </c>
      <c r="C10" s="49">
        <f t="shared" ref="C10:AP10" si="0">C4</f>
        <v>0.69</v>
      </c>
      <c r="D10" s="49">
        <f t="shared" si="0"/>
        <v>0.69</v>
      </c>
      <c r="E10" s="49">
        <f t="shared" si="0"/>
        <v>0.69</v>
      </c>
      <c r="F10" s="49">
        <f t="shared" si="0"/>
        <v>0.69</v>
      </c>
      <c r="G10" s="49">
        <f t="shared" si="0"/>
        <v>0.69</v>
      </c>
      <c r="H10" s="49">
        <f t="shared" si="0"/>
        <v>0.69</v>
      </c>
      <c r="I10" s="49">
        <f t="shared" si="0"/>
        <v>0.69</v>
      </c>
      <c r="J10" s="49">
        <f t="shared" si="0"/>
        <v>0.69</v>
      </c>
      <c r="K10" s="49">
        <f t="shared" si="0"/>
        <v>0.69</v>
      </c>
      <c r="L10" s="49">
        <f t="shared" si="0"/>
        <v>0.69</v>
      </c>
      <c r="M10" s="49">
        <f t="shared" si="0"/>
        <v>0.69</v>
      </c>
      <c r="N10" s="49">
        <f t="shared" si="0"/>
        <v>0.69</v>
      </c>
      <c r="O10" s="49">
        <f t="shared" si="0"/>
        <v>0.69</v>
      </c>
      <c r="P10" s="49">
        <f t="shared" si="0"/>
        <v>0.69</v>
      </c>
      <c r="Q10" s="49">
        <f t="shared" si="0"/>
        <v>0.69</v>
      </c>
      <c r="R10" s="49">
        <f t="shared" si="0"/>
        <v>0.69</v>
      </c>
      <c r="S10" s="49">
        <f t="shared" si="0"/>
        <v>0.69</v>
      </c>
      <c r="T10" s="49">
        <f t="shared" si="0"/>
        <v>0.69</v>
      </c>
      <c r="U10" s="49">
        <f t="shared" si="0"/>
        <v>0.69</v>
      </c>
      <c r="V10" s="49">
        <f t="shared" si="0"/>
        <v>0.69</v>
      </c>
      <c r="W10" s="49">
        <f t="shared" si="0"/>
        <v>0.69</v>
      </c>
      <c r="X10" s="49">
        <f t="shared" si="0"/>
        <v>0.69</v>
      </c>
      <c r="Y10" s="49">
        <f t="shared" si="0"/>
        <v>0.69</v>
      </c>
      <c r="Z10" s="49">
        <f t="shared" si="0"/>
        <v>0.69</v>
      </c>
      <c r="AA10" s="49">
        <f t="shared" si="0"/>
        <v>0.69</v>
      </c>
      <c r="AB10" s="49">
        <f t="shared" si="0"/>
        <v>0.69</v>
      </c>
      <c r="AC10" s="49">
        <f t="shared" si="0"/>
        <v>0.69</v>
      </c>
      <c r="AD10" s="49">
        <f t="shared" si="0"/>
        <v>0.69</v>
      </c>
      <c r="AE10" s="49">
        <f t="shared" si="0"/>
        <v>0.69</v>
      </c>
      <c r="AF10" s="49">
        <f t="shared" si="0"/>
        <v>0.69</v>
      </c>
      <c r="AG10" s="49">
        <f t="shared" si="0"/>
        <v>0.69</v>
      </c>
      <c r="AH10" s="49">
        <f t="shared" si="0"/>
        <v>0.69</v>
      </c>
      <c r="AI10" s="49">
        <f t="shared" si="0"/>
        <v>0.69</v>
      </c>
      <c r="AJ10" s="49">
        <f t="shared" si="0"/>
        <v>0.69</v>
      </c>
      <c r="AK10" s="49">
        <f t="shared" si="0"/>
        <v>0.69</v>
      </c>
      <c r="AL10" s="49">
        <f t="shared" si="0"/>
        <v>0.69</v>
      </c>
      <c r="AM10" s="49">
        <f t="shared" si="0"/>
        <v>0.69</v>
      </c>
      <c r="AN10" s="49">
        <f t="shared" si="0"/>
        <v>0.69</v>
      </c>
      <c r="AO10" s="49">
        <f t="shared" si="0"/>
        <v>0.69</v>
      </c>
      <c r="AP10" s="49">
        <f t="shared" si="0"/>
        <v>0.69</v>
      </c>
    </row>
    <row r="11" spans="1:42" x14ac:dyDescent="0.15">
      <c r="A11" t="s">
        <v>985</v>
      </c>
      <c r="B11" s="52">
        <f>AVERAGE(B9:AP9)</f>
        <v>1.262533252878394E-2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</row>
    <row r="12" spans="1:42" x14ac:dyDescent="0.15">
      <c r="A12" t="s">
        <v>984</v>
      </c>
      <c r="B12" s="52">
        <f>AVERAGE(B10:AP10)</f>
        <v>0.69000000000000028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</row>
    <row r="14" spans="1:42" x14ac:dyDescent="0.15">
      <c r="B14">
        <v>2020</v>
      </c>
      <c r="C14">
        <v>2021</v>
      </c>
      <c r="D14">
        <v>2022</v>
      </c>
      <c r="E14">
        <v>2023</v>
      </c>
      <c r="F14">
        <v>2024</v>
      </c>
      <c r="G14">
        <v>2025</v>
      </c>
      <c r="H14">
        <v>2026</v>
      </c>
      <c r="I14">
        <v>2027</v>
      </c>
      <c r="J14">
        <v>2028</v>
      </c>
      <c r="K14">
        <v>2029</v>
      </c>
      <c r="L14">
        <v>2030</v>
      </c>
      <c r="M14">
        <v>2031</v>
      </c>
      <c r="N14">
        <v>2032</v>
      </c>
      <c r="O14">
        <v>2033</v>
      </c>
      <c r="P14">
        <v>2034</v>
      </c>
      <c r="Q14">
        <v>2035</v>
      </c>
      <c r="R14">
        <v>2036</v>
      </c>
      <c r="S14">
        <v>2037</v>
      </c>
      <c r="T14">
        <v>2038</v>
      </c>
      <c r="U14">
        <v>2039</v>
      </c>
      <c r="V14">
        <v>2040</v>
      </c>
      <c r="W14">
        <v>2041</v>
      </c>
      <c r="X14">
        <v>2042</v>
      </c>
      <c r="Y14">
        <v>2043</v>
      </c>
      <c r="Z14">
        <v>2044</v>
      </c>
      <c r="AA14">
        <v>2045</v>
      </c>
      <c r="AB14">
        <v>2046</v>
      </c>
      <c r="AC14">
        <v>2047</v>
      </c>
      <c r="AD14">
        <v>2048</v>
      </c>
      <c r="AE14">
        <v>2049</v>
      </c>
      <c r="AF14">
        <v>2050</v>
      </c>
      <c r="AG14">
        <v>2051</v>
      </c>
      <c r="AH14">
        <v>2052</v>
      </c>
      <c r="AI14">
        <v>2053</v>
      </c>
      <c r="AJ14">
        <v>2054</v>
      </c>
      <c r="AK14">
        <v>2055</v>
      </c>
      <c r="AL14">
        <v>2056</v>
      </c>
      <c r="AM14">
        <v>2057</v>
      </c>
      <c r="AN14">
        <v>2058</v>
      </c>
      <c r="AO14">
        <v>2059</v>
      </c>
      <c r="AP14">
        <v>2060</v>
      </c>
    </row>
    <row r="15" spans="1:42" x14ac:dyDescent="0.15">
      <c r="A15" t="s">
        <v>978</v>
      </c>
      <c r="B15">
        <f>'改造情景建筑面积计算 '!D25/'改造情景建筑面积计算 '!D22</f>
        <v>9.6944301098586521E-3</v>
      </c>
      <c r="C15">
        <f>'改造情景建筑面积计算 '!E25/'改造情景建筑面积计算 '!E22</f>
        <v>9.548426660273418E-3</v>
      </c>
      <c r="D15">
        <f>'改造情景建筑面积计算 '!F25/'改造情景建筑面积计算 '!F22</f>
        <v>9.4108456391111348E-3</v>
      </c>
      <c r="E15">
        <f>'改造情景建筑面积计算 '!G25/'改造情景建筑面积计算 '!G22</f>
        <v>9.2812045812834879E-3</v>
      </c>
      <c r="F15">
        <f>'改造情景建筑面积计算 '!H25/'改造情景建筑面积计算 '!H22</f>
        <v>9.159057592155356E-3</v>
      </c>
      <c r="G15">
        <f>'改造情景建筑面积计算 '!I25/'改造情景建筑面积计算 '!I22</f>
        <v>9.0439909282543172E-3</v>
      </c>
      <c r="H15">
        <f>'改造情景建筑面积计算 '!J25/'改造情景建筑面积计算 '!J22</f>
        <v>8.9356205591550799E-3</v>
      </c>
      <c r="I15">
        <f>'改造情景建筑面积计算 '!K25/'改造情景建筑面积计算 '!K22</f>
        <v>8.8335880813789156E-3</v>
      </c>
      <c r="J15">
        <f>'改造情景建筑面积计算 '!L25/'改造情景建筑面积计算 '!L22</f>
        <v>8.737558870629044E-3</v>
      </c>
      <c r="K15">
        <f>'改造情景建筑面积计算 '!M25/'改造情景建筑面积计算 '!M22</f>
        <v>8.6472190529864462E-3</v>
      </c>
      <c r="L15">
        <f>'改造情景建筑面积计算 '!N25/'改造情景建筑面积计算 '!N22</f>
        <v>8.5622733461802169E-3</v>
      </c>
      <c r="M15">
        <f>'改造情景建筑面积计算 '!O25/'改造情景建筑面积计算 '!O22</f>
        <v>8.4824431596181547E-3</v>
      </c>
      <c r="N15">
        <f>'改造情景建筑面积计算 '!P25/'改造情景建筑面积计算 '!P22</f>
        <v>8.4074641462383165E-3</v>
      </c>
      <c r="O15">
        <f>'改造情景建筑面积计算 '!Q25/'改造情景建筑面积计算 '!Q22</f>
        <v>8.3370850981252242E-3</v>
      </c>
      <c r="P15">
        <f>'改造情景建筑面积计算 '!R25/'改造情景建筑面积计算 '!R22</f>
        <v>8.2710656814335703E-3</v>
      </c>
      <c r="Q15">
        <f>'改造情景建筑面积计算 '!S25/'改造情景建筑面积计算 '!S22</f>
        <v>8.2091752273248646E-3</v>
      </c>
      <c r="R15">
        <f>'改造情景建筑面积计算 '!T25/'改造情景建筑面积计算 '!T22</f>
        <v>8.1511910956613334E-3</v>
      </c>
      <c r="S15">
        <f>'改造情景建筑面积计算 '!U25/'改造情景建筑面积计算 '!U22</f>
        <v>8.0968971493587481E-3</v>
      </c>
      <c r="T15">
        <f>'改造情景建筑面积计算 '!V25/'改造情景建筑面积计算 '!V22</f>
        <v>8.0460828503613729E-3</v>
      </c>
      <c r="U15">
        <f>'改造情景建筑面积计算 '!W25/'改造情景建筑面积计算 '!W22</f>
        <v>7.998541527253638E-3</v>
      </c>
      <c r="V15">
        <f>'改造情景建筑面积计算 '!X25/'改造情景建筑面积计算 '!X22</f>
        <v>7.9540692911345915E-3</v>
      </c>
      <c r="W15">
        <f>'改造情景建筑面积计算 '!Y25/'改造情景建筑面积计算 '!Y22</f>
        <v>7.9124638175095824E-3</v>
      </c>
      <c r="X15">
        <f>'改造情景建筑面积计算 '!Z25/'改造情景建筑面积计算 '!Z22</f>
        <v>7.8735234321999498E-3</v>
      </c>
      <c r="Y15">
        <f>'改造情景建筑面积计算 '!AA25/'改造情景建筑面积计算 '!AA22</f>
        <v>7.8370458187034531E-3</v>
      </c>
      <c r="Z15">
        <f>'改造情景建筑面积计算 '!AB25/'改造情景建筑面积计算 '!AB22</f>
        <v>7.8028267108557941E-3</v>
      </c>
      <c r="AA15">
        <f>'改造情景建筑面积计算 '!AC25/'改造情景建筑面积计算 '!AC22</f>
        <v>7.7706593472941657E-3</v>
      </c>
      <c r="AB15">
        <f>'改造情景建筑面积计算 '!AD25/'改造情景建筑面积计算 '!AD22</f>
        <v>7.7403333558338496E-3</v>
      </c>
      <c r="AC15">
        <f>'改造情景建筑面积计算 '!AE25/'改造情景建筑面积计算 '!AE22</f>
        <v>7.7116333137983674E-3</v>
      </c>
      <c r="AD15">
        <f>'改造情景建筑面积计算 '!AF25/'改造情景建筑面积计算 '!AF22</f>
        <v>7.6843386292887216E-3</v>
      </c>
      <c r="AE15">
        <f>'改造情景建筑面积计算 '!AG25/'改造情景建筑面积计算 '!AG22</f>
        <v>7.6582223166754924E-3</v>
      </c>
      <c r="AF15">
        <f>'改造情景建筑面积计算 '!AH25/'改造情景建筑面积计算 '!AH22</f>
        <v>7.633050094738884E-3</v>
      </c>
      <c r="AG15">
        <f>'改造情景建筑面积计算 '!AI25/'改造情景建筑面积计算 '!AI22</f>
        <v>7.6085803323434195E-3</v>
      </c>
      <c r="AH15">
        <f>'改造情景建筑面积计算 '!AJ25/'改造情景建筑面积计算 '!AJ22</f>
        <v>7.5845626990854384E-3</v>
      </c>
      <c r="AI15">
        <f>'改造情景建筑面积计算 '!AK25/'改造情景建筑面积计算 '!AK22</f>
        <v>7.5607387061126883E-3</v>
      </c>
      <c r="AJ15">
        <f>'改造情景建筑面积计算 '!AL25/'改造情景建筑面积计算 '!AL22</f>
        <v>7.5368405306812467E-3</v>
      </c>
      <c r="AK15">
        <f>'改造情景建筑面积计算 '!AM25/'改造情景建筑面积计算 '!AM22</f>
        <v>7.5125915216982496E-3</v>
      </c>
      <c r="AL15">
        <f>'改造情景建筑面积计算 '!AN25/'改造情景建筑面积计算 '!AN22</f>
        <v>7.4877062115089451E-3</v>
      </c>
      <c r="AM15">
        <f>'改造情景建筑面积计算 '!AO25/'改造情景建筑面积计算 '!AO22</f>
        <v>7.4618906460076368E-3</v>
      </c>
      <c r="AN15">
        <f>'改造情景建筑面积计算 '!AP25/'改造情景建筑面积计算 '!AP22</f>
        <v>7.4348429729492235E-3</v>
      </c>
      <c r="AO15">
        <f>'改造情景建筑面积计算 '!AQ25/'改造情景建筑面积计算 '!AQ22</f>
        <v>7.4062541539419964E-3</v>
      </c>
      <c r="AP15">
        <f>'改造情景建筑面积计算 '!AR25/'改造情景建筑面积计算 '!AR22</f>
        <v>7.3758096798559681E-3</v>
      </c>
    </row>
    <row r="16" spans="1:42" x14ac:dyDescent="0.15">
      <c r="A16" t="s">
        <v>979</v>
      </c>
      <c r="B16" s="49">
        <f>72%</f>
        <v>0.72</v>
      </c>
      <c r="C16" s="49">
        <f>72%</f>
        <v>0.72</v>
      </c>
      <c r="D16" s="49">
        <f>72%</f>
        <v>0.72</v>
      </c>
      <c r="E16" s="49">
        <f>72%</f>
        <v>0.72</v>
      </c>
      <c r="F16" s="49">
        <f>72%</f>
        <v>0.72</v>
      </c>
      <c r="G16" s="49">
        <f>72%</f>
        <v>0.72</v>
      </c>
      <c r="H16" s="49">
        <f>72%</f>
        <v>0.72</v>
      </c>
      <c r="I16" s="49">
        <f>72%</f>
        <v>0.72</v>
      </c>
      <c r="J16" s="49">
        <f>72%</f>
        <v>0.72</v>
      </c>
      <c r="K16" s="49">
        <f>72%</f>
        <v>0.72</v>
      </c>
      <c r="L16" s="49">
        <f>72%</f>
        <v>0.72</v>
      </c>
      <c r="M16" s="49">
        <f>72%</f>
        <v>0.72</v>
      </c>
      <c r="N16" s="49">
        <f>72%</f>
        <v>0.72</v>
      </c>
      <c r="O16" s="49">
        <f>72%</f>
        <v>0.72</v>
      </c>
      <c r="P16" s="49">
        <f>72%</f>
        <v>0.72</v>
      </c>
      <c r="Q16" s="49">
        <f>72%</f>
        <v>0.72</v>
      </c>
      <c r="R16" s="49">
        <f>72%</f>
        <v>0.72</v>
      </c>
      <c r="S16" s="49">
        <f>72%</f>
        <v>0.72</v>
      </c>
      <c r="T16" s="49">
        <f>72%</f>
        <v>0.72</v>
      </c>
      <c r="U16" s="49">
        <f>72%</f>
        <v>0.72</v>
      </c>
      <c r="V16" s="49">
        <f>72%</f>
        <v>0.72</v>
      </c>
      <c r="W16" s="49">
        <f>72%</f>
        <v>0.72</v>
      </c>
      <c r="X16" s="49">
        <f>72%</f>
        <v>0.72</v>
      </c>
      <c r="Y16" s="49">
        <f>72%</f>
        <v>0.72</v>
      </c>
      <c r="Z16" s="49">
        <f>72%</f>
        <v>0.72</v>
      </c>
      <c r="AA16" s="49">
        <f>72%</f>
        <v>0.72</v>
      </c>
      <c r="AB16" s="49">
        <f>72%</f>
        <v>0.72</v>
      </c>
      <c r="AC16" s="49">
        <f>72%</f>
        <v>0.72</v>
      </c>
      <c r="AD16" s="49">
        <f>72%</f>
        <v>0.72</v>
      </c>
      <c r="AE16" s="49">
        <f>72%</f>
        <v>0.72</v>
      </c>
      <c r="AF16" s="49">
        <f>72%</f>
        <v>0.72</v>
      </c>
      <c r="AG16" s="49">
        <f>72%</f>
        <v>0.72</v>
      </c>
      <c r="AH16" s="49">
        <f>72%</f>
        <v>0.72</v>
      </c>
      <c r="AI16" s="49">
        <f>72%</f>
        <v>0.72</v>
      </c>
      <c r="AJ16" s="49">
        <f>72%</f>
        <v>0.72</v>
      </c>
      <c r="AK16" s="49">
        <f>72%</f>
        <v>0.72</v>
      </c>
      <c r="AL16" s="49">
        <f>72%</f>
        <v>0.72</v>
      </c>
      <c r="AM16" s="49">
        <f>72%</f>
        <v>0.72</v>
      </c>
      <c r="AN16" s="49">
        <f>72%</f>
        <v>0.72</v>
      </c>
      <c r="AO16" s="49">
        <f>72%</f>
        <v>0.72</v>
      </c>
      <c r="AP16" s="49">
        <f>72%</f>
        <v>0.72</v>
      </c>
    </row>
    <row r="17" spans="1:42" x14ac:dyDescent="0.15">
      <c r="A17" t="s">
        <v>985</v>
      </c>
      <c r="B17" s="52">
        <f>AVERAGE(B15:AP15)</f>
        <v>8.1561498765575346E-3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</row>
    <row r="18" spans="1:42" x14ac:dyDescent="0.15">
      <c r="A18" t="s">
        <v>984</v>
      </c>
      <c r="B18" s="52">
        <f>AVERAGE(B16:AP16)</f>
        <v>0.71999999999999964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95B5-DF38-40ED-9CBA-57A8084A73D1}">
  <sheetPr>
    <tabColor rgb="FFFF0000"/>
  </sheetPr>
  <dimension ref="A1:D7"/>
  <sheetViews>
    <sheetView workbookViewId="0"/>
  </sheetViews>
  <sheetFormatPr defaultRowHeight="13.5" x14ac:dyDescent="0.15"/>
  <cols>
    <col min="1" max="1" width="22.625" customWidth="1"/>
    <col min="2" max="2" width="27.125" customWidth="1"/>
    <col min="3" max="3" width="25.5" customWidth="1"/>
    <col min="4" max="4" width="28.75" customWidth="1"/>
  </cols>
  <sheetData>
    <row r="1" spans="1:4" ht="42.4" customHeight="1" x14ac:dyDescent="0.15">
      <c r="A1" s="53" t="s">
        <v>986</v>
      </c>
      <c r="B1" s="54" t="s">
        <v>987</v>
      </c>
      <c r="C1" s="54" t="s">
        <v>988</v>
      </c>
      <c r="D1" s="54" t="s">
        <v>989</v>
      </c>
    </row>
    <row r="2" spans="1:4" x14ac:dyDescent="0.15">
      <c r="A2" s="42" t="s">
        <v>990</v>
      </c>
      <c r="B2" s="55">
        <f>建筑改造情景参数!$B$6</f>
        <v>0.69000000000000028</v>
      </c>
      <c r="C2" s="55">
        <f>建筑改造情景参数!$B$12</f>
        <v>0.69000000000000028</v>
      </c>
      <c r="D2" s="55">
        <f>建筑改造情景参数!$B$18</f>
        <v>0.71999999999999964</v>
      </c>
    </row>
    <row r="3" spans="1:4" x14ac:dyDescent="0.15">
      <c r="A3" s="42" t="s">
        <v>991</v>
      </c>
      <c r="B3" s="55">
        <f>建筑改造情景参数!$B$6</f>
        <v>0.69000000000000028</v>
      </c>
      <c r="C3" s="55">
        <f>建筑改造情景参数!$B$12</f>
        <v>0.69000000000000028</v>
      </c>
      <c r="D3" s="55">
        <f>建筑改造情景参数!$B$18</f>
        <v>0.71999999999999964</v>
      </c>
    </row>
    <row r="4" spans="1:4" x14ac:dyDescent="0.15">
      <c r="A4" s="42" t="s">
        <v>992</v>
      </c>
      <c r="B4" s="55">
        <v>0</v>
      </c>
      <c r="C4" s="55">
        <v>0</v>
      </c>
      <c r="D4" s="55">
        <v>0</v>
      </c>
    </row>
    <row r="5" spans="1:4" x14ac:dyDescent="0.15">
      <c r="A5" s="42" t="s">
        <v>993</v>
      </c>
      <c r="B5" s="55">
        <f>建筑改造情景参数!$B$6</f>
        <v>0.69000000000000028</v>
      </c>
      <c r="C5" s="55">
        <f>建筑改造情景参数!$B$12</f>
        <v>0.69000000000000028</v>
      </c>
      <c r="D5" s="55">
        <f>建筑改造情景参数!$B$18</f>
        <v>0.71999999999999964</v>
      </c>
    </row>
    <row r="6" spans="1:4" x14ac:dyDescent="0.15">
      <c r="A6" s="42" t="s">
        <v>994</v>
      </c>
      <c r="B6" s="55">
        <v>0</v>
      </c>
      <c r="C6" s="55">
        <v>0</v>
      </c>
      <c r="D6" s="55">
        <v>0</v>
      </c>
    </row>
    <row r="7" spans="1:4" x14ac:dyDescent="0.15">
      <c r="A7" s="42" t="s">
        <v>995</v>
      </c>
      <c r="B7" s="55">
        <v>0</v>
      </c>
      <c r="C7" s="55">
        <v>0</v>
      </c>
      <c r="D7" s="55">
        <v>0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EEB7-0BEC-4FA6-8A30-AF14AD0691E8}">
  <sheetPr>
    <tabColor theme="9" tint="-0.249977111117893"/>
  </sheetPr>
  <dimension ref="A1:D7"/>
  <sheetViews>
    <sheetView workbookViewId="0">
      <selection activeCell="G8" sqref="G8"/>
    </sheetView>
  </sheetViews>
  <sheetFormatPr defaultRowHeight="13.5" x14ac:dyDescent="0.15"/>
  <cols>
    <col min="1" max="2" width="29.375" customWidth="1"/>
    <col min="3" max="3" width="21.75" customWidth="1"/>
    <col min="4" max="4" width="19" customWidth="1"/>
  </cols>
  <sheetData>
    <row r="1" spans="1:4" ht="14.25" x14ac:dyDescent="0.15">
      <c r="A1" s="11" t="s">
        <v>923</v>
      </c>
      <c r="B1" s="11" t="s">
        <v>961</v>
      </c>
      <c r="C1" s="11" t="s">
        <v>962</v>
      </c>
      <c r="D1" s="11" t="s">
        <v>924</v>
      </c>
    </row>
    <row r="2" spans="1:4" ht="14.25" x14ac:dyDescent="0.15">
      <c r="A2" s="11" t="s">
        <v>925</v>
      </c>
      <c r="B2" s="11">
        <f>建筑新建率!$B$7</f>
        <v>1.5206546944977391E-2</v>
      </c>
      <c r="C2" s="12">
        <f>建筑新建率!$B$8</f>
        <v>1.3794503188826514E-3</v>
      </c>
      <c r="D2" s="12">
        <f>建筑新建率!$B$9</f>
        <v>1.5206546944977391E-2</v>
      </c>
    </row>
    <row r="3" spans="1:4" ht="14.25" x14ac:dyDescent="0.15">
      <c r="A3" s="11" t="s">
        <v>926</v>
      </c>
      <c r="B3" s="11">
        <f>建筑新建率!$B$7</f>
        <v>1.5206546944977391E-2</v>
      </c>
      <c r="C3" s="12">
        <f>建筑新建率!$B$8</f>
        <v>1.3794503188826514E-3</v>
      </c>
      <c r="D3" s="12">
        <f>建筑新建率!$B$9</f>
        <v>1.5206546944977391E-2</v>
      </c>
    </row>
    <row r="4" spans="1:4" ht="14.25" x14ac:dyDescent="0.15">
      <c r="A4" s="11" t="s">
        <v>927</v>
      </c>
      <c r="B4" s="11">
        <f>建筑新建率!$B$7</f>
        <v>1.5206546944977391E-2</v>
      </c>
      <c r="C4" s="12">
        <f>建筑新建率!$B$8</f>
        <v>1.3794503188826514E-3</v>
      </c>
      <c r="D4" s="12">
        <f>建筑新建率!$B$9</f>
        <v>1.5206546944977391E-2</v>
      </c>
    </row>
    <row r="5" spans="1:4" ht="14.25" x14ac:dyDescent="0.15">
      <c r="A5" s="11" t="s">
        <v>928</v>
      </c>
      <c r="B5" s="11">
        <f>建筑新建率!$B$7</f>
        <v>1.5206546944977391E-2</v>
      </c>
      <c r="C5" s="12">
        <f>建筑新建率!$B$8</f>
        <v>1.3794503188826514E-3</v>
      </c>
      <c r="D5" s="12">
        <f>建筑新建率!$B$9</f>
        <v>1.5206546944977391E-2</v>
      </c>
    </row>
    <row r="6" spans="1:4" ht="14.25" x14ac:dyDescent="0.15">
      <c r="A6" s="11" t="s">
        <v>929</v>
      </c>
      <c r="B6" s="11">
        <f>建筑新建率!$B$7</f>
        <v>1.5206546944977391E-2</v>
      </c>
      <c r="C6" s="12">
        <f>建筑新建率!$B$8</f>
        <v>1.3794503188826514E-3</v>
      </c>
      <c r="D6" s="12">
        <f>建筑新建率!$B$9</f>
        <v>1.5206546944977391E-2</v>
      </c>
    </row>
    <row r="7" spans="1:4" ht="14.25" x14ac:dyDescent="0.15">
      <c r="A7" s="11" t="s">
        <v>930</v>
      </c>
      <c r="B7" s="11">
        <f>建筑新建率!$B$7</f>
        <v>1.5206546944977391E-2</v>
      </c>
      <c r="C7" s="12">
        <f>建筑新建率!$B$8</f>
        <v>1.3794503188826514E-3</v>
      </c>
      <c r="D7" s="12">
        <f>建筑新建率!$B$9</f>
        <v>1.5206546944977391E-2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6341-9219-4AA0-9538-52EEDAD97B40}">
  <sheetPr>
    <tabColor rgb="FF7030A0"/>
  </sheetPr>
  <dimension ref="A1:AR12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建筑各项能耗拆分!$B$18*建筑各项能耗拆分!B100</f>
        <v>411725623274288.75</v>
      </c>
      <c r="C2" s="1">
        <f>建筑各项能耗拆分!$B$18*建筑各项能耗拆分!C100</f>
        <v>408802371349041.38</v>
      </c>
      <c r="D2" s="1">
        <f>建筑各项能耗拆分!$B$18*建筑各项能耗拆分!D100</f>
        <v>397227934125061.19</v>
      </c>
      <c r="E2" s="1">
        <f>建筑各项能耗拆分!$B$18*建筑各项能耗拆分!E100</f>
        <v>389838687460471.81</v>
      </c>
      <c r="F2" s="1">
        <f>建筑各项能耗拆分!$B$18*建筑各项能耗拆分!F100</f>
        <v>388663992445183.94</v>
      </c>
      <c r="G2" s="1">
        <f>建筑各项能耗拆分!$B$18*建筑各项能耗拆分!G100</f>
        <v>387317048919345.5</v>
      </c>
      <c r="H2" s="1">
        <f>建筑各项能耗拆分!$B$18*建筑各项能耗拆分!H100</f>
        <v>385800973368450</v>
      </c>
      <c r="I2" s="1">
        <f>建筑各项能耗拆分!$B$18*建筑各项能耗拆分!I100</f>
        <v>384119117455780.06</v>
      </c>
      <c r="J2" s="1">
        <f>建筑各项能耗拆分!$B$18*建筑各项能耗拆分!J100</f>
        <v>382275040740425</v>
      </c>
      <c r="K2" s="1">
        <f>建筑各项能耗拆分!$B$18*建筑各项能耗拆分!K100</f>
        <v>380272529318223.38</v>
      </c>
      <c r="L2" s="1">
        <f>建筑各项能耗拆分!$B$18*建筑各项能耗拆分!L100</f>
        <v>378115568166591.69</v>
      </c>
      <c r="M2" s="1">
        <f>建筑各项能耗拆分!$B$18*建筑各项能耗拆分!M100</f>
        <v>375808346900845.81</v>
      </c>
      <c r="N2" s="1">
        <f>建筑各项能耗拆分!$B$18*建筑各项能耗拆分!N100</f>
        <v>373355249623211.63</v>
      </c>
      <c r="O2" s="1">
        <f>建筑各项能耗拆分!$B$18*建筑各项能耗拆分!O100</f>
        <v>370760842433692.81</v>
      </c>
      <c r="P2" s="1">
        <f>建筑各项能耗拆分!$B$18*建筑各项能耗拆分!P100</f>
        <v>368029877851031.31</v>
      </c>
      <c r="Q2" s="1">
        <f>建筑各项能耗拆分!$B$18*建筑各项能耗拆分!Q100</f>
        <v>365167269272434.81</v>
      </c>
      <c r="R2" s="1">
        <f>建筑各项能耗拆分!$B$18*建筑各项能耗拆分!R100</f>
        <v>362244017347187.25</v>
      </c>
      <c r="S2" s="1">
        <f>建筑各项能耗拆分!$B$18*建筑各项能耗拆分!S100</f>
        <v>359200115800169.88</v>
      </c>
      <c r="T2" s="1">
        <f>建筑各项能耗拆分!$B$18*建筑各项能耗拆分!T100</f>
        <v>355934141434461.06</v>
      </c>
      <c r="U2" s="1">
        <f>建筑各项能耗拆分!$B$18*建筑各项能耗拆分!U100</f>
        <v>352455920090265.31</v>
      </c>
      <c r="V2" s="1">
        <f>建筑各项能耗拆分!$B$18*建筑各项能耗拆分!V100</f>
        <v>348775522097052</v>
      </c>
      <c r="W2" s="1">
        <f>建筑各项能耗拆分!$B$18*建筑各项能耗拆分!W100</f>
        <v>344903222160724.75</v>
      </c>
      <c r="X2" s="1">
        <f>建筑各项能耗拆分!$B$18*建筑各项能耗拆分!X100</f>
        <v>340849497930545.69</v>
      </c>
      <c r="Y2" s="1">
        <f>建筑各项能耗拆分!$B$18*建筑各项能耗拆分!Y100</f>
        <v>336625000592966.81</v>
      </c>
      <c r="Z2" s="1">
        <f>建筑各项能耗拆分!$B$18*建筑各项能耗拆分!Z100</f>
        <v>332240532326086.94</v>
      </c>
      <c r="AA2" s="1">
        <f>建筑各项能耗拆分!$B$18*建筑各项能耗拆分!AA100</f>
        <v>327707011128128.63</v>
      </c>
      <c r="AB2" s="1">
        <f>建筑各项能耗拆分!$B$18*建筑各项能耗拆分!AB100</f>
        <v>323035452878475.38</v>
      </c>
      <c r="AC2" s="1">
        <f>建筑各项能耗拆分!$B$18*建筑各项能耗拆分!AC100</f>
        <v>318236954038852.88</v>
      </c>
      <c r="AD2" s="1">
        <f>建筑各项能耗拆分!$B$18*建筑各项能耗拆分!AD100</f>
        <v>313322642091658.06</v>
      </c>
      <c r="AE2" s="1">
        <f>建筑各项能耗拆分!$B$18*建筑各项能耗拆分!AE100</f>
        <v>308303651441241.31</v>
      </c>
      <c r="AF2" s="1">
        <f>建筑各项能耗拆分!$B$18*建筑各项能耗拆分!AF100</f>
        <v>303191112958263.56</v>
      </c>
      <c r="AG2" s="1">
        <f>建筑各项能耗拆分!$B$18*建筑各项能耗拆分!AG100</f>
        <v>297996089361683.44</v>
      </c>
      <c r="AH2" s="1">
        <f>建筑各项能耗拆分!$B$18*建筑各项能耗拆分!AH100</f>
        <v>292729558376874.13</v>
      </c>
      <c r="AI2" s="1">
        <f>建筑各项能耗拆分!$B$18*建筑各项能耗拆分!AI100</f>
        <v>287402383527018.75</v>
      </c>
      <c r="AJ2" s="1">
        <f>建筑各项能耗拆分!$B$18*建筑各项能耗拆分!AJ100</f>
        <v>282025253566959.75</v>
      </c>
      <c r="AK2" s="1">
        <f>建筑各项能耗拆分!$B$18*建筑各项能耗拆分!AK100</f>
        <v>276608676126892.78</v>
      </c>
      <c r="AL2" s="1">
        <f>建筑各项能耗拆分!$B$18*建筑各项能耗拆分!AL100</f>
        <v>271162900715865.28</v>
      </c>
      <c r="AM2" s="1">
        <f>建筑各项能耗拆分!$B$18*建筑各项能耗拆分!AM100</f>
        <v>265697912631013.16</v>
      </c>
      <c r="AN2" s="1">
        <f>建筑各项能耗拆分!$B$18*建筑各项能耗拆分!AN100</f>
        <v>260223367132460.91</v>
      </c>
      <c r="AO2" s="1">
        <f>建筑各项能耗拆分!$B$18*建筑各项能耗拆分!AO100</f>
        <v>254748548957900.41</v>
      </c>
      <c r="AP2" s="1">
        <f>建筑各项能耗拆分!$B$18*建筑各项能耗拆分!AP100</f>
        <v>249282326593862.5</v>
      </c>
      <c r="AQ2" s="1">
        <f>建筑各项能耗拆分!$B$18*建筑各项能耗拆分!AQ100</f>
        <v>243833104683914.03</v>
      </c>
      <c r="AR2" s="1">
        <f>建筑各项能耗拆分!$B$18*建筑各项能耗拆分!AR100</f>
        <v>238408780048820.66</v>
      </c>
    </row>
    <row r="3" spans="1:44" x14ac:dyDescent="0.15">
      <c r="A3" t="s">
        <v>1</v>
      </c>
      <c r="B3" s="1">
        <f>建筑各项能耗拆分!$B$18*建筑各项能耗拆分!B101</f>
        <v>990599214954608.38</v>
      </c>
      <c r="C3" s="1">
        <f>建筑各项能耗拆分!$B$18*建筑各项能耗拆分!C101</f>
        <v>983565960528430.63</v>
      </c>
      <c r="D3" s="1">
        <f>建筑各项能耗拆分!$B$18*建筑各项能耗拆分!D101</f>
        <v>955718219752827.25</v>
      </c>
      <c r="E3" s="1">
        <f>建筑各项能耗拆分!$B$18*建筑各项能耗拆分!E101</f>
        <v>937939919031980.75</v>
      </c>
      <c r="F3" s="1">
        <f>建筑各项能耗拆分!$B$18*建筑各项能耗拆分!F101</f>
        <v>935113638873118.75</v>
      </c>
      <c r="G3" s="1">
        <f>建筑各项能耗拆分!$B$18*建筑各项能耗拆分!G101</f>
        <v>931872934083670.13</v>
      </c>
      <c r="H3" s="1">
        <f>建筑各项能耗拆分!$B$18*建筑各项能耗拆分!H101</f>
        <v>928225302832096.25</v>
      </c>
      <c r="I3" s="1">
        <f>建筑各项能耗拆分!$B$18*建筑各项能耗拆分!I101</f>
        <v>924178809117402.88</v>
      </c>
      <c r="J3" s="1">
        <f>建筑各项能耗拆分!$B$18*建筑各项能耗拆分!J101</f>
        <v>919742017129526.5</v>
      </c>
      <c r="K3" s="1">
        <f>建筑各项能耗拆分!$B$18*建筑各项能耗拆分!K101</f>
        <v>914924036098870.5</v>
      </c>
      <c r="L3" s="1">
        <f>建筑各项能耗拆分!$B$18*建筑各项能耗拆分!L101</f>
        <v>909734453758811.75</v>
      </c>
      <c r="M3" s="1">
        <f>建筑各项能耗拆分!$B$18*建筑各项能耗拆分!M101</f>
        <v>904183350195233.25</v>
      </c>
      <c r="N3" s="1">
        <f>建筑各项能耗拆分!$B$18*建筑各项能耗拆分!N101</f>
        <v>898281273423555.63</v>
      </c>
      <c r="O3" s="1">
        <f>建筑各项能耗拆分!$B$18*建筑各项能耗拆分!O101</f>
        <v>892039209340267.38</v>
      </c>
      <c r="P3" s="1">
        <f>建筑各项能耗拆分!$B$18*建筑各项能耗拆分!P101</f>
        <v>885468592359620.75</v>
      </c>
      <c r="Q3" s="1">
        <f>建筑各项能耗拆分!$B$18*建筑各项能耗拆分!Q101</f>
        <v>878581243964519.88</v>
      </c>
      <c r="R3" s="1">
        <f>建筑各项能耗拆分!$B$18*建筑各项能耗拆分!R101</f>
        <v>871547989538342.25</v>
      </c>
      <c r="S3" s="1">
        <f>建筑各项能耗拆分!$B$18*建筑各项能耗拆分!S101</f>
        <v>864224455824566.5</v>
      </c>
      <c r="T3" s="1">
        <f>建筑各项能耗拆分!$B$18*建筑各项能耗拆分!T101</f>
        <v>856366621723778.13</v>
      </c>
      <c r="U3" s="1">
        <f>建筑各项能耗拆分!$B$18*建筑各项能耗拆分!U101</f>
        <v>847998127905983</v>
      </c>
      <c r="V3" s="1">
        <f>建筑各项能耗拆分!$B$18*建筑各项能耗拆分!V101</f>
        <v>839143203274856</v>
      </c>
      <c r="W3" s="1">
        <f>建筑各项能耗拆分!$B$18*建筑各项能耗拆分!W101</f>
        <v>829826568457500.75</v>
      </c>
      <c r="X3" s="1">
        <f>建筑各项能耗拆分!$B$18*建筑各项能耗拆分!X101</f>
        <v>820073432356513.88</v>
      </c>
      <c r="Y3" s="1">
        <f>建筑各项能耗拆分!$B$18*建筑各项能耗拆分!Y101</f>
        <v>809909421399645.13</v>
      </c>
      <c r="Z3" s="1">
        <f>建筑各项能耗拆分!$B$18*建筑各项能耗拆分!Z101</f>
        <v>799360525295913.5</v>
      </c>
      <c r="AA3" s="1">
        <f>建筑各项能耗拆分!$B$18*建筑各项能耗拆分!AA101</f>
        <v>788453012414001.5</v>
      </c>
      <c r="AB3" s="1">
        <f>建筑各项能耗拆分!$B$18*建筑各项能耗拆分!AB101</f>
        <v>777213386621660.88</v>
      </c>
      <c r="AC3" s="1">
        <f>建筑各项能耗拆分!$B$18*建筑各项能耗拆分!AC101</f>
        <v>765668345665286</v>
      </c>
      <c r="AD3" s="1">
        <f>建筑各项能耗拆分!$B$18*建筑各项能耗拆分!AD101</f>
        <v>753844661926054.25</v>
      </c>
      <c r="AE3" s="1">
        <f>建筑各项能耗拆分!$B$18*建筑各项能耗拆分!AE101</f>
        <v>741769124439150.88</v>
      </c>
      <c r="AF3" s="1">
        <f>建筑各项能耗拆分!$B$18*建筑各项能耗拆分!AF101</f>
        <v>729468513737812.5</v>
      </c>
      <c r="AG3" s="1">
        <f>建筑各项能耗拆分!$B$18*建筑各项能耗拆分!AG101</f>
        <v>716969446384371.13</v>
      </c>
      <c r="AH3" s="1">
        <f>建筑各项能耗拆分!$B$18*建筑各项能耗拆分!AH101</f>
        <v>704298334449200.75</v>
      </c>
      <c r="AI3" s="1">
        <f>建筑各项能耗拆分!$B$18*建筑各项能耗拆分!AI101</f>
        <v>691481315235710.75</v>
      </c>
      <c r="AJ3" s="1">
        <f>建筑各项能耗拆分!$B$18*建筑各项能耗拆分!AJ101</f>
        <v>678544105560045.88</v>
      </c>
      <c r="AK3" s="1">
        <f>建筑各项能耗拆分!$B$18*建筑各项能耗拆分!AK101</f>
        <v>665511986458008.38</v>
      </c>
      <c r="AL3" s="1">
        <f>建筑各项能耗拆分!$B$18*建筑各项能耗拆分!AL101</f>
        <v>652409617933839.13</v>
      </c>
      <c r="AM3" s="1">
        <f>建筑各项能耗拆分!$B$18*建筑各项能耗拆分!AM101</f>
        <v>639261024306028.25</v>
      </c>
      <c r="AN3" s="1">
        <f>建筑各项能耗拆分!$B$18*建筑各项能耗拆分!AN101</f>
        <v>626089435834143.5</v>
      </c>
      <c r="AO3" s="1">
        <f>建筑各项能耗拆分!$B$18*建筑各项能耗拆分!AO101</f>
        <v>612917191312150.75</v>
      </c>
      <c r="AP3" s="1">
        <f>建筑各项能耗拆分!$B$18*建筑各项能耗拆分!AP101</f>
        <v>599765628046495.25</v>
      </c>
      <c r="AQ3" s="1">
        <f>建筑各项能耗拆分!$B$18*建筑各项能耗拆分!AQ101</f>
        <v>586654967351685.13</v>
      </c>
      <c r="AR3" s="1">
        <f>建筑各项能耗拆分!$B$18*建筑各项能耗拆分!AR101</f>
        <v>573604208736152.5</v>
      </c>
    </row>
    <row r="4" spans="1:44" x14ac:dyDescent="0.15">
      <c r="A4" t="s">
        <v>2</v>
      </c>
      <c r="B4" s="1">
        <f>建筑各项能耗拆分!$B$18*建筑各项能耗拆分!B102</f>
        <v>208997925062876.75</v>
      </c>
      <c r="C4" s="1">
        <f>建筑各项能耗拆分!$B$18*建筑各项能耗拆分!C102</f>
        <v>207514039794930.34</v>
      </c>
      <c r="D4" s="1">
        <f>建筑各项能耗拆分!$B$18*建筑各项能耗拆分!D102</f>
        <v>201638686824802.38</v>
      </c>
      <c r="E4" s="1">
        <f>建筑各项能耗拆分!$B$18*建筑各项能耗拆分!E102</f>
        <v>197887797559287.47</v>
      </c>
      <c r="F4" s="1">
        <f>建筑各项能耗拆分!$B$18*建筑各项能耗拆分!F102</f>
        <v>197291505254658.88</v>
      </c>
      <c r="G4" s="1">
        <f>建筑各项能耗拆分!$B$18*建筑各项能耗拆分!G102</f>
        <v>196607777096478.25</v>
      </c>
      <c r="H4" s="1">
        <f>建筑各项能耗拆分!$B$18*建筑各项能耗拆分!H102</f>
        <v>195838195058188.09</v>
      </c>
      <c r="I4" s="1">
        <f>建筑各项能耗拆分!$B$18*建筑各项能耗拆分!I102</f>
        <v>194984460492903.13</v>
      </c>
      <c r="J4" s="1">
        <f>建筑各项能耗拆分!$B$18*建筑各项能耗拆分!J102</f>
        <v>194048380284678.59</v>
      </c>
      <c r="K4" s="1">
        <f>建筑各项能耗拆分!$B$18*建筑各项能耗拆分!K102</f>
        <v>193031876310924.13</v>
      </c>
      <c r="L4" s="1">
        <f>建筑各项能耗拆分!$B$18*建筑各项能耗拆分!L102</f>
        <v>191936971404235.97</v>
      </c>
      <c r="M4" s="1">
        <f>建筑各项能耗拆分!$B$18*建筑各项能耗拆分!M102</f>
        <v>190765792274389.63</v>
      </c>
      <c r="N4" s="1">
        <f>建筑各项能耗拆分!$B$18*建筑各项能耗拆分!N102</f>
        <v>189520564355549.63</v>
      </c>
      <c r="O4" s="1">
        <f>建筑各项能耗拆分!$B$18*建筑各项能耗拆分!O102</f>
        <v>188203605466604.28</v>
      </c>
      <c r="P4" s="1">
        <f>建筑各项能耗拆分!$B$18*建筑各项能耗拆分!P102</f>
        <v>186817328055309.38</v>
      </c>
      <c r="Q4" s="1">
        <f>建筑各项能耗拆分!$B$18*建筑各项能耗拆分!Q102</f>
        <v>185364226233673.91</v>
      </c>
      <c r="R4" s="1">
        <f>建筑各项能耗拆分!$B$18*建筑各项能耗拆分!R102</f>
        <v>183880340965727.47</v>
      </c>
      <c r="S4" s="1">
        <f>建筑各项能耗拆分!$B$18*建筑各项能耗拆分!S102</f>
        <v>182335212191950.59</v>
      </c>
      <c r="T4" s="1">
        <f>建筑各项能耗拆分!$B$18*建筑各项能耗拆分!T102</f>
        <v>180677356019887.81</v>
      </c>
      <c r="U4" s="1">
        <f>建筑各项能耗拆分!$B$18*建筑各项能耗拆分!U102</f>
        <v>178911760189185.66</v>
      </c>
      <c r="V4" s="1">
        <f>建筑各项能耗拆分!$B$18*建筑各项能耗拆分!V102</f>
        <v>177043536545803.75</v>
      </c>
      <c r="W4" s="1">
        <f>建筑各项能耗拆分!$B$18*建筑各项能耗拆分!W102</f>
        <v>175077900680157.53</v>
      </c>
      <c r="X4" s="1">
        <f>建筑各项能耗拆分!$B$18*建筑各项能耗拆分!X102</f>
        <v>173020171199667.78</v>
      </c>
      <c r="Y4" s="1">
        <f>建筑各项能耗拆分!$B$18*建筑各项能耗拆分!Y102</f>
        <v>170875754801761.31</v>
      </c>
      <c r="Z4" s="1">
        <f>建筑各项能耗拆分!$B$18*建筑各项能耗拆分!Z102</f>
        <v>168650134829424.91</v>
      </c>
      <c r="AA4" s="1">
        <f>建筑各项能耗拆分!$B$18*建筑各项能耗拆分!AA102</f>
        <v>166348853417627.41</v>
      </c>
      <c r="AB4" s="1">
        <f>建筑各项能耗拆分!$B$18*建筑各项能耗拆分!AB102</f>
        <v>163977502387241.19</v>
      </c>
      <c r="AC4" s="1">
        <f>建筑各项能耗拆分!$B$18*建筑各项能耗拆分!AC102</f>
        <v>161541714463909.53</v>
      </c>
      <c r="AD4" s="1">
        <f>建筑各项能耗拆分!$B$18*建筑各项能耗拆分!AD102</f>
        <v>159047138119820.31</v>
      </c>
      <c r="AE4" s="1">
        <f>建筑各项能耗拆分!$B$18*建筑各项能耗拆分!AE102</f>
        <v>156499425340845.97</v>
      </c>
      <c r="AF4" s="1">
        <f>建筑各项能耗拆分!$B$18*建筑各项能耗拆分!AF102</f>
        <v>153904226319106.66</v>
      </c>
      <c r="AG4" s="1">
        <f>建筑各项能耗拆分!$B$18*建筑各项能耗拆分!AG102</f>
        <v>151267156651925.34</v>
      </c>
      <c r="AH4" s="1">
        <f>建筑各项能耗拆分!$B$18*建筑各项能耗拆分!AH102</f>
        <v>148593788792642.94</v>
      </c>
      <c r="AI4" s="1">
        <f>建筑各项能耗拆分!$B$18*建筑各项能耗拆分!AI102</f>
        <v>145889637223904.66</v>
      </c>
      <c r="AJ4" s="1">
        <f>建筑各项能耗拆分!$B$18*建筑各项能耗拆分!AJ102</f>
        <v>143160127713399.72</v>
      </c>
      <c r="AK4" s="1">
        <f>建筑各项能耗拆分!$B$18*建筑各项能耗拆分!AK102</f>
        <v>140410594087307.61</v>
      </c>
      <c r="AL4" s="1">
        <f>建筑各项能耗拆分!$B$18*建筑各项能耗拆分!AL102</f>
        <v>137646239145752.36</v>
      </c>
      <c r="AM4" s="1">
        <f>建筑各项能耗拆分!$B$18*建筑各项能耗拆分!AM102</f>
        <v>134872131571042.3</v>
      </c>
      <c r="AN4" s="1">
        <f>建筑各项能耗拆分!$B$18*建筑各项能耗拆分!AN102</f>
        <v>132093172513890.06</v>
      </c>
      <c r="AO4" s="1">
        <f>建筑各项能耗拆分!$B$18*建筑各项能耗拆分!AO102</f>
        <v>129314075042423.23</v>
      </c>
      <c r="AP4" s="1">
        <f>建筑各项能耗拆分!$B$18*建筑各项能耗拆分!AP102</f>
        <v>126539340929615.48</v>
      </c>
      <c r="AQ4" s="1">
        <f>建筑各项能耗拆分!$B$18*建筑各项能耗拆分!AQ102</f>
        <v>123773236494993.77</v>
      </c>
      <c r="AR4" s="1">
        <f>建筑各项能耗拆分!$B$18*建筑各项能耗拆分!AR102</f>
        <v>121019770279832.5</v>
      </c>
    </row>
    <row r="5" spans="1:44" x14ac:dyDescent="0.15">
      <c r="A5" t="s">
        <v>3</v>
      </c>
      <c r="B5" s="1">
        <f>建筑各项能耗拆分!$B$18*建筑各项能耗拆分!B103</f>
        <v>0</v>
      </c>
      <c r="C5" s="1">
        <f>建筑各项能耗拆分!$B$18*建筑各项能耗拆分!C103</f>
        <v>0</v>
      </c>
      <c r="D5" s="1">
        <f>建筑各项能耗拆分!$B$18*建筑各项能耗拆分!D103</f>
        <v>0</v>
      </c>
      <c r="E5" s="1">
        <f>建筑各项能耗拆分!$B$18*建筑各项能耗拆分!E103</f>
        <v>0</v>
      </c>
      <c r="F5" s="1">
        <f>建筑各项能耗拆分!$B$18*建筑各项能耗拆分!F103</f>
        <v>0</v>
      </c>
      <c r="G5" s="1">
        <f>建筑各项能耗拆分!$B$18*建筑各项能耗拆分!G103</f>
        <v>0</v>
      </c>
      <c r="H5" s="1">
        <f>建筑各项能耗拆分!$B$18*建筑各项能耗拆分!H103</f>
        <v>0</v>
      </c>
      <c r="I5" s="1">
        <f>建筑各项能耗拆分!$B$18*建筑各项能耗拆分!I103</f>
        <v>0</v>
      </c>
      <c r="J5" s="1">
        <f>建筑各项能耗拆分!$B$18*建筑各项能耗拆分!J103</f>
        <v>0</v>
      </c>
      <c r="K5" s="1">
        <f>建筑各项能耗拆分!$B$18*建筑各项能耗拆分!K103</f>
        <v>0</v>
      </c>
      <c r="L5" s="1">
        <f>建筑各项能耗拆分!$B$18*建筑各项能耗拆分!L103</f>
        <v>0</v>
      </c>
      <c r="M5" s="1">
        <f>建筑各项能耗拆分!$B$18*建筑各项能耗拆分!M103</f>
        <v>0</v>
      </c>
      <c r="N5" s="1">
        <f>建筑各项能耗拆分!$B$18*建筑各项能耗拆分!N103</f>
        <v>0</v>
      </c>
      <c r="O5" s="1">
        <f>建筑各项能耗拆分!$B$18*建筑各项能耗拆分!O103</f>
        <v>0</v>
      </c>
      <c r="P5" s="1">
        <f>建筑各项能耗拆分!$B$18*建筑各项能耗拆分!P103</f>
        <v>0</v>
      </c>
      <c r="Q5" s="1">
        <f>建筑各项能耗拆分!$B$18*建筑各项能耗拆分!Q103</f>
        <v>0</v>
      </c>
      <c r="R5" s="1">
        <f>建筑各项能耗拆分!$B$18*建筑各项能耗拆分!R103</f>
        <v>0</v>
      </c>
      <c r="S5" s="1">
        <f>建筑各项能耗拆分!$B$18*建筑各项能耗拆分!S103</f>
        <v>0</v>
      </c>
      <c r="T5" s="1">
        <f>建筑各项能耗拆分!$B$18*建筑各项能耗拆分!T103</f>
        <v>0</v>
      </c>
      <c r="U5" s="1">
        <f>建筑各项能耗拆分!$B$18*建筑各项能耗拆分!U103</f>
        <v>0</v>
      </c>
      <c r="V5" s="1">
        <f>建筑各项能耗拆分!$B$18*建筑各项能耗拆分!V103</f>
        <v>0</v>
      </c>
      <c r="W5" s="1">
        <f>建筑各项能耗拆分!$B$18*建筑各项能耗拆分!W103</f>
        <v>0</v>
      </c>
      <c r="X5" s="1">
        <f>建筑各项能耗拆分!$B$18*建筑各项能耗拆分!X103</f>
        <v>0</v>
      </c>
      <c r="Y5" s="1">
        <f>建筑各项能耗拆分!$B$18*建筑各项能耗拆分!Y103</f>
        <v>0</v>
      </c>
      <c r="Z5" s="1">
        <f>建筑各项能耗拆分!$B$18*建筑各项能耗拆分!Z103</f>
        <v>0</v>
      </c>
      <c r="AA5" s="1">
        <f>建筑各项能耗拆分!$B$18*建筑各项能耗拆分!AA103</f>
        <v>0</v>
      </c>
      <c r="AB5" s="1">
        <f>建筑各项能耗拆分!$B$18*建筑各项能耗拆分!AB103</f>
        <v>0</v>
      </c>
      <c r="AC5" s="1">
        <f>建筑各项能耗拆分!$B$18*建筑各项能耗拆分!AC103</f>
        <v>0</v>
      </c>
      <c r="AD5" s="1">
        <f>建筑各项能耗拆分!$B$18*建筑各项能耗拆分!AD103</f>
        <v>0</v>
      </c>
      <c r="AE5" s="1">
        <f>建筑各项能耗拆分!$B$18*建筑各项能耗拆分!AE103</f>
        <v>0</v>
      </c>
      <c r="AF5" s="1">
        <f>建筑各项能耗拆分!$B$18*建筑各项能耗拆分!AF103</f>
        <v>0</v>
      </c>
      <c r="AG5" s="1">
        <f>建筑各项能耗拆分!$B$18*建筑各项能耗拆分!AG103</f>
        <v>0</v>
      </c>
      <c r="AH5" s="1">
        <f>建筑各项能耗拆分!$B$18*建筑各项能耗拆分!AH103</f>
        <v>0</v>
      </c>
      <c r="AI5" s="1">
        <f>建筑各项能耗拆分!$B$18*建筑各项能耗拆分!AI103</f>
        <v>0</v>
      </c>
      <c r="AJ5" s="1">
        <f>建筑各项能耗拆分!$B$18*建筑各项能耗拆分!AJ103</f>
        <v>0</v>
      </c>
      <c r="AK5" s="1">
        <f>建筑各项能耗拆分!$B$18*建筑各项能耗拆分!AK103</f>
        <v>0</v>
      </c>
      <c r="AL5" s="1">
        <f>建筑各项能耗拆分!$B$18*建筑各项能耗拆分!AL103</f>
        <v>0</v>
      </c>
      <c r="AM5" s="1">
        <f>建筑各项能耗拆分!$B$18*建筑各项能耗拆分!AM103</f>
        <v>0</v>
      </c>
      <c r="AN5" s="1">
        <f>建筑各项能耗拆分!$B$18*建筑各项能耗拆分!AN103</f>
        <v>0</v>
      </c>
      <c r="AO5" s="1">
        <f>建筑各项能耗拆分!$B$18*建筑各项能耗拆分!AO103</f>
        <v>0</v>
      </c>
      <c r="AP5" s="1">
        <f>建筑各项能耗拆分!$B$18*建筑各项能耗拆分!AP103</f>
        <v>0</v>
      </c>
      <c r="AQ5" s="1">
        <f>建筑各项能耗拆分!$B$18*建筑各项能耗拆分!AQ103</f>
        <v>0</v>
      </c>
      <c r="AR5" s="1">
        <f>建筑各项能耗拆分!$B$18*建筑各项能耗拆分!AR103</f>
        <v>0</v>
      </c>
    </row>
    <row r="6" spans="1:44" x14ac:dyDescent="0.15">
      <c r="A6" t="s">
        <v>4</v>
      </c>
      <c r="B6" s="1">
        <f>建筑各项能耗拆分!$B$18*建筑各项能耗拆分!B104</f>
        <v>77854165833273.781</v>
      </c>
      <c r="C6" s="1">
        <f>建筑各项能耗拆分!$B$18*建筑各项能耗拆分!C104</f>
        <v>77301401255857.531</v>
      </c>
      <c r="D6" s="1">
        <f>建筑各项能耗拆分!$B$18*建筑各项能耗拆分!D104</f>
        <v>75112763716380.797</v>
      </c>
      <c r="E6" s="1">
        <f>建筑各项能耗拆分!$B$18*建筑各项能耗拆分!E104</f>
        <v>73715513696736.859</v>
      </c>
      <c r="F6" s="1">
        <f>建筑各项能耗拆分!$B$18*建筑各项能耗拆分!F104</f>
        <v>73493387855268.875</v>
      </c>
      <c r="G6" s="1">
        <f>建筑各项能耗拆分!$B$18*建筑各项能耗拆分!G104</f>
        <v>73238691138084.422</v>
      </c>
      <c r="H6" s="1">
        <f>建筑各项能耗拆分!$B$18*建筑各项能耗拆分!H104</f>
        <v>72952012848750.563</v>
      </c>
      <c r="I6" s="1">
        <f>建筑各项能耗拆分!$B$18*建筑各项能耗拆分!I104</f>
        <v>72633986761155.203</v>
      </c>
      <c r="J6" s="1">
        <f>建筑各项能耗拆分!$B$18*建筑各项能耗拆分!J104</f>
        <v>72285285960693.047</v>
      </c>
      <c r="K6" s="1">
        <f>建筑各项能耗拆分!$B$18*建筑各项能耗拆分!K104</f>
        <v>71906626369125.078</v>
      </c>
      <c r="L6" s="1">
        <f>建筑各项能耗拆分!$B$18*建筑各项能耗拆分!L104</f>
        <v>71498761515197.359</v>
      </c>
      <c r="M6" s="1">
        <f>建筑各项能耗拆分!$B$18*建筑各项能耗拆分!M104</f>
        <v>71062483623117.344</v>
      </c>
      <c r="N6" s="1">
        <f>建筑各项能耗拆分!$B$18*建筑各项能耗拆分!N104</f>
        <v>70598621693079.406</v>
      </c>
      <c r="O6" s="1">
        <f>建筑各项能耗拆分!$B$18*建筑各项能耗拆分!O104</f>
        <v>70108039139665.508</v>
      </c>
      <c r="P6" s="1">
        <f>建筑各项能耗拆分!$B$18*建筑各项能耗拆分!P104</f>
        <v>69591634627814.953</v>
      </c>
      <c r="Q6" s="1">
        <f>建筑各项能耗拆分!$B$18*建筑各项能耗拆分!Q104</f>
        <v>69050337243354.305</v>
      </c>
      <c r="R6" s="1">
        <f>建筑各项能耗拆分!$B$18*建筑各项能耗拆分!R104</f>
        <v>68497572665938.039</v>
      </c>
      <c r="S6" s="1">
        <f>建筑各项能耗拆分!$B$18*建筑各项能耗拆分!S104</f>
        <v>67921994167963.969</v>
      </c>
      <c r="T6" s="1">
        <f>建筑各项能耗拆分!$B$18*建筑各项能耗拆分!T104</f>
        <v>67304423398739.039</v>
      </c>
      <c r="U6" s="1">
        <f>建筑各项能耗拆分!$B$18*建筑各项能耗拆分!U104</f>
        <v>66646718349482.367</v>
      </c>
      <c r="V6" s="1">
        <f>建筑各项能耗拆分!$B$18*建筑各项能耗拆分!V104</f>
        <v>65950783242462.828</v>
      </c>
      <c r="W6" s="1">
        <f>建筑各项能耗拆分!$B$18*建筑各项能耗拆分!W104</f>
        <v>65218560945969.641</v>
      </c>
      <c r="X6" s="1">
        <f>建筑各项能耗拆分!$B$18*建筑各项能耗拆分!X104</f>
        <v>64452032703328.609</v>
      </c>
      <c r="Y6" s="1">
        <f>建筑各项能耗拆分!$B$18*建筑各项能耗拆分!Y104</f>
        <v>63653212572420.742</v>
      </c>
      <c r="Z6" s="1">
        <f>建筑各项能耗拆分!$B$18*建筑各项能耗拆分!Z104</f>
        <v>62824143162492.406</v>
      </c>
      <c r="AA6" s="1">
        <f>建筑各项能耗拆分!$B$18*建筑各项能耗拆分!AA104</f>
        <v>61966888983489.383</v>
      </c>
      <c r="AB6" s="1">
        <f>建筑各项能耗拆分!$B$18*建筑各项能耗拆分!AB104</f>
        <v>61083533053936.25</v>
      </c>
      <c r="AC6" s="1">
        <f>建筑各项能耗拆分!$B$18*建筑各项能耗拆分!AC104</f>
        <v>60176173629862.07</v>
      </c>
      <c r="AD6" s="1">
        <f>建筑各项能耗拆分!$B$18*建筑各项能耗拆分!AD104</f>
        <v>59246914833067.547</v>
      </c>
      <c r="AE6" s="1">
        <f>建筑各项能耗拆分!$B$18*建筑各项能耗拆分!AE104</f>
        <v>58297862094241.805</v>
      </c>
      <c r="AF6" s="1">
        <f>建筑各项能耗拆分!$B$18*建筑各项能耗拆分!AF104</f>
        <v>57331120175880.367</v>
      </c>
      <c r="AG6" s="1">
        <f>建筑各项能耗拆分!$B$18*建筑各项能耗拆分!AG104</f>
        <v>56348780953513.164</v>
      </c>
      <c r="AH6" s="1">
        <f>建筑各项能耗拆分!$B$18*建筑各项能耗拆分!AH104</f>
        <v>55352920231033.266</v>
      </c>
      <c r="AI6" s="1">
        <f>建筑各项能耗拆分!$B$18*建筑各项能耗拆分!AI104</f>
        <v>54345592217573.211</v>
      </c>
      <c r="AJ6" s="1">
        <f>建筑各项能耗拆分!$B$18*建筑各项能耗拆分!AJ104</f>
        <v>53328818074909.266</v>
      </c>
      <c r="AK6" s="1">
        <f>建筑各项能耗拆分!$B$18*建筑各项能耗拆分!AK104</f>
        <v>52304584715532.438</v>
      </c>
      <c r="AL6" s="1">
        <f>建筑各项能耗拆分!$B$18*建筑各项能耗拆分!AL104</f>
        <v>51274830243199.164</v>
      </c>
      <c r="AM6" s="1">
        <f>建筑各项能耗拆分!$B$18*建筑各项能耗拆分!AM104</f>
        <v>50241442801214.547</v>
      </c>
      <c r="AN6" s="1">
        <f>建筑各项能耗拆分!$B$18*建筑各项能耗拆分!AN104</f>
        <v>49206248125409.422</v>
      </c>
      <c r="AO6" s="1">
        <f>建筑各项能耗拆分!$B$18*建筑各项能耗拆分!AO104</f>
        <v>48171001888657</v>
      </c>
      <c r="AP6" s="1">
        <f>建筑各项能耗拆分!$B$18*建筑各项能耗拆分!AP104</f>
        <v>47137381053920.063</v>
      </c>
      <c r="AQ6" s="1">
        <f>建筑各项能耗拆分!$B$18*建筑各项能耗拆分!AQ104</f>
        <v>46106974875005.117</v>
      </c>
      <c r="AR6" s="1">
        <f>建筑各项能耗拆分!$B$18*建筑各项能耗拆分!AR104</f>
        <v>45081276580311.563</v>
      </c>
    </row>
    <row r="7" spans="1:44" x14ac:dyDescent="0.15">
      <c r="A7" t="s">
        <v>5</v>
      </c>
      <c r="B7" s="1">
        <f>建筑各项能耗拆分!$B$18*建筑各项能耗拆分!B105</f>
        <v>46335810613569.555</v>
      </c>
      <c r="C7" s="1">
        <f>建筑各项能耗拆分!$B$18*建筑各项能耗拆分!C105</f>
        <v>46006826358213.211</v>
      </c>
      <c r="D7" s="1">
        <f>建筑各项能耗拆分!$B$18*建筑各项能耗拆分!D105</f>
        <v>44704233318450.648</v>
      </c>
      <c r="E7" s="1">
        <f>建筑各项能耗拆分!$B$18*建筑各项能耗拆分!E105</f>
        <v>43872643748424.617</v>
      </c>
      <c r="F7" s="1">
        <f>建筑各项能耗拆分!$B$18*建筑各项能耗拆分!F105</f>
        <v>43740442975190.68</v>
      </c>
      <c r="G7" s="1">
        <f>建筑各项能耗拆分!$B$18*建筑各项能耗拆分!G105</f>
        <v>43588857267155.109</v>
      </c>
      <c r="H7" s="1">
        <f>建筑各项能耗拆分!$B$18*建筑各项能耗拆分!H105</f>
        <v>43418237355177.086</v>
      </c>
      <c r="I7" s="1">
        <f>建筑各项能耗拆分!$B$18*建筑各项能耗拆分!I105</f>
        <v>43228960437143.563</v>
      </c>
      <c r="J7" s="1">
        <f>建筑各项能耗拆分!$B$18*建筑各项能耗拆分!J105</f>
        <v>43021427107641.109</v>
      </c>
      <c r="K7" s="1">
        <f>建筑各项能耗拆分!$B$18*建筑各项能耗拆分!K105</f>
        <v>42796063455817.023</v>
      </c>
      <c r="L7" s="1">
        <f>建筑各项能耗拆分!$B$18*建筑各项能耗拆分!L105</f>
        <v>42553317953052.305</v>
      </c>
      <c r="M7" s="1">
        <f>建筑各项能耗拆分!$B$18*建筑各项能耗拆分!M105</f>
        <v>42293662100781.039</v>
      </c>
      <c r="N7" s="1">
        <f>建筑各项能耗拆分!$B$18*建筑各项能耗拆分!N105</f>
        <v>42017589288092.875</v>
      </c>
      <c r="O7" s="1">
        <f>建筑各项能耗拆分!$B$18*建筑各项能耗拆分!O105</f>
        <v>41725613386199.734</v>
      </c>
      <c r="P7" s="1">
        <f>建筑各项能耗拆分!$B$18*建筑各项能耗拆分!P105</f>
        <v>41418269245972.969</v>
      </c>
      <c r="Q7" s="1">
        <f>建筑各项能耗拆分!$B$18*建筑各项能耗拆分!Q105</f>
        <v>41096109823628.094</v>
      </c>
      <c r="R7" s="1">
        <f>建筑各项能耗拆分!$B$18*建筑各项能耗拆分!R105</f>
        <v>40767125568271.742</v>
      </c>
      <c r="S7" s="1">
        <f>建筑各项能耗拆分!$B$18*建筑各项能耗拆分!S105</f>
        <v>40424563343245.992</v>
      </c>
      <c r="T7" s="1">
        <f>建筑各项能耗拆分!$B$18*建筑各项能耗拆分!T105</f>
        <v>40057008930492.234</v>
      </c>
      <c r="U7" s="1">
        <f>建筑各项能耗拆分!$B$18*建筑各项能耗拆分!U105</f>
        <v>39665568135054.148</v>
      </c>
      <c r="V7" s="1">
        <f>建筑各项能耗拆分!$B$18*建筑各项能耗拆分!V105</f>
        <v>39251374276921.383</v>
      </c>
      <c r="W7" s="1">
        <f>建筑各项能耗拆分!$B$18*建筑各项能耗拆分!W105</f>
        <v>38815583676711.258</v>
      </c>
      <c r="X7" s="1">
        <f>建筑各项能耗拆分!$B$18*建筑各项能耗拆分!X105</f>
        <v>38359375494389.594</v>
      </c>
      <c r="Y7" s="1">
        <f>建筑各项能耗拆分!$B$18*建筑各项能耗拆分!Y105</f>
        <v>37883948419885.711</v>
      </c>
      <c r="Z7" s="1">
        <f>建筑各项能耗拆分!$B$18*建筑各项能耗拆分!Z105</f>
        <v>37390518135805.453</v>
      </c>
      <c r="AA7" s="1">
        <f>建筑各项能耗拆分!$B$18*建筑各项能耗拆分!AA105</f>
        <v>36880313359210.203</v>
      </c>
      <c r="AB7" s="1">
        <f>建筑各项能耗拆分!$B$18*建筑各项能耗拆分!AB105</f>
        <v>36354573822756.852</v>
      </c>
      <c r="AC7" s="1">
        <f>建筑各项能耗拆分!$B$18*建筑各项能耗拆分!AC105</f>
        <v>35814548327879.992</v>
      </c>
      <c r="AD7" s="1">
        <f>建筑各项能耗拆分!$B$18*建筑各项能耗拆分!AD105</f>
        <v>35261489167096.297</v>
      </c>
      <c r="AE7" s="1">
        <f>建筑各项能耗拆分!$B$18*建筑各项能耗拆分!AE105</f>
        <v>34696649411922.602</v>
      </c>
      <c r="AF7" s="1">
        <f>建筑各项能耗拆分!$B$18*建筑各项能耗拆分!AF105</f>
        <v>34121281736192.535</v>
      </c>
      <c r="AG7" s="1">
        <f>建筑各项能耗拆分!$B$18*建筑各项能耗拆分!AG105</f>
        <v>33536631143912.539</v>
      </c>
      <c r="AH7" s="1">
        <f>建筑各项能耗拆分!$B$18*建筑各项能耗拆分!AH105</f>
        <v>32943933073867.84</v>
      </c>
      <c r="AI7" s="1">
        <f>建筑各项能耗拆分!$B$18*建筑各项能耗拆分!AI105</f>
        <v>32344410112471.219</v>
      </c>
      <c r="AJ7" s="1">
        <f>建筑各项能耗拆分!$B$18*建筑各项能耗拆分!AJ105</f>
        <v>31739265177617.707</v>
      </c>
      <c r="AK7" s="1">
        <f>建筑各项能耗拆分!$B$18*建筑各项能耗拆分!AK105</f>
        <v>31129680803342.617</v>
      </c>
      <c r="AL7" s="1">
        <f>建筑各项能耗拆分!$B$18*建筑各项能耗拆分!AL105</f>
        <v>30516810474596.281</v>
      </c>
      <c r="AM7" s="1">
        <f>建筑各项能耗拆分!$B$18*建筑各项能耗拆分!AM105</f>
        <v>29901777941786.379</v>
      </c>
      <c r="AN7" s="1">
        <f>建筑各项能耗拆分!$B$18*建筑各项能耗拆分!AN105</f>
        <v>29285669812787.824</v>
      </c>
      <c r="AO7" s="1">
        <f>建筑各项能耗拆分!$B$18*建筑各项能耗拆分!AO105</f>
        <v>28669530996692.898</v>
      </c>
      <c r="AP7" s="1">
        <f>建筑各项能耗拆分!$B$18*建筑各项能耗拆分!AP105</f>
        <v>28054359557476.977</v>
      </c>
      <c r="AQ7" s="1">
        <f>建筑各项能耗拆分!$B$18*建筑各项能耗拆分!AQ105</f>
        <v>27441101357992.809</v>
      </c>
      <c r="AR7" s="1">
        <f>建筑各项能耗拆分!$B$18*建筑各项能耗拆分!AR105</f>
        <v>26830645110457.379</v>
      </c>
    </row>
    <row r="8" spans="1:44" x14ac:dyDescent="0.15">
      <c r="A8" t="s">
        <v>6</v>
      </c>
      <c r="B8" s="1">
        <f>建筑各项能耗拆分!$B$18*建筑各项能耗拆分!B106</f>
        <v>0</v>
      </c>
      <c r="C8" s="1">
        <f>建筑各项能耗拆分!$B$18*建筑各项能耗拆分!C106</f>
        <v>0</v>
      </c>
      <c r="D8" s="1">
        <f>建筑各项能耗拆分!$B$18*建筑各项能耗拆分!D106</f>
        <v>0</v>
      </c>
      <c r="E8" s="1">
        <f>建筑各项能耗拆分!$B$18*建筑各项能耗拆分!E106</f>
        <v>0</v>
      </c>
      <c r="F8" s="1">
        <f>建筑各项能耗拆分!$B$18*建筑各项能耗拆分!F106</f>
        <v>0</v>
      </c>
      <c r="G8" s="1">
        <f>建筑各项能耗拆分!$B$18*建筑各项能耗拆分!G106</f>
        <v>0</v>
      </c>
      <c r="H8" s="1">
        <f>建筑各项能耗拆分!$B$18*建筑各项能耗拆分!H106</f>
        <v>0</v>
      </c>
      <c r="I8" s="1">
        <f>建筑各项能耗拆分!$B$18*建筑各项能耗拆分!I106</f>
        <v>0</v>
      </c>
      <c r="J8" s="1">
        <f>建筑各项能耗拆分!$B$18*建筑各项能耗拆分!J106</f>
        <v>0</v>
      </c>
      <c r="K8" s="1">
        <f>建筑各项能耗拆分!$B$18*建筑各项能耗拆分!K106</f>
        <v>0</v>
      </c>
      <c r="L8" s="1">
        <f>建筑各项能耗拆分!$B$18*建筑各项能耗拆分!L106</f>
        <v>0</v>
      </c>
      <c r="M8" s="1">
        <f>建筑各项能耗拆分!$B$18*建筑各项能耗拆分!M106</f>
        <v>0</v>
      </c>
      <c r="N8" s="1">
        <f>建筑各项能耗拆分!$B$18*建筑各项能耗拆分!N106</f>
        <v>0</v>
      </c>
      <c r="O8" s="1">
        <f>建筑各项能耗拆分!$B$18*建筑各项能耗拆分!O106</f>
        <v>0</v>
      </c>
      <c r="P8" s="1">
        <f>建筑各项能耗拆分!$B$18*建筑各项能耗拆分!P106</f>
        <v>0</v>
      </c>
      <c r="Q8" s="1">
        <f>建筑各项能耗拆分!$B$18*建筑各项能耗拆分!Q106</f>
        <v>0</v>
      </c>
      <c r="R8" s="1">
        <f>建筑各项能耗拆分!$B$18*建筑各项能耗拆分!R106</f>
        <v>0</v>
      </c>
      <c r="S8" s="1">
        <f>建筑各项能耗拆分!$B$18*建筑各项能耗拆分!S106</f>
        <v>0</v>
      </c>
      <c r="T8" s="1">
        <f>建筑各项能耗拆分!$B$18*建筑各项能耗拆分!T106</f>
        <v>0</v>
      </c>
      <c r="U8" s="1">
        <f>建筑各项能耗拆分!$B$18*建筑各项能耗拆分!U106</f>
        <v>0</v>
      </c>
      <c r="V8" s="1">
        <f>建筑各项能耗拆分!$B$18*建筑各项能耗拆分!V106</f>
        <v>0</v>
      </c>
      <c r="W8" s="1">
        <f>建筑各项能耗拆分!$B$18*建筑各项能耗拆分!W106</f>
        <v>0</v>
      </c>
      <c r="X8" s="1">
        <f>建筑各项能耗拆分!$B$18*建筑各项能耗拆分!X106</f>
        <v>0</v>
      </c>
      <c r="Y8" s="1">
        <f>建筑各项能耗拆分!$B$18*建筑各项能耗拆分!Y106</f>
        <v>0</v>
      </c>
      <c r="Z8" s="1">
        <f>建筑各项能耗拆分!$B$18*建筑各项能耗拆分!Z106</f>
        <v>0</v>
      </c>
      <c r="AA8" s="1">
        <f>建筑各项能耗拆分!$B$18*建筑各项能耗拆分!AA106</f>
        <v>0</v>
      </c>
      <c r="AB8" s="1">
        <f>建筑各项能耗拆分!$B$18*建筑各项能耗拆分!AB106</f>
        <v>0</v>
      </c>
      <c r="AC8" s="1">
        <f>建筑各项能耗拆分!$B$18*建筑各项能耗拆分!AC106</f>
        <v>0</v>
      </c>
      <c r="AD8" s="1">
        <f>建筑各项能耗拆分!$B$18*建筑各项能耗拆分!AD106</f>
        <v>0</v>
      </c>
      <c r="AE8" s="1">
        <f>建筑各项能耗拆分!$B$18*建筑各项能耗拆分!AE106</f>
        <v>0</v>
      </c>
      <c r="AF8" s="1">
        <f>建筑各项能耗拆分!$B$18*建筑各项能耗拆分!AF106</f>
        <v>0</v>
      </c>
      <c r="AG8" s="1">
        <f>建筑各项能耗拆分!$B$18*建筑各项能耗拆分!AG106</f>
        <v>0</v>
      </c>
      <c r="AH8" s="1">
        <f>建筑各项能耗拆分!$B$18*建筑各项能耗拆分!AH106</f>
        <v>0</v>
      </c>
      <c r="AI8" s="1">
        <f>建筑各项能耗拆分!$B$18*建筑各项能耗拆分!AI106</f>
        <v>0</v>
      </c>
      <c r="AJ8" s="1">
        <f>建筑各项能耗拆分!$B$18*建筑各项能耗拆分!AJ106</f>
        <v>0</v>
      </c>
      <c r="AK8" s="1">
        <f>建筑各项能耗拆分!$B$18*建筑各项能耗拆分!AK106</f>
        <v>0</v>
      </c>
      <c r="AL8" s="1">
        <f>建筑各项能耗拆分!$B$18*建筑各项能耗拆分!AL106</f>
        <v>0</v>
      </c>
      <c r="AM8" s="1">
        <f>建筑各项能耗拆分!$B$18*建筑各项能耗拆分!AM106</f>
        <v>0</v>
      </c>
      <c r="AN8" s="1">
        <f>建筑各项能耗拆分!$B$18*建筑各项能耗拆分!AN106</f>
        <v>0</v>
      </c>
      <c r="AO8" s="1">
        <f>建筑各项能耗拆分!$B$18*建筑各项能耗拆分!AO106</f>
        <v>0</v>
      </c>
      <c r="AP8" s="1">
        <f>建筑各项能耗拆分!$B$18*建筑各项能耗拆分!AP106</f>
        <v>0</v>
      </c>
      <c r="AQ8" s="1">
        <f>建筑各项能耗拆分!$B$18*建筑各项能耗拆分!AQ106</f>
        <v>0</v>
      </c>
      <c r="AR8" s="1">
        <f>建筑各项能耗拆分!$B$18*建筑各项能耗拆分!AR106</f>
        <v>0</v>
      </c>
    </row>
    <row r="9" spans="1:44" x14ac:dyDescent="0.15">
      <c r="A9" t="s">
        <v>7</v>
      </c>
      <c r="B9" s="1">
        <f>建筑各项能耗拆分!$B$18*建筑各项能耗拆分!B107</f>
        <v>0</v>
      </c>
      <c r="C9" s="1">
        <f>建筑各项能耗拆分!$B$18*建筑各项能耗拆分!C107</f>
        <v>0</v>
      </c>
      <c r="D9" s="1">
        <f>建筑各项能耗拆分!$B$18*建筑各项能耗拆分!D107</f>
        <v>0</v>
      </c>
      <c r="E9" s="1">
        <f>建筑各项能耗拆分!$B$18*建筑各项能耗拆分!E107</f>
        <v>0</v>
      </c>
      <c r="F9" s="1">
        <f>建筑各项能耗拆分!$B$18*建筑各项能耗拆分!F107</f>
        <v>0</v>
      </c>
      <c r="G9" s="1">
        <f>建筑各项能耗拆分!$B$18*建筑各项能耗拆分!G107</f>
        <v>0</v>
      </c>
      <c r="H9" s="1">
        <f>建筑各项能耗拆分!$B$18*建筑各项能耗拆分!H107</f>
        <v>0</v>
      </c>
      <c r="I9" s="1">
        <f>建筑各项能耗拆分!$B$18*建筑各项能耗拆分!I107</f>
        <v>0</v>
      </c>
      <c r="J9" s="1">
        <f>建筑各项能耗拆分!$B$18*建筑各项能耗拆分!J107</f>
        <v>0</v>
      </c>
      <c r="K9" s="1">
        <f>建筑各项能耗拆分!$B$18*建筑各项能耗拆分!K107</f>
        <v>0</v>
      </c>
      <c r="L9" s="1">
        <f>建筑各项能耗拆分!$B$18*建筑各项能耗拆分!L107</f>
        <v>0</v>
      </c>
      <c r="M9" s="1">
        <f>建筑各项能耗拆分!$B$18*建筑各项能耗拆分!M107</f>
        <v>0</v>
      </c>
      <c r="N9" s="1">
        <f>建筑各项能耗拆分!$B$18*建筑各项能耗拆分!N107</f>
        <v>0</v>
      </c>
      <c r="O9" s="1">
        <f>建筑各项能耗拆分!$B$18*建筑各项能耗拆分!O107</f>
        <v>0</v>
      </c>
      <c r="P9" s="1">
        <f>建筑各项能耗拆分!$B$18*建筑各项能耗拆分!P107</f>
        <v>0</v>
      </c>
      <c r="Q9" s="1">
        <f>建筑各项能耗拆分!$B$18*建筑各项能耗拆分!Q107</f>
        <v>0</v>
      </c>
      <c r="R9" s="1">
        <f>建筑各项能耗拆分!$B$18*建筑各项能耗拆分!R107</f>
        <v>0</v>
      </c>
      <c r="S9" s="1">
        <f>建筑各项能耗拆分!$B$18*建筑各项能耗拆分!S107</f>
        <v>0</v>
      </c>
      <c r="T9" s="1">
        <f>建筑各项能耗拆分!$B$18*建筑各项能耗拆分!T107</f>
        <v>0</v>
      </c>
      <c r="U9" s="1">
        <f>建筑各项能耗拆分!$B$18*建筑各项能耗拆分!U107</f>
        <v>0</v>
      </c>
      <c r="V9" s="1">
        <f>建筑各项能耗拆分!$B$18*建筑各项能耗拆分!V107</f>
        <v>0</v>
      </c>
      <c r="W9" s="1">
        <f>建筑各项能耗拆分!$B$18*建筑各项能耗拆分!W107</f>
        <v>0</v>
      </c>
      <c r="X9" s="1">
        <f>建筑各项能耗拆分!$B$18*建筑各项能耗拆分!X107</f>
        <v>0</v>
      </c>
      <c r="Y9" s="1">
        <f>建筑各项能耗拆分!$B$18*建筑各项能耗拆分!Y107</f>
        <v>0</v>
      </c>
      <c r="Z9" s="1">
        <f>建筑各项能耗拆分!$B$18*建筑各项能耗拆分!Z107</f>
        <v>0</v>
      </c>
      <c r="AA9" s="1">
        <f>建筑各项能耗拆分!$B$18*建筑各项能耗拆分!AA107</f>
        <v>0</v>
      </c>
      <c r="AB9" s="1">
        <f>建筑各项能耗拆分!$B$18*建筑各项能耗拆分!AB107</f>
        <v>0</v>
      </c>
      <c r="AC9" s="1">
        <f>建筑各项能耗拆分!$B$18*建筑各项能耗拆分!AC107</f>
        <v>0</v>
      </c>
      <c r="AD9" s="1">
        <f>建筑各项能耗拆分!$B$18*建筑各项能耗拆分!AD107</f>
        <v>0</v>
      </c>
      <c r="AE9" s="1">
        <f>建筑各项能耗拆分!$B$18*建筑各项能耗拆分!AE107</f>
        <v>0</v>
      </c>
      <c r="AF9" s="1">
        <f>建筑各项能耗拆分!$B$18*建筑各项能耗拆分!AF107</f>
        <v>0</v>
      </c>
      <c r="AG9" s="1">
        <f>建筑各项能耗拆分!$B$18*建筑各项能耗拆分!AG107</f>
        <v>0</v>
      </c>
      <c r="AH9" s="1">
        <f>建筑各项能耗拆分!$B$18*建筑各项能耗拆分!AH107</f>
        <v>0</v>
      </c>
      <c r="AI9" s="1">
        <f>建筑各项能耗拆分!$B$18*建筑各项能耗拆分!AI107</f>
        <v>0</v>
      </c>
      <c r="AJ9" s="1">
        <f>建筑各项能耗拆分!$B$18*建筑各项能耗拆分!AJ107</f>
        <v>0</v>
      </c>
      <c r="AK9" s="1">
        <f>建筑各项能耗拆分!$B$18*建筑各项能耗拆分!AK107</f>
        <v>0</v>
      </c>
      <c r="AL9" s="1">
        <f>建筑各项能耗拆分!$B$18*建筑各项能耗拆分!AL107</f>
        <v>0</v>
      </c>
      <c r="AM9" s="1">
        <f>建筑各项能耗拆分!$B$18*建筑各项能耗拆分!AM107</f>
        <v>0</v>
      </c>
      <c r="AN9" s="1">
        <f>建筑各项能耗拆分!$B$18*建筑各项能耗拆分!AN107</f>
        <v>0</v>
      </c>
      <c r="AO9" s="1">
        <f>建筑各项能耗拆分!$B$18*建筑各项能耗拆分!AO107</f>
        <v>0</v>
      </c>
      <c r="AP9" s="1">
        <f>建筑各项能耗拆分!$B$18*建筑各项能耗拆分!AP107</f>
        <v>0</v>
      </c>
      <c r="AQ9" s="1">
        <f>建筑各项能耗拆分!$B$18*建筑各项能耗拆分!AQ107</f>
        <v>0</v>
      </c>
      <c r="AR9" s="1">
        <f>建筑各项能耗拆分!$B$18*建筑各项能耗拆分!AR107</f>
        <v>0</v>
      </c>
    </row>
    <row r="10" spans="1:44" x14ac:dyDescent="0.15">
      <c r="A10" t="s">
        <v>8</v>
      </c>
      <c r="B10" s="1">
        <f>建筑各项能耗拆分!$B$18*建筑各项能耗拆分!B108</f>
        <v>107192800286882.91</v>
      </c>
      <c r="C10" s="1">
        <f>建筑各项能耗拆分!$B$18*建筑各项能耗拆分!C108</f>
        <v>106431731404846.03</v>
      </c>
      <c r="D10" s="1">
        <f>建筑各项能耗拆分!$B$18*建筑各项能耗拆分!D108</f>
        <v>103418325710256.48</v>
      </c>
      <c r="E10" s="1">
        <f>建筑各项能耗拆分!$B$18*建筑各项能耗拆分!E108</f>
        <v>101494534726132.64</v>
      </c>
      <c r="F10" s="1">
        <f>建筑各项能耗拆分!$B$18*建筑各项能耗拆分!F108</f>
        <v>101188702781134.03</v>
      </c>
      <c r="G10" s="1">
        <f>建筑各项能耗拆分!$B$18*建筑各项能耗拆分!G108</f>
        <v>100838025922077.52</v>
      </c>
      <c r="H10" s="1">
        <f>建筑各项能耗拆分!$B$18*建筑各项能耗拆分!H108</f>
        <v>100443315526220.75</v>
      </c>
      <c r="I10" s="1">
        <f>建筑各项能耗拆分!$B$18*建筑各项能耗拆分!I108</f>
        <v>100005444199378.3</v>
      </c>
      <c r="J10" s="1">
        <f>建筑各项能耗拆分!$B$18*建筑各项能耗拆分!J108</f>
        <v>99525338673055.375</v>
      </c>
      <c r="K10" s="1">
        <f>建筑各项能耗拆分!$B$18*建筑各项能耗拆分!K108</f>
        <v>99003984657618.609</v>
      </c>
      <c r="L10" s="1">
        <f>建筑各项能耗拆分!$B$18*建筑各项能耗拆分!L108</f>
        <v>98442419642270.031</v>
      </c>
      <c r="M10" s="1">
        <f>建筑各项能耗拆分!$B$18*建筑各项能耗拆分!M108</f>
        <v>97841734393705.875</v>
      </c>
      <c r="N10" s="1">
        <f>建筑各项能耗拆分!$B$18*建筑各项能耗拆分!N108</f>
        <v>97203070313305.516</v>
      </c>
      <c r="O10" s="1">
        <f>建筑各项能耗拆分!$B$18*建筑各项能耗拆分!O108</f>
        <v>96527616185584.953</v>
      </c>
      <c r="P10" s="1">
        <f>建筑各项能耗拆分!$B$18*建筑各项能耗拆分!P108</f>
        <v>95816609329194.172</v>
      </c>
      <c r="Q10" s="1">
        <f>建筑各项能耗拆分!$B$18*建筑各项能耗拆分!Q108</f>
        <v>95071328947505.141</v>
      </c>
      <c r="R10" s="1">
        <f>建筑各项能耗拆分!$B$18*建筑各项能耗拆分!R108</f>
        <v>94310260065468.266</v>
      </c>
      <c r="S10" s="1">
        <f>建筑各项能耗拆分!$B$18*建筑各项能耗拆分!S108</f>
        <v>93517780044362.063</v>
      </c>
      <c r="T10" s="1">
        <f>建筑各项能耗拆分!$B$18*建筑各项能耗拆分!T108</f>
        <v>92667483346426.719</v>
      </c>
      <c r="U10" s="1">
        <f>建筑各项能耗拆分!$B$18*建筑各项能耗拆分!U108</f>
        <v>91761928129977.234</v>
      </c>
      <c r="V10" s="1">
        <f>建筑各项能耗拆分!$B$18*建筑各项能耗拆分!V108</f>
        <v>90803736206129.078</v>
      </c>
      <c r="W10" s="1">
        <f>建筑各项能耗拆分!$B$18*建筑各项能耗拆分!W108</f>
        <v>89795582595419.516</v>
      </c>
      <c r="X10" s="1">
        <f>建筑各项能耗拆分!$B$18*建筑各项能耗拆分!X108</f>
        <v>88740195154705.875</v>
      </c>
      <c r="Y10" s="1">
        <f>建筑各项能耗拆分!$B$18*建筑各项能耗拆分!Y108</f>
        <v>87640346921267.438</v>
      </c>
      <c r="Z10" s="1">
        <f>建筑各项能耗拆分!$B$18*建筑各项能耗拆分!Z108</f>
        <v>86498850243071.313</v>
      </c>
      <c r="AA10" s="1">
        <f>建筑各项能耗拆分!$B$18*建筑各项能耗拆分!AA108</f>
        <v>85318547621863.406</v>
      </c>
      <c r="AB10" s="1">
        <f>建筑各项能耗拆分!$B$18*建筑各项能耗拆分!AB108</f>
        <v>84102307042758.094</v>
      </c>
      <c r="AC10" s="1">
        <f>建筑各项能耗拆分!$B$18*建筑各项能耗拆分!AC108</f>
        <v>82853017470489.172</v>
      </c>
      <c r="AD10" s="1">
        <f>建筑各项能耗拆分!$B$18*建筑各项能耗拆分!AD108</f>
        <v>81573575946024.797</v>
      </c>
      <c r="AE10" s="1">
        <f>建筑各项能耗拆分!$B$18*建筑各项能耗拆分!AE108</f>
        <v>80266881312464.328</v>
      </c>
      <c r="AF10" s="1">
        <f>建筑各项能耗拆分!$B$18*建筑各项能耗拆分!AF108</f>
        <v>78935831492910.734</v>
      </c>
      <c r="AG10" s="1">
        <f>建筑各项能耗拆分!$B$18*建筑各项能耗拆分!AG108</f>
        <v>77583306667165.609</v>
      </c>
      <c r="AH10" s="1">
        <f>建筑各项能耗拆分!$B$18*建筑各项能耗拆分!AH108</f>
        <v>76212164886943.547</v>
      </c>
      <c r="AI10" s="1">
        <f>建筑各项能耗拆分!$B$18*建筑各项能耗拆分!AI108</f>
        <v>74825234471409.422</v>
      </c>
      <c r="AJ10" s="1">
        <f>建筑各项能耗拆分!$B$18*建筑各项能耗拆分!AJ108</f>
        <v>73425298238776.109</v>
      </c>
      <c r="AK10" s="1">
        <f>建筑各项能耗拆分!$B$18*建筑各项能耗拆分!AK108</f>
        <v>72015091851439.516</v>
      </c>
      <c r="AL10" s="1">
        <f>建筑各项能耗拆分!$B$18*建筑各项能耗拆分!AL108</f>
        <v>70597283769933.25</v>
      </c>
      <c r="AM10" s="1">
        <f>建筑各项能耗拆分!$B$18*建筑各项能耗拆分!AM108</f>
        <v>69174473667197.719</v>
      </c>
      <c r="AN10" s="1">
        <f>建筑各项能耗拆分!$B$18*建筑各项能耗拆分!AN108</f>
        <v>67749175291009.875</v>
      </c>
      <c r="AO10" s="1">
        <f>建筑各项能耗拆分!$B$18*建筑各项能耗拆分!AO108</f>
        <v>66323805923600.609</v>
      </c>
      <c r="AP10" s="1">
        <f>建筑各项能耗拆分!$B$18*建筑各项能耗拆分!AP108</f>
        <v>64900674476176.32</v>
      </c>
      <c r="AQ10" s="1">
        <f>建筑各项能耗拆分!$B$18*建筑各项能耗拆分!AQ108</f>
        <v>63481969098389.141</v>
      </c>
      <c r="AR10" s="1">
        <f>建筑各项能耗拆分!$B$18*建筑各项能耗拆分!AR108</f>
        <v>62069745728182.641</v>
      </c>
    </row>
    <row r="11" spans="1:44" x14ac:dyDescent="0.15">
      <c r="A11" t="s">
        <v>9</v>
      </c>
      <c r="B11" s="1">
        <f>建筑各项能耗拆分!$B$18*建筑各项能耗拆分!B109</f>
        <v>0</v>
      </c>
      <c r="C11" s="1">
        <f>建筑各项能耗拆分!$B$18*建筑各项能耗拆分!C109</f>
        <v>0</v>
      </c>
      <c r="D11" s="1">
        <f>建筑各项能耗拆分!$B$18*建筑各项能耗拆分!D109</f>
        <v>0</v>
      </c>
      <c r="E11" s="1">
        <f>建筑各项能耗拆分!$B$18*建筑各项能耗拆分!E109</f>
        <v>0</v>
      </c>
      <c r="F11" s="1">
        <f>建筑各项能耗拆分!$B$18*建筑各项能耗拆分!F109</f>
        <v>0</v>
      </c>
      <c r="G11" s="1">
        <f>建筑各项能耗拆分!$B$18*建筑各项能耗拆分!G109</f>
        <v>0</v>
      </c>
      <c r="H11" s="1">
        <f>建筑各项能耗拆分!$B$18*建筑各项能耗拆分!H109</f>
        <v>0</v>
      </c>
      <c r="I11" s="1">
        <f>建筑各项能耗拆分!$B$18*建筑各项能耗拆分!I109</f>
        <v>0</v>
      </c>
      <c r="J11" s="1">
        <f>建筑各项能耗拆分!$B$18*建筑各项能耗拆分!J109</f>
        <v>0</v>
      </c>
      <c r="K11" s="1">
        <f>建筑各项能耗拆分!$B$18*建筑各项能耗拆分!K109</f>
        <v>0</v>
      </c>
      <c r="L11" s="1">
        <f>建筑各项能耗拆分!$B$18*建筑各项能耗拆分!L109</f>
        <v>0</v>
      </c>
      <c r="M11" s="1">
        <f>建筑各项能耗拆分!$B$18*建筑各项能耗拆分!M109</f>
        <v>0</v>
      </c>
      <c r="N11" s="1">
        <f>建筑各项能耗拆分!$B$18*建筑各项能耗拆分!N109</f>
        <v>0</v>
      </c>
      <c r="O11" s="1">
        <f>建筑各项能耗拆分!$B$18*建筑各项能耗拆分!O109</f>
        <v>0</v>
      </c>
      <c r="P11" s="1">
        <f>建筑各项能耗拆分!$B$18*建筑各项能耗拆分!P109</f>
        <v>0</v>
      </c>
      <c r="Q11" s="1">
        <f>建筑各项能耗拆分!$B$18*建筑各项能耗拆分!Q109</f>
        <v>0</v>
      </c>
      <c r="R11" s="1">
        <f>建筑各项能耗拆分!$B$18*建筑各项能耗拆分!R109</f>
        <v>0</v>
      </c>
      <c r="S11" s="1">
        <f>建筑各项能耗拆分!$B$18*建筑各项能耗拆分!S109</f>
        <v>0</v>
      </c>
      <c r="T11" s="1">
        <f>建筑各项能耗拆分!$B$18*建筑各项能耗拆分!T109</f>
        <v>0</v>
      </c>
      <c r="U11" s="1">
        <f>建筑各项能耗拆分!$B$18*建筑各项能耗拆分!U109</f>
        <v>0</v>
      </c>
      <c r="V11" s="1">
        <f>建筑各项能耗拆分!$B$18*建筑各项能耗拆分!V109</f>
        <v>0</v>
      </c>
      <c r="W11" s="1">
        <f>建筑各项能耗拆分!$B$18*建筑各项能耗拆分!W109</f>
        <v>0</v>
      </c>
      <c r="X11" s="1">
        <f>建筑各项能耗拆分!$B$18*建筑各项能耗拆分!X109</f>
        <v>0</v>
      </c>
      <c r="Y11" s="1">
        <f>建筑各项能耗拆分!$B$18*建筑各项能耗拆分!Y109</f>
        <v>0</v>
      </c>
      <c r="Z11" s="1">
        <f>建筑各项能耗拆分!$B$18*建筑各项能耗拆分!Z109</f>
        <v>0</v>
      </c>
      <c r="AA11" s="1">
        <f>建筑各项能耗拆分!$B$18*建筑各项能耗拆分!AA109</f>
        <v>0</v>
      </c>
      <c r="AB11" s="1">
        <f>建筑各项能耗拆分!$B$18*建筑各项能耗拆分!AB109</f>
        <v>0</v>
      </c>
      <c r="AC11" s="1">
        <f>建筑各项能耗拆分!$B$18*建筑各项能耗拆分!AC109</f>
        <v>0</v>
      </c>
      <c r="AD11" s="1">
        <f>建筑各项能耗拆分!$B$18*建筑各项能耗拆分!AD109</f>
        <v>0</v>
      </c>
      <c r="AE11" s="1">
        <f>建筑各项能耗拆分!$B$18*建筑各项能耗拆分!AE109</f>
        <v>0</v>
      </c>
      <c r="AF11" s="1">
        <f>建筑各项能耗拆分!$B$18*建筑各项能耗拆分!AF109</f>
        <v>0</v>
      </c>
      <c r="AG11" s="1">
        <f>建筑各项能耗拆分!$B$18*建筑各项能耗拆分!AG109</f>
        <v>0</v>
      </c>
      <c r="AH11" s="1">
        <f>建筑各项能耗拆分!$B$18*建筑各项能耗拆分!AH109</f>
        <v>0</v>
      </c>
      <c r="AI11" s="1">
        <f>建筑各项能耗拆分!$B$18*建筑各项能耗拆分!AI109</f>
        <v>0</v>
      </c>
      <c r="AJ11" s="1">
        <f>建筑各项能耗拆分!$B$18*建筑各项能耗拆分!AJ109</f>
        <v>0</v>
      </c>
      <c r="AK11" s="1">
        <f>建筑各项能耗拆分!$B$18*建筑各项能耗拆分!AK109</f>
        <v>0</v>
      </c>
      <c r="AL11" s="1">
        <f>建筑各项能耗拆分!$B$18*建筑各项能耗拆分!AL109</f>
        <v>0</v>
      </c>
      <c r="AM11" s="1">
        <f>建筑各项能耗拆分!$B$18*建筑各项能耗拆分!AM109</f>
        <v>0</v>
      </c>
      <c r="AN11" s="1">
        <f>建筑各项能耗拆分!$B$18*建筑各项能耗拆分!AN109</f>
        <v>0</v>
      </c>
      <c r="AO11" s="1">
        <f>建筑各项能耗拆分!$B$18*建筑各项能耗拆分!AO109</f>
        <v>0</v>
      </c>
      <c r="AP11" s="1">
        <f>建筑各项能耗拆分!$B$18*建筑各项能耗拆分!AP109</f>
        <v>0</v>
      </c>
      <c r="AQ11" s="1">
        <f>建筑各项能耗拆分!$B$18*建筑各项能耗拆分!AQ109</f>
        <v>0</v>
      </c>
      <c r="AR11" s="1">
        <f>建筑各项能耗拆分!$B$18*建筑各项能耗拆分!AR109</f>
        <v>0</v>
      </c>
    </row>
    <row r="12" spans="1:44" x14ac:dyDescent="0.15">
      <c r="A12" t="s">
        <v>1159</v>
      </c>
      <c r="B12" s="1">
        <f>SUM(B2:B11)</f>
        <v>1842705540025500</v>
      </c>
      <c r="C12" s="1">
        <f t="shared" ref="C12:AR12" si="0">SUM(C2:C11)</f>
        <v>1829622330691319</v>
      </c>
      <c r="D12" s="1">
        <f t="shared" si="0"/>
        <v>1777820163447779</v>
      </c>
      <c r="E12" s="1">
        <f t="shared" si="0"/>
        <v>1744749096223034</v>
      </c>
      <c r="F12" s="1">
        <f t="shared" si="0"/>
        <v>1739491670184555.3</v>
      </c>
      <c r="G12" s="1">
        <f t="shared" si="0"/>
        <v>1733463334426810.8</v>
      </c>
      <c r="H12" s="1">
        <f t="shared" si="0"/>
        <v>1726678036988882.5</v>
      </c>
      <c r="I12" s="1">
        <f t="shared" si="0"/>
        <v>1719150778463763</v>
      </c>
      <c r="J12" s="1">
        <f t="shared" si="0"/>
        <v>1710897489896019.5</v>
      </c>
      <c r="K12" s="1">
        <f t="shared" si="0"/>
        <v>1701935116210578.5</v>
      </c>
      <c r="L12" s="1">
        <f t="shared" si="0"/>
        <v>1692281492440159</v>
      </c>
      <c r="M12" s="1">
        <f t="shared" si="0"/>
        <v>1681955369488072.5</v>
      </c>
      <c r="N12" s="1">
        <f t="shared" si="0"/>
        <v>1670976368696795</v>
      </c>
      <c r="O12" s="1">
        <f t="shared" si="0"/>
        <v>1659364925952014.8</v>
      </c>
      <c r="P12" s="1">
        <f t="shared" si="0"/>
        <v>1647142311468943.8</v>
      </c>
      <c r="Q12" s="1">
        <f t="shared" si="0"/>
        <v>1634330515485116.3</v>
      </c>
      <c r="R12" s="1">
        <f t="shared" si="0"/>
        <v>1621247306150935</v>
      </c>
      <c r="S12" s="1">
        <f t="shared" si="0"/>
        <v>1607624121372259</v>
      </c>
      <c r="T12" s="1">
        <f t="shared" si="0"/>
        <v>1593007034853785</v>
      </c>
      <c r="U12" s="1">
        <f t="shared" si="0"/>
        <v>1577440022799947.8</v>
      </c>
      <c r="V12" s="1">
        <f t="shared" si="0"/>
        <v>1560968155643225</v>
      </c>
      <c r="W12" s="1">
        <f t="shared" si="0"/>
        <v>1543637418516483.5</v>
      </c>
      <c r="X12" s="1">
        <f t="shared" si="0"/>
        <v>1525494704839151</v>
      </c>
      <c r="Y12" s="1">
        <f t="shared" si="0"/>
        <v>1506587684707947.3</v>
      </c>
      <c r="Z12" s="1">
        <f t="shared" si="0"/>
        <v>1486964703992794.8</v>
      </c>
      <c r="AA12" s="1">
        <f t="shared" si="0"/>
        <v>1466674626924320.8</v>
      </c>
      <c r="AB12" s="1">
        <f t="shared" si="0"/>
        <v>1445766755806828.5</v>
      </c>
      <c r="AC12" s="1">
        <f t="shared" si="0"/>
        <v>1424290753596279.8</v>
      </c>
      <c r="AD12" s="1">
        <f t="shared" si="0"/>
        <v>1402296422083721</v>
      </c>
      <c r="AE12" s="1">
        <f t="shared" si="0"/>
        <v>1379833594039866.8</v>
      </c>
      <c r="AF12" s="1">
        <f t="shared" si="0"/>
        <v>1356952086420166.3</v>
      </c>
      <c r="AG12" s="1">
        <f t="shared" si="0"/>
        <v>1333701411162571</v>
      </c>
      <c r="AH12" s="1">
        <f t="shared" si="0"/>
        <v>1310130699810562.3</v>
      </c>
      <c r="AI12" s="1">
        <f t="shared" si="0"/>
        <v>1286288572788088</v>
      </c>
      <c r="AJ12" s="1">
        <f t="shared" si="0"/>
        <v>1262222868331708.5</v>
      </c>
      <c r="AK12" s="1">
        <f t="shared" si="0"/>
        <v>1237980614042523.3</v>
      </c>
      <c r="AL12" s="1">
        <f t="shared" si="0"/>
        <v>1213607682283185.5</v>
      </c>
      <c r="AM12" s="1">
        <f t="shared" si="0"/>
        <v>1189148762918282.3</v>
      </c>
      <c r="AN12" s="1">
        <f t="shared" si="0"/>
        <v>1164647068709701.5</v>
      </c>
      <c r="AO12" s="1">
        <f t="shared" si="0"/>
        <v>1140144154121424.8</v>
      </c>
      <c r="AP12" s="1">
        <f t="shared" si="0"/>
        <v>1115679710657546.6</v>
      </c>
      <c r="AQ12" s="1">
        <f t="shared" si="0"/>
        <v>1091291353861979.9</v>
      </c>
      <c r="AR12" s="1">
        <f t="shared" si="0"/>
        <v>1067014426483757.3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32E8-23D8-4A8E-ADD6-68DACF613FA5}">
  <sheetPr>
    <tabColor rgb="FF7030A0"/>
  </sheetPr>
  <dimension ref="A1:AR12"/>
  <sheetViews>
    <sheetView tabSelected="1" workbookViewId="0">
      <selection activeCell="F12" sqref="F12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</row>
    <row r="3" spans="1:44" x14ac:dyDescent="0.1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1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1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15">
      <c r="A6" t="s">
        <v>4</v>
      </c>
      <c r="B6" s="1">
        <f>建筑各项能耗拆分!$B$18*建筑各项能耗拆分!B104</f>
        <v>77854165833273.781</v>
      </c>
      <c r="C6" s="1">
        <f>建筑各项能耗拆分!$B$18*建筑各项能耗拆分!C104</f>
        <v>77301401255857.531</v>
      </c>
      <c r="D6" s="1">
        <f>建筑各项能耗拆分!$B$18*建筑各项能耗拆分!D104</f>
        <v>75112763716380.797</v>
      </c>
      <c r="E6" s="1">
        <f>建筑各项能耗拆分!$B$18*建筑各项能耗拆分!E104</f>
        <v>73715513696736.859</v>
      </c>
      <c r="F6" s="1">
        <f>建筑各项能耗拆分!$B$18*建筑各项能耗拆分!F104</f>
        <v>73493387855268.875</v>
      </c>
      <c r="G6" s="1">
        <f>建筑各项能耗拆分!$B$18*建筑各项能耗拆分!G104</f>
        <v>73238691138084.422</v>
      </c>
      <c r="H6" s="1">
        <f>建筑各项能耗拆分!$B$18*建筑各项能耗拆分!H104</f>
        <v>72952012848750.563</v>
      </c>
      <c r="I6" s="1">
        <f>建筑各项能耗拆分!$B$18*建筑各项能耗拆分!I104</f>
        <v>72633986761155.203</v>
      </c>
      <c r="J6" s="1">
        <f>建筑各项能耗拆分!$B$18*建筑各项能耗拆分!J104</f>
        <v>72285285960693.047</v>
      </c>
      <c r="K6" s="1">
        <f>建筑各项能耗拆分!$B$18*建筑各项能耗拆分!K104</f>
        <v>71906626369125.078</v>
      </c>
      <c r="L6" s="1">
        <f>建筑各项能耗拆分!$B$18*建筑各项能耗拆分!L104</f>
        <v>71498761515197.359</v>
      </c>
      <c r="M6" s="1">
        <f>建筑各项能耗拆分!$B$18*建筑各项能耗拆分!M104</f>
        <v>71062483623117.344</v>
      </c>
      <c r="N6" s="1">
        <f>建筑各项能耗拆分!$B$18*建筑各项能耗拆分!N104</f>
        <v>70598621693079.406</v>
      </c>
      <c r="O6" s="1">
        <f>建筑各项能耗拆分!$B$18*建筑各项能耗拆分!O104</f>
        <v>70108039139665.508</v>
      </c>
      <c r="P6" s="1">
        <f>建筑各项能耗拆分!$B$18*建筑各项能耗拆分!P104</f>
        <v>69591634627814.953</v>
      </c>
      <c r="Q6" s="1">
        <f>建筑各项能耗拆分!$B$18*建筑各项能耗拆分!Q104</f>
        <v>69050337243354.305</v>
      </c>
      <c r="R6" s="1">
        <f>建筑各项能耗拆分!$B$18*建筑各项能耗拆分!R104</f>
        <v>68497572665938.039</v>
      </c>
      <c r="S6" s="1">
        <f>建筑各项能耗拆分!$B$18*建筑各项能耗拆分!S104</f>
        <v>67921994167963.969</v>
      </c>
      <c r="T6" s="1">
        <f>建筑各项能耗拆分!$B$18*建筑各项能耗拆分!T104</f>
        <v>67304423398739.039</v>
      </c>
      <c r="U6" s="1">
        <f>建筑各项能耗拆分!$B$18*建筑各项能耗拆分!U104</f>
        <v>66646718349482.367</v>
      </c>
      <c r="V6" s="1">
        <f>建筑各项能耗拆分!$B$18*建筑各项能耗拆分!V104</f>
        <v>65950783242462.828</v>
      </c>
      <c r="W6" s="1">
        <f>建筑各项能耗拆分!$B$18*建筑各项能耗拆分!W104</f>
        <v>65218560945969.641</v>
      </c>
      <c r="X6" s="1">
        <f>建筑各项能耗拆分!$B$18*建筑各项能耗拆分!X104</f>
        <v>64452032703328.609</v>
      </c>
      <c r="Y6" s="1">
        <f>建筑各项能耗拆分!$B$18*建筑各项能耗拆分!Y104</f>
        <v>63653212572420.742</v>
      </c>
      <c r="Z6" s="1">
        <f>建筑各项能耗拆分!$B$18*建筑各项能耗拆分!Z104</f>
        <v>62824143162492.406</v>
      </c>
      <c r="AA6" s="1">
        <f>建筑各项能耗拆分!$B$18*建筑各项能耗拆分!AA104</f>
        <v>61966888983489.383</v>
      </c>
      <c r="AB6" s="1">
        <f>建筑各项能耗拆分!$B$18*建筑各项能耗拆分!AB104</f>
        <v>61083533053936.25</v>
      </c>
      <c r="AC6" s="1">
        <f>建筑各项能耗拆分!$B$18*建筑各项能耗拆分!AC104</f>
        <v>60176173629862.07</v>
      </c>
      <c r="AD6" s="1">
        <f>建筑各项能耗拆分!$B$18*建筑各项能耗拆分!AD104</f>
        <v>59246914833067.547</v>
      </c>
      <c r="AE6" s="1">
        <f>建筑各项能耗拆分!$B$18*建筑各项能耗拆分!AE104</f>
        <v>58297862094241.805</v>
      </c>
      <c r="AF6" s="1">
        <f>建筑各项能耗拆分!$B$18*建筑各项能耗拆分!AF104</f>
        <v>57331120175880.367</v>
      </c>
      <c r="AG6" s="1">
        <f>建筑各项能耗拆分!$B$18*建筑各项能耗拆分!AG104</f>
        <v>56348780953513.164</v>
      </c>
      <c r="AH6" s="1">
        <f>建筑各项能耗拆分!$B$18*建筑各项能耗拆分!AH104</f>
        <v>55352920231033.266</v>
      </c>
      <c r="AI6" s="1">
        <f>建筑各项能耗拆分!$B$18*建筑各项能耗拆分!AI104</f>
        <v>54345592217573.211</v>
      </c>
      <c r="AJ6" s="1">
        <f>建筑各项能耗拆分!$B$18*建筑各项能耗拆分!AJ104</f>
        <v>53328818074909.266</v>
      </c>
      <c r="AK6" s="1">
        <f>建筑各项能耗拆分!$B$18*建筑各项能耗拆分!AK104</f>
        <v>52304584715532.438</v>
      </c>
      <c r="AL6" s="1">
        <f>建筑各项能耗拆分!$B$18*建筑各项能耗拆分!AL104</f>
        <v>51274830243199.164</v>
      </c>
      <c r="AM6" s="1">
        <f>建筑各项能耗拆分!$B$18*建筑各项能耗拆分!AM104</f>
        <v>50241442801214.547</v>
      </c>
      <c r="AN6" s="1">
        <f>建筑各项能耗拆分!$B$18*建筑各项能耗拆分!AN104</f>
        <v>49206248125409.422</v>
      </c>
      <c r="AO6" s="1">
        <f>建筑各项能耗拆分!$B$18*建筑各项能耗拆分!AO104</f>
        <v>48171001888657</v>
      </c>
      <c r="AP6" s="1">
        <f>建筑各项能耗拆分!$B$18*建筑各项能耗拆分!AP104</f>
        <v>47137381053920.063</v>
      </c>
      <c r="AQ6" s="1">
        <f>建筑各项能耗拆分!$B$18*建筑各项能耗拆分!AQ104</f>
        <v>46106974875005.117</v>
      </c>
      <c r="AR6" s="1">
        <f>建筑各项能耗拆分!$B$18*建筑各项能耗拆分!AR104</f>
        <v>45081276580311.563</v>
      </c>
    </row>
    <row r="7" spans="1:44" x14ac:dyDescent="0.1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1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</row>
    <row r="9" spans="1:44" x14ac:dyDescent="0.1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1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</row>
    <row r="11" spans="1:44" x14ac:dyDescent="0.1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15">
      <c r="A12" t="s">
        <v>911</v>
      </c>
      <c r="B12" s="1">
        <f>SUM(B2:B11)</f>
        <v>77854165833273.781</v>
      </c>
      <c r="C12" s="1">
        <f t="shared" ref="C12:AR12" si="0">SUM(C2:C11)</f>
        <v>77301401255857.531</v>
      </c>
      <c r="D12" s="1">
        <f t="shared" si="0"/>
        <v>75112763716380.797</v>
      </c>
      <c r="E12" s="1">
        <f t="shared" si="0"/>
        <v>73715513696736.859</v>
      </c>
      <c r="F12" s="1">
        <f t="shared" si="0"/>
        <v>73493387855268.875</v>
      </c>
      <c r="G12" s="1">
        <f t="shared" si="0"/>
        <v>73238691138084.422</v>
      </c>
      <c r="H12" s="1">
        <f t="shared" si="0"/>
        <v>72952012848750.563</v>
      </c>
      <c r="I12" s="1">
        <f t="shared" si="0"/>
        <v>72633986761155.203</v>
      </c>
      <c r="J12" s="1">
        <f t="shared" si="0"/>
        <v>72285285960693.047</v>
      </c>
      <c r="K12" s="1">
        <f t="shared" si="0"/>
        <v>71906626369125.078</v>
      </c>
      <c r="L12" s="1">
        <f t="shared" si="0"/>
        <v>71498761515197.359</v>
      </c>
      <c r="M12" s="1">
        <f t="shared" si="0"/>
        <v>71062483623117.344</v>
      </c>
      <c r="N12" s="1">
        <f t="shared" si="0"/>
        <v>70598621693079.406</v>
      </c>
      <c r="O12" s="1">
        <f t="shared" si="0"/>
        <v>70108039139665.508</v>
      </c>
      <c r="P12" s="1">
        <f t="shared" si="0"/>
        <v>69591634627814.953</v>
      </c>
      <c r="Q12" s="1">
        <f t="shared" si="0"/>
        <v>69050337243354.305</v>
      </c>
      <c r="R12" s="1">
        <f t="shared" si="0"/>
        <v>68497572665938.039</v>
      </c>
      <c r="S12" s="1">
        <f t="shared" si="0"/>
        <v>67921994167963.969</v>
      </c>
      <c r="T12" s="1">
        <f t="shared" si="0"/>
        <v>67304423398739.039</v>
      </c>
      <c r="U12" s="1">
        <f t="shared" si="0"/>
        <v>66646718349482.367</v>
      </c>
      <c r="V12" s="1">
        <f t="shared" si="0"/>
        <v>65950783242462.828</v>
      </c>
      <c r="W12" s="1">
        <f t="shared" si="0"/>
        <v>65218560945969.641</v>
      </c>
      <c r="X12" s="1">
        <f t="shared" si="0"/>
        <v>64452032703328.609</v>
      </c>
      <c r="Y12" s="1">
        <f t="shared" si="0"/>
        <v>63653212572420.742</v>
      </c>
      <c r="Z12" s="1">
        <f t="shared" si="0"/>
        <v>62824143162492.406</v>
      </c>
      <c r="AA12" s="1">
        <f t="shared" si="0"/>
        <v>61966888983489.383</v>
      </c>
      <c r="AB12" s="1">
        <f t="shared" si="0"/>
        <v>61083533053936.25</v>
      </c>
      <c r="AC12" s="1">
        <f t="shared" si="0"/>
        <v>60176173629862.07</v>
      </c>
      <c r="AD12" s="1">
        <f t="shared" si="0"/>
        <v>59246914833067.547</v>
      </c>
      <c r="AE12" s="1">
        <f t="shared" si="0"/>
        <v>58297862094241.805</v>
      </c>
      <c r="AF12" s="1">
        <f t="shared" si="0"/>
        <v>57331120175880.367</v>
      </c>
      <c r="AG12" s="1">
        <f t="shared" si="0"/>
        <v>56348780953513.164</v>
      </c>
      <c r="AH12" s="1">
        <f t="shared" si="0"/>
        <v>55352920231033.266</v>
      </c>
      <c r="AI12" s="1">
        <f t="shared" si="0"/>
        <v>54345592217573.211</v>
      </c>
      <c r="AJ12" s="1">
        <f t="shared" si="0"/>
        <v>53328818074909.266</v>
      </c>
      <c r="AK12" s="1">
        <f t="shared" si="0"/>
        <v>52304584715532.438</v>
      </c>
      <c r="AL12" s="1">
        <f t="shared" si="0"/>
        <v>51274830243199.164</v>
      </c>
      <c r="AM12" s="1">
        <f t="shared" si="0"/>
        <v>50241442801214.547</v>
      </c>
      <c r="AN12" s="1">
        <f t="shared" si="0"/>
        <v>49206248125409.422</v>
      </c>
      <c r="AO12" s="1">
        <f t="shared" si="0"/>
        <v>48171001888657</v>
      </c>
      <c r="AP12" s="1">
        <f t="shared" si="0"/>
        <v>47137381053920.063</v>
      </c>
      <c r="AQ12" s="1">
        <f t="shared" si="0"/>
        <v>46106974875005.117</v>
      </c>
      <c r="AR12" s="1">
        <f t="shared" si="0"/>
        <v>45081276580311.563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ED45-558E-442E-94F2-C2AA1C967F03}">
  <sheetPr>
    <tabColor rgb="FF7030A0"/>
  </sheetPr>
  <dimension ref="A1:AR19"/>
  <sheetViews>
    <sheetView workbookViewId="0">
      <selection activeCell="I24" sqref="I24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建筑各项能耗拆分!$B$18*建筑各项能耗拆分!B104*B17</f>
        <v>0</v>
      </c>
      <c r="C2" s="1">
        <f>建筑各项能耗拆分!$B$18*建筑各项能耗拆分!C104*C17</f>
        <v>0</v>
      </c>
      <c r="D2" s="1">
        <f>建筑各项能耗拆分!$B$18*建筑各项能耗拆分!D104*D17</f>
        <v>0</v>
      </c>
      <c r="E2" s="1">
        <f>建筑各项能耗拆分!$B$18*建筑各项能耗拆分!E104*E17</f>
        <v>589724109573.8949</v>
      </c>
      <c r="F2" s="1">
        <f>建筑各项能耗拆分!$B$18*建筑各项能耗拆分!F104*F17</f>
        <v>1175894205684.302</v>
      </c>
      <c r="G2" s="1">
        <f>建筑各项能耗拆分!$B$18*建筑各项能耗拆分!G104*G17</f>
        <v>1757728587314.0261</v>
      </c>
      <c r="H2" s="1">
        <f>建筑各项能耗拆分!$B$18*建筑各项能耗拆分!H104*H17</f>
        <v>2334464411160.0181</v>
      </c>
      <c r="I2" s="1">
        <f>建筑各项能耗拆分!$B$18*建筑各项能耗拆分!I104*I17</f>
        <v>2905359470446.208</v>
      </c>
      <c r="J2" s="1">
        <f>建筑各项能耗拆分!$B$18*建筑各项能耗拆分!J104*J17</f>
        <v>3469693726113.2661</v>
      </c>
      <c r="K2" s="1">
        <f>建筑各项能耗拆分!$B$18*建筑各项能耗拆分!K104*K17</f>
        <v>4026771076671.0044</v>
      </c>
      <c r="L2" s="1">
        <f>建筑各项能耗拆分!$B$18*建筑各项能耗拆分!L104*L17</f>
        <v>4575920736972.6309</v>
      </c>
      <c r="M2" s="1">
        <f>建筑各项能耗拆分!$B$18*建筑各项能耗拆分!M104*M17</f>
        <v>5116498820864.4482</v>
      </c>
      <c r="N2" s="1">
        <f>建筑各项能耗拆分!$B$18*建筑各项能耗拆分!N104*N17</f>
        <v>5647889735446.3525</v>
      </c>
      <c r="O2" s="1">
        <f>建筑各项能耗拆分!$B$18*建筑各项能耗拆分!O104*O17</f>
        <v>5889075287731.9033</v>
      </c>
      <c r="P2" s="1">
        <f>建筑各项能耗拆分!$B$18*建筑各项能耗拆分!P104*P17</f>
        <v>6124063847247.7158</v>
      </c>
      <c r="Q2" s="1">
        <f>建筑各项能耗拆分!$B$18*建筑各项能耗拆分!Q104*Q17</f>
        <v>6352631026388.5957</v>
      </c>
      <c r="R2" s="1">
        <f>建筑各项能耗拆分!$B$18*建筑各项能耗拆分!R104*R17</f>
        <v>6575766975930.0518</v>
      </c>
      <c r="S2" s="1">
        <f>建筑各项能耗拆分!$B$18*建筑各项能耗拆分!S104*S17</f>
        <v>6792199416796.3975</v>
      </c>
      <c r="T2" s="1">
        <f>建筑各项能耗拆分!$B$18*建筑各项能耗拆分!T104*T17</f>
        <v>6999660033468.8594</v>
      </c>
      <c r="U2" s="1">
        <f>建筑各项能耗拆分!$B$18*建筑各项能耗拆分!U104*U17</f>
        <v>7197845581744.0957</v>
      </c>
      <c r="V2" s="1">
        <f>建筑各项能耗拆分!$B$18*建筑各项能耗拆分!V104*V17</f>
        <v>7386487723155.8369</v>
      </c>
      <c r="W2" s="1">
        <f>建筑各项能耗拆分!$B$18*建筑各项能耗拆分!W104*W17</f>
        <v>7565353069732.4785</v>
      </c>
      <c r="X2" s="1">
        <f>建筑各项能耗拆分!$B$18*建筑各项能耗拆分!X104*X17</f>
        <v>7734243924399.4326</v>
      </c>
      <c r="Y2" s="1">
        <f>建筑各项能耗拆分!$B$18*建筑各项能耗拆分!Y104*Y17</f>
        <v>7892998358980.1719</v>
      </c>
      <c r="Z2" s="1">
        <f>建筑各项能耗拆分!$B$18*建筑各项能耗拆分!Z104*Z17</f>
        <v>8041490324799.0283</v>
      </c>
      <c r="AA2" s="1">
        <f>建筑各项能耗拆分!$B$18*建筑各项能耗拆分!AA104*AA17</f>
        <v>8179629345820.5986</v>
      </c>
      <c r="AB2" s="1">
        <f>建筑各项能耗拆分!$B$18*建筑各项能耗拆分!AB104*AB17</f>
        <v>8307360495335.3311</v>
      </c>
      <c r="AC2" s="1">
        <f>建筑各项能耗拆分!$B$18*建筑各项能耗拆分!AC104*AC17</f>
        <v>8424664308180.6904</v>
      </c>
      <c r="AD2" s="1">
        <f>建筑各项能耗拆分!$B$18*建筑各项能耗拆分!AD104*AD17</f>
        <v>8531555735961.7266</v>
      </c>
      <c r="AE2" s="1">
        <f>建筑各项能耗拆分!$B$18*建筑各项能耗拆分!AE104*AE17</f>
        <v>8628083589947.7871</v>
      </c>
      <c r="AF2" s="1">
        <f>建筑各项能耗拆分!$B$18*建筑各项能耗拆分!AF104*AF17</f>
        <v>8714330266733.8154</v>
      </c>
      <c r="AG2" s="1">
        <f>建筑各项能耗拆分!$B$18*建筑各项能耗拆分!AG104*AG17</f>
        <v>8790409828748.0537</v>
      </c>
      <c r="AH2" s="1">
        <f>建筑各项能耗拆分!$B$18*建筑各项能耗拆分!AH104*AH17</f>
        <v>8856467236965.3223</v>
      </c>
      <c r="AI2" s="1">
        <f>建筑各项能耗拆分!$B$18*建筑各项能耗拆分!AI104*AI17</f>
        <v>8912677123682.0078</v>
      </c>
      <c r="AJ2" s="1">
        <f>建筑各项能耗拆分!$B$18*建筑各项能耗拆分!AJ104*AJ17</f>
        <v>8959241436584.7578</v>
      </c>
      <c r="AK2" s="1">
        <f>建筑各项能耗拆分!$B$18*建筑各项能耗拆分!AK104*AK17</f>
        <v>8996388571071.5781</v>
      </c>
      <c r="AL2" s="1">
        <f>建筑各项能耗拆分!$B$18*建筑各项能耗拆分!AL104*AL17</f>
        <v>9024370122803.0527</v>
      </c>
      <c r="AM2" s="1">
        <f>建筑各项能耗拆分!$B$18*建筑各项能耗拆分!AM104*AM17</f>
        <v>9043459704218.6172</v>
      </c>
      <c r="AN2" s="1">
        <f>建筑各项能耗拆分!$B$18*建筑各项能耗拆分!AN104*AN17</f>
        <v>9053949655075.334</v>
      </c>
      <c r="AO2" s="1">
        <f>建筑各项能耗拆分!$B$18*建筑各项能耗拆分!AO104*AO17</f>
        <v>9056148355067.5156</v>
      </c>
      <c r="AP2" s="1">
        <f>建筑各项能耗拆分!$B$18*建筑各项能耗拆分!AP104*AP17</f>
        <v>9050377162352.6523</v>
      </c>
      <c r="AQ2" s="1">
        <f>建筑各项能耗拆分!$B$18*建筑各项能耗拆分!AQ104*AQ17</f>
        <v>9036967075501.0039</v>
      </c>
      <c r="AR2" s="1">
        <f>建筑各项能耗拆分!$B$18*建筑各项能耗拆分!AR104*AR17</f>
        <v>9016255316062.3125</v>
      </c>
    </row>
    <row r="3" spans="1:44" x14ac:dyDescent="0.1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1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1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15">
      <c r="A6" t="s">
        <v>4</v>
      </c>
      <c r="B6" s="1">
        <f>建筑各项能耗拆分!$B$18*建筑各项能耗拆分!B104*(1-B19)</f>
        <v>77854165833273.781</v>
      </c>
      <c r="C6" s="1">
        <f>建筑各项能耗拆分!$B$18*建筑各项能耗拆分!C104*(1-C19)</f>
        <v>77301401255857.531</v>
      </c>
      <c r="D6" s="1">
        <f>建筑各项能耗拆分!$B$18*建筑各项能耗拆分!D104*(1-D19)</f>
        <v>75112763716380.797</v>
      </c>
      <c r="E6" s="1">
        <f>建筑各项能耗拆分!$B$18*建筑各项能耗拆分!E104*(1-E19)</f>
        <v>71651479313228.219</v>
      </c>
      <c r="F6" s="1">
        <f>建筑各项能耗拆分!$B$18*建筑各项能耗拆分!F104*(1-F19)</f>
        <v>69377758135373.813</v>
      </c>
      <c r="G6" s="1">
        <f>建筑各项能耗拆分!$B$18*建筑各项能耗拆分!G104*(1-G19)</f>
        <v>67086641082485.336</v>
      </c>
      <c r="H6" s="1">
        <f>建筑各项能耗拆分!$B$18*建筑各项能耗拆分!H104*(1-H19)</f>
        <v>64781387409690.5</v>
      </c>
      <c r="I6" s="1">
        <f>建筑各项能耗拆分!$B$18*建筑各项能耗拆分!I104*(1-I19)</f>
        <v>62465228614593.477</v>
      </c>
      <c r="J6" s="1">
        <f>建筑各项能耗拆分!$B$18*建筑各项能耗拆分!J104*(1-J19)</f>
        <v>60141357919296.617</v>
      </c>
      <c r="K6" s="1">
        <f>建筑各项能耗拆分!$B$18*建筑各项能耗拆分!K104*(1-K19)</f>
        <v>57812927600776.563</v>
      </c>
      <c r="L6" s="1">
        <f>建筑各项能耗拆分!$B$18*建筑各项能耗拆分!L104*(1-L19)</f>
        <v>55483038935793.156</v>
      </c>
      <c r="M6" s="1">
        <f>建筑各项能耗拆分!$B$18*建筑各项能耗拆分!M104*(1-M19)</f>
        <v>53154737750091.773</v>
      </c>
      <c r="N6" s="1">
        <f>建筑各项能耗拆分!$B$18*建筑各项能耗拆分!N104*(1-N19)</f>
        <v>50831007619017.172</v>
      </c>
      <c r="O6" s="1">
        <f>建筑各项能耗拆分!$B$18*建筑各项能耗拆分!O104*(1-O19)</f>
        <v>48795195241207.188</v>
      </c>
      <c r="P6" s="1">
        <f>建筑各项能耗拆分!$B$18*建筑各项能耗拆分!P104*(1-P19)</f>
        <v>46765578469891.648</v>
      </c>
      <c r="Q6" s="1">
        <f>建筑各项能耗拆分!$B$18*建筑各项能耗拆分!Q104*(1-Q19)</f>
        <v>44744618533693.594</v>
      </c>
      <c r="R6" s="1">
        <f>建筑各项能耗拆分!$B$18*建筑各项能耗拆分!R104*(1-R19)</f>
        <v>42742485343545.336</v>
      </c>
      <c r="S6" s="1">
        <f>建筑各项能耗拆分!$B$18*建筑各项能耗拆分!S104*(1-S19)</f>
        <v>40753196500778.383</v>
      </c>
      <c r="T6" s="1">
        <f>建筑各项能耗拆分!$B$18*建筑各项能耗拆分!T104*(1-T19)</f>
        <v>38767347877673.688</v>
      </c>
      <c r="U6" s="1">
        <f>建筑各项能耗拆分!$B$18*建筑各项能耗拆分!U104*(1-U19)</f>
        <v>36788988528914.273</v>
      </c>
      <c r="V6" s="1">
        <f>建筑各项能耗拆分!$B$18*建筑各项能耗拆分!V104*(1-V19)</f>
        <v>34822013552020.375</v>
      </c>
      <c r="W6" s="1">
        <f>建筑各项能耗拆分!$B$18*建筑各项能耗拆分!W104*(1-W19)</f>
        <v>32870154716768.699</v>
      </c>
      <c r="X6" s="1">
        <f>建筑各项能耗拆分!$B$18*建筑各项能耗拆分!X104*(1-X19)</f>
        <v>30936975697597.73</v>
      </c>
      <c r="Y6" s="1">
        <f>建筑各项能耗拆分!$B$18*建筑各项能耗拆分!Y104*(1-Y19)</f>
        <v>29025864933023.855</v>
      </c>
      <c r="Z6" s="1">
        <f>建筑各项能耗拆分!$B$18*建筑各项能耗拆分!Z104*(1-Z19)</f>
        <v>27140029846196.715</v>
      </c>
      <c r="AA6" s="1">
        <f>建筑各项能耗拆分!$B$18*建筑各项能耗拆分!AA104*(1-AA19)</f>
        <v>25282490705263.664</v>
      </c>
      <c r="AB6" s="1">
        <f>建筑各项能耗拆分!$B$18*建筑各项能耗拆分!AB104*(1-AB19)</f>
        <v>23456076692711.52</v>
      </c>
      <c r="AC6" s="1">
        <f>建筑各项能耗拆分!$B$18*建筑各项能耗拆分!AC104*(1-AC19)</f>
        <v>21663422506750.344</v>
      </c>
      <c r="AD6" s="1">
        <f>建筑各项能耗拆分!$B$18*建筑各项能耗拆分!AD104*(1-AD19)</f>
        <v>19906963383910.695</v>
      </c>
      <c r="AE6" s="1">
        <f>建筑各项能耗拆分!$B$18*建筑各项能耗拆分!AE104*(1-AE19)</f>
        <v>18188932973403.441</v>
      </c>
      <c r="AF6" s="1">
        <f>建筑各项能耗拆分!$B$18*建筑各项能耗拆分!AF104*(1-AF19)</f>
        <v>16511362610653.541</v>
      </c>
      <c r="AG6" s="1">
        <f>建筑各项能耗拆分!$B$18*建筑各项能耗拆分!AG104*(1-AG19)</f>
        <v>14876078171727.477</v>
      </c>
      <c r="AH6" s="1">
        <f>建筑各项能耗拆分!$B$18*建筑各项能耗拆分!AH104*(1-AH19)</f>
        <v>13284700855447.982</v>
      </c>
      <c r="AI6" s="1">
        <f>建筑各项能耗拆分!$B$18*建筑各项能耗拆分!AI104*(1-AI19)</f>
        <v>11738647918995.813</v>
      </c>
      <c r="AJ6" s="1">
        <f>建筑各项能耗拆分!$B$18*建筑各项能耗拆分!AJ104*(1-AJ19)</f>
        <v>10239133070382.576</v>
      </c>
      <c r="AK6" s="1">
        <f>建筑各项能耗拆分!$B$18*建筑各项能耗拆分!AK104*(1-AK19)</f>
        <v>8787170232209.4453</v>
      </c>
      <c r="AL6" s="1">
        <f>建筑各项能耗拆分!$B$18*建筑各项能耗拆分!AL104*(1-AL19)</f>
        <v>7383575555020.6748</v>
      </c>
      <c r="AM6" s="1">
        <f>建筑各项能耗拆分!$B$18*建筑各项能耗拆分!AM104*(1-AM19)</f>
        <v>6028973136145.751</v>
      </c>
      <c r="AN6" s="1">
        <f>建筑各项能耗拆分!$B$18*建筑各项能耗拆分!AN104*(1-AN19)</f>
        <v>4723799820039.3086</v>
      </c>
      <c r="AO6" s="1">
        <f>建筑各项能耗拆分!$B$18*建筑各项能耗拆分!AO104*(1-AO19)</f>
        <v>3468312135983.3071</v>
      </c>
      <c r="AP6" s="1">
        <f>建筑各项能耗拆分!$B$18*建筑各项能耗拆分!AP104*(1-AP19)</f>
        <v>2262594290588.165</v>
      </c>
      <c r="AQ6" s="1">
        <f>建筑各项能耗拆分!$B$18*建筑各项能耗拆分!AQ104*(1-AQ19)</f>
        <v>1106567397000.1238</v>
      </c>
      <c r="AR6" s="1">
        <f>建筑各项能耗拆分!$B$18*建筑各项能耗拆分!AR104*(1-AR19)</f>
        <v>0</v>
      </c>
    </row>
    <row r="7" spans="1:44" x14ac:dyDescent="0.1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1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</row>
    <row r="9" spans="1:44" x14ac:dyDescent="0.1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1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</row>
    <row r="11" spans="1:44" x14ac:dyDescent="0.15">
      <c r="A11" t="s">
        <v>9</v>
      </c>
      <c r="B11" s="1">
        <f>建筑各项能耗拆分!$B$18*建筑各项能耗拆分!B109</f>
        <v>0</v>
      </c>
      <c r="C11" s="1">
        <f>建筑各项能耗拆分!$B$18*建筑各项能耗拆分!C109</f>
        <v>0</v>
      </c>
      <c r="D11" s="1">
        <f>建筑各项能耗拆分!$B$18*建筑各项能耗拆分!D109</f>
        <v>0</v>
      </c>
      <c r="E11" s="1">
        <f>建筑各项能耗拆分!$B$18*建筑各项能耗拆分!E109</f>
        <v>0</v>
      </c>
      <c r="F11" s="1">
        <f>建筑各项能耗拆分!$B$18*建筑各项能耗拆分!F109</f>
        <v>0</v>
      </c>
      <c r="G11" s="1">
        <f>建筑各项能耗拆分!$B$18*建筑各项能耗拆分!G109</f>
        <v>0</v>
      </c>
      <c r="H11" s="1">
        <f>建筑各项能耗拆分!$B$18*建筑各项能耗拆分!H109</f>
        <v>0</v>
      </c>
      <c r="I11" s="1">
        <f>建筑各项能耗拆分!$B$18*建筑各项能耗拆分!I109</f>
        <v>0</v>
      </c>
      <c r="J11" s="1">
        <f>建筑各项能耗拆分!$B$18*建筑各项能耗拆分!J109</f>
        <v>0</v>
      </c>
      <c r="K11" s="1">
        <f>建筑各项能耗拆分!$B$18*建筑各项能耗拆分!K109</f>
        <v>0</v>
      </c>
      <c r="L11" s="1">
        <f>建筑各项能耗拆分!$B$18*建筑各项能耗拆分!L109</f>
        <v>0</v>
      </c>
      <c r="M11" s="1">
        <f>建筑各项能耗拆分!$B$18*建筑各项能耗拆分!M109</f>
        <v>0</v>
      </c>
      <c r="N11" s="1">
        <f>建筑各项能耗拆分!$B$18*建筑各项能耗拆分!N109</f>
        <v>0</v>
      </c>
      <c r="O11" s="1">
        <f>建筑各项能耗拆分!$B$18*建筑各项能耗拆分!O109</f>
        <v>0</v>
      </c>
      <c r="P11" s="1">
        <f>建筑各项能耗拆分!$B$18*建筑各项能耗拆分!P109</f>
        <v>0</v>
      </c>
      <c r="Q11" s="1">
        <f>建筑各项能耗拆分!$B$18*建筑各项能耗拆分!Q109</f>
        <v>0</v>
      </c>
      <c r="R11" s="1">
        <f>建筑各项能耗拆分!$B$18*建筑各项能耗拆分!R109</f>
        <v>0</v>
      </c>
      <c r="S11" s="1">
        <f>建筑各项能耗拆分!$B$18*建筑各项能耗拆分!S109</f>
        <v>0</v>
      </c>
      <c r="T11" s="1">
        <f>建筑各项能耗拆分!$B$18*建筑各项能耗拆分!T109</f>
        <v>0</v>
      </c>
      <c r="U11" s="1">
        <f>建筑各项能耗拆分!$B$18*建筑各项能耗拆分!U109</f>
        <v>0</v>
      </c>
      <c r="V11" s="1">
        <f>建筑各项能耗拆分!$B$18*建筑各项能耗拆分!V109</f>
        <v>0</v>
      </c>
      <c r="W11" s="1">
        <f>建筑各项能耗拆分!$B$18*建筑各项能耗拆分!W109</f>
        <v>0</v>
      </c>
      <c r="X11" s="1">
        <f>建筑各项能耗拆分!$B$18*建筑各项能耗拆分!X109</f>
        <v>0</v>
      </c>
      <c r="Y11" s="1">
        <f>建筑各项能耗拆分!$B$18*建筑各项能耗拆分!Y109</f>
        <v>0</v>
      </c>
      <c r="Z11" s="1">
        <f>建筑各项能耗拆分!$B$18*建筑各项能耗拆分!Z109</f>
        <v>0</v>
      </c>
      <c r="AA11" s="1">
        <f>建筑各项能耗拆分!$B$18*建筑各项能耗拆分!AA109</f>
        <v>0</v>
      </c>
      <c r="AB11" s="1">
        <f>建筑各项能耗拆分!$B$18*建筑各项能耗拆分!AB109</f>
        <v>0</v>
      </c>
      <c r="AC11" s="1">
        <f>建筑各项能耗拆分!$B$18*建筑各项能耗拆分!AC109</f>
        <v>0</v>
      </c>
      <c r="AD11" s="1">
        <f>建筑各项能耗拆分!$B$18*建筑各项能耗拆分!AD109</f>
        <v>0</v>
      </c>
      <c r="AE11" s="1">
        <f>建筑各项能耗拆分!$B$18*建筑各项能耗拆分!AE109</f>
        <v>0</v>
      </c>
      <c r="AF11" s="1">
        <f>建筑各项能耗拆分!$B$18*建筑各项能耗拆分!AF109</f>
        <v>0</v>
      </c>
      <c r="AG11" s="1">
        <f>建筑各项能耗拆分!$B$18*建筑各项能耗拆分!AG109</f>
        <v>0</v>
      </c>
      <c r="AH11" s="1">
        <f>建筑各项能耗拆分!$B$18*建筑各项能耗拆分!AH109</f>
        <v>0</v>
      </c>
      <c r="AI11" s="1">
        <f>建筑各项能耗拆分!$B$18*建筑各项能耗拆分!AI109</f>
        <v>0</v>
      </c>
      <c r="AJ11" s="1">
        <f>建筑各项能耗拆分!$B$18*建筑各项能耗拆分!AJ109</f>
        <v>0</v>
      </c>
      <c r="AK11" s="1">
        <f>建筑各项能耗拆分!$B$18*建筑各项能耗拆分!AK109</f>
        <v>0</v>
      </c>
      <c r="AL11" s="1">
        <f>建筑各项能耗拆分!$B$18*建筑各项能耗拆分!AL109</f>
        <v>0</v>
      </c>
      <c r="AM11" s="1">
        <f>建筑各项能耗拆分!$B$18*建筑各项能耗拆分!AM109</f>
        <v>0</v>
      </c>
      <c r="AN11" s="1">
        <f>建筑各项能耗拆分!$B$18*建筑各项能耗拆分!AN109</f>
        <v>0</v>
      </c>
      <c r="AO11" s="1">
        <f>建筑各项能耗拆分!$B$18*建筑各项能耗拆分!AO109</f>
        <v>0</v>
      </c>
      <c r="AP11" s="1">
        <f>建筑各项能耗拆分!$B$18*建筑各项能耗拆分!AP109</f>
        <v>0</v>
      </c>
      <c r="AQ11" s="1">
        <f>建筑各项能耗拆分!$B$18*建筑各项能耗拆分!AQ109</f>
        <v>0</v>
      </c>
      <c r="AR11" s="1">
        <f>建筑各项能耗拆分!$B$18*建筑各项能耗拆分!AR109</f>
        <v>0</v>
      </c>
    </row>
    <row r="12" spans="1:44" x14ac:dyDescent="0.1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6" spans="1:44" x14ac:dyDescent="0.15">
      <c r="A16" t="s">
        <v>1156</v>
      </c>
      <c r="B16">
        <v>2018</v>
      </c>
      <c r="C16">
        <v>2019</v>
      </c>
      <c r="D16">
        <v>2020</v>
      </c>
      <c r="E16">
        <v>2021</v>
      </c>
      <c r="F16">
        <v>2022</v>
      </c>
      <c r="G16">
        <v>2023</v>
      </c>
      <c r="H16">
        <v>2024</v>
      </c>
      <c r="I16">
        <v>2025</v>
      </c>
      <c r="J16">
        <v>2026</v>
      </c>
      <c r="K16">
        <v>2027</v>
      </c>
      <c r="L16">
        <v>2028</v>
      </c>
      <c r="M16">
        <v>2029</v>
      </c>
      <c r="N16">
        <v>2030</v>
      </c>
      <c r="O16">
        <v>2031</v>
      </c>
      <c r="P16">
        <v>2032</v>
      </c>
      <c r="Q16">
        <v>2033</v>
      </c>
      <c r="R16">
        <v>2034</v>
      </c>
      <c r="S16">
        <v>2035</v>
      </c>
      <c r="T16">
        <v>2036</v>
      </c>
      <c r="U16">
        <v>2037</v>
      </c>
      <c r="V16">
        <v>2038</v>
      </c>
      <c r="W16">
        <v>2039</v>
      </c>
      <c r="X16">
        <v>2040</v>
      </c>
      <c r="Y16">
        <v>2041</v>
      </c>
      <c r="Z16">
        <v>2042</v>
      </c>
      <c r="AA16">
        <v>2043</v>
      </c>
      <c r="AB16">
        <v>2044</v>
      </c>
      <c r="AC16">
        <v>2045</v>
      </c>
      <c r="AD16">
        <v>2046</v>
      </c>
      <c r="AE16">
        <v>2047</v>
      </c>
      <c r="AF16">
        <v>2048</v>
      </c>
      <c r="AG16">
        <v>2049</v>
      </c>
      <c r="AH16">
        <v>2050</v>
      </c>
      <c r="AI16">
        <v>2051</v>
      </c>
      <c r="AJ16">
        <v>2052</v>
      </c>
      <c r="AK16">
        <v>2053</v>
      </c>
      <c r="AL16">
        <v>2054</v>
      </c>
      <c r="AM16">
        <v>2055</v>
      </c>
      <c r="AN16">
        <v>2056</v>
      </c>
      <c r="AO16">
        <v>2057</v>
      </c>
      <c r="AP16">
        <v>2058</v>
      </c>
      <c r="AQ16">
        <v>2059</v>
      </c>
      <c r="AR16">
        <v>2060</v>
      </c>
    </row>
    <row r="17" spans="1:44" s="8" customFormat="1" x14ac:dyDescent="0.15">
      <c r="A17" t="s">
        <v>1137</v>
      </c>
      <c r="B17" s="8">
        <v>0</v>
      </c>
      <c r="C17" s="8">
        <v>0</v>
      </c>
      <c r="D17" s="8">
        <v>0</v>
      </c>
      <c r="E17" s="8">
        <v>8.0000000000000002E-3</v>
      </c>
      <c r="F17" s="8">
        <v>1.6E-2</v>
      </c>
      <c r="G17" s="8">
        <v>2.4E-2</v>
      </c>
      <c r="H17" s="8">
        <v>3.2000000000000001E-2</v>
      </c>
      <c r="I17" s="8">
        <v>0.04</v>
      </c>
      <c r="J17" s="8">
        <v>4.8000000000000001E-2</v>
      </c>
      <c r="K17" s="8">
        <v>5.6000000000000001E-2</v>
      </c>
      <c r="L17" s="8">
        <v>6.4000000000000001E-2</v>
      </c>
      <c r="M17" s="8">
        <v>7.1999999999999995E-2</v>
      </c>
      <c r="N17" s="8">
        <v>0.08</v>
      </c>
      <c r="O17" s="8">
        <v>8.4000000000000005E-2</v>
      </c>
      <c r="P17" s="8">
        <v>8.7999999999999995E-2</v>
      </c>
      <c r="Q17" s="8">
        <v>9.1999999999999998E-2</v>
      </c>
      <c r="R17" s="8">
        <v>9.6000000000000002E-2</v>
      </c>
      <c r="S17" s="8">
        <v>0.1</v>
      </c>
      <c r="T17" s="8">
        <v>0.104</v>
      </c>
      <c r="U17" s="8">
        <v>0.108</v>
      </c>
      <c r="V17" s="8">
        <v>0.112</v>
      </c>
      <c r="W17" s="8">
        <v>0.11600000000000001</v>
      </c>
      <c r="X17" s="8">
        <v>0.12</v>
      </c>
      <c r="Y17" s="8">
        <v>0.124</v>
      </c>
      <c r="Z17" s="8">
        <v>0.128</v>
      </c>
      <c r="AA17" s="8">
        <v>0.13200000000000001</v>
      </c>
      <c r="AB17" s="8">
        <v>0.13600000000000001</v>
      </c>
      <c r="AC17" s="8">
        <v>0.14000000000000001</v>
      </c>
      <c r="AD17" s="8">
        <v>0.14399999999999999</v>
      </c>
      <c r="AE17" s="8">
        <v>0.14799999999999999</v>
      </c>
      <c r="AF17" s="8">
        <v>0.152</v>
      </c>
      <c r="AG17" s="8">
        <v>0.156</v>
      </c>
      <c r="AH17" s="8">
        <v>0.16</v>
      </c>
      <c r="AI17" s="8">
        <v>0.16400000000000001</v>
      </c>
      <c r="AJ17" s="8">
        <v>0.16800000000000001</v>
      </c>
      <c r="AK17" s="8">
        <v>0.17199999999999999</v>
      </c>
      <c r="AL17" s="8">
        <v>0.17599999999999999</v>
      </c>
      <c r="AM17" s="8">
        <v>0.18</v>
      </c>
      <c r="AN17" s="8">
        <v>0.184</v>
      </c>
      <c r="AO17" s="8">
        <v>0.188</v>
      </c>
      <c r="AP17" s="8">
        <v>0.192</v>
      </c>
      <c r="AQ17" s="8">
        <v>0.19600000000000001</v>
      </c>
      <c r="AR17" s="8">
        <v>0.2</v>
      </c>
    </row>
    <row r="18" spans="1:44" s="8" customFormat="1" x14ac:dyDescent="0.15">
      <c r="A18" t="s">
        <v>1138</v>
      </c>
      <c r="B18" s="8">
        <v>0</v>
      </c>
      <c r="C18" s="8">
        <v>0</v>
      </c>
      <c r="D18" s="73">
        <v>0</v>
      </c>
      <c r="E18" s="73">
        <v>0.02</v>
      </c>
      <c r="F18" s="73">
        <v>0.04</v>
      </c>
      <c r="G18" s="73">
        <v>0.06</v>
      </c>
      <c r="H18" s="73">
        <v>0.08</v>
      </c>
      <c r="I18" s="73">
        <v>0.1</v>
      </c>
      <c r="J18" s="73">
        <v>0.12</v>
      </c>
      <c r="K18" s="73">
        <v>0.14000000000000001</v>
      </c>
      <c r="L18" s="73">
        <v>0.16</v>
      </c>
      <c r="M18" s="73">
        <v>0.18</v>
      </c>
      <c r="N18" s="73">
        <v>0.2</v>
      </c>
      <c r="O18" s="8">
        <v>0.22</v>
      </c>
      <c r="P18" s="73">
        <v>0.24</v>
      </c>
      <c r="Q18" s="8">
        <v>0.26</v>
      </c>
      <c r="R18" s="73">
        <v>0.28000000000000003</v>
      </c>
      <c r="S18" s="8">
        <v>0.3</v>
      </c>
      <c r="T18" s="73">
        <v>0.32</v>
      </c>
      <c r="U18" s="8">
        <v>0.34</v>
      </c>
      <c r="V18" s="73">
        <v>0.36</v>
      </c>
      <c r="W18" s="8">
        <v>0.38</v>
      </c>
      <c r="X18" s="73">
        <v>0.4</v>
      </c>
      <c r="Y18" s="8">
        <v>0.42</v>
      </c>
      <c r="Z18" s="73">
        <v>0.44</v>
      </c>
      <c r="AA18" s="8">
        <v>0.46</v>
      </c>
      <c r="AB18" s="73">
        <v>0.48</v>
      </c>
      <c r="AC18" s="8">
        <v>0.5</v>
      </c>
      <c r="AD18" s="73">
        <v>0.52</v>
      </c>
      <c r="AE18" s="8">
        <v>0.54</v>
      </c>
      <c r="AF18" s="73">
        <v>0.56000000000000005</v>
      </c>
      <c r="AG18" s="8">
        <v>0.57999999999999996</v>
      </c>
      <c r="AH18" s="73">
        <v>0.6</v>
      </c>
      <c r="AI18" s="8">
        <v>0.62</v>
      </c>
      <c r="AJ18" s="73">
        <v>0.64</v>
      </c>
      <c r="AK18" s="8">
        <v>0.66</v>
      </c>
      <c r="AL18" s="73">
        <v>0.68</v>
      </c>
      <c r="AM18" s="8">
        <v>0.7</v>
      </c>
      <c r="AN18" s="73">
        <v>0.72</v>
      </c>
      <c r="AO18" s="8">
        <v>0.74</v>
      </c>
      <c r="AP18" s="73">
        <v>0.76</v>
      </c>
      <c r="AQ18" s="8">
        <v>0.78</v>
      </c>
      <c r="AR18" s="73">
        <v>0.8</v>
      </c>
    </row>
    <row r="19" spans="1:44" s="8" customFormat="1" x14ac:dyDescent="0.15">
      <c r="A19" t="s">
        <v>894</v>
      </c>
      <c r="B19" s="8">
        <f>SUM(B17:B18)</f>
        <v>0</v>
      </c>
      <c r="C19" s="8">
        <f t="shared" ref="C19:AR19" si="0">SUM(C17:C18)</f>
        <v>0</v>
      </c>
      <c r="D19" s="8">
        <f t="shared" si="0"/>
        <v>0</v>
      </c>
      <c r="E19" s="8">
        <f t="shared" si="0"/>
        <v>2.8000000000000001E-2</v>
      </c>
      <c r="F19" s="8">
        <f t="shared" si="0"/>
        <v>5.6000000000000001E-2</v>
      </c>
      <c r="G19" s="8">
        <f t="shared" si="0"/>
        <v>8.3999999999999991E-2</v>
      </c>
      <c r="H19" s="8">
        <f t="shared" si="0"/>
        <v>0.112</v>
      </c>
      <c r="I19" s="8">
        <f t="shared" si="0"/>
        <v>0.14000000000000001</v>
      </c>
      <c r="J19" s="8">
        <f t="shared" si="0"/>
        <v>0.16799999999999998</v>
      </c>
      <c r="K19" s="8">
        <f t="shared" si="0"/>
        <v>0.19600000000000001</v>
      </c>
      <c r="L19" s="8">
        <f t="shared" si="0"/>
        <v>0.224</v>
      </c>
      <c r="M19" s="8">
        <f t="shared" si="0"/>
        <v>0.252</v>
      </c>
      <c r="N19" s="8">
        <f t="shared" si="0"/>
        <v>0.28000000000000003</v>
      </c>
      <c r="O19" s="8">
        <f t="shared" si="0"/>
        <v>0.30399999999999999</v>
      </c>
      <c r="P19" s="8">
        <f t="shared" si="0"/>
        <v>0.32799999999999996</v>
      </c>
      <c r="Q19" s="8">
        <f t="shared" si="0"/>
        <v>0.35199999999999998</v>
      </c>
      <c r="R19" s="8">
        <f t="shared" si="0"/>
        <v>0.376</v>
      </c>
      <c r="S19" s="8">
        <f t="shared" si="0"/>
        <v>0.4</v>
      </c>
      <c r="T19" s="8">
        <f t="shared" si="0"/>
        <v>0.42399999999999999</v>
      </c>
      <c r="U19" s="8">
        <f t="shared" si="0"/>
        <v>0.44800000000000001</v>
      </c>
      <c r="V19" s="8">
        <f t="shared" si="0"/>
        <v>0.47199999999999998</v>
      </c>
      <c r="W19" s="8">
        <f t="shared" si="0"/>
        <v>0.496</v>
      </c>
      <c r="X19" s="8">
        <f t="shared" si="0"/>
        <v>0.52</v>
      </c>
      <c r="Y19" s="8">
        <f t="shared" si="0"/>
        <v>0.54400000000000004</v>
      </c>
      <c r="Z19" s="8">
        <f t="shared" si="0"/>
        <v>0.56800000000000006</v>
      </c>
      <c r="AA19" s="8">
        <f t="shared" si="0"/>
        <v>0.59200000000000008</v>
      </c>
      <c r="AB19" s="8">
        <f t="shared" si="0"/>
        <v>0.61599999999999999</v>
      </c>
      <c r="AC19" s="8">
        <f t="shared" si="0"/>
        <v>0.64</v>
      </c>
      <c r="AD19" s="8">
        <f t="shared" si="0"/>
        <v>0.66400000000000003</v>
      </c>
      <c r="AE19" s="8">
        <f t="shared" si="0"/>
        <v>0.68800000000000006</v>
      </c>
      <c r="AF19" s="8">
        <f t="shared" si="0"/>
        <v>0.71200000000000008</v>
      </c>
      <c r="AG19" s="8">
        <f t="shared" si="0"/>
        <v>0.73599999999999999</v>
      </c>
      <c r="AH19" s="8">
        <f t="shared" si="0"/>
        <v>0.76</v>
      </c>
      <c r="AI19" s="8">
        <f t="shared" si="0"/>
        <v>0.78400000000000003</v>
      </c>
      <c r="AJ19" s="8">
        <f t="shared" si="0"/>
        <v>0.80800000000000005</v>
      </c>
      <c r="AK19" s="8">
        <f t="shared" si="0"/>
        <v>0.83200000000000007</v>
      </c>
      <c r="AL19" s="8">
        <f t="shared" si="0"/>
        <v>0.85600000000000009</v>
      </c>
      <c r="AM19" s="8">
        <f t="shared" si="0"/>
        <v>0.87999999999999989</v>
      </c>
      <c r="AN19" s="8">
        <f t="shared" si="0"/>
        <v>0.90399999999999991</v>
      </c>
      <c r="AO19" s="8">
        <f t="shared" si="0"/>
        <v>0.92799999999999994</v>
      </c>
      <c r="AP19" s="8">
        <f t="shared" si="0"/>
        <v>0.95199999999999996</v>
      </c>
      <c r="AQ19" s="8">
        <f t="shared" si="0"/>
        <v>0.97599999999999998</v>
      </c>
      <c r="AR19" s="8">
        <f t="shared" si="0"/>
        <v>1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294B-FE80-499D-8CB1-585BA740443F}">
  <sheetPr>
    <tabColor rgb="FF7030A0"/>
  </sheetPr>
  <dimension ref="A1:AR11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建筑各项能耗拆分!$B$18*建筑各项能耗拆分!B113</f>
        <v>35849460601719.07</v>
      </c>
      <c r="C2" s="1">
        <f>建筑各项能耗拆分!$B$18*建筑各项能耗拆分!C113</f>
        <v>35594929431446.875</v>
      </c>
      <c r="D2" s="1">
        <f>建筑各项能耗拆分!$B$18*建筑各项能耗拆分!D113</f>
        <v>34587128828831.18</v>
      </c>
      <c r="E2" s="1">
        <f>建筑各项能耗拆分!$B$18*建筑各项能耗拆分!E113</f>
        <v>33943737958299.652</v>
      </c>
      <c r="F2" s="1">
        <f>建筑各项能耗拆分!$B$18*建筑各项能耗拆分!F113</f>
        <v>33841455806572.738</v>
      </c>
      <c r="G2" s="1">
        <f>建筑各项能耗拆分!$B$18*建筑各项能耗拆分!G113</f>
        <v>33724175763425.859</v>
      </c>
      <c r="H2" s="1">
        <f>建筑各项能耗拆分!$B$18*建筑各项能耗拆分!H113</f>
        <v>33592169185115.695</v>
      </c>
      <c r="I2" s="1">
        <f>建筑各项能耗拆分!$B$18*建筑各项能耗拆分!I113</f>
        <v>33445727905120.688</v>
      </c>
      <c r="J2" s="1">
        <f>建筑各项能耗拆分!$B$18*建筑各项能耗拆分!J113</f>
        <v>33285161858664.969</v>
      </c>
      <c r="K2" s="1">
        <f>建筑各项能耗拆分!$B$18*建筑各项能耗拆分!K113</f>
        <v>33110800705808.371</v>
      </c>
      <c r="L2" s="1">
        <f>建筑各项能耗拆分!$B$18*建筑各项能耗拆分!L113</f>
        <v>32922991423476.32</v>
      </c>
      <c r="M2" s="1">
        <f>建筑各项能耗拆分!$B$18*建筑各项能耗拆分!M113</f>
        <v>32722098806669.945</v>
      </c>
      <c r="N2" s="1">
        <f>建筑各项能耗拆分!$B$18*建筑各项能耗拆分!N113</f>
        <v>32508504584606.813</v>
      </c>
      <c r="O2" s="1">
        <f>建筑各项能耗拆分!$B$18*建筑各项能耗拆分!O113</f>
        <v>32282606333276.684</v>
      </c>
      <c r="P2" s="1">
        <f>建筑各项能耗拆分!$B$18*建筑各项能耗拆分!P113</f>
        <v>32044817860380.035</v>
      </c>
      <c r="Q2" s="1">
        <f>建筑各项能耗拆分!$B$18*建筑各项能耗拆分!Q113</f>
        <v>31795566981504.875</v>
      </c>
      <c r="R2" s="1">
        <f>建筑各项能耗拆分!$B$18*建筑各项能耗拆分!R113</f>
        <v>31541035811232.664</v>
      </c>
      <c r="S2" s="1">
        <f>建筑各项能耗拆分!$B$18*建筑各项能耗拆分!S113</f>
        <v>31275999528774.68</v>
      </c>
      <c r="T2" s="1">
        <f>建筑各项能耗拆分!$B$18*建筑各项能耗拆分!T113</f>
        <v>30991627090599.512</v>
      </c>
      <c r="U2" s="1">
        <f>建筑各项能耗拆分!$B$18*建筑各项能耗拆分!U113</f>
        <v>30688774044798.82</v>
      </c>
      <c r="V2" s="1">
        <f>建筑各项能耗拆分!$B$18*建筑各项能耗拆分!V113</f>
        <v>30368317227447.793</v>
      </c>
      <c r="W2" s="1">
        <f>建筑各项能耗拆分!$B$18*建筑各项能耗拆分!W113</f>
        <v>30031151269931.172</v>
      </c>
      <c r="X2" s="1">
        <f>建筑各项能耗拆分!$B$18*建筑各项能耗拆分!X113</f>
        <v>29678188474163.609</v>
      </c>
      <c r="Y2" s="1">
        <f>建筑各项能耗拆分!$B$18*建筑各项能耗拆分!Y113</f>
        <v>29310356252158.055</v>
      </c>
      <c r="Z2" s="1">
        <f>建筑各项能耗拆分!$B$18*建筑各项能耗拆分!Z113</f>
        <v>28928595162957.438</v>
      </c>
      <c r="AA2" s="1">
        <f>建筑各项能耗拆分!$B$18*建筑各项能耗拆分!AA113</f>
        <v>28533855850206.445</v>
      </c>
      <c r="AB2" s="1">
        <f>建筑各项能耗拆分!$B$18*建筑各项能耗拆分!AB113</f>
        <v>28127097480183.867</v>
      </c>
      <c r="AC2" s="1">
        <f>建筑各项能耗拆分!$B$18*建筑各项能耗拆分!AC113</f>
        <v>27709286235572.941</v>
      </c>
      <c r="AD2" s="1">
        <f>建筑各项能耗拆分!$B$18*建筑各项能耗拆分!AD113</f>
        <v>27281391000065.215</v>
      </c>
      <c r="AE2" s="1">
        <f>建筑各项能耗拆分!$B$18*建筑各项能耗拆分!AE113</f>
        <v>26844381260055.313</v>
      </c>
      <c r="AF2" s="1">
        <f>建筑各项能耗拆分!$B$18*建筑各项能耗拆分!AF113</f>
        <v>26399226194255.137</v>
      </c>
      <c r="AG2" s="1">
        <f>建筑各项能耗拆分!$B$18*建筑各项能耗拆分!AG113</f>
        <v>25946889047323.359</v>
      </c>
      <c r="AH2" s="1">
        <f>建筑各项能耗拆分!$B$18*建筑各项能耗拆分!AH113</f>
        <v>25488325663421.75</v>
      </c>
      <c r="AI2" s="1">
        <f>建筑各项能耗拆分!$B$18*建筑各项能耗拆分!AI113</f>
        <v>25024481942985.797</v>
      </c>
      <c r="AJ2" s="1">
        <f>建筑各项能耗拆分!$B$18*建筑各项能耗拆分!AJ113</f>
        <v>24556288569154.809</v>
      </c>
      <c r="AK2" s="1">
        <f>建筑各项能耗拆分!$B$18*建筑各项能耗拆分!AK113</f>
        <v>24084660454320.48</v>
      </c>
      <c r="AL2" s="1">
        <f>建筑各项能耗拆分!$B$18*建筑各项能耗拆分!AL113</f>
        <v>23610490035946.051</v>
      </c>
      <c r="AM2" s="1">
        <f>建筑各项能耗拆分!$B$18*建筑各项能耗拆分!AM113</f>
        <v>23134646746235.973</v>
      </c>
      <c r="AN2" s="1">
        <f>建筑各项能耗拆分!$B$18*建筑各项能耗拆分!AN113</f>
        <v>22657971280662.82</v>
      </c>
      <c r="AO2" s="1">
        <f>建筑各项能耗拆分!$B$18*建筑各项能耗拆分!AO113</f>
        <v>22181272072851.488</v>
      </c>
      <c r="AP2" s="1">
        <f>建筑各项能耗拆分!$B$18*建筑各项能耗拆分!AP113</f>
        <v>21705321312922.063</v>
      </c>
      <c r="AQ2" s="1">
        <f>建筑各项能耗拆分!$B$18*建筑各项能耗拆分!AQ113</f>
        <v>21230850803612.57</v>
      </c>
      <c r="AR2" s="1">
        <f>建筑各项能耗拆分!$B$18*建筑各项能耗拆分!AR113</f>
        <v>20758548130899.949</v>
      </c>
    </row>
    <row r="3" spans="1:44" x14ac:dyDescent="0.15">
      <c r="A3" t="s">
        <v>1</v>
      </c>
      <c r="B3" s="1">
        <f>建筑各项能耗拆分!$B$18*建筑各项能耗拆分!B114</f>
        <v>0</v>
      </c>
      <c r="C3" s="1">
        <f>建筑各项能耗拆分!$B$18*建筑各项能耗拆分!C114</f>
        <v>0</v>
      </c>
      <c r="D3" s="1">
        <f>建筑各项能耗拆分!$B$18*建筑各项能耗拆分!D114</f>
        <v>0</v>
      </c>
      <c r="E3" s="1">
        <f>建筑各项能耗拆分!$B$18*建筑各项能耗拆分!E114</f>
        <v>0</v>
      </c>
      <c r="F3" s="1">
        <f>建筑各项能耗拆分!$B$18*建筑各项能耗拆分!F114</f>
        <v>0</v>
      </c>
      <c r="G3" s="1">
        <f>建筑各项能耗拆分!$B$18*建筑各项能耗拆分!G114</f>
        <v>0</v>
      </c>
      <c r="H3" s="1">
        <f>建筑各项能耗拆分!$B$18*建筑各项能耗拆分!H114</f>
        <v>0</v>
      </c>
      <c r="I3" s="1">
        <f>建筑各项能耗拆分!$B$18*建筑各项能耗拆分!I114</f>
        <v>0</v>
      </c>
      <c r="J3" s="1">
        <f>建筑各项能耗拆分!$B$18*建筑各项能耗拆分!J114</f>
        <v>0</v>
      </c>
      <c r="K3" s="1">
        <f>建筑各项能耗拆分!$B$18*建筑各项能耗拆分!K114</f>
        <v>0</v>
      </c>
      <c r="L3" s="1">
        <f>建筑各项能耗拆分!$B$18*建筑各项能耗拆分!L114</f>
        <v>0</v>
      </c>
      <c r="M3" s="1">
        <f>建筑各项能耗拆分!$B$18*建筑各项能耗拆分!M114</f>
        <v>0</v>
      </c>
      <c r="N3" s="1">
        <f>建筑各项能耗拆分!$B$18*建筑各项能耗拆分!N114</f>
        <v>0</v>
      </c>
      <c r="O3" s="1">
        <f>建筑各项能耗拆分!$B$18*建筑各项能耗拆分!O114</f>
        <v>0</v>
      </c>
      <c r="P3" s="1">
        <f>建筑各项能耗拆分!$B$18*建筑各项能耗拆分!P114</f>
        <v>0</v>
      </c>
      <c r="Q3" s="1">
        <f>建筑各项能耗拆分!$B$18*建筑各项能耗拆分!Q114</f>
        <v>0</v>
      </c>
      <c r="R3" s="1">
        <f>建筑各项能耗拆分!$B$18*建筑各项能耗拆分!R114</f>
        <v>0</v>
      </c>
      <c r="S3" s="1">
        <f>建筑各项能耗拆分!$B$18*建筑各项能耗拆分!S114</f>
        <v>0</v>
      </c>
      <c r="T3" s="1">
        <f>建筑各项能耗拆分!$B$18*建筑各项能耗拆分!T114</f>
        <v>0</v>
      </c>
      <c r="U3" s="1">
        <f>建筑各项能耗拆分!$B$18*建筑各项能耗拆分!U114</f>
        <v>0</v>
      </c>
      <c r="V3" s="1">
        <f>建筑各项能耗拆分!$B$18*建筑各项能耗拆分!V114</f>
        <v>0</v>
      </c>
      <c r="W3" s="1">
        <f>建筑各项能耗拆分!$B$18*建筑各项能耗拆分!W114</f>
        <v>0</v>
      </c>
      <c r="X3" s="1">
        <f>建筑各项能耗拆分!$B$18*建筑各项能耗拆分!X114</f>
        <v>0</v>
      </c>
      <c r="Y3" s="1">
        <f>建筑各项能耗拆分!$B$18*建筑各项能耗拆分!Y114</f>
        <v>0</v>
      </c>
      <c r="Z3" s="1">
        <f>建筑各项能耗拆分!$B$18*建筑各项能耗拆分!Z114</f>
        <v>0</v>
      </c>
      <c r="AA3" s="1">
        <f>建筑各项能耗拆分!$B$18*建筑各项能耗拆分!AA114</f>
        <v>0</v>
      </c>
      <c r="AB3" s="1">
        <f>建筑各项能耗拆分!$B$18*建筑各项能耗拆分!AB114</f>
        <v>0</v>
      </c>
      <c r="AC3" s="1">
        <f>建筑各项能耗拆分!$B$18*建筑各项能耗拆分!AC114</f>
        <v>0</v>
      </c>
      <c r="AD3" s="1">
        <f>建筑各项能耗拆分!$B$18*建筑各项能耗拆分!AD114</f>
        <v>0</v>
      </c>
      <c r="AE3" s="1">
        <f>建筑各项能耗拆分!$B$18*建筑各项能耗拆分!AE114</f>
        <v>0</v>
      </c>
      <c r="AF3" s="1">
        <f>建筑各项能耗拆分!$B$18*建筑各项能耗拆分!AF114</f>
        <v>0</v>
      </c>
      <c r="AG3" s="1">
        <f>建筑各项能耗拆分!$B$18*建筑各项能耗拆分!AG114</f>
        <v>0</v>
      </c>
      <c r="AH3" s="1">
        <f>建筑各项能耗拆分!$B$18*建筑各项能耗拆分!AH114</f>
        <v>0</v>
      </c>
      <c r="AI3" s="1">
        <f>建筑各项能耗拆分!$B$18*建筑各项能耗拆分!AI114</f>
        <v>0</v>
      </c>
      <c r="AJ3" s="1">
        <f>建筑各项能耗拆分!$B$18*建筑各项能耗拆分!AJ114</f>
        <v>0</v>
      </c>
      <c r="AK3" s="1">
        <f>建筑各项能耗拆分!$B$18*建筑各项能耗拆分!AK114</f>
        <v>0</v>
      </c>
      <c r="AL3" s="1">
        <f>建筑各项能耗拆分!$B$18*建筑各项能耗拆分!AL114</f>
        <v>0</v>
      </c>
      <c r="AM3" s="1">
        <f>建筑各项能耗拆分!$B$18*建筑各项能耗拆分!AM114</f>
        <v>0</v>
      </c>
      <c r="AN3" s="1">
        <f>建筑各项能耗拆分!$B$18*建筑各项能耗拆分!AN114</f>
        <v>0</v>
      </c>
      <c r="AO3" s="1">
        <f>建筑各项能耗拆分!$B$18*建筑各项能耗拆分!AO114</f>
        <v>0</v>
      </c>
      <c r="AP3" s="1">
        <f>建筑各项能耗拆分!$B$18*建筑各项能耗拆分!AP114</f>
        <v>0</v>
      </c>
      <c r="AQ3" s="1">
        <f>建筑各项能耗拆分!$B$18*建筑各项能耗拆分!AQ114</f>
        <v>0</v>
      </c>
      <c r="AR3" s="1">
        <f>建筑各项能耗拆分!$B$18*建筑各项能耗拆分!AR114</f>
        <v>0</v>
      </c>
    </row>
    <row r="4" spans="1:44" x14ac:dyDescent="0.15">
      <c r="A4" t="s">
        <v>2</v>
      </c>
      <c r="B4" s="1">
        <f>建筑各项能耗拆分!$B$18*建筑各项能耗拆分!B115</f>
        <v>0</v>
      </c>
      <c r="C4" s="1">
        <f>建筑各项能耗拆分!$B$18*建筑各项能耗拆分!C115</f>
        <v>0</v>
      </c>
      <c r="D4" s="1">
        <f>建筑各项能耗拆分!$B$18*建筑各项能耗拆分!D115</f>
        <v>0</v>
      </c>
      <c r="E4" s="1">
        <f>建筑各项能耗拆分!$B$18*建筑各项能耗拆分!E115</f>
        <v>0</v>
      </c>
      <c r="F4" s="1">
        <f>建筑各项能耗拆分!$B$18*建筑各项能耗拆分!F115</f>
        <v>0</v>
      </c>
      <c r="G4" s="1">
        <f>建筑各项能耗拆分!$B$18*建筑各项能耗拆分!G115</f>
        <v>0</v>
      </c>
      <c r="H4" s="1">
        <f>建筑各项能耗拆分!$B$18*建筑各项能耗拆分!H115</f>
        <v>0</v>
      </c>
      <c r="I4" s="1">
        <f>建筑各项能耗拆分!$B$18*建筑各项能耗拆分!I115</f>
        <v>0</v>
      </c>
      <c r="J4" s="1">
        <f>建筑各项能耗拆分!$B$18*建筑各项能耗拆分!J115</f>
        <v>0</v>
      </c>
      <c r="K4" s="1">
        <f>建筑各项能耗拆分!$B$18*建筑各项能耗拆分!K115</f>
        <v>0</v>
      </c>
      <c r="L4" s="1">
        <f>建筑各项能耗拆分!$B$18*建筑各项能耗拆分!L115</f>
        <v>0</v>
      </c>
      <c r="M4" s="1">
        <f>建筑各项能耗拆分!$B$18*建筑各项能耗拆分!M115</f>
        <v>0</v>
      </c>
      <c r="N4" s="1">
        <f>建筑各项能耗拆分!$B$18*建筑各项能耗拆分!N115</f>
        <v>0</v>
      </c>
      <c r="O4" s="1">
        <f>建筑各项能耗拆分!$B$18*建筑各项能耗拆分!O115</f>
        <v>0</v>
      </c>
      <c r="P4" s="1">
        <f>建筑各项能耗拆分!$B$18*建筑各项能耗拆分!P115</f>
        <v>0</v>
      </c>
      <c r="Q4" s="1">
        <f>建筑各项能耗拆分!$B$18*建筑各项能耗拆分!Q115</f>
        <v>0</v>
      </c>
      <c r="R4" s="1">
        <f>建筑各项能耗拆分!$B$18*建筑各项能耗拆分!R115</f>
        <v>0</v>
      </c>
      <c r="S4" s="1">
        <f>建筑各项能耗拆分!$B$18*建筑各项能耗拆分!S115</f>
        <v>0</v>
      </c>
      <c r="T4" s="1">
        <f>建筑各项能耗拆分!$B$18*建筑各项能耗拆分!T115</f>
        <v>0</v>
      </c>
      <c r="U4" s="1">
        <f>建筑各项能耗拆分!$B$18*建筑各项能耗拆分!U115</f>
        <v>0</v>
      </c>
      <c r="V4" s="1">
        <f>建筑各项能耗拆分!$B$18*建筑各项能耗拆分!V115</f>
        <v>0</v>
      </c>
      <c r="W4" s="1">
        <f>建筑各项能耗拆分!$B$18*建筑各项能耗拆分!W115</f>
        <v>0</v>
      </c>
      <c r="X4" s="1">
        <f>建筑各项能耗拆分!$B$18*建筑各项能耗拆分!X115</f>
        <v>0</v>
      </c>
      <c r="Y4" s="1">
        <f>建筑各项能耗拆分!$B$18*建筑各项能耗拆分!Y115</f>
        <v>0</v>
      </c>
      <c r="Z4" s="1">
        <f>建筑各项能耗拆分!$B$18*建筑各项能耗拆分!Z115</f>
        <v>0</v>
      </c>
      <c r="AA4" s="1">
        <f>建筑各项能耗拆分!$B$18*建筑各项能耗拆分!AA115</f>
        <v>0</v>
      </c>
      <c r="AB4" s="1">
        <f>建筑各项能耗拆分!$B$18*建筑各项能耗拆分!AB115</f>
        <v>0</v>
      </c>
      <c r="AC4" s="1">
        <f>建筑各项能耗拆分!$B$18*建筑各项能耗拆分!AC115</f>
        <v>0</v>
      </c>
      <c r="AD4" s="1">
        <f>建筑各项能耗拆分!$B$18*建筑各项能耗拆分!AD115</f>
        <v>0</v>
      </c>
      <c r="AE4" s="1">
        <f>建筑各项能耗拆分!$B$18*建筑各项能耗拆分!AE115</f>
        <v>0</v>
      </c>
      <c r="AF4" s="1">
        <f>建筑各项能耗拆分!$B$18*建筑各项能耗拆分!AF115</f>
        <v>0</v>
      </c>
      <c r="AG4" s="1">
        <f>建筑各项能耗拆分!$B$18*建筑各项能耗拆分!AG115</f>
        <v>0</v>
      </c>
      <c r="AH4" s="1">
        <f>建筑各项能耗拆分!$B$18*建筑各项能耗拆分!AH115</f>
        <v>0</v>
      </c>
      <c r="AI4" s="1">
        <f>建筑各项能耗拆分!$B$18*建筑各项能耗拆分!AI115</f>
        <v>0</v>
      </c>
      <c r="AJ4" s="1">
        <f>建筑各项能耗拆分!$B$18*建筑各项能耗拆分!AJ115</f>
        <v>0</v>
      </c>
      <c r="AK4" s="1">
        <f>建筑各项能耗拆分!$B$18*建筑各项能耗拆分!AK115</f>
        <v>0</v>
      </c>
      <c r="AL4" s="1">
        <f>建筑各项能耗拆分!$B$18*建筑各项能耗拆分!AL115</f>
        <v>0</v>
      </c>
      <c r="AM4" s="1">
        <f>建筑各项能耗拆分!$B$18*建筑各项能耗拆分!AM115</f>
        <v>0</v>
      </c>
      <c r="AN4" s="1">
        <f>建筑各项能耗拆分!$B$18*建筑各项能耗拆分!AN115</f>
        <v>0</v>
      </c>
      <c r="AO4" s="1">
        <f>建筑各项能耗拆分!$B$18*建筑各项能耗拆分!AO115</f>
        <v>0</v>
      </c>
      <c r="AP4" s="1">
        <f>建筑各项能耗拆分!$B$18*建筑各项能耗拆分!AP115</f>
        <v>0</v>
      </c>
      <c r="AQ4" s="1">
        <f>建筑各项能耗拆分!$B$18*建筑各项能耗拆分!AQ115</f>
        <v>0</v>
      </c>
      <c r="AR4" s="1">
        <f>建筑各项能耗拆分!$B$18*建筑各项能耗拆分!AR115</f>
        <v>0</v>
      </c>
    </row>
    <row r="5" spans="1:44" x14ac:dyDescent="0.15">
      <c r="A5" t="s">
        <v>3</v>
      </c>
      <c r="B5" s="1">
        <f>建筑各项能耗拆分!$B$18*建筑各项能耗拆分!B116</f>
        <v>0</v>
      </c>
      <c r="C5" s="1">
        <f>建筑各项能耗拆分!$B$18*建筑各项能耗拆分!C116</f>
        <v>0</v>
      </c>
      <c r="D5" s="1">
        <f>建筑各项能耗拆分!$B$18*建筑各项能耗拆分!D116</f>
        <v>0</v>
      </c>
      <c r="E5" s="1">
        <f>建筑各项能耗拆分!$B$18*建筑各项能耗拆分!E116</f>
        <v>0</v>
      </c>
      <c r="F5" s="1">
        <f>建筑各项能耗拆分!$B$18*建筑各项能耗拆分!F116</f>
        <v>0</v>
      </c>
      <c r="G5" s="1">
        <f>建筑各项能耗拆分!$B$18*建筑各项能耗拆分!G116</f>
        <v>0</v>
      </c>
      <c r="H5" s="1">
        <f>建筑各项能耗拆分!$B$18*建筑各项能耗拆分!H116</f>
        <v>0</v>
      </c>
      <c r="I5" s="1">
        <f>建筑各项能耗拆分!$B$18*建筑各项能耗拆分!I116</f>
        <v>0</v>
      </c>
      <c r="J5" s="1">
        <f>建筑各项能耗拆分!$B$18*建筑各项能耗拆分!J116</f>
        <v>0</v>
      </c>
      <c r="K5" s="1">
        <f>建筑各项能耗拆分!$B$18*建筑各项能耗拆分!K116</f>
        <v>0</v>
      </c>
      <c r="L5" s="1">
        <f>建筑各项能耗拆分!$B$18*建筑各项能耗拆分!L116</f>
        <v>0</v>
      </c>
      <c r="M5" s="1">
        <f>建筑各项能耗拆分!$B$18*建筑各项能耗拆分!M116</f>
        <v>0</v>
      </c>
      <c r="N5" s="1">
        <f>建筑各项能耗拆分!$B$18*建筑各项能耗拆分!N116</f>
        <v>0</v>
      </c>
      <c r="O5" s="1">
        <f>建筑各项能耗拆分!$B$18*建筑各项能耗拆分!O116</f>
        <v>0</v>
      </c>
      <c r="P5" s="1">
        <f>建筑各项能耗拆分!$B$18*建筑各项能耗拆分!P116</f>
        <v>0</v>
      </c>
      <c r="Q5" s="1">
        <f>建筑各项能耗拆分!$B$18*建筑各项能耗拆分!Q116</f>
        <v>0</v>
      </c>
      <c r="R5" s="1">
        <f>建筑各项能耗拆分!$B$18*建筑各项能耗拆分!R116</f>
        <v>0</v>
      </c>
      <c r="S5" s="1">
        <f>建筑各项能耗拆分!$B$18*建筑各项能耗拆分!S116</f>
        <v>0</v>
      </c>
      <c r="T5" s="1">
        <f>建筑各项能耗拆分!$B$18*建筑各项能耗拆分!T116</f>
        <v>0</v>
      </c>
      <c r="U5" s="1">
        <f>建筑各项能耗拆分!$B$18*建筑各项能耗拆分!U116</f>
        <v>0</v>
      </c>
      <c r="V5" s="1">
        <f>建筑各项能耗拆分!$B$18*建筑各项能耗拆分!V116</f>
        <v>0</v>
      </c>
      <c r="W5" s="1">
        <f>建筑各项能耗拆分!$B$18*建筑各项能耗拆分!W116</f>
        <v>0</v>
      </c>
      <c r="X5" s="1">
        <f>建筑各项能耗拆分!$B$18*建筑各项能耗拆分!X116</f>
        <v>0</v>
      </c>
      <c r="Y5" s="1">
        <f>建筑各项能耗拆分!$B$18*建筑各项能耗拆分!Y116</f>
        <v>0</v>
      </c>
      <c r="Z5" s="1">
        <f>建筑各项能耗拆分!$B$18*建筑各项能耗拆分!Z116</f>
        <v>0</v>
      </c>
      <c r="AA5" s="1">
        <f>建筑各项能耗拆分!$B$18*建筑各项能耗拆分!AA116</f>
        <v>0</v>
      </c>
      <c r="AB5" s="1">
        <f>建筑各项能耗拆分!$B$18*建筑各项能耗拆分!AB116</f>
        <v>0</v>
      </c>
      <c r="AC5" s="1">
        <f>建筑各项能耗拆分!$B$18*建筑各项能耗拆分!AC116</f>
        <v>0</v>
      </c>
      <c r="AD5" s="1">
        <f>建筑各项能耗拆分!$B$18*建筑各项能耗拆分!AD116</f>
        <v>0</v>
      </c>
      <c r="AE5" s="1">
        <f>建筑各项能耗拆分!$B$18*建筑各项能耗拆分!AE116</f>
        <v>0</v>
      </c>
      <c r="AF5" s="1">
        <f>建筑各项能耗拆分!$B$18*建筑各项能耗拆分!AF116</f>
        <v>0</v>
      </c>
      <c r="AG5" s="1">
        <f>建筑各项能耗拆分!$B$18*建筑各项能耗拆分!AG116</f>
        <v>0</v>
      </c>
      <c r="AH5" s="1">
        <f>建筑各项能耗拆分!$B$18*建筑各项能耗拆分!AH116</f>
        <v>0</v>
      </c>
      <c r="AI5" s="1">
        <f>建筑各项能耗拆分!$B$18*建筑各项能耗拆分!AI116</f>
        <v>0</v>
      </c>
      <c r="AJ5" s="1">
        <f>建筑各项能耗拆分!$B$18*建筑各项能耗拆分!AJ116</f>
        <v>0</v>
      </c>
      <c r="AK5" s="1">
        <f>建筑各项能耗拆分!$B$18*建筑各项能耗拆分!AK116</f>
        <v>0</v>
      </c>
      <c r="AL5" s="1">
        <f>建筑各项能耗拆分!$B$18*建筑各项能耗拆分!AL116</f>
        <v>0</v>
      </c>
      <c r="AM5" s="1">
        <f>建筑各项能耗拆分!$B$18*建筑各项能耗拆分!AM116</f>
        <v>0</v>
      </c>
      <c r="AN5" s="1">
        <f>建筑各项能耗拆分!$B$18*建筑各项能耗拆分!AN116</f>
        <v>0</v>
      </c>
      <c r="AO5" s="1">
        <f>建筑各项能耗拆分!$B$18*建筑各项能耗拆分!AO116</f>
        <v>0</v>
      </c>
      <c r="AP5" s="1">
        <f>建筑各项能耗拆分!$B$18*建筑各项能耗拆分!AP116</f>
        <v>0</v>
      </c>
      <c r="AQ5" s="1">
        <f>建筑各项能耗拆分!$B$18*建筑各项能耗拆分!AQ116</f>
        <v>0</v>
      </c>
      <c r="AR5" s="1">
        <f>建筑各项能耗拆分!$B$18*建筑各项能耗拆分!AR116</f>
        <v>0</v>
      </c>
    </row>
    <row r="6" spans="1:44" x14ac:dyDescent="0.15">
      <c r="A6" t="s">
        <v>4</v>
      </c>
      <c r="B6" s="1">
        <f>建筑各项能耗拆分!$B$18*建筑各项能耗拆分!B117</f>
        <v>0</v>
      </c>
      <c r="C6" s="1">
        <f>建筑各项能耗拆分!$B$18*建筑各项能耗拆分!C117</f>
        <v>0</v>
      </c>
      <c r="D6" s="1">
        <f>建筑各项能耗拆分!$B$18*建筑各项能耗拆分!D117</f>
        <v>0</v>
      </c>
      <c r="E6" s="1">
        <f>建筑各项能耗拆分!$B$18*建筑各项能耗拆分!E117</f>
        <v>0</v>
      </c>
      <c r="F6" s="1">
        <f>建筑各项能耗拆分!$B$18*建筑各项能耗拆分!F117</f>
        <v>0</v>
      </c>
      <c r="G6" s="1">
        <f>建筑各项能耗拆分!$B$18*建筑各项能耗拆分!G117</f>
        <v>0</v>
      </c>
      <c r="H6" s="1">
        <f>建筑各项能耗拆分!$B$18*建筑各项能耗拆分!H117</f>
        <v>0</v>
      </c>
      <c r="I6" s="1">
        <f>建筑各项能耗拆分!$B$18*建筑各项能耗拆分!I117</f>
        <v>0</v>
      </c>
      <c r="J6" s="1">
        <f>建筑各项能耗拆分!$B$18*建筑各项能耗拆分!J117</f>
        <v>0</v>
      </c>
      <c r="K6" s="1">
        <f>建筑各项能耗拆分!$B$18*建筑各项能耗拆分!K117</f>
        <v>0</v>
      </c>
      <c r="L6" s="1">
        <f>建筑各项能耗拆分!$B$18*建筑各项能耗拆分!L117</f>
        <v>0</v>
      </c>
      <c r="M6" s="1">
        <f>建筑各项能耗拆分!$B$18*建筑各项能耗拆分!M117</f>
        <v>0</v>
      </c>
      <c r="N6" s="1">
        <f>建筑各项能耗拆分!$B$18*建筑各项能耗拆分!N117</f>
        <v>0</v>
      </c>
      <c r="O6" s="1">
        <f>建筑各项能耗拆分!$B$18*建筑各项能耗拆分!O117</f>
        <v>0</v>
      </c>
      <c r="P6" s="1">
        <f>建筑各项能耗拆分!$B$18*建筑各项能耗拆分!P117</f>
        <v>0</v>
      </c>
      <c r="Q6" s="1">
        <f>建筑各项能耗拆分!$B$18*建筑各项能耗拆分!Q117</f>
        <v>0</v>
      </c>
      <c r="R6" s="1">
        <f>建筑各项能耗拆分!$B$18*建筑各项能耗拆分!R117</f>
        <v>0</v>
      </c>
      <c r="S6" s="1">
        <f>建筑各项能耗拆分!$B$18*建筑各项能耗拆分!S117</f>
        <v>0</v>
      </c>
      <c r="T6" s="1">
        <f>建筑各项能耗拆分!$B$18*建筑各项能耗拆分!T117</f>
        <v>0</v>
      </c>
      <c r="U6" s="1">
        <f>建筑各项能耗拆分!$B$18*建筑各项能耗拆分!U117</f>
        <v>0</v>
      </c>
      <c r="V6" s="1">
        <f>建筑各项能耗拆分!$B$18*建筑各项能耗拆分!V117</f>
        <v>0</v>
      </c>
      <c r="W6" s="1">
        <f>建筑各项能耗拆分!$B$18*建筑各项能耗拆分!W117</f>
        <v>0</v>
      </c>
      <c r="X6" s="1">
        <f>建筑各项能耗拆分!$B$18*建筑各项能耗拆分!X117</f>
        <v>0</v>
      </c>
      <c r="Y6" s="1">
        <f>建筑各项能耗拆分!$B$18*建筑各项能耗拆分!Y117</f>
        <v>0</v>
      </c>
      <c r="Z6" s="1">
        <f>建筑各项能耗拆分!$B$18*建筑各项能耗拆分!Z117</f>
        <v>0</v>
      </c>
      <c r="AA6" s="1">
        <f>建筑各项能耗拆分!$B$18*建筑各项能耗拆分!AA117</f>
        <v>0</v>
      </c>
      <c r="AB6" s="1">
        <f>建筑各项能耗拆分!$B$18*建筑各项能耗拆分!AB117</f>
        <v>0</v>
      </c>
      <c r="AC6" s="1">
        <f>建筑各项能耗拆分!$B$18*建筑各项能耗拆分!AC117</f>
        <v>0</v>
      </c>
      <c r="AD6" s="1">
        <f>建筑各项能耗拆分!$B$18*建筑各项能耗拆分!AD117</f>
        <v>0</v>
      </c>
      <c r="AE6" s="1">
        <f>建筑各项能耗拆分!$B$18*建筑各项能耗拆分!AE117</f>
        <v>0</v>
      </c>
      <c r="AF6" s="1">
        <f>建筑各项能耗拆分!$B$18*建筑各项能耗拆分!AF117</f>
        <v>0</v>
      </c>
      <c r="AG6" s="1">
        <f>建筑各项能耗拆分!$B$18*建筑各项能耗拆分!AG117</f>
        <v>0</v>
      </c>
      <c r="AH6" s="1">
        <f>建筑各项能耗拆分!$B$18*建筑各项能耗拆分!AH117</f>
        <v>0</v>
      </c>
      <c r="AI6" s="1">
        <f>建筑各项能耗拆分!$B$18*建筑各项能耗拆分!AI117</f>
        <v>0</v>
      </c>
      <c r="AJ6" s="1">
        <f>建筑各项能耗拆分!$B$18*建筑各项能耗拆分!AJ117</f>
        <v>0</v>
      </c>
      <c r="AK6" s="1">
        <f>建筑各项能耗拆分!$B$18*建筑各项能耗拆分!AK117</f>
        <v>0</v>
      </c>
      <c r="AL6" s="1">
        <f>建筑各项能耗拆分!$B$18*建筑各项能耗拆分!AL117</f>
        <v>0</v>
      </c>
      <c r="AM6" s="1">
        <f>建筑各项能耗拆分!$B$18*建筑各项能耗拆分!AM117</f>
        <v>0</v>
      </c>
      <c r="AN6" s="1">
        <f>建筑各项能耗拆分!$B$18*建筑各项能耗拆分!AN117</f>
        <v>0</v>
      </c>
      <c r="AO6" s="1">
        <f>建筑各项能耗拆分!$B$18*建筑各项能耗拆分!AO117</f>
        <v>0</v>
      </c>
      <c r="AP6" s="1">
        <f>建筑各项能耗拆分!$B$18*建筑各项能耗拆分!AP117</f>
        <v>0</v>
      </c>
      <c r="AQ6" s="1">
        <f>建筑各项能耗拆分!$B$18*建筑各项能耗拆分!AQ117</f>
        <v>0</v>
      </c>
      <c r="AR6" s="1">
        <f>建筑各项能耗拆分!$B$18*建筑各项能耗拆分!AR117</f>
        <v>0</v>
      </c>
    </row>
    <row r="7" spans="1:44" x14ac:dyDescent="0.15">
      <c r="A7" t="s">
        <v>5</v>
      </c>
      <c r="B7" s="1">
        <f>建筑各项能耗拆分!$B$18*建筑各项能耗拆分!B118</f>
        <v>0</v>
      </c>
      <c r="C7" s="1">
        <f>建筑各项能耗拆分!$B$18*建筑各项能耗拆分!C118</f>
        <v>0</v>
      </c>
      <c r="D7" s="1">
        <f>建筑各项能耗拆分!$B$18*建筑各项能耗拆分!D118</f>
        <v>0</v>
      </c>
      <c r="E7" s="1">
        <f>建筑各项能耗拆分!$B$18*建筑各项能耗拆分!E118</f>
        <v>0</v>
      </c>
      <c r="F7" s="1">
        <f>建筑各项能耗拆分!$B$18*建筑各项能耗拆分!F118</f>
        <v>0</v>
      </c>
      <c r="G7" s="1">
        <f>建筑各项能耗拆分!$B$18*建筑各项能耗拆分!G118</f>
        <v>0</v>
      </c>
      <c r="H7" s="1">
        <f>建筑各项能耗拆分!$B$18*建筑各项能耗拆分!H118</f>
        <v>0</v>
      </c>
      <c r="I7" s="1">
        <f>建筑各项能耗拆分!$B$18*建筑各项能耗拆分!I118</f>
        <v>0</v>
      </c>
      <c r="J7" s="1">
        <f>建筑各项能耗拆分!$B$18*建筑各项能耗拆分!J118</f>
        <v>0</v>
      </c>
      <c r="K7" s="1">
        <f>建筑各项能耗拆分!$B$18*建筑各项能耗拆分!K118</f>
        <v>0</v>
      </c>
      <c r="L7" s="1">
        <f>建筑各项能耗拆分!$B$18*建筑各项能耗拆分!L118</f>
        <v>0</v>
      </c>
      <c r="M7" s="1">
        <f>建筑各项能耗拆分!$B$18*建筑各项能耗拆分!M118</f>
        <v>0</v>
      </c>
      <c r="N7" s="1">
        <f>建筑各项能耗拆分!$B$18*建筑各项能耗拆分!N118</f>
        <v>0</v>
      </c>
      <c r="O7" s="1">
        <f>建筑各项能耗拆分!$B$18*建筑各项能耗拆分!O118</f>
        <v>0</v>
      </c>
      <c r="P7" s="1">
        <f>建筑各项能耗拆分!$B$18*建筑各项能耗拆分!P118</f>
        <v>0</v>
      </c>
      <c r="Q7" s="1">
        <f>建筑各项能耗拆分!$B$18*建筑各项能耗拆分!Q118</f>
        <v>0</v>
      </c>
      <c r="R7" s="1">
        <f>建筑各项能耗拆分!$B$18*建筑各项能耗拆分!R118</f>
        <v>0</v>
      </c>
      <c r="S7" s="1">
        <f>建筑各项能耗拆分!$B$18*建筑各项能耗拆分!S118</f>
        <v>0</v>
      </c>
      <c r="T7" s="1">
        <f>建筑各项能耗拆分!$B$18*建筑各项能耗拆分!T118</f>
        <v>0</v>
      </c>
      <c r="U7" s="1">
        <f>建筑各项能耗拆分!$B$18*建筑各项能耗拆分!U118</f>
        <v>0</v>
      </c>
      <c r="V7" s="1">
        <f>建筑各项能耗拆分!$B$18*建筑各项能耗拆分!V118</f>
        <v>0</v>
      </c>
      <c r="W7" s="1">
        <f>建筑各项能耗拆分!$B$18*建筑各项能耗拆分!W118</f>
        <v>0</v>
      </c>
      <c r="X7" s="1">
        <f>建筑各项能耗拆分!$B$18*建筑各项能耗拆分!X118</f>
        <v>0</v>
      </c>
      <c r="Y7" s="1">
        <f>建筑各项能耗拆分!$B$18*建筑各项能耗拆分!Y118</f>
        <v>0</v>
      </c>
      <c r="Z7" s="1">
        <f>建筑各项能耗拆分!$B$18*建筑各项能耗拆分!Z118</f>
        <v>0</v>
      </c>
      <c r="AA7" s="1">
        <f>建筑各项能耗拆分!$B$18*建筑各项能耗拆分!AA118</f>
        <v>0</v>
      </c>
      <c r="AB7" s="1">
        <f>建筑各项能耗拆分!$B$18*建筑各项能耗拆分!AB118</f>
        <v>0</v>
      </c>
      <c r="AC7" s="1">
        <f>建筑各项能耗拆分!$B$18*建筑各项能耗拆分!AC118</f>
        <v>0</v>
      </c>
      <c r="AD7" s="1">
        <f>建筑各项能耗拆分!$B$18*建筑各项能耗拆分!AD118</f>
        <v>0</v>
      </c>
      <c r="AE7" s="1">
        <f>建筑各项能耗拆分!$B$18*建筑各项能耗拆分!AE118</f>
        <v>0</v>
      </c>
      <c r="AF7" s="1">
        <f>建筑各项能耗拆分!$B$18*建筑各项能耗拆分!AF118</f>
        <v>0</v>
      </c>
      <c r="AG7" s="1">
        <f>建筑各项能耗拆分!$B$18*建筑各项能耗拆分!AG118</f>
        <v>0</v>
      </c>
      <c r="AH7" s="1">
        <f>建筑各项能耗拆分!$B$18*建筑各项能耗拆分!AH118</f>
        <v>0</v>
      </c>
      <c r="AI7" s="1">
        <f>建筑各项能耗拆分!$B$18*建筑各项能耗拆分!AI118</f>
        <v>0</v>
      </c>
      <c r="AJ7" s="1">
        <f>建筑各项能耗拆分!$B$18*建筑各项能耗拆分!AJ118</f>
        <v>0</v>
      </c>
      <c r="AK7" s="1">
        <f>建筑各项能耗拆分!$B$18*建筑各项能耗拆分!AK118</f>
        <v>0</v>
      </c>
      <c r="AL7" s="1">
        <f>建筑各项能耗拆分!$B$18*建筑各项能耗拆分!AL118</f>
        <v>0</v>
      </c>
      <c r="AM7" s="1">
        <f>建筑各项能耗拆分!$B$18*建筑各项能耗拆分!AM118</f>
        <v>0</v>
      </c>
      <c r="AN7" s="1">
        <f>建筑各项能耗拆分!$B$18*建筑各项能耗拆分!AN118</f>
        <v>0</v>
      </c>
      <c r="AO7" s="1">
        <f>建筑各项能耗拆分!$B$18*建筑各项能耗拆分!AO118</f>
        <v>0</v>
      </c>
      <c r="AP7" s="1">
        <f>建筑各项能耗拆分!$B$18*建筑各项能耗拆分!AP118</f>
        <v>0</v>
      </c>
      <c r="AQ7" s="1">
        <f>建筑各项能耗拆分!$B$18*建筑各项能耗拆分!AQ118</f>
        <v>0</v>
      </c>
      <c r="AR7" s="1">
        <f>建筑各项能耗拆分!$B$18*建筑各项能耗拆分!AR118</f>
        <v>0</v>
      </c>
    </row>
    <row r="8" spans="1:44" x14ac:dyDescent="0.15">
      <c r="A8" t="s">
        <v>6</v>
      </c>
      <c r="B8" s="1">
        <f>建筑各项能耗拆分!$B$18*建筑各项能耗拆分!B119</f>
        <v>0</v>
      </c>
      <c r="C8" s="1">
        <f>建筑各项能耗拆分!$B$18*建筑各项能耗拆分!C119</f>
        <v>0</v>
      </c>
      <c r="D8" s="1">
        <f>建筑各项能耗拆分!$B$18*建筑各项能耗拆分!D119</f>
        <v>0</v>
      </c>
      <c r="E8" s="1">
        <f>建筑各项能耗拆分!$B$18*建筑各项能耗拆分!E119</f>
        <v>0</v>
      </c>
      <c r="F8" s="1">
        <f>建筑各项能耗拆分!$B$18*建筑各项能耗拆分!F119</f>
        <v>0</v>
      </c>
      <c r="G8" s="1">
        <f>建筑各项能耗拆分!$B$18*建筑各项能耗拆分!G119</f>
        <v>0</v>
      </c>
      <c r="H8" s="1">
        <f>建筑各项能耗拆分!$B$18*建筑各项能耗拆分!H119</f>
        <v>0</v>
      </c>
      <c r="I8" s="1">
        <f>建筑各项能耗拆分!$B$18*建筑各项能耗拆分!I119</f>
        <v>0</v>
      </c>
      <c r="J8" s="1">
        <f>建筑各项能耗拆分!$B$18*建筑各项能耗拆分!J119</f>
        <v>0</v>
      </c>
      <c r="K8" s="1">
        <f>建筑各项能耗拆分!$B$18*建筑各项能耗拆分!K119</f>
        <v>0</v>
      </c>
      <c r="L8" s="1">
        <f>建筑各项能耗拆分!$B$18*建筑各项能耗拆分!L119</f>
        <v>0</v>
      </c>
      <c r="M8" s="1">
        <f>建筑各项能耗拆分!$B$18*建筑各项能耗拆分!M119</f>
        <v>0</v>
      </c>
      <c r="N8" s="1">
        <f>建筑各项能耗拆分!$B$18*建筑各项能耗拆分!N119</f>
        <v>0</v>
      </c>
      <c r="O8" s="1">
        <f>建筑各项能耗拆分!$B$18*建筑各项能耗拆分!O119</f>
        <v>0</v>
      </c>
      <c r="P8" s="1">
        <f>建筑各项能耗拆分!$B$18*建筑各项能耗拆分!P119</f>
        <v>0</v>
      </c>
      <c r="Q8" s="1">
        <f>建筑各项能耗拆分!$B$18*建筑各项能耗拆分!Q119</f>
        <v>0</v>
      </c>
      <c r="R8" s="1">
        <f>建筑各项能耗拆分!$B$18*建筑各项能耗拆分!R119</f>
        <v>0</v>
      </c>
      <c r="S8" s="1">
        <f>建筑各项能耗拆分!$B$18*建筑各项能耗拆分!S119</f>
        <v>0</v>
      </c>
      <c r="T8" s="1">
        <f>建筑各项能耗拆分!$B$18*建筑各项能耗拆分!T119</f>
        <v>0</v>
      </c>
      <c r="U8" s="1">
        <f>建筑各项能耗拆分!$B$18*建筑各项能耗拆分!U119</f>
        <v>0</v>
      </c>
      <c r="V8" s="1">
        <f>建筑各项能耗拆分!$B$18*建筑各项能耗拆分!V119</f>
        <v>0</v>
      </c>
      <c r="W8" s="1">
        <f>建筑各项能耗拆分!$B$18*建筑各项能耗拆分!W119</f>
        <v>0</v>
      </c>
      <c r="X8" s="1">
        <f>建筑各项能耗拆分!$B$18*建筑各项能耗拆分!X119</f>
        <v>0</v>
      </c>
      <c r="Y8" s="1">
        <f>建筑各项能耗拆分!$B$18*建筑各项能耗拆分!Y119</f>
        <v>0</v>
      </c>
      <c r="Z8" s="1">
        <f>建筑各项能耗拆分!$B$18*建筑各项能耗拆分!Z119</f>
        <v>0</v>
      </c>
      <c r="AA8" s="1">
        <f>建筑各项能耗拆分!$B$18*建筑各项能耗拆分!AA119</f>
        <v>0</v>
      </c>
      <c r="AB8" s="1">
        <f>建筑各项能耗拆分!$B$18*建筑各项能耗拆分!AB119</f>
        <v>0</v>
      </c>
      <c r="AC8" s="1">
        <f>建筑各项能耗拆分!$B$18*建筑各项能耗拆分!AC119</f>
        <v>0</v>
      </c>
      <c r="AD8" s="1">
        <f>建筑各项能耗拆分!$B$18*建筑各项能耗拆分!AD119</f>
        <v>0</v>
      </c>
      <c r="AE8" s="1">
        <f>建筑各项能耗拆分!$B$18*建筑各项能耗拆分!AE119</f>
        <v>0</v>
      </c>
      <c r="AF8" s="1">
        <f>建筑各项能耗拆分!$B$18*建筑各项能耗拆分!AF119</f>
        <v>0</v>
      </c>
      <c r="AG8" s="1">
        <f>建筑各项能耗拆分!$B$18*建筑各项能耗拆分!AG119</f>
        <v>0</v>
      </c>
      <c r="AH8" s="1">
        <f>建筑各项能耗拆分!$B$18*建筑各项能耗拆分!AH119</f>
        <v>0</v>
      </c>
      <c r="AI8" s="1">
        <f>建筑各项能耗拆分!$B$18*建筑各项能耗拆分!AI119</f>
        <v>0</v>
      </c>
      <c r="AJ8" s="1">
        <f>建筑各项能耗拆分!$B$18*建筑各项能耗拆分!AJ119</f>
        <v>0</v>
      </c>
      <c r="AK8" s="1">
        <f>建筑各项能耗拆分!$B$18*建筑各项能耗拆分!AK119</f>
        <v>0</v>
      </c>
      <c r="AL8" s="1">
        <f>建筑各项能耗拆分!$B$18*建筑各项能耗拆分!AL119</f>
        <v>0</v>
      </c>
      <c r="AM8" s="1">
        <f>建筑各项能耗拆分!$B$18*建筑各项能耗拆分!AM119</f>
        <v>0</v>
      </c>
      <c r="AN8" s="1">
        <f>建筑各项能耗拆分!$B$18*建筑各项能耗拆分!AN119</f>
        <v>0</v>
      </c>
      <c r="AO8" s="1">
        <f>建筑各项能耗拆分!$B$18*建筑各项能耗拆分!AO119</f>
        <v>0</v>
      </c>
      <c r="AP8" s="1">
        <f>建筑各项能耗拆分!$B$18*建筑各项能耗拆分!AP119</f>
        <v>0</v>
      </c>
      <c r="AQ8" s="1">
        <f>建筑各项能耗拆分!$B$18*建筑各项能耗拆分!AQ119</f>
        <v>0</v>
      </c>
      <c r="AR8" s="1">
        <f>建筑各项能耗拆分!$B$18*建筑各项能耗拆分!AR119</f>
        <v>0</v>
      </c>
    </row>
    <row r="9" spans="1:44" x14ac:dyDescent="0.15">
      <c r="A9" t="s">
        <v>7</v>
      </c>
      <c r="B9" s="1">
        <f>建筑各项能耗拆分!$B$18*建筑各项能耗拆分!B120</f>
        <v>0</v>
      </c>
      <c r="C9" s="1">
        <f>建筑各项能耗拆分!$B$18*建筑各项能耗拆分!C120</f>
        <v>0</v>
      </c>
      <c r="D9" s="1">
        <f>建筑各项能耗拆分!$B$18*建筑各项能耗拆分!D120</f>
        <v>0</v>
      </c>
      <c r="E9" s="1">
        <f>建筑各项能耗拆分!$B$18*建筑各项能耗拆分!E120</f>
        <v>0</v>
      </c>
      <c r="F9" s="1">
        <f>建筑各项能耗拆分!$B$18*建筑各项能耗拆分!F120</f>
        <v>0</v>
      </c>
      <c r="G9" s="1">
        <f>建筑各项能耗拆分!$B$18*建筑各项能耗拆分!G120</f>
        <v>0</v>
      </c>
      <c r="H9" s="1">
        <f>建筑各项能耗拆分!$B$18*建筑各项能耗拆分!H120</f>
        <v>0</v>
      </c>
      <c r="I9" s="1">
        <f>建筑各项能耗拆分!$B$18*建筑各项能耗拆分!I120</f>
        <v>0</v>
      </c>
      <c r="J9" s="1">
        <f>建筑各项能耗拆分!$B$18*建筑各项能耗拆分!J120</f>
        <v>0</v>
      </c>
      <c r="K9" s="1">
        <f>建筑各项能耗拆分!$B$18*建筑各项能耗拆分!K120</f>
        <v>0</v>
      </c>
      <c r="L9" s="1">
        <f>建筑各项能耗拆分!$B$18*建筑各项能耗拆分!L120</f>
        <v>0</v>
      </c>
      <c r="M9" s="1">
        <f>建筑各项能耗拆分!$B$18*建筑各项能耗拆分!M120</f>
        <v>0</v>
      </c>
      <c r="N9" s="1">
        <f>建筑各项能耗拆分!$B$18*建筑各项能耗拆分!N120</f>
        <v>0</v>
      </c>
      <c r="O9" s="1">
        <f>建筑各项能耗拆分!$B$18*建筑各项能耗拆分!O120</f>
        <v>0</v>
      </c>
      <c r="P9" s="1">
        <f>建筑各项能耗拆分!$B$18*建筑各项能耗拆分!P120</f>
        <v>0</v>
      </c>
      <c r="Q9" s="1">
        <f>建筑各项能耗拆分!$B$18*建筑各项能耗拆分!Q120</f>
        <v>0</v>
      </c>
      <c r="R9" s="1">
        <f>建筑各项能耗拆分!$B$18*建筑各项能耗拆分!R120</f>
        <v>0</v>
      </c>
      <c r="S9" s="1">
        <f>建筑各项能耗拆分!$B$18*建筑各项能耗拆分!S120</f>
        <v>0</v>
      </c>
      <c r="T9" s="1">
        <f>建筑各项能耗拆分!$B$18*建筑各项能耗拆分!T120</f>
        <v>0</v>
      </c>
      <c r="U9" s="1">
        <f>建筑各项能耗拆分!$B$18*建筑各项能耗拆分!U120</f>
        <v>0</v>
      </c>
      <c r="V9" s="1">
        <f>建筑各项能耗拆分!$B$18*建筑各项能耗拆分!V120</f>
        <v>0</v>
      </c>
      <c r="W9" s="1">
        <f>建筑各项能耗拆分!$B$18*建筑各项能耗拆分!W120</f>
        <v>0</v>
      </c>
      <c r="X9" s="1">
        <f>建筑各项能耗拆分!$B$18*建筑各项能耗拆分!X120</f>
        <v>0</v>
      </c>
      <c r="Y9" s="1">
        <f>建筑各项能耗拆分!$B$18*建筑各项能耗拆分!Y120</f>
        <v>0</v>
      </c>
      <c r="Z9" s="1">
        <f>建筑各项能耗拆分!$B$18*建筑各项能耗拆分!Z120</f>
        <v>0</v>
      </c>
      <c r="AA9" s="1">
        <f>建筑各项能耗拆分!$B$18*建筑各项能耗拆分!AA120</f>
        <v>0</v>
      </c>
      <c r="AB9" s="1">
        <f>建筑各项能耗拆分!$B$18*建筑各项能耗拆分!AB120</f>
        <v>0</v>
      </c>
      <c r="AC9" s="1">
        <f>建筑各项能耗拆分!$B$18*建筑各项能耗拆分!AC120</f>
        <v>0</v>
      </c>
      <c r="AD9" s="1">
        <f>建筑各项能耗拆分!$B$18*建筑各项能耗拆分!AD120</f>
        <v>0</v>
      </c>
      <c r="AE9" s="1">
        <f>建筑各项能耗拆分!$B$18*建筑各项能耗拆分!AE120</f>
        <v>0</v>
      </c>
      <c r="AF9" s="1">
        <f>建筑各项能耗拆分!$B$18*建筑各项能耗拆分!AF120</f>
        <v>0</v>
      </c>
      <c r="AG9" s="1">
        <f>建筑各项能耗拆分!$B$18*建筑各项能耗拆分!AG120</f>
        <v>0</v>
      </c>
      <c r="AH9" s="1">
        <f>建筑各项能耗拆分!$B$18*建筑各项能耗拆分!AH120</f>
        <v>0</v>
      </c>
      <c r="AI9" s="1">
        <f>建筑各项能耗拆分!$B$18*建筑各项能耗拆分!AI120</f>
        <v>0</v>
      </c>
      <c r="AJ9" s="1">
        <f>建筑各项能耗拆分!$B$18*建筑各项能耗拆分!AJ120</f>
        <v>0</v>
      </c>
      <c r="AK9" s="1">
        <f>建筑各项能耗拆分!$B$18*建筑各项能耗拆分!AK120</f>
        <v>0</v>
      </c>
      <c r="AL9" s="1">
        <f>建筑各项能耗拆分!$B$18*建筑各项能耗拆分!AL120</f>
        <v>0</v>
      </c>
      <c r="AM9" s="1">
        <f>建筑各项能耗拆分!$B$18*建筑各项能耗拆分!AM120</f>
        <v>0</v>
      </c>
      <c r="AN9" s="1">
        <f>建筑各项能耗拆分!$B$18*建筑各项能耗拆分!AN120</f>
        <v>0</v>
      </c>
      <c r="AO9" s="1">
        <f>建筑各项能耗拆分!$B$18*建筑各项能耗拆分!AO120</f>
        <v>0</v>
      </c>
      <c r="AP9" s="1">
        <f>建筑各项能耗拆分!$B$18*建筑各项能耗拆分!AP120</f>
        <v>0</v>
      </c>
      <c r="AQ9" s="1">
        <f>建筑各项能耗拆分!$B$18*建筑各项能耗拆分!AQ120</f>
        <v>0</v>
      </c>
      <c r="AR9" s="1">
        <f>建筑各项能耗拆分!$B$18*建筑各项能耗拆分!AR120</f>
        <v>0</v>
      </c>
    </row>
    <row r="10" spans="1:44" x14ac:dyDescent="0.15">
      <c r="A10" t="s">
        <v>8</v>
      </c>
      <c r="B10" s="1">
        <f>建筑各项能耗拆分!$B$18*建筑各项能耗拆分!B121</f>
        <v>0</v>
      </c>
      <c r="C10" s="1">
        <f>建筑各项能耗拆分!$B$18*建筑各项能耗拆分!C121</f>
        <v>0</v>
      </c>
      <c r="D10" s="1">
        <f>建筑各项能耗拆分!$B$18*建筑各项能耗拆分!D121</f>
        <v>0</v>
      </c>
      <c r="E10" s="1">
        <f>建筑各项能耗拆分!$B$18*建筑各项能耗拆分!E121</f>
        <v>0</v>
      </c>
      <c r="F10" s="1">
        <f>建筑各项能耗拆分!$B$18*建筑各项能耗拆分!F121</f>
        <v>0</v>
      </c>
      <c r="G10" s="1">
        <f>建筑各项能耗拆分!$B$18*建筑各项能耗拆分!G121</f>
        <v>0</v>
      </c>
      <c r="H10" s="1">
        <f>建筑各项能耗拆分!$B$18*建筑各项能耗拆分!H121</f>
        <v>0</v>
      </c>
      <c r="I10" s="1">
        <f>建筑各项能耗拆分!$B$18*建筑各项能耗拆分!I121</f>
        <v>0</v>
      </c>
      <c r="J10" s="1">
        <f>建筑各项能耗拆分!$B$18*建筑各项能耗拆分!J121</f>
        <v>0</v>
      </c>
      <c r="K10" s="1">
        <f>建筑各项能耗拆分!$B$18*建筑各项能耗拆分!K121</f>
        <v>0</v>
      </c>
      <c r="L10" s="1">
        <f>建筑各项能耗拆分!$B$18*建筑各项能耗拆分!L121</f>
        <v>0</v>
      </c>
      <c r="M10" s="1">
        <f>建筑各项能耗拆分!$B$18*建筑各项能耗拆分!M121</f>
        <v>0</v>
      </c>
      <c r="N10" s="1">
        <f>建筑各项能耗拆分!$B$18*建筑各项能耗拆分!N121</f>
        <v>0</v>
      </c>
      <c r="O10" s="1">
        <f>建筑各项能耗拆分!$B$18*建筑各项能耗拆分!O121</f>
        <v>0</v>
      </c>
      <c r="P10" s="1">
        <f>建筑各项能耗拆分!$B$18*建筑各项能耗拆分!P121</f>
        <v>0</v>
      </c>
      <c r="Q10" s="1">
        <f>建筑各项能耗拆分!$B$18*建筑各项能耗拆分!Q121</f>
        <v>0</v>
      </c>
      <c r="R10" s="1">
        <f>建筑各项能耗拆分!$B$18*建筑各项能耗拆分!R121</f>
        <v>0</v>
      </c>
      <c r="S10" s="1">
        <f>建筑各项能耗拆分!$B$18*建筑各项能耗拆分!S121</f>
        <v>0</v>
      </c>
      <c r="T10" s="1">
        <f>建筑各项能耗拆分!$B$18*建筑各项能耗拆分!T121</f>
        <v>0</v>
      </c>
      <c r="U10" s="1">
        <f>建筑各项能耗拆分!$B$18*建筑各项能耗拆分!U121</f>
        <v>0</v>
      </c>
      <c r="V10" s="1">
        <f>建筑各项能耗拆分!$B$18*建筑各项能耗拆分!V121</f>
        <v>0</v>
      </c>
      <c r="W10" s="1">
        <f>建筑各项能耗拆分!$B$18*建筑各项能耗拆分!W121</f>
        <v>0</v>
      </c>
      <c r="X10" s="1">
        <f>建筑各项能耗拆分!$B$18*建筑各项能耗拆分!X121</f>
        <v>0</v>
      </c>
      <c r="Y10" s="1">
        <f>建筑各项能耗拆分!$B$18*建筑各项能耗拆分!Y121</f>
        <v>0</v>
      </c>
      <c r="Z10" s="1">
        <f>建筑各项能耗拆分!$B$18*建筑各项能耗拆分!Z121</f>
        <v>0</v>
      </c>
      <c r="AA10" s="1">
        <f>建筑各项能耗拆分!$B$18*建筑各项能耗拆分!AA121</f>
        <v>0</v>
      </c>
      <c r="AB10" s="1">
        <f>建筑各项能耗拆分!$B$18*建筑各项能耗拆分!AB121</f>
        <v>0</v>
      </c>
      <c r="AC10" s="1">
        <f>建筑各项能耗拆分!$B$18*建筑各项能耗拆分!AC121</f>
        <v>0</v>
      </c>
      <c r="AD10" s="1">
        <f>建筑各项能耗拆分!$B$18*建筑各项能耗拆分!AD121</f>
        <v>0</v>
      </c>
      <c r="AE10" s="1">
        <f>建筑各项能耗拆分!$B$18*建筑各项能耗拆分!AE121</f>
        <v>0</v>
      </c>
      <c r="AF10" s="1">
        <f>建筑各项能耗拆分!$B$18*建筑各项能耗拆分!AF121</f>
        <v>0</v>
      </c>
      <c r="AG10" s="1">
        <f>建筑各项能耗拆分!$B$18*建筑各项能耗拆分!AG121</f>
        <v>0</v>
      </c>
      <c r="AH10" s="1">
        <f>建筑各项能耗拆分!$B$18*建筑各项能耗拆分!AH121</f>
        <v>0</v>
      </c>
      <c r="AI10" s="1">
        <f>建筑各项能耗拆分!$B$18*建筑各项能耗拆分!AI121</f>
        <v>0</v>
      </c>
      <c r="AJ10" s="1">
        <f>建筑各项能耗拆分!$B$18*建筑各项能耗拆分!AJ121</f>
        <v>0</v>
      </c>
      <c r="AK10" s="1">
        <f>建筑各项能耗拆分!$B$18*建筑各项能耗拆分!AK121</f>
        <v>0</v>
      </c>
      <c r="AL10" s="1">
        <f>建筑各项能耗拆分!$B$18*建筑各项能耗拆分!AL121</f>
        <v>0</v>
      </c>
      <c r="AM10" s="1">
        <f>建筑各项能耗拆分!$B$18*建筑各项能耗拆分!AM121</f>
        <v>0</v>
      </c>
      <c r="AN10" s="1">
        <f>建筑各项能耗拆分!$B$18*建筑各项能耗拆分!AN121</f>
        <v>0</v>
      </c>
      <c r="AO10" s="1">
        <f>建筑各项能耗拆分!$B$18*建筑各项能耗拆分!AO121</f>
        <v>0</v>
      </c>
      <c r="AP10" s="1">
        <f>建筑各项能耗拆分!$B$18*建筑各项能耗拆分!AP121</f>
        <v>0</v>
      </c>
      <c r="AQ10" s="1">
        <f>建筑各项能耗拆分!$B$18*建筑各项能耗拆分!AQ121</f>
        <v>0</v>
      </c>
      <c r="AR10" s="1">
        <f>建筑各项能耗拆分!$B$18*建筑各项能耗拆分!AR121</f>
        <v>0</v>
      </c>
    </row>
    <row r="11" spans="1:44" x14ac:dyDescent="0.15">
      <c r="A11" t="s">
        <v>9</v>
      </c>
      <c r="B11" s="1">
        <f>建筑各项能耗拆分!$B$18*建筑各项能耗拆分!B122</f>
        <v>0</v>
      </c>
      <c r="C11" s="1">
        <f>建筑各项能耗拆分!$B$18*建筑各项能耗拆分!C122</f>
        <v>0</v>
      </c>
      <c r="D11" s="1">
        <f>建筑各项能耗拆分!$B$18*建筑各项能耗拆分!D122</f>
        <v>0</v>
      </c>
      <c r="E11" s="1">
        <f>建筑各项能耗拆分!$B$18*建筑各项能耗拆分!E122</f>
        <v>0</v>
      </c>
      <c r="F11" s="1">
        <f>建筑各项能耗拆分!$B$18*建筑各项能耗拆分!F122</f>
        <v>0</v>
      </c>
      <c r="G11" s="1">
        <f>建筑各项能耗拆分!$B$18*建筑各项能耗拆分!G122</f>
        <v>0</v>
      </c>
      <c r="H11" s="1">
        <f>建筑各项能耗拆分!$B$18*建筑各项能耗拆分!H122</f>
        <v>0</v>
      </c>
      <c r="I11" s="1">
        <f>建筑各项能耗拆分!$B$18*建筑各项能耗拆分!I122</f>
        <v>0</v>
      </c>
      <c r="J11" s="1">
        <f>建筑各项能耗拆分!$B$18*建筑各项能耗拆分!J122</f>
        <v>0</v>
      </c>
      <c r="K11" s="1">
        <f>建筑各项能耗拆分!$B$18*建筑各项能耗拆分!K122</f>
        <v>0</v>
      </c>
      <c r="L11" s="1">
        <f>建筑各项能耗拆分!$B$18*建筑各项能耗拆分!L122</f>
        <v>0</v>
      </c>
      <c r="M11" s="1">
        <f>建筑各项能耗拆分!$B$18*建筑各项能耗拆分!M122</f>
        <v>0</v>
      </c>
      <c r="N11" s="1">
        <f>建筑各项能耗拆分!$B$18*建筑各项能耗拆分!N122</f>
        <v>0</v>
      </c>
      <c r="O11" s="1">
        <f>建筑各项能耗拆分!$B$18*建筑各项能耗拆分!O122</f>
        <v>0</v>
      </c>
      <c r="P11" s="1">
        <f>建筑各项能耗拆分!$B$18*建筑各项能耗拆分!P122</f>
        <v>0</v>
      </c>
      <c r="Q11" s="1">
        <f>建筑各项能耗拆分!$B$18*建筑各项能耗拆分!Q122</f>
        <v>0</v>
      </c>
      <c r="R11" s="1">
        <f>建筑各项能耗拆分!$B$18*建筑各项能耗拆分!R122</f>
        <v>0</v>
      </c>
      <c r="S11" s="1">
        <f>建筑各项能耗拆分!$B$18*建筑各项能耗拆分!S122</f>
        <v>0</v>
      </c>
      <c r="T11" s="1">
        <f>建筑各项能耗拆分!$B$18*建筑各项能耗拆分!T122</f>
        <v>0</v>
      </c>
      <c r="U11" s="1">
        <f>建筑各项能耗拆分!$B$18*建筑各项能耗拆分!U122</f>
        <v>0</v>
      </c>
      <c r="V11" s="1">
        <f>建筑各项能耗拆分!$B$18*建筑各项能耗拆分!V122</f>
        <v>0</v>
      </c>
      <c r="W11" s="1">
        <f>建筑各项能耗拆分!$B$18*建筑各项能耗拆分!W122</f>
        <v>0</v>
      </c>
      <c r="X11" s="1">
        <f>建筑各项能耗拆分!$B$18*建筑各项能耗拆分!X122</f>
        <v>0</v>
      </c>
      <c r="Y11" s="1">
        <f>建筑各项能耗拆分!$B$18*建筑各项能耗拆分!Y122</f>
        <v>0</v>
      </c>
      <c r="Z11" s="1">
        <f>建筑各项能耗拆分!$B$18*建筑各项能耗拆分!Z122</f>
        <v>0</v>
      </c>
      <c r="AA11" s="1">
        <f>建筑各项能耗拆分!$B$18*建筑各项能耗拆分!AA122</f>
        <v>0</v>
      </c>
      <c r="AB11" s="1">
        <f>建筑各项能耗拆分!$B$18*建筑各项能耗拆分!AB122</f>
        <v>0</v>
      </c>
      <c r="AC11" s="1">
        <f>建筑各项能耗拆分!$B$18*建筑各项能耗拆分!AC122</f>
        <v>0</v>
      </c>
      <c r="AD11" s="1">
        <f>建筑各项能耗拆分!$B$18*建筑各项能耗拆分!AD122</f>
        <v>0</v>
      </c>
      <c r="AE11" s="1">
        <f>建筑各项能耗拆分!$B$18*建筑各项能耗拆分!AE122</f>
        <v>0</v>
      </c>
      <c r="AF11" s="1">
        <f>建筑各项能耗拆分!$B$18*建筑各项能耗拆分!AF122</f>
        <v>0</v>
      </c>
      <c r="AG11" s="1">
        <f>建筑各项能耗拆分!$B$18*建筑各项能耗拆分!AG122</f>
        <v>0</v>
      </c>
      <c r="AH11" s="1">
        <f>建筑各项能耗拆分!$B$18*建筑各项能耗拆分!AH122</f>
        <v>0</v>
      </c>
      <c r="AI11" s="1">
        <f>建筑各项能耗拆分!$B$18*建筑各项能耗拆分!AI122</f>
        <v>0</v>
      </c>
      <c r="AJ11" s="1">
        <f>建筑各项能耗拆分!$B$18*建筑各项能耗拆分!AJ122</f>
        <v>0</v>
      </c>
      <c r="AK11" s="1">
        <f>建筑各项能耗拆分!$B$18*建筑各项能耗拆分!AK122</f>
        <v>0</v>
      </c>
      <c r="AL11" s="1">
        <f>建筑各项能耗拆分!$B$18*建筑各项能耗拆分!AL122</f>
        <v>0</v>
      </c>
      <c r="AM11" s="1">
        <f>建筑各项能耗拆分!$B$18*建筑各项能耗拆分!AM122</f>
        <v>0</v>
      </c>
      <c r="AN11" s="1">
        <f>建筑各项能耗拆分!$B$18*建筑各项能耗拆分!AN122</f>
        <v>0</v>
      </c>
      <c r="AO11" s="1">
        <f>建筑各项能耗拆分!$B$18*建筑各项能耗拆分!AO122</f>
        <v>0</v>
      </c>
      <c r="AP11" s="1">
        <f>建筑各项能耗拆分!$B$18*建筑各项能耗拆分!AP122</f>
        <v>0</v>
      </c>
      <c r="AQ11" s="1">
        <f>建筑各项能耗拆分!$B$18*建筑各项能耗拆分!AQ122</f>
        <v>0</v>
      </c>
      <c r="AR11" s="1">
        <f>建筑各项能耗拆分!$B$18*建筑各项能耗拆分!AR122</f>
        <v>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CD76-C0DD-490C-9937-C2B6AC940B8E}">
  <sheetPr>
    <tabColor rgb="FF7030A0"/>
  </sheetPr>
  <dimension ref="A1:AR11"/>
  <sheetViews>
    <sheetView workbookViewId="0"/>
  </sheetViews>
  <sheetFormatPr defaultRowHeight="13.5" x14ac:dyDescent="0.15"/>
  <cols>
    <col min="1" max="1" width="37.25" customWidth="1"/>
    <col min="2" max="44" width="15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建筑各项能耗拆分!$B$18*建筑各项能耗拆分!B139</f>
        <v>144484189697837.47</v>
      </c>
      <c r="C2" s="1">
        <f>建筑各项能耗拆分!$B$18*建筑各项能耗拆分!C139</f>
        <v>143458351950982.84</v>
      </c>
      <c r="D2" s="1">
        <f>建筑各项能耗拆分!$B$18*建筑各项能耗拆分!D139</f>
        <v>139396610128319.59</v>
      </c>
      <c r="E2" s="1">
        <f>建筑各项能耗拆分!$B$18*建筑各项能耗拆分!E139</f>
        <v>136803549953147.08</v>
      </c>
      <c r="F2" s="1">
        <f>建筑各项能耗拆分!$B$18*建筑各项能耗拆分!F139</f>
        <v>136391321887096.2</v>
      </c>
      <c r="G2" s="1">
        <f>建筑各项能耗拆分!$B$18*建筑各项能耗拆分!G139</f>
        <v>135918647773807.25</v>
      </c>
      <c r="H2" s="1">
        <f>建筑各项能耗拆分!$B$18*建筑各项能耗拆分!H139</f>
        <v>135386621261223.86</v>
      </c>
      <c r="I2" s="1">
        <f>建筑各项能耗拆分!$B$18*建筑各项能耗拆分!I139</f>
        <v>134796418526698.52</v>
      </c>
      <c r="J2" s="1">
        <f>建筑各项能耗拆分!$B$18*建筑各项能耗拆分!J139</f>
        <v>134149288703104.27</v>
      </c>
      <c r="K2" s="1">
        <f>建筑各项能耗拆分!$B$18*建筑各项能耗拆分!K139</f>
        <v>133446560420379.19</v>
      </c>
      <c r="L2" s="1">
        <f>建筑各项能耗拆分!$B$18*建筑各项能耗拆分!L139</f>
        <v>132689632100677.28</v>
      </c>
      <c r="M2" s="1">
        <f>建筑各项能耗拆分!$B$18*建筑各项能耗拆分!M139</f>
        <v>131879973978397.06</v>
      </c>
      <c r="N2" s="1">
        <f>建筑各项能耗拆分!$B$18*建筑各项能耗拆分!N139</f>
        <v>131019124537960.8</v>
      </c>
      <c r="O2" s="1">
        <f>建筑各项能耗拆分!$B$18*建筑各项能耗拆分!O139</f>
        <v>130108686131084.81</v>
      </c>
      <c r="P2" s="1">
        <f>建筑各项能耗拆分!$B$18*建筑各项能耗拆分!P139</f>
        <v>129150326528198.31</v>
      </c>
      <c r="Q2" s="1">
        <f>建筑各项能耗拆分!$B$18*建筑各项能耗拆分!Q139</f>
        <v>128145769955762.06</v>
      </c>
      <c r="R2" s="1">
        <f>建筑各项能耗拆分!$B$18*建筑各项能耗拆分!R139</f>
        <v>127119932208907.39</v>
      </c>
      <c r="S2" s="1">
        <f>建筑各项能耗拆分!$B$18*建筑各项能耗拆分!S139</f>
        <v>126051755676576.73</v>
      </c>
      <c r="T2" s="1">
        <f>建筑各项能耗拆分!$B$18*建筑各项能耗拆分!T139</f>
        <v>124905648577264.69</v>
      </c>
      <c r="U2" s="1">
        <f>建筑各项能耗拆分!$B$18*建筑各项能耗拆分!U139</f>
        <v>123685059029037.67</v>
      </c>
      <c r="V2" s="1">
        <f>建筑各项能耗拆分!$B$18*建筑各项能耗拆分!V139</f>
        <v>122393520946986.55</v>
      </c>
      <c r="W2" s="1">
        <f>建筑各项能耗拆分!$B$18*建筑各项能耗拆分!W139</f>
        <v>121034639966692.31</v>
      </c>
      <c r="X2" s="1">
        <f>建筑各项能耗拆分!$B$18*建筑各项能耗拆分!X139</f>
        <v>119612092941326.06</v>
      </c>
      <c r="Y2" s="1">
        <f>建筑各项能耗拆分!$B$18*建筑各项能耗拆分!Y139</f>
        <v>118129617622333.98</v>
      </c>
      <c r="Z2" s="1">
        <f>建筑各项能耗拆分!$B$18*建筑各项能耗拆分!Z139</f>
        <v>116591004747676.94</v>
      </c>
      <c r="AA2" s="1">
        <f>建筑各项能耗拆分!$B$18*建筑各项能耗拆分!AA139</f>
        <v>115000085699316.89</v>
      </c>
      <c r="AB2" s="1">
        <f>建筑各项能耗拆分!$B$18*建筑各项能耗拆分!AB139</f>
        <v>113360726208013.78</v>
      </c>
      <c r="AC2" s="1">
        <f>建筑各项能耗拆分!$B$18*建筑各项能耗拆分!AC139</f>
        <v>111676820282763.67</v>
      </c>
      <c r="AD2" s="1">
        <f>建筑各项能耗拆分!$B$18*建筑各项能耗拆分!AD139</f>
        <v>109952272818444.64</v>
      </c>
      <c r="AE2" s="1">
        <f>建筑各项能耗拆分!$B$18*建筑各项能耗拆分!AE139</f>
        <v>108190991139010.8</v>
      </c>
      <c r="AF2" s="1">
        <f>建筑各项能耗拆分!$B$18*建筑各项能耗拆分!AF139</f>
        <v>106396881328361.61</v>
      </c>
      <c r="AG2" s="1">
        <f>建筑各项能耗拆分!$B$18*建筑各项能耗拆分!AG139</f>
        <v>104573825554363.83</v>
      </c>
      <c r="AH2" s="1">
        <f>建筑各项能耗拆分!$B$18*建筑各项能耗拆分!AH139</f>
        <v>102725676158639.17</v>
      </c>
      <c r="AI2" s="1">
        <f>建筑各项能耗拆分!$B$18*建筑各项能耗拆分!AI139</f>
        <v>100856245406579.11</v>
      </c>
      <c r="AJ2" s="1">
        <f>建筑各项能耗拆分!$B$18*建筑各项能耗拆分!AJ139</f>
        <v>98969284233260.281</v>
      </c>
      <c r="AK2" s="1">
        <f>建筑各项能耗拆分!$B$18*建筑各项能耗拆分!AK139</f>
        <v>97068480012867.391</v>
      </c>
      <c r="AL2" s="1">
        <f>建筑各项能耗拆分!$B$18*建筑各项能耗拆分!AL139</f>
        <v>95157429538812.859</v>
      </c>
      <c r="AM2" s="1">
        <f>建筑各项能耗拆分!$B$18*建筑各项能耗拆分!AM139</f>
        <v>93239636886344.984</v>
      </c>
      <c r="AN2" s="1">
        <f>建筑各项能耗拆分!$B$18*建筑各项能耗拆分!AN139</f>
        <v>91318490312974.391</v>
      </c>
      <c r="AO2" s="1">
        <f>建筑各项能耗拆分!$B$18*建筑各项能耗拆分!AO139</f>
        <v>89397248051189.328</v>
      </c>
      <c r="AP2" s="1">
        <f>建筑各项能耗拆分!$B$18*建筑各项能耗拆分!AP139</f>
        <v>87479022261170.734</v>
      </c>
      <c r="AQ2" s="1">
        <f>建筑各项能耗拆分!$B$18*建筑各项能耗拆分!AQ139</f>
        <v>85566762329711.266</v>
      </c>
      <c r="AR2" s="1">
        <f>建筑各项能耗拆分!$B$18*建筑各项能耗拆分!AR139</f>
        <v>83663239436657.359</v>
      </c>
    </row>
    <row r="3" spans="1:44" x14ac:dyDescent="0.15">
      <c r="A3" t="s">
        <v>1</v>
      </c>
      <c r="B3" s="1">
        <f>建筑各项能耗拆分!$B$18*建筑各项能耗拆分!B140</f>
        <v>0</v>
      </c>
      <c r="C3" s="1">
        <f>建筑各项能耗拆分!$B$18*建筑各项能耗拆分!C140</f>
        <v>0</v>
      </c>
      <c r="D3" s="1">
        <f>建筑各项能耗拆分!$B$18*建筑各项能耗拆分!D140</f>
        <v>0</v>
      </c>
      <c r="E3" s="1">
        <f>建筑各项能耗拆分!$B$18*建筑各项能耗拆分!E140</f>
        <v>0</v>
      </c>
      <c r="F3" s="1">
        <f>建筑各项能耗拆分!$B$18*建筑各项能耗拆分!F140</f>
        <v>0</v>
      </c>
      <c r="G3" s="1">
        <f>建筑各项能耗拆分!$B$18*建筑各项能耗拆分!G140</f>
        <v>0</v>
      </c>
      <c r="H3" s="1">
        <f>建筑各项能耗拆分!$B$18*建筑各项能耗拆分!H140</f>
        <v>0</v>
      </c>
      <c r="I3" s="1">
        <f>建筑各项能耗拆分!$B$18*建筑各项能耗拆分!I140</f>
        <v>0</v>
      </c>
      <c r="J3" s="1">
        <f>建筑各项能耗拆分!$B$18*建筑各项能耗拆分!J140</f>
        <v>0</v>
      </c>
      <c r="K3" s="1">
        <f>建筑各项能耗拆分!$B$18*建筑各项能耗拆分!K140</f>
        <v>0</v>
      </c>
      <c r="L3" s="1">
        <f>建筑各项能耗拆分!$B$18*建筑各项能耗拆分!L140</f>
        <v>0</v>
      </c>
      <c r="M3" s="1">
        <f>建筑各项能耗拆分!$B$18*建筑各项能耗拆分!M140</f>
        <v>0</v>
      </c>
      <c r="N3" s="1">
        <f>建筑各项能耗拆分!$B$18*建筑各项能耗拆分!N140</f>
        <v>0</v>
      </c>
      <c r="O3" s="1">
        <f>建筑各项能耗拆分!$B$18*建筑各项能耗拆分!O140</f>
        <v>0</v>
      </c>
      <c r="P3" s="1">
        <f>建筑各项能耗拆分!$B$18*建筑各项能耗拆分!P140</f>
        <v>0</v>
      </c>
      <c r="Q3" s="1">
        <f>建筑各项能耗拆分!$B$18*建筑各项能耗拆分!Q140</f>
        <v>0</v>
      </c>
      <c r="R3" s="1">
        <f>建筑各项能耗拆分!$B$18*建筑各项能耗拆分!R140</f>
        <v>0</v>
      </c>
      <c r="S3" s="1">
        <f>建筑各项能耗拆分!$B$18*建筑各项能耗拆分!S140</f>
        <v>0</v>
      </c>
      <c r="T3" s="1">
        <f>建筑各项能耗拆分!$B$18*建筑各项能耗拆分!T140</f>
        <v>0</v>
      </c>
      <c r="U3" s="1">
        <f>建筑各项能耗拆分!$B$18*建筑各项能耗拆分!U140</f>
        <v>0</v>
      </c>
      <c r="V3" s="1">
        <f>建筑各项能耗拆分!$B$18*建筑各项能耗拆分!V140</f>
        <v>0</v>
      </c>
      <c r="W3" s="1">
        <f>建筑各项能耗拆分!$B$18*建筑各项能耗拆分!W140</f>
        <v>0</v>
      </c>
      <c r="X3" s="1">
        <f>建筑各项能耗拆分!$B$18*建筑各项能耗拆分!X140</f>
        <v>0</v>
      </c>
      <c r="Y3" s="1">
        <f>建筑各项能耗拆分!$B$18*建筑各项能耗拆分!Y140</f>
        <v>0</v>
      </c>
      <c r="Z3" s="1">
        <f>建筑各项能耗拆分!$B$18*建筑各项能耗拆分!Z140</f>
        <v>0</v>
      </c>
      <c r="AA3" s="1">
        <f>建筑各项能耗拆分!$B$18*建筑各项能耗拆分!AA140</f>
        <v>0</v>
      </c>
      <c r="AB3" s="1">
        <f>建筑各项能耗拆分!$B$18*建筑各项能耗拆分!AB140</f>
        <v>0</v>
      </c>
      <c r="AC3" s="1">
        <f>建筑各项能耗拆分!$B$18*建筑各项能耗拆分!AC140</f>
        <v>0</v>
      </c>
      <c r="AD3" s="1">
        <f>建筑各项能耗拆分!$B$18*建筑各项能耗拆分!AD140</f>
        <v>0</v>
      </c>
      <c r="AE3" s="1">
        <f>建筑各项能耗拆分!$B$18*建筑各项能耗拆分!AE140</f>
        <v>0</v>
      </c>
      <c r="AF3" s="1">
        <f>建筑各项能耗拆分!$B$18*建筑各项能耗拆分!AF140</f>
        <v>0</v>
      </c>
      <c r="AG3" s="1">
        <f>建筑各项能耗拆分!$B$18*建筑各项能耗拆分!AG140</f>
        <v>0</v>
      </c>
      <c r="AH3" s="1">
        <f>建筑各项能耗拆分!$B$18*建筑各项能耗拆分!AH140</f>
        <v>0</v>
      </c>
      <c r="AI3" s="1">
        <f>建筑各项能耗拆分!$B$18*建筑各项能耗拆分!AI140</f>
        <v>0</v>
      </c>
      <c r="AJ3" s="1">
        <f>建筑各项能耗拆分!$B$18*建筑各项能耗拆分!AJ140</f>
        <v>0</v>
      </c>
      <c r="AK3" s="1">
        <f>建筑各项能耗拆分!$B$18*建筑各项能耗拆分!AK140</f>
        <v>0</v>
      </c>
      <c r="AL3" s="1">
        <f>建筑各项能耗拆分!$B$18*建筑各项能耗拆分!AL140</f>
        <v>0</v>
      </c>
      <c r="AM3" s="1">
        <f>建筑各项能耗拆分!$B$18*建筑各项能耗拆分!AM140</f>
        <v>0</v>
      </c>
      <c r="AN3" s="1">
        <f>建筑各项能耗拆分!$B$18*建筑各项能耗拆分!AN140</f>
        <v>0</v>
      </c>
      <c r="AO3" s="1">
        <f>建筑各项能耗拆分!$B$18*建筑各项能耗拆分!AO140</f>
        <v>0</v>
      </c>
      <c r="AP3" s="1">
        <f>建筑各项能耗拆分!$B$18*建筑各项能耗拆分!AP140</f>
        <v>0</v>
      </c>
      <c r="AQ3" s="1">
        <f>建筑各项能耗拆分!$B$18*建筑各项能耗拆分!AQ140</f>
        <v>0</v>
      </c>
      <c r="AR3" s="1">
        <f>建筑各项能耗拆分!$B$18*建筑各项能耗拆分!AR140</f>
        <v>0</v>
      </c>
    </row>
    <row r="4" spans="1:44" x14ac:dyDescent="0.15">
      <c r="A4" t="s">
        <v>2</v>
      </c>
      <c r="B4" s="1">
        <f>建筑各项能耗拆分!$B$18*建筑各项能耗拆分!B141</f>
        <v>0</v>
      </c>
      <c r="C4" s="1">
        <f>建筑各项能耗拆分!$B$18*建筑各项能耗拆分!C141</f>
        <v>0</v>
      </c>
      <c r="D4" s="1">
        <f>建筑各项能耗拆分!$B$18*建筑各项能耗拆分!D141</f>
        <v>0</v>
      </c>
      <c r="E4" s="1">
        <f>建筑各项能耗拆分!$B$18*建筑各项能耗拆分!E141</f>
        <v>0</v>
      </c>
      <c r="F4" s="1">
        <f>建筑各项能耗拆分!$B$18*建筑各项能耗拆分!F141</f>
        <v>0</v>
      </c>
      <c r="G4" s="1">
        <f>建筑各项能耗拆分!$B$18*建筑各项能耗拆分!G141</f>
        <v>0</v>
      </c>
      <c r="H4" s="1">
        <f>建筑各项能耗拆分!$B$18*建筑各项能耗拆分!H141</f>
        <v>0</v>
      </c>
      <c r="I4" s="1">
        <f>建筑各项能耗拆分!$B$18*建筑各项能耗拆分!I141</f>
        <v>0</v>
      </c>
      <c r="J4" s="1">
        <f>建筑各项能耗拆分!$B$18*建筑各项能耗拆分!J141</f>
        <v>0</v>
      </c>
      <c r="K4" s="1">
        <f>建筑各项能耗拆分!$B$18*建筑各项能耗拆分!K141</f>
        <v>0</v>
      </c>
      <c r="L4" s="1">
        <f>建筑各项能耗拆分!$B$18*建筑各项能耗拆分!L141</f>
        <v>0</v>
      </c>
      <c r="M4" s="1">
        <f>建筑各项能耗拆分!$B$18*建筑各项能耗拆分!M141</f>
        <v>0</v>
      </c>
      <c r="N4" s="1">
        <f>建筑各项能耗拆分!$B$18*建筑各项能耗拆分!N141</f>
        <v>0</v>
      </c>
      <c r="O4" s="1">
        <f>建筑各项能耗拆分!$B$18*建筑各项能耗拆分!O141</f>
        <v>0</v>
      </c>
      <c r="P4" s="1">
        <f>建筑各项能耗拆分!$B$18*建筑各项能耗拆分!P141</f>
        <v>0</v>
      </c>
      <c r="Q4" s="1">
        <f>建筑各项能耗拆分!$B$18*建筑各项能耗拆分!Q141</f>
        <v>0</v>
      </c>
      <c r="R4" s="1">
        <f>建筑各项能耗拆分!$B$18*建筑各项能耗拆分!R141</f>
        <v>0</v>
      </c>
      <c r="S4" s="1">
        <f>建筑各项能耗拆分!$B$18*建筑各项能耗拆分!S141</f>
        <v>0</v>
      </c>
      <c r="T4" s="1">
        <f>建筑各项能耗拆分!$B$18*建筑各项能耗拆分!T141</f>
        <v>0</v>
      </c>
      <c r="U4" s="1">
        <f>建筑各项能耗拆分!$B$18*建筑各项能耗拆分!U141</f>
        <v>0</v>
      </c>
      <c r="V4" s="1">
        <f>建筑各项能耗拆分!$B$18*建筑各项能耗拆分!V141</f>
        <v>0</v>
      </c>
      <c r="W4" s="1">
        <f>建筑各项能耗拆分!$B$18*建筑各项能耗拆分!W141</f>
        <v>0</v>
      </c>
      <c r="X4" s="1">
        <f>建筑各项能耗拆分!$B$18*建筑各项能耗拆分!X141</f>
        <v>0</v>
      </c>
      <c r="Y4" s="1">
        <f>建筑各项能耗拆分!$B$18*建筑各项能耗拆分!Y141</f>
        <v>0</v>
      </c>
      <c r="Z4" s="1">
        <f>建筑各项能耗拆分!$B$18*建筑各项能耗拆分!Z141</f>
        <v>0</v>
      </c>
      <c r="AA4" s="1">
        <f>建筑各项能耗拆分!$B$18*建筑各项能耗拆分!AA141</f>
        <v>0</v>
      </c>
      <c r="AB4" s="1">
        <f>建筑各项能耗拆分!$B$18*建筑各项能耗拆分!AB141</f>
        <v>0</v>
      </c>
      <c r="AC4" s="1">
        <f>建筑各项能耗拆分!$B$18*建筑各项能耗拆分!AC141</f>
        <v>0</v>
      </c>
      <c r="AD4" s="1">
        <f>建筑各项能耗拆分!$B$18*建筑各项能耗拆分!AD141</f>
        <v>0</v>
      </c>
      <c r="AE4" s="1">
        <f>建筑各项能耗拆分!$B$18*建筑各项能耗拆分!AE141</f>
        <v>0</v>
      </c>
      <c r="AF4" s="1">
        <f>建筑各项能耗拆分!$B$18*建筑各项能耗拆分!AF141</f>
        <v>0</v>
      </c>
      <c r="AG4" s="1">
        <f>建筑各项能耗拆分!$B$18*建筑各项能耗拆分!AG141</f>
        <v>0</v>
      </c>
      <c r="AH4" s="1">
        <f>建筑各项能耗拆分!$B$18*建筑各项能耗拆分!AH141</f>
        <v>0</v>
      </c>
      <c r="AI4" s="1">
        <f>建筑各项能耗拆分!$B$18*建筑各项能耗拆分!AI141</f>
        <v>0</v>
      </c>
      <c r="AJ4" s="1">
        <f>建筑各项能耗拆分!$B$18*建筑各项能耗拆分!AJ141</f>
        <v>0</v>
      </c>
      <c r="AK4" s="1">
        <f>建筑各项能耗拆分!$B$18*建筑各项能耗拆分!AK141</f>
        <v>0</v>
      </c>
      <c r="AL4" s="1">
        <f>建筑各项能耗拆分!$B$18*建筑各项能耗拆分!AL141</f>
        <v>0</v>
      </c>
      <c r="AM4" s="1">
        <f>建筑各项能耗拆分!$B$18*建筑各项能耗拆分!AM141</f>
        <v>0</v>
      </c>
      <c r="AN4" s="1">
        <f>建筑各项能耗拆分!$B$18*建筑各项能耗拆分!AN141</f>
        <v>0</v>
      </c>
      <c r="AO4" s="1">
        <f>建筑各项能耗拆分!$B$18*建筑各项能耗拆分!AO141</f>
        <v>0</v>
      </c>
      <c r="AP4" s="1">
        <f>建筑各项能耗拆分!$B$18*建筑各项能耗拆分!AP141</f>
        <v>0</v>
      </c>
      <c r="AQ4" s="1">
        <f>建筑各项能耗拆分!$B$18*建筑各项能耗拆分!AQ141</f>
        <v>0</v>
      </c>
      <c r="AR4" s="1">
        <f>建筑各项能耗拆分!$B$18*建筑各项能耗拆分!AR141</f>
        <v>0</v>
      </c>
    </row>
    <row r="5" spans="1:44" x14ac:dyDescent="0.15">
      <c r="A5" t="s">
        <v>3</v>
      </c>
      <c r="B5" s="1">
        <f>建筑各项能耗拆分!$B$18*建筑各项能耗拆分!B142</f>
        <v>0</v>
      </c>
      <c r="C5" s="1">
        <f>建筑各项能耗拆分!$B$18*建筑各项能耗拆分!C142</f>
        <v>0</v>
      </c>
      <c r="D5" s="1">
        <f>建筑各项能耗拆分!$B$18*建筑各项能耗拆分!D142</f>
        <v>0</v>
      </c>
      <c r="E5" s="1">
        <f>建筑各项能耗拆分!$B$18*建筑各项能耗拆分!E142</f>
        <v>0</v>
      </c>
      <c r="F5" s="1">
        <f>建筑各项能耗拆分!$B$18*建筑各项能耗拆分!F142</f>
        <v>0</v>
      </c>
      <c r="G5" s="1">
        <f>建筑各项能耗拆分!$B$18*建筑各项能耗拆分!G142</f>
        <v>0</v>
      </c>
      <c r="H5" s="1">
        <f>建筑各项能耗拆分!$B$18*建筑各项能耗拆分!H142</f>
        <v>0</v>
      </c>
      <c r="I5" s="1">
        <f>建筑各项能耗拆分!$B$18*建筑各项能耗拆分!I142</f>
        <v>0</v>
      </c>
      <c r="J5" s="1">
        <f>建筑各项能耗拆分!$B$18*建筑各项能耗拆分!J142</f>
        <v>0</v>
      </c>
      <c r="K5" s="1">
        <f>建筑各项能耗拆分!$B$18*建筑各项能耗拆分!K142</f>
        <v>0</v>
      </c>
      <c r="L5" s="1">
        <f>建筑各项能耗拆分!$B$18*建筑各项能耗拆分!L142</f>
        <v>0</v>
      </c>
      <c r="M5" s="1">
        <f>建筑各项能耗拆分!$B$18*建筑各项能耗拆分!M142</f>
        <v>0</v>
      </c>
      <c r="N5" s="1">
        <f>建筑各项能耗拆分!$B$18*建筑各项能耗拆分!N142</f>
        <v>0</v>
      </c>
      <c r="O5" s="1">
        <f>建筑各项能耗拆分!$B$18*建筑各项能耗拆分!O142</f>
        <v>0</v>
      </c>
      <c r="P5" s="1">
        <f>建筑各项能耗拆分!$B$18*建筑各项能耗拆分!P142</f>
        <v>0</v>
      </c>
      <c r="Q5" s="1">
        <f>建筑各项能耗拆分!$B$18*建筑各项能耗拆分!Q142</f>
        <v>0</v>
      </c>
      <c r="R5" s="1">
        <f>建筑各项能耗拆分!$B$18*建筑各项能耗拆分!R142</f>
        <v>0</v>
      </c>
      <c r="S5" s="1">
        <f>建筑各项能耗拆分!$B$18*建筑各项能耗拆分!S142</f>
        <v>0</v>
      </c>
      <c r="T5" s="1">
        <f>建筑各项能耗拆分!$B$18*建筑各项能耗拆分!T142</f>
        <v>0</v>
      </c>
      <c r="U5" s="1">
        <f>建筑各项能耗拆分!$B$18*建筑各项能耗拆分!U142</f>
        <v>0</v>
      </c>
      <c r="V5" s="1">
        <f>建筑各项能耗拆分!$B$18*建筑各项能耗拆分!V142</f>
        <v>0</v>
      </c>
      <c r="W5" s="1">
        <f>建筑各项能耗拆分!$B$18*建筑各项能耗拆分!W142</f>
        <v>0</v>
      </c>
      <c r="X5" s="1">
        <f>建筑各项能耗拆分!$B$18*建筑各项能耗拆分!X142</f>
        <v>0</v>
      </c>
      <c r="Y5" s="1">
        <f>建筑各项能耗拆分!$B$18*建筑各项能耗拆分!Y142</f>
        <v>0</v>
      </c>
      <c r="Z5" s="1">
        <f>建筑各项能耗拆分!$B$18*建筑各项能耗拆分!Z142</f>
        <v>0</v>
      </c>
      <c r="AA5" s="1">
        <f>建筑各项能耗拆分!$B$18*建筑各项能耗拆分!AA142</f>
        <v>0</v>
      </c>
      <c r="AB5" s="1">
        <f>建筑各项能耗拆分!$B$18*建筑各项能耗拆分!AB142</f>
        <v>0</v>
      </c>
      <c r="AC5" s="1">
        <f>建筑各项能耗拆分!$B$18*建筑各项能耗拆分!AC142</f>
        <v>0</v>
      </c>
      <c r="AD5" s="1">
        <f>建筑各项能耗拆分!$B$18*建筑各项能耗拆分!AD142</f>
        <v>0</v>
      </c>
      <c r="AE5" s="1">
        <f>建筑各项能耗拆分!$B$18*建筑各项能耗拆分!AE142</f>
        <v>0</v>
      </c>
      <c r="AF5" s="1">
        <f>建筑各项能耗拆分!$B$18*建筑各项能耗拆分!AF142</f>
        <v>0</v>
      </c>
      <c r="AG5" s="1">
        <f>建筑各项能耗拆分!$B$18*建筑各项能耗拆分!AG142</f>
        <v>0</v>
      </c>
      <c r="AH5" s="1">
        <f>建筑各项能耗拆分!$B$18*建筑各项能耗拆分!AH142</f>
        <v>0</v>
      </c>
      <c r="AI5" s="1">
        <f>建筑各项能耗拆分!$B$18*建筑各项能耗拆分!AI142</f>
        <v>0</v>
      </c>
      <c r="AJ5" s="1">
        <f>建筑各项能耗拆分!$B$18*建筑各项能耗拆分!AJ142</f>
        <v>0</v>
      </c>
      <c r="AK5" s="1">
        <f>建筑各项能耗拆分!$B$18*建筑各项能耗拆分!AK142</f>
        <v>0</v>
      </c>
      <c r="AL5" s="1">
        <f>建筑各项能耗拆分!$B$18*建筑各项能耗拆分!AL142</f>
        <v>0</v>
      </c>
      <c r="AM5" s="1">
        <f>建筑各项能耗拆分!$B$18*建筑各项能耗拆分!AM142</f>
        <v>0</v>
      </c>
      <c r="AN5" s="1">
        <f>建筑各项能耗拆分!$B$18*建筑各项能耗拆分!AN142</f>
        <v>0</v>
      </c>
      <c r="AO5" s="1">
        <f>建筑各项能耗拆分!$B$18*建筑各项能耗拆分!AO142</f>
        <v>0</v>
      </c>
      <c r="AP5" s="1">
        <f>建筑各项能耗拆分!$B$18*建筑各项能耗拆分!AP142</f>
        <v>0</v>
      </c>
      <c r="AQ5" s="1">
        <f>建筑各项能耗拆分!$B$18*建筑各项能耗拆分!AQ142</f>
        <v>0</v>
      </c>
      <c r="AR5" s="1">
        <f>建筑各项能耗拆分!$B$18*建筑各项能耗拆分!AR142</f>
        <v>0</v>
      </c>
    </row>
    <row r="6" spans="1:44" x14ac:dyDescent="0.15">
      <c r="A6" t="s">
        <v>4</v>
      </c>
      <c r="B6" s="1">
        <f>建筑各项能耗拆分!$B$18*建筑各项能耗拆分!B143</f>
        <v>0</v>
      </c>
      <c r="C6" s="1">
        <f>建筑各项能耗拆分!$B$18*建筑各项能耗拆分!C143</f>
        <v>0</v>
      </c>
      <c r="D6" s="1">
        <f>建筑各项能耗拆分!$B$18*建筑各项能耗拆分!D143</f>
        <v>0</v>
      </c>
      <c r="E6" s="1">
        <f>建筑各项能耗拆分!$B$18*建筑各项能耗拆分!E143</f>
        <v>0</v>
      </c>
      <c r="F6" s="1">
        <f>建筑各项能耗拆分!$B$18*建筑各项能耗拆分!F143</f>
        <v>0</v>
      </c>
      <c r="G6" s="1">
        <f>建筑各项能耗拆分!$B$18*建筑各项能耗拆分!G143</f>
        <v>0</v>
      </c>
      <c r="H6" s="1">
        <f>建筑各项能耗拆分!$B$18*建筑各项能耗拆分!H143</f>
        <v>0</v>
      </c>
      <c r="I6" s="1">
        <f>建筑各项能耗拆分!$B$18*建筑各项能耗拆分!I143</f>
        <v>0</v>
      </c>
      <c r="J6" s="1">
        <f>建筑各项能耗拆分!$B$18*建筑各项能耗拆分!J143</f>
        <v>0</v>
      </c>
      <c r="K6" s="1">
        <f>建筑各项能耗拆分!$B$18*建筑各项能耗拆分!K143</f>
        <v>0</v>
      </c>
      <c r="L6" s="1">
        <f>建筑各项能耗拆分!$B$18*建筑各项能耗拆分!L143</f>
        <v>0</v>
      </c>
      <c r="M6" s="1">
        <f>建筑各项能耗拆分!$B$18*建筑各项能耗拆分!M143</f>
        <v>0</v>
      </c>
      <c r="N6" s="1">
        <f>建筑各项能耗拆分!$B$18*建筑各项能耗拆分!N143</f>
        <v>0</v>
      </c>
      <c r="O6" s="1">
        <f>建筑各项能耗拆分!$B$18*建筑各项能耗拆分!O143</f>
        <v>0</v>
      </c>
      <c r="P6" s="1">
        <f>建筑各项能耗拆分!$B$18*建筑各项能耗拆分!P143</f>
        <v>0</v>
      </c>
      <c r="Q6" s="1">
        <f>建筑各项能耗拆分!$B$18*建筑各项能耗拆分!Q143</f>
        <v>0</v>
      </c>
      <c r="R6" s="1">
        <f>建筑各项能耗拆分!$B$18*建筑各项能耗拆分!R143</f>
        <v>0</v>
      </c>
      <c r="S6" s="1">
        <f>建筑各项能耗拆分!$B$18*建筑各项能耗拆分!S143</f>
        <v>0</v>
      </c>
      <c r="T6" s="1">
        <f>建筑各项能耗拆分!$B$18*建筑各项能耗拆分!T143</f>
        <v>0</v>
      </c>
      <c r="U6" s="1">
        <f>建筑各项能耗拆分!$B$18*建筑各项能耗拆分!U143</f>
        <v>0</v>
      </c>
      <c r="V6" s="1">
        <f>建筑各项能耗拆分!$B$18*建筑各项能耗拆分!V143</f>
        <v>0</v>
      </c>
      <c r="W6" s="1">
        <f>建筑各项能耗拆分!$B$18*建筑各项能耗拆分!W143</f>
        <v>0</v>
      </c>
      <c r="X6" s="1">
        <f>建筑各项能耗拆分!$B$18*建筑各项能耗拆分!X143</f>
        <v>0</v>
      </c>
      <c r="Y6" s="1">
        <f>建筑各项能耗拆分!$B$18*建筑各项能耗拆分!Y143</f>
        <v>0</v>
      </c>
      <c r="Z6" s="1">
        <f>建筑各项能耗拆分!$B$18*建筑各项能耗拆分!Z143</f>
        <v>0</v>
      </c>
      <c r="AA6" s="1">
        <f>建筑各项能耗拆分!$B$18*建筑各项能耗拆分!AA143</f>
        <v>0</v>
      </c>
      <c r="AB6" s="1">
        <f>建筑各项能耗拆分!$B$18*建筑各项能耗拆分!AB143</f>
        <v>0</v>
      </c>
      <c r="AC6" s="1">
        <f>建筑各项能耗拆分!$B$18*建筑各项能耗拆分!AC143</f>
        <v>0</v>
      </c>
      <c r="AD6" s="1">
        <f>建筑各项能耗拆分!$B$18*建筑各项能耗拆分!AD143</f>
        <v>0</v>
      </c>
      <c r="AE6" s="1">
        <f>建筑各项能耗拆分!$B$18*建筑各项能耗拆分!AE143</f>
        <v>0</v>
      </c>
      <c r="AF6" s="1">
        <f>建筑各项能耗拆分!$B$18*建筑各项能耗拆分!AF143</f>
        <v>0</v>
      </c>
      <c r="AG6" s="1">
        <f>建筑各项能耗拆分!$B$18*建筑各项能耗拆分!AG143</f>
        <v>0</v>
      </c>
      <c r="AH6" s="1">
        <f>建筑各项能耗拆分!$B$18*建筑各项能耗拆分!AH143</f>
        <v>0</v>
      </c>
      <c r="AI6" s="1">
        <f>建筑各项能耗拆分!$B$18*建筑各项能耗拆分!AI143</f>
        <v>0</v>
      </c>
      <c r="AJ6" s="1">
        <f>建筑各项能耗拆分!$B$18*建筑各项能耗拆分!AJ143</f>
        <v>0</v>
      </c>
      <c r="AK6" s="1">
        <f>建筑各项能耗拆分!$B$18*建筑各项能耗拆分!AK143</f>
        <v>0</v>
      </c>
      <c r="AL6" s="1">
        <f>建筑各项能耗拆分!$B$18*建筑各项能耗拆分!AL143</f>
        <v>0</v>
      </c>
      <c r="AM6" s="1">
        <f>建筑各项能耗拆分!$B$18*建筑各项能耗拆分!AM143</f>
        <v>0</v>
      </c>
      <c r="AN6" s="1">
        <f>建筑各项能耗拆分!$B$18*建筑各项能耗拆分!AN143</f>
        <v>0</v>
      </c>
      <c r="AO6" s="1">
        <f>建筑各项能耗拆分!$B$18*建筑各项能耗拆分!AO143</f>
        <v>0</v>
      </c>
      <c r="AP6" s="1">
        <f>建筑各项能耗拆分!$B$18*建筑各项能耗拆分!AP143</f>
        <v>0</v>
      </c>
      <c r="AQ6" s="1">
        <f>建筑各项能耗拆分!$B$18*建筑各项能耗拆分!AQ143</f>
        <v>0</v>
      </c>
      <c r="AR6" s="1">
        <f>建筑各项能耗拆分!$B$18*建筑各项能耗拆分!AR143</f>
        <v>0</v>
      </c>
    </row>
    <row r="7" spans="1:44" x14ac:dyDescent="0.15">
      <c r="A7" t="s">
        <v>5</v>
      </c>
      <c r="B7" s="1">
        <f>建筑各项能耗拆分!$B$18*建筑各项能耗拆分!B144</f>
        <v>0</v>
      </c>
      <c r="C7" s="1">
        <f>建筑各项能耗拆分!$B$18*建筑各项能耗拆分!C144</f>
        <v>0</v>
      </c>
      <c r="D7" s="1">
        <f>建筑各项能耗拆分!$B$18*建筑各项能耗拆分!D144</f>
        <v>0</v>
      </c>
      <c r="E7" s="1">
        <f>建筑各项能耗拆分!$B$18*建筑各项能耗拆分!E144</f>
        <v>0</v>
      </c>
      <c r="F7" s="1">
        <f>建筑各项能耗拆分!$B$18*建筑各项能耗拆分!F144</f>
        <v>0</v>
      </c>
      <c r="G7" s="1">
        <f>建筑各项能耗拆分!$B$18*建筑各项能耗拆分!G144</f>
        <v>0</v>
      </c>
      <c r="H7" s="1">
        <f>建筑各项能耗拆分!$B$18*建筑各项能耗拆分!H144</f>
        <v>0</v>
      </c>
      <c r="I7" s="1">
        <f>建筑各项能耗拆分!$B$18*建筑各项能耗拆分!I144</f>
        <v>0</v>
      </c>
      <c r="J7" s="1">
        <f>建筑各项能耗拆分!$B$18*建筑各项能耗拆分!J144</f>
        <v>0</v>
      </c>
      <c r="K7" s="1">
        <f>建筑各项能耗拆分!$B$18*建筑各项能耗拆分!K144</f>
        <v>0</v>
      </c>
      <c r="L7" s="1">
        <f>建筑各项能耗拆分!$B$18*建筑各项能耗拆分!L144</f>
        <v>0</v>
      </c>
      <c r="M7" s="1">
        <f>建筑各项能耗拆分!$B$18*建筑各项能耗拆分!M144</f>
        <v>0</v>
      </c>
      <c r="N7" s="1">
        <f>建筑各项能耗拆分!$B$18*建筑各项能耗拆分!N144</f>
        <v>0</v>
      </c>
      <c r="O7" s="1">
        <f>建筑各项能耗拆分!$B$18*建筑各项能耗拆分!O144</f>
        <v>0</v>
      </c>
      <c r="P7" s="1">
        <f>建筑各项能耗拆分!$B$18*建筑各项能耗拆分!P144</f>
        <v>0</v>
      </c>
      <c r="Q7" s="1">
        <f>建筑各项能耗拆分!$B$18*建筑各项能耗拆分!Q144</f>
        <v>0</v>
      </c>
      <c r="R7" s="1">
        <f>建筑各项能耗拆分!$B$18*建筑各项能耗拆分!R144</f>
        <v>0</v>
      </c>
      <c r="S7" s="1">
        <f>建筑各项能耗拆分!$B$18*建筑各项能耗拆分!S144</f>
        <v>0</v>
      </c>
      <c r="T7" s="1">
        <f>建筑各项能耗拆分!$B$18*建筑各项能耗拆分!T144</f>
        <v>0</v>
      </c>
      <c r="U7" s="1">
        <f>建筑各项能耗拆分!$B$18*建筑各项能耗拆分!U144</f>
        <v>0</v>
      </c>
      <c r="V7" s="1">
        <f>建筑各项能耗拆分!$B$18*建筑各项能耗拆分!V144</f>
        <v>0</v>
      </c>
      <c r="W7" s="1">
        <f>建筑各项能耗拆分!$B$18*建筑各项能耗拆分!W144</f>
        <v>0</v>
      </c>
      <c r="X7" s="1">
        <f>建筑各项能耗拆分!$B$18*建筑各项能耗拆分!X144</f>
        <v>0</v>
      </c>
      <c r="Y7" s="1">
        <f>建筑各项能耗拆分!$B$18*建筑各项能耗拆分!Y144</f>
        <v>0</v>
      </c>
      <c r="Z7" s="1">
        <f>建筑各项能耗拆分!$B$18*建筑各项能耗拆分!Z144</f>
        <v>0</v>
      </c>
      <c r="AA7" s="1">
        <f>建筑各项能耗拆分!$B$18*建筑各项能耗拆分!AA144</f>
        <v>0</v>
      </c>
      <c r="AB7" s="1">
        <f>建筑各项能耗拆分!$B$18*建筑各项能耗拆分!AB144</f>
        <v>0</v>
      </c>
      <c r="AC7" s="1">
        <f>建筑各项能耗拆分!$B$18*建筑各项能耗拆分!AC144</f>
        <v>0</v>
      </c>
      <c r="AD7" s="1">
        <f>建筑各项能耗拆分!$B$18*建筑各项能耗拆分!AD144</f>
        <v>0</v>
      </c>
      <c r="AE7" s="1">
        <f>建筑各项能耗拆分!$B$18*建筑各项能耗拆分!AE144</f>
        <v>0</v>
      </c>
      <c r="AF7" s="1">
        <f>建筑各项能耗拆分!$B$18*建筑各项能耗拆分!AF144</f>
        <v>0</v>
      </c>
      <c r="AG7" s="1">
        <f>建筑各项能耗拆分!$B$18*建筑各项能耗拆分!AG144</f>
        <v>0</v>
      </c>
      <c r="AH7" s="1">
        <f>建筑各项能耗拆分!$B$18*建筑各项能耗拆分!AH144</f>
        <v>0</v>
      </c>
      <c r="AI7" s="1">
        <f>建筑各项能耗拆分!$B$18*建筑各项能耗拆分!AI144</f>
        <v>0</v>
      </c>
      <c r="AJ7" s="1">
        <f>建筑各项能耗拆分!$B$18*建筑各项能耗拆分!AJ144</f>
        <v>0</v>
      </c>
      <c r="AK7" s="1">
        <f>建筑各项能耗拆分!$B$18*建筑各项能耗拆分!AK144</f>
        <v>0</v>
      </c>
      <c r="AL7" s="1">
        <f>建筑各项能耗拆分!$B$18*建筑各项能耗拆分!AL144</f>
        <v>0</v>
      </c>
      <c r="AM7" s="1">
        <f>建筑各项能耗拆分!$B$18*建筑各项能耗拆分!AM144</f>
        <v>0</v>
      </c>
      <c r="AN7" s="1">
        <f>建筑各项能耗拆分!$B$18*建筑各项能耗拆分!AN144</f>
        <v>0</v>
      </c>
      <c r="AO7" s="1">
        <f>建筑各项能耗拆分!$B$18*建筑各项能耗拆分!AO144</f>
        <v>0</v>
      </c>
      <c r="AP7" s="1">
        <f>建筑各项能耗拆分!$B$18*建筑各项能耗拆分!AP144</f>
        <v>0</v>
      </c>
      <c r="AQ7" s="1">
        <f>建筑各项能耗拆分!$B$18*建筑各项能耗拆分!AQ144</f>
        <v>0</v>
      </c>
      <c r="AR7" s="1">
        <f>建筑各项能耗拆分!$B$18*建筑各项能耗拆分!AR144</f>
        <v>0</v>
      </c>
    </row>
    <row r="8" spans="1:44" x14ac:dyDescent="0.15">
      <c r="A8" t="s">
        <v>6</v>
      </c>
      <c r="B8" s="1">
        <f>建筑各项能耗拆分!$B$18*建筑各项能耗拆分!B145</f>
        <v>0</v>
      </c>
      <c r="C8" s="1">
        <f>建筑各项能耗拆分!$B$18*建筑各项能耗拆分!C145</f>
        <v>0</v>
      </c>
      <c r="D8" s="1">
        <f>建筑各项能耗拆分!$B$18*建筑各项能耗拆分!D145</f>
        <v>0</v>
      </c>
      <c r="E8" s="1">
        <f>建筑各项能耗拆分!$B$18*建筑各项能耗拆分!E145</f>
        <v>0</v>
      </c>
      <c r="F8" s="1">
        <f>建筑各项能耗拆分!$B$18*建筑各项能耗拆分!F145</f>
        <v>0</v>
      </c>
      <c r="G8" s="1">
        <f>建筑各项能耗拆分!$B$18*建筑各项能耗拆分!G145</f>
        <v>0</v>
      </c>
      <c r="H8" s="1">
        <f>建筑各项能耗拆分!$B$18*建筑各项能耗拆分!H145</f>
        <v>0</v>
      </c>
      <c r="I8" s="1">
        <f>建筑各项能耗拆分!$B$18*建筑各项能耗拆分!I145</f>
        <v>0</v>
      </c>
      <c r="J8" s="1">
        <f>建筑各项能耗拆分!$B$18*建筑各项能耗拆分!J145</f>
        <v>0</v>
      </c>
      <c r="K8" s="1">
        <f>建筑各项能耗拆分!$B$18*建筑各项能耗拆分!K145</f>
        <v>0</v>
      </c>
      <c r="L8" s="1">
        <f>建筑各项能耗拆分!$B$18*建筑各项能耗拆分!L145</f>
        <v>0</v>
      </c>
      <c r="M8" s="1">
        <f>建筑各项能耗拆分!$B$18*建筑各项能耗拆分!M145</f>
        <v>0</v>
      </c>
      <c r="N8" s="1">
        <f>建筑各项能耗拆分!$B$18*建筑各项能耗拆分!N145</f>
        <v>0</v>
      </c>
      <c r="O8" s="1">
        <f>建筑各项能耗拆分!$B$18*建筑各项能耗拆分!O145</f>
        <v>0</v>
      </c>
      <c r="P8" s="1">
        <f>建筑各项能耗拆分!$B$18*建筑各项能耗拆分!P145</f>
        <v>0</v>
      </c>
      <c r="Q8" s="1">
        <f>建筑各项能耗拆分!$B$18*建筑各项能耗拆分!Q145</f>
        <v>0</v>
      </c>
      <c r="R8" s="1">
        <f>建筑各项能耗拆分!$B$18*建筑各项能耗拆分!R145</f>
        <v>0</v>
      </c>
      <c r="S8" s="1">
        <f>建筑各项能耗拆分!$B$18*建筑各项能耗拆分!S145</f>
        <v>0</v>
      </c>
      <c r="T8" s="1">
        <f>建筑各项能耗拆分!$B$18*建筑各项能耗拆分!T145</f>
        <v>0</v>
      </c>
      <c r="U8" s="1">
        <f>建筑各项能耗拆分!$B$18*建筑各项能耗拆分!U145</f>
        <v>0</v>
      </c>
      <c r="V8" s="1">
        <f>建筑各项能耗拆分!$B$18*建筑各项能耗拆分!V145</f>
        <v>0</v>
      </c>
      <c r="W8" s="1">
        <f>建筑各项能耗拆分!$B$18*建筑各项能耗拆分!W145</f>
        <v>0</v>
      </c>
      <c r="X8" s="1">
        <f>建筑各项能耗拆分!$B$18*建筑各项能耗拆分!X145</f>
        <v>0</v>
      </c>
      <c r="Y8" s="1">
        <f>建筑各项能耗拆分!$B$18*建筑各项能耗拆分!Y145</f>
        <v>0</v>
      </c>
      <c r="Z8" s="1">
        <f>建筑各项能耗拆分!$B$18*建筑各项能耗拆分!Z145</f>
        <v>0</v>
      </c>
      <c r="AA8" s="1">
        <f>建筑各项能耗拆分!$B$18*建筑各项能耗拆分!AA145</f>
        <v>0</v>
      </c>
      <c r="AB8" s="1">
        <f>建筑各项能耗拆分!$B$18*建筑各项能耗拆分!AB145</f>
        <v>0</v>
      </c>
      <c r="AC8" s="1">
        <f>建筑各项能耗拆分!$B$18*建筑各项能耗拆分!AC145</f>
        <v>0</v>
      </c>
      <c r="AD8" s="1">
        <f>建筑各项能耗拆分!$B$18*建筑各项能耗拆分!AD145</f>
        <v>0</v>
      </c>
      <c r="AE8" s="1">
        <f>建筑各项能耗拆分!$B$18*建筑各项能耗拆分!AE145</f>
        <v>0</v>
      </c>
      <c r="AF8" s="1">
        <f>建筑各项能耗拆分!$B$18*建筑各项能耗拆分!AF145</f>
        <v>0</v>
      </c>
      <c r="AG8" s="1">
        <f>建筑各项能耗拆分!$B$18*建筑各项能耗拆分!AG145</f>
        <v>0</v>
      </c>
      <c r="AH8" s="1">
        <f>建筑各项能耗拆分!$B$18*建筑各项能耗拆分!AH145</f>
        <v>0</v>
      </c>
      <c r="AI8" s="1">
        <f>建筑各项能耗拆分!$B$18*建筑各项能耗拆分!AI145</f>
        <v>0</v>
      </c>
      <c r="AJ8" s="1">
        <f>建筑各项能耗拆分!$B$18*建筑各项能耗拆分!AJ145</f>
        <v>0</v>
      </c>
      <c r="AK8" s="1">
        <f>建筑各项能耗拆分!$B$18*建筑各项能耗拆分!AK145</f>
        <v>0</v>
      </c>
      <c r="AL8" s="1">
        <f>建筑各项能耗拆分!$B$18*建筑各项能耗拆分!AL145</f>
        <v>0</v>
      </c>
      <c r="AM8" s="1">
        <f>建筑各项能耗拆分!$B$18*建筑各项能耗拆分!AM145</f>
        <v>0</v>
      </c>
      <c r="AN8" s="1">
        <f>建筑各项能耗拆分!$B$18*建筑各项能耗拆分!AN145</f>
        <v>0</v>
      </c>
      <c r="AO8" s="1">
        <f>建筑各项能耗拆分!$B$18*建筑各项能耗拆分!AO145</f>
        <v>0</v>
      </c>
      <c r="AP8" s="1">
        <f>建筑各项能耗拆分!$B$18*建筑各项能耗拆分!AP145</f>
        <v>0</v>
      </c>
      <c r="AQ8" s="1">
        <f>建筑各项能耗拆分!$B$18*建筑各项能耗拆分!AQ145</f>
        <v>0</v>
      </c>
      <c r="AR8" s="1">
        <f>建筑各项能耗拆分!$B$18*建筑各项能耗拆分!AR145</f>
        <v>0</v>
      </c>
    </row>
    <row r="9" spans="1:44" x14ac:dyDescent="0.15">
      <c r="A9" t="s">
        <v>7</v>
      </c>
      <c r="B9" s="1">
        <f>建筑各项能耗拆分!$B$18*建筑各项能耗拆分!B146</f>
        <v>0</v>
      </c>
      <c r="C9" s="1">
        <f>建筑各项能耗拆分!$B$18*建筑各项能耗拆分!C146</f>
        <v>0</v>
      </c>
      <c r="D9" s="1">
        <f>建筑各项能耗拆分!$B$18*建筑各项能耗拆分!D146</f>
        <v>0</v>
      </c>
      <c r="E9" s="1">
        <f>建筑各项能耗拆分!$B$18*建筑各项能耗拆分!E146</f>
        <v>0</v>
      </c>
      <c r="F9" s="1">
        <f>建筑各项能耗拆分!$B$18*建筑各项能耗拆分!F146</f>
        <v>0</v>
      </c>
      <c r="G9" s="1">
        <f>建筑各项能耗拆分!$B$18*建筑各项能耗拆分!G146</f>
        <v>0</v>
      </c>
      <c r="H9" s="1">
        <f>建筑各项能耗拆分!$B$18*建筑各项能耗拆分!H146</f>
        <v>0</v>
      </c>
      <c r="I9" s="1">
        <f>建筑各项能耗拆分!$B$18*建筑各项能耗拆分!I146</f>
        <v>0</v>
      </c>
      <c r="J9" s="1">
        <f>建筑各项能耗拆分!$B$18*建筑各项能耗拆分!J146</f>
        <v>0</v>
      </c>
      <c r="K9" s="1">
        <f>建筑各项能耗拆分!$B$18*建筑各项能耗拆分!K146</f>
        <v>0</v>
      </c>
      <c r="L9" s="1">
        <f>建筑各项能耗拆分!$B$18*建筑各项能耗拆分!L146</f>
        <v>0</v>
      </c>
      <c r="M9" s="1">
        <f>建筑各项能耗拆分!$B$18*建筑各项能耗拆分!M146</f>
        <v>0</v>
      </c>
      <c r="N9" s="1">
        <f>建筑各项能耗拆分!$B$18*建筑各项能耗拆分!N146</f>
        <v>0</v>
      </c>
      <c r="O9" s="1">
        <f>建筑各项能耗拆分!$B$18*建筑各项能耗拆分!O146</f>
        <v>0</v>
      </c>
      <c r="P9" s="1">
        <f>建筑各项能耗拆分!$B$18*建筑各项能耗拆分!P146</f>
        <v>0</v>
      </c>
      <c r="Q9" s="1">
        <f>建筑各项能耗拆分!$B$18*建筑各项能耗拆分!Q146</f>
        <v>0</v>
      </c>
      <c r="R9" s="1">
        <f>建筑各项能耗拆分!$B$18*建筑各项能耗拆分!R146</f>
        <v>0</v>
      </c>
      <c r="S9" s="1">
        <f>建筑各项能耗拆分!$B$18*建筑各项能耗拆分!S146</f>
        <v>0</v>
      </c>
      <c r="T9" s="1">
        <f>建筑各项能耗拆分!$B$18*建筑各项能耗拆分!T146</f>
        <v>0</v>
      </c>
      <c r="U9" s="1">
        <f>建筑各项能耗拆分!$B$18*建筑各项能耗拆分!U146</f>
        <v>0</v>
      </c>
      <c r="V9" s="1">
        <f>建筑各项能耗拆分!$B$18*建筑各项能耗拆分!V146</f>
        <v>0</v>
      </c>
      <c r="W9" s="1">
        <f>建筑各项能耗拆分!$B$18*建筑各项能耗拆分!W146</f>
        <v>0</v>
      </c>
      <c r="X9" s="1">
        <f>建筑各项能耗拆分!$B$18*建筑各项能耗拆分!X146</f>
        <v>0</v>
      </c>
      <c r="Y9" s="1">
        <f>建筑各项能耗拆分!$B$18*建筑各项能耗拆分!Y146</f>
        <v>0</v>
      </c>
      <c r="Z9" s="1">
        <f>建筑各项能耗拆分!$B$18*建筑各项能耗拆分!Z146</f>
        <v>0</v>
      </c>
      <c r="AA9" s="1">
        <f>建筑各项能耗拆分!$B$18*建筑各项能耗拆分!AA146</f>
        <v>0</v>
      </c>
      <c r="AB9" s="1">
        <f>建筑各项能耗拆分!$B$18*建筑各项能耗拆分!AB146</f>
        <v>0</v>
      </c>
      <c r="AC9" s="1">
        <f>建筑各项能耗拆分!$B$18*建筑各项能耗拆分!AC146</f>
        <v>0</v>
      </c>
      <c r="AD9" s="1">
        <f>建筑各项能耗拆分!$B$18*建筑各项能耗拆分!AD146</f>
        <v>0</v>
      </c>
      <c r="AE9" s="1">
        <f>建筑各项能耗拆分!$B$18*建筑各项能耗拆分!AE146</f>
        <v>0</v>
      </c>
      <c r="AF9" s="1">
        <f>建筑各项能耗拆分!$B$18*建筑各项能耗拆分!AF146</f>
        <v>0</v>
      </c>
      <c r="AG9" s="1">
        <f>建筑各项能耗拆分!$B$18*建筑各项能耗拆分!AG146</f>
        <v>0</v>
      </c>
      <c r="AH9" s="1">
        <f>建筑各项能耗拆分!$B$18*建筑各项能耗拆分!AH146</f>
        <v>0</v>
      </c>
      <c r="AI9" s="1">
        <f>建筑各项能耗拆分!$B$18*建筑各项能耗拆分!AI146</f>
        <v>0</v>
      </c>
      <c r="AJ9" s="1">
        <f>建筑各项能耗拆分!$B$18*建筑各项能耗拆分!AJ146</f>
        <v>0</v>
      </c>
      <c r="AK9" s="1">
        <f>建筑各项能耗拆分!$B$18*建筑各项能耗拆分!AK146</f>
        <v>0</v>
      </c>
      <c r="AL9" s="1">
        <f>建筑各项能耗拆分!$B$18*建筑各项能耗拆分!AL146</f>
        <v>0</v>
      </c>
      <c r="AM9" s="1">
        <f>建筑各项能耗拆分!$B$18*建筑各项能耗拆分!AM146</f>
        <v>0</v>
      </c>
      <c r="AN9" s="1">
        <f>建筑各项能耗拆分!$B$18*建筑各项能耗拆分!AN146</f>
        <v>0</v>
      </c>
      <c r="AO9" s="1">
        <f>建筑各项能耗拆分!$B$18*建筑各项能耗拆分!AO146</f>
        <v>0</v>
      </c>
      <c r="AP9" s="1">
        <f>建筑各项能耗拆分!$B$18*建筑各项能耗拆分!AP146</f>
        <v>0</v>
      </c>
      <c r="AQ9" s="1">
        <f>建筑各项能耗拆分!$B$18*建筑各项能耗拆分!AQ146</f>
        <v>0</v>
      </c>
      <c r="AR9" s="1">
        <f>建筑各项能耗拆分!$B$18*建筑各项能耗拆分!AR146</f>
        <v>0</v>
      </c>
    </row>
    <row r="10" spans="1:44" x14ac:dyDescent="0.15">
      <c r="A10" t="s">
        <v>8</v>
      </c>
      <c r="B10" s="1">
        <f>建筑各项能耗拆分!$B$18*建筑各项能耗拆分!B147</f>
        <v>0</v>
      </c>
      <c r="C10" s="1">
        <f>建筑各项能耗拆分!$B$18*建筑各项能耗拆分!C147</f>
        <v>0</v>
      </c>
      <c r="D10" s="1">
        <f>建筑各项能耗拆分!$B$18*建筑各项能耗拆分!D147</f>
        <v>0</v>
      </c>
      <c r="E10" s="1">
        <f>建筑各项能耗拆分!$B$18*建筑各项能耗拆分!E147</f>
        <v>0</v>
      </c>
      <c r="F10" s="1">
        <f>建筑各项能耗拆分!$B$18*建筑各项能耗拆分!F147</f>
        <v>0</v>
      </c>
      <c r="G10" s="1">
        <f>建筑各项能耗拆分!$B$18*建筑各项能耗拆分!G147</f>
        <v>0</v>
      </c>
      <c r="H10" s="1">
        <f>建筑各项能耗拆分!$B$18*建筑各项能耗拆分!H147</f>
        <v>0</v>
      </c>
      <c r="I10" s="1">
        <f>建筑各项能耗拆分!$B$18*建筑各项能耗拆分!I147</f>
        <v>0</v>
      </c>
      <c r="J10" s="1">
        <f>建筑各项能耗拆分!$B$18*建筑各项能耗拆分!J147</f>
        <v>0</v>
      </c>
      <c r="K10" s="1">
        <f>建筑各项能耗拆分!$B$18*建筑各项能耗拆分!K147</f>
        <v>0</v>
      </c>
      <c r="L10" s="1">
        <f>建筑各项能耗拆分!$B$18*建筑各项能耗拆分!L147</f>
        <v>0</v>
      </c>
      <c r="M10" s="1">
        <f>建筑各项能耗拆分!$B$18*建筑各项能耗拆分!M147</f>
        <v>0</v>
      </c>
      <c r="N10" s="1">
        <f>建筑各项能耗拆分!$B$18*建筑各项能耗拆分!N147</f>
        <v>0</v>
      </c>
      <c r="O10" s="1">
        <f>建筑各项能耗拆分!$B$18*建筑各项能耗拆分!O147</f>
        <v>0</v>
      </c>
      <c r="P10" s="1">
        <f>建筑各项能耗拆分!$B$18*建筑各项能耗拆分!P147</f>
        <v>0</v>
      </c>
      <c r="Q10" s="1">
        <f>建筑各项能耗拆分!$B$18*建筑各项能耗拆分!Q147</f>
        <v>0</v>
      </c>
      <c r="R10" s="1">
        <f>建筑各项能耗拆分!$B$18*建筑各项能耗拆分!R147</f>
        <v>0</v>
      </c>
      <c r="S10" s="1">
        <f>建筑各项能耗拆分!$B$18*建筑各项能耗拆分!S147</f>
        <v>0</v>
      </c>
      <c r="T10" s="1">
        <f>建筑各项能耗拆分!$B$18*建筑各项能耗拆分!T147</f>
        <v>0</v>
      </c>
      <c r="U10" s="1">
        <f>建筑各项能耗拆分!$B$18*建筑各项能耗拆分!U147</f>
        <v>0</v>
      </c>
      <c r="V10" s="1">
        <f>建筑各项能耗拆分!$B$18*建筑各项能耗拆分!V147</f>
        <v>0</v>
      </c>
      <c r="W10" s="1">
        <f>建筑各项能耗拆分!$B$18*建筑各项能耗拆分!W147</f>
        <v>0</v>
      </c>
      <c r="X10" s="1">
        <f>建筑各项能耗拆分!$B$18*建筑各项能耗拆分!X147</f>
        <v>0</v>
      </c>
      <c r="Y10" s="1">
        <f>建筑各项能耗拆分!$B$18*建筑各项能耗拆分!Y147</f>
        <v>0</v>
      </c>
      <c r="Z10" s="1">
        <f>建筑各项能耗拆分!$B$18*建筑各项能耗拆分!Z147</f>
        <v>0</v>
      </c>
      <c r="AA10" s="1">
        <f>建筑各项能耗拆分!$B$18*建筑各项能耗拆分!AA147</f>
        <v>0</v>
      </c>
      <c r="AB10" s="1">
        <f>建筑各项能耗拆分!$B$18*建筑各项能耗拆分!AB147</f>
        <v>0</v>
      </c>
      <c r="AC10" s="1">
        <f>建筑各项能耗拆分!$B$18*建筑各项能耗拆分!AC147</f>
        <v>0</v>
      </c>
      <c r="AD10" s="1">
        <f>建筑各项能耗拆分!$B$18*建筑各项能耗拆分!AD147</f>
        <v>0</v>
      </c>
      <c r="AE10" s="1">
        <f>建筑各项能耗拆分!$B$18*建筑各项能耗拆分!AE147</f>
        <v>0</v>
      </c>
      <c r="AF10" s="1">
        <f>建筑各项能耗拆分!$B$18*建筑各项能耗拆分!AF147</f>
        <v>0</v>
      </c>
      <c r="AG10" s="1">
        <f>建筑各项能耗拆分!$B$18*建筑各项能耗拆分!AG147</f>
        <v>0</v>
      </c>
      <c r="AH10" s="1">
        <f>建筑各项能耗拆分!$B$18*建筑各项能耗拆分!AH147</f>
        <v>0</v>
      </c>
      <c r="AI10" s="1">
        <f>建筑各项能耗拆分!$B$18*建筑各项能耗拆分!AI147</f>
        <v>0</v>
      </c>
      <c r="AJ10" s="1">
        <f>建筑各项能耗拆分!$B$18*建筑各项能耗拆分!AJ147</f>
        <v>0</v>
      </c>
      <c r="AK10" s="1">
        <f>建筑各项能耗拆分!$B$18*建筑各项能耗拆分!AK147</f>
        <v>0</v>
      </c>
      <c r="AL10" s="1">
        <f>建筑各项能耗拆分!$B$18*建筑各项能耗拆分!AL147</f>
        <v>0</v>
      </c>
      <c r="AM10" s="1">
        <f>建筑各项能耗拆分!$B$18*建筑各项能耗拆分!AM147</f>
        <v>0</v>
      </c>
      <c r="AN10" s="1">
        <f>建筑各项能耗拆分!$B$18*建筑各项能耗拆分!AN147</f>
        <v>0</v>
      </c>
      <c r="AO10" s="1">
        <f>建筑各项能耗拆分!$B$18*建筑各项能耗拆分!AO147</f>
        <v>0</v>
      </c>
      <c r="AP10" s="1">
        <f>建筑各项能耗拆分!$B$18*建筑各项能耗拆分!AP147</f>
        <v>0</v>
      </c>
      <c r="AQ10" s="1">
        <f>建筑各项能耗拆分!$B$18*建筑各项能耗拆分!AQ147</f>
        <v>0</v>
      </c>
      <c r="AR10" s="1">
        <f>建筑各项能耗拆分!$B$18*建筑各项能耗拆分!AR147</f>
        <v>0</v>
      </c>
    </row>
    <row r="11" spans="1:44" x14ac:dyDescent="0.15">
      <c r="A11" t="s">
        <v>9</v>
      </c>
      <c r="B11" s="1">
        <f>建筑各项能耗拆分!$B$18*建筑各项能耗拆分!B148</f>
        <v>0</v>
      </c>
      <c r="C11" s="1">
        <f>建筑各项能耗拆分!$B$18*建筑各项能耗拆分!C148</f>
        <v>0</v>
      </c>
      <c r="D11" s="1">
        <f>建筑各项能耗拆分!$B$18*建筑各项能耗拆分!D148</f>
        <v>0</v>
      </c>
      <c r="E11" s="1">
        <f>建筑各项能耗拆分!$B$18*建筑各项能耗拆分!E148</f>
        <v>0</v>
      </c>
      <c r="F11" s="1">
        <f>建筑各项能耗拆分!$B$18*建筑各项能耗拆分!F148</f>
        <v>0</v>
      </c>
      <c r="G11" s="1">
        <f>建筑各项能耗拆分!$B$18*建筑各项能耗拆分!G148</f>
        <v>0</v>
      </c>
      <c r="H11" s="1">
        <f>建筑各项能耗拆分!$B$18*建筑各项能耗拆分!H148</f>
        <v>0</v>
      </c>
      <c r="I11" s="1">
        <f>建筑各项能耗拆分!$B$18*建筑各项能耗拆分!I148</f>
        <v>0</v>
      </c>
      <c r="J11" s="1">
        <f>建筑各项能耗拆分!$B$18*建筑各项能耗拆分!J148</f>
        <v>0</v>
      </c>
      <c r="K11" s="1">
        <f>建筑各项能耗拆分!$B$18*建筑各项能耗拆分!K148</f>
        <v>0</v>
      </c>
      <c r="L11" s="1">
        <f>建筑各项能耗拆分!$B$18*建筑各项能耗拆分!L148</f>
        <v>0</v>
      </c>
      <c r="M11" s="1">
        <f>建筑各项能耗拆分!$B$18*建筑各项能耗拆分!M148</f>
        <v>0</v>
      </c>
      <c r="N11" s="1">
        <f>建筑各项能耗拆分!$B$18*建筑各项能耗拆分!N148</f>
        <v>0</v>
      </c>
      <c r="O11" s="1">
        <f>建筑各项能耗拆分!$B$18*建筑各项能耗拆分!O148</f>
        <v>0</v>
      </c>
      <c r="P11" s="1">
        <f>建筑各项能耗拆分!$B$18*建筑各项能耗拆分!P148</f>
        <v>0</v>
      </c>
      <c r="Q11" s="1">
        <f>建筑各项能耗拆分!$B$18*建筑各项能耗拆分!Q148</f>
        <v>0</v>
      </c>
      <c r="R11" s="1">
        <f>建筑各项能耗拆分!$B$18*建筑各项能耗拆分!R148</f>
        <v>0</v>
      </c>
      <c r="S11" s="1">
        <f>建筑各项能耗拆分!$B$18*建筑各项能耗拆分!S148</f>
        <v>0</v>
      </c>
      <c r="T11" s="1">
        <f>建筑各项能耗拆分!$B$18*建筑各项能耗拆分!T148</f>
        <v>0</v>
      </c>
      <c r="U11" s="1">
        <f>建筑各项能耗拆分!$B$18*建筑各项能耗拆分!U148</f>
        <v>0</v>
      </c>
      <c r="V11" s="1">
        <f>建筑各项能耗拆分!$B$18*建筑各项能耗拆分!V148</f>
        <v>0</v>
      </c>
      <c r="W11" s="1">
        <f>建筑各项能耗拆分!$B$18*建筑各项能耗拆分!W148</f>
        <v>0</v>
      </c>
      <c r="X11" s="1">
        <f>建筑各项能耗拆分!$B$18*建筑各项能耗拆分!X148</f>
        <v>0</v>
      </c>
      <c r="Y11" s="1">
        <f>建筑各项能耗拆分!$B$18*建筑各项能耗拆分!Y148</f>
        <v>0</v>
      </c>
      <c r="Z11" s="1">
        <f>建筑各项能耗拆分!$B$18*建筑各项能耗拆分!Z148</f>
        <v>0</v>
      </c>
      <c r="AA11" s="1">
        <f>建筑各项能耗拆分!$B$18*建筑各项能耗拆分!AA148</f>
        <v>0</v>
      </c>
      <c r="AB11" s="1">
        <f>建筑各项能耗拆分!$B$18*建筑各项能耗拆分!AB148</f>
        <v>0</v>
      </c>
      <c r="AC11" s="1">
        <f>建筑各项能耗拆分!$B$18*建筑各项能耗拆分!AC148</f>
        <v>0</v>
      </c>
      <c r="AD11" s="1">
        <f>建筑各项能耗拆分!$B$18*建筑各项能耗拆分!AD148</f>
        <v>0</v>
      </c>
      <c r="AE11" s="1">
        <f>建筑各项能耗拆分!$B$18*建筑各项能耗拆分!AE148</f>
        <v>0</v>
      </c>
      <c r="AF11" s="1">
        <f>建筑各项能耗拆分!$B$18*建筑各项能耗拆分!AF148</f>
        <v>0</v>
      </c>
      <c r="AG11" s="1">
        <f>建筑各项能耗拆分!$B$18*建筑各项能耗拆分!AG148</f>
        <v>0</v>
      </c>
      <c r="AH11" s="1">
        <f>建筑各项能耗拆分!$B$18*建筑各项能耗拆分!AH148</f>
        <v>0</v>
      </c>
      <c r="AI11" s="1">
        <f>建筑各项能耗拆分!$B$18*建筑各项能耗拆分!AI148</f>
        <v>0</v>
      </c>
      <c r="AJ11" s="1">
        <f>建筑各项能耗拆分!$B$18*建筑各项能耗拆分!AJ148</f>
        <v>0</v>
      </c>
      <c r="AK11" s="1">
        <f>建筑各项能耗拆分!$B$18*建筑各项能耗拆分!AK148</f>
        <v>0</v>
      </c>
      <c r="AL11" s="1">
        <f>建筑各项能耗拆分!$B$18*建筑各项能耗拆分!AL148</f>
        <v>0</v>
      </c>
      <c r="AM11" s="1">
        <f>建筑各项能耗拆分!$B$18*建筑各项能耗拆分!AM148</f>
        <v>0</v>
      </c>
      <c r="AN11" s="1">
        <f>建筑各项能耗拆分!$B$18*建筑各项能耗拆分!AN148</f>
        <v>0</v>
      </c>
      <c r="AO11" s="1">
        <f>建筑各项能耗拆分!$B$18*建筑各项能耗拆分!AO148</f>
        <v>0</v>
      </c>
      <c r="AP11" s="1">
        <f>建筑各项能耗拆分!$B$18*建筑各项能耗拆分!AP148</f>
        <v>0</v>
      </c>
      <c r="AQ11" s="1">
        <f>建筑各项能耗拆分!$B$18*建筑各项能耗拆分!AQ148</f>
        <v>0</v>
      </c>
      <c r="AR11" s="1">
        <f>建筑各项能耗拆分!$B$18*建筑各项能耗拆分!AR148</f>
        <v>0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6C92-5AA0-431D-9152-15CEB0455888}">
  <sheetPr>
    <tabColor rgb="FF7030A0"/>
  </sheetPr>
  <dimension ref="A1:AR11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建筑各项能耗拆分!$B$18*建筑各项能耗拆分!B152</f>
        <v>577936758791349.88</v>
      </c>
      <c r="C2" s="1">
        <f>建筑各项能耗拆分!$B$18*建筑各项能耗拆分!C152</f>
        <v>573833407803931.38</v>
      </c>
      <c r="D2" s="1">
        <f>建筑各项能耗拆分!$B$18*建筑各项能耗拆分!D152</f>
        <v>557586440513278.38</v>
      </c>
      <c r="E2" s="1">
        <f>建筑各项能耗拆分!$B$18*建筑各项能耗拆分!E152</f>
        <v>547214199812588.31</v>
      </c>
      <c r="F2" s="1">
        <f>建筑各项能耗拆分!$B$18*建筑各项能耗拆分!F152</f>
        <v>545565287548384.81</v>
      </c>
      <c r="G2" s="1">
        <f>建筑各项能耗拆分!$B$18*建筑各项能耗拆分!G152</f>
        <v>543674591095229</v>
      </c>
      <c r="H2" s="1">
        <f>建筑各项能耗拆分!$B$18*建筑各项能耗拆分!H152</f>
        <v>541546485044895.44</v>
      </c>
      <c r="I2" s="1">
        <f>建筑各项能耗拆分!$B$18*建筑各项能耗拆分!I152</f>
        <v>539185674106794.06</v>
      </c>
      <c r="J2" s="1">
        <f>建筑各项能耗拆分!$B$18*建筑各项能耗拆分!J152</f>
        <v>536597154812417.06</v>
      </c>
      <c r="K2" s="1">
        <f>建筑各项能耗拆分!$B$18*建筑各项能耗拆分!K152</f>
        <v>533786241681516.75</v>
      </c>
      <c r="L2" s="1">
        <f>建筑各项能耗拆分!$B$18*建筑各项能耗拆分!L152</f>
        <v>530758528402709.13</v>
      </c>
      <c r="M2" s="1">
        <f>建筑各项能耗拆分!$B$18*建筑各项能耗拆分!M152</f>
        <v>527519895913588.25</v>
      </c>
      <c r="N2" s="1">
        <f>建筑各项能耗拆分!$B$18*建筑各项能耗拆分!N152</f>
        <v>524076498151843.19</v>
      </c>
      <c r="O2" s="1">
        <f>建筑各项能耗拆分!$B$18*建筑各项能耗拆分!O152</f>
        <v>520434744524339.25</v>
      </c>
      <c r="P2" s="1">
        <f>建筑各项能耗拆分!$B$18*建筑各项能耗拆分!P152</f>
        <v>516601306112793.25</v>
      </c>
      <c r="Q2" s="1">
        <f>建筑各项能耗拆分!$B$18*建筑各项能耗拆分!Q152</f>
        <v>512583079823048.25</v>
      </c>
      <c r="R2" s="1">
        <f>建筑各项能耗拆分!$B$18*建筑各项能耗拆分!R152</f>
        <v>508479728835629.56</v>
      </c>
      <c r="S2" s="1">
        <f>建筑各项能耗拆分!$B$18*建筑各项能耗拆分!S152</f>
        <v>504207022706306.94</v>
      </c>
      <c r="T2" s="1">
        <f>建筑各项能耗拆分!$B$18*建筑各项能耗拆分!T152</f>
        <v>499622594309058.75</v>
      </c>
      <c r="U2" s="1">
        <f>建筑各项能耗拆分!$B$18*建筑各项能耗拆分!U152</f>
        <v>494740236116150.69</v>
      </c>
      <c r="V2" s="1">
        <f>建筑各项能耗拆分!$B$18*建筑各项能耗拆分!V152</f>
        <v>489574083787946.19</v>
      </c>
      <c r="W2" s="1">
        <f>建筑各项能耗拆分!$B$18*建筑各项能耗拆分!W152</f>
        <v>484138559866769.25</v>
      </c>
      <c r="X2" s="1">
        <f>建筑各项能耗拆分!$B$18*建筑各项能耗拆分!X152</f>
        <v>478448371765304.25</v>
      </c>
      <c r="Y2" s="1">
        <f>建筑各项能耗拆分!$B$18*建筑各项能耗拆分!Y152</f>
        <v>472518470489335.94</v>
      </c>
      <c r="Z2" s="1">
        <f>建筑各项能耗拆分!$B$18*建筑各项能耗拆分!Z152</f>
        <v>466364018990707.75</v>
      </c>
      <c r="AA2" s="1">
        <f>建筑各项能耗拆分!$B$18*建筑各项能耗拆分!AA152</f>
        <v>460000342797267.56</v>
      </c>
      <c r="AB2" s="1">
        <f>建筑各项能耗拆分!$B$18*建筑各项能耗拆分!AB152</f>
        <v>453442904832055.13</v>
      </c>
      <c r="AC2" s="1">
        <f>建筑各项能耗拆分!$B$18*建筑各项能耗拆分!AC152</f>
        <v>446707281131054.69</v>
      </c>
      <c r="AD2" s="1">
        <f>建筑各项能耗拆分!$B$18*建筑各项能耗拆分!AD152</f>
        <v>439809091273778.56</v>
      </c>
      <c r="AE2" s="1">
        <f>建筑各项能耗拆分!$B$18*建筑各项能耗拆分!AE152</f>
        <v>432763964556043.19</v>
      </c>
      <c r="AF2" s="1">
        <f>建筑各项能耗拆分!$B$18*建筑各项能耗拆分!AF152</f>
        <v>425587525313446.44</v>
      </c>
      <c r="AG2" s="1">
        <f>建筑各项能耗拆分!$B$18*建筑各项能耗拆分!AG152</f>
        <v>418295302217455.31</v>
      </c>
      <c r="AH2" s="1">
        <f>建筑各项能耗拆分!$B$18*建筑各项能耗拆分!AH152</f>
        <v>410902704634556.69</v>
      </c>
      <c r="AI2" s="1">
        <f>建筑各项能耗拆分!$B$18*建筑各项能耗拆分!AI152</f>
        <v>403424981626316.44</v>
      </c>
      <c r="AJ2" s="1">
        <f>建筑各项能耗拆分!$B$18*建筑各项能耗拆分!AJ152</f>
        <v>395877136933041.13</v>
      </c>
      <c r="AK2" s="1">
        <f>建筑各项能耗拆分!$B$18*建筑各项能耗拆分!AK152</f>
        <v>388273920051469.56</v>
      </c>
      <c r="AL2" s="1">
        <f>建筑各项能耗拆分!$B$18*建筑各项能耗拆分!AL152</f>
        <v>380629718155251.44</v>
      </c>
      <c r="AM2" s="1">
        <f>建筑各项能耗拆分!$B$18*建筑各项能耗拆分!AM152</f>
        <v>372958547545379.94</v>
      </c>
      <c r="AN2" s="1">
        <f>建筑各项能耗拆分!$B$18*建筑各项能耗拆分!AN152</f>
        <v>365273961251897.56</v>
      </c>
      <c r="AO2" s="1">
        <f>建筑各项能耗拆分!$B$18*建筑各项能耗拆分!AO152</f>
        <v>357588992204757.31</v>
      </c>
      <c r="AP2" s="1">
        <f>建筑各项能耗拆分!$B$18*建筑各项能耗拆分!AP152</f>
        <v>349916089044682.94</v>
      </c>
      <c r="AQ2" s="1">
        <f>建筑各项能耗拆分!$B$18*建筑各项能耗拆分!AQ152</f>
        <v>342267049318845.06</v>
      </c>
      <c r="AR2" s="1">
        <f>建筑各项能耗拆分!$B$18*建筑各项能耗拆分!AR152</f>
        <v>334652957746629.44</v>
      </c>
    </row>
    <row r="3" spans="1:44" x14ac:dyDescent="0.15">
      <c r="A3" t="s">
        <v>1</v>
      </c>
      <c r="B3" s="1">
        <f>建筑各项能耗拆分!$B$18*建筑各项能耗拆分!B153</f>
        <v>0</v>
      </c>
      <c r="C3" s="1">
        <f>建筑各项能耗拆分!$B$18*建筑各项能耗拆分!C153</f>
        <v>0</v>
      </c>
      <c r="D3" s="1">
        <f>建筑各项能耗拆分!$B$18*建筑各项能耗拆分!D153</f>
        <v>0</v>
      </c>
      <c r="E3" s="1">
        <f>建筑各项能耗拆分!$B$18*建筑各项能耗拆分!E153</f>
        <v>0</v>
      </c>
      <c r="F3" s="1">
        <f>建筑各项能耗拆分!$B$18*建筑各项能耗拆分!F153</f>
        <v>0</v>
      </c>
      <c r="G3" s="1">
        <f>建筑各项能耗拆分!$B$18*建筑各项能耗拆分!G153</f>
        <v>0</v>
      </c>
      <c r="H3" s="1">
        <f>建筑各项能耗拆分!$B$18*建筑各项能耗拆分!H153</f>
        <v>0</v>
      </c>
      <c r="I3" s="1">
        <f>建筑各项能耗拆分!$B$18*建筑各项能耗拆分!I153</f>
        <v>0</v>
      </c>
      <c r="J3" s="1">
        <f>建筑各项能耗拆分!$B$18*建筑各项能耗拆分!J153</f>
        <v>0</v>
      </c>
      <c r="K3" s="1">
        <f>建筑各项能耗拆分!$B$18*建筑各项能耗拆分!K153</f>
        <v>0</v>
      </c>
      <c r="L3" s="1">
        <f>建筑各项能耗拆分!$B$18*建筑各项能耗拆分!L153</f>
        <v>0</v>
      </c>
      <c r="M3" s="1">
        <f>建筑各项能耗拆分!$B$18*建筑各项能耗拆分!M153</f>
        <v>0</v>
      </c>
      <c r="N3" s="1">
        <f>建筑各项能耗拆分!$B$18*建筑各项能耗拆分!N153</f>
        <v>0</v>
      </c>
      <c r="O3" s="1">
        <f>建筑各项能耗拆分!$B$18*建筑各项能耗拆分!O153</f>
        <v>0</v>
      </c>
      <c r="P3" s="1">
        <f>建筑各项能耗拆分!$B$18*建筑各项能耗拆分!P153</f>
        <v>0</v>
      </c>
      <c r="Q3" s="1">
        <f>建筑各项能耗拆分!$B$18*建筑各项能耗拆分!Q153</f>
        <v>0</v>
      </c>
      <c r="R3" s="1">
        <f>建筑各项能耗拆分!$B$18*建筑各项能耗拆分!R153</f>
        <v>0</v>
      </c>
      <c r="S3" s="1">
        <f>建筑各项能耗拆分!$B$18*建筑各项能耗拆分!S153</f>
        <v>0</v>
      </c>
      <c r="T3" s="1">
        <f>建筑各项能耗拆分!$B$18*建筑各项能耗拆分!T153</f>
        <v>0</v>
      </c>
      <c r="U3" s="1">
        <f>建筑各项能耗拆分!$B$18*建筑各项能耗拆分!U153</f>
        <v>0</v>
      </c>
      <c r="V3" s="1">
        <f>建筑各项能耗拆分!$B$18*建筑各项能耗拆分!V153</f>
        <v>0</v>
      </c>
      <c r="W3" s="1">
        <f>建筑各项能耗拆分!$B$18*建筑各项能耗拆分!W153</f>
        <v>0</v>
      </c>
      <c r="X3" s="1">
        <f>建筑各项能耗拆分!$B$18*建筑各项能耗拆分!X153</f>
        <v>0</v>
      </c>
      <c r="Y3" s="1">
        <f>建筑各项能耗拆分!$B$18*建筑各项能耗拆分!Y153</f>
        <v>0</v>
      </c>
      <c r="Z3" s="1">
        <f>建筑各项能耗拆分!$B$18*建筑各项能耗拆分!Z153</f>
        <v>0</v>
      </c>
      <c r="AA3" s="1">
        <f>建筑各项能耗拆分!$B$18*建筑各项能耗拆分!AA153</f>
        <v>0</v>
      </c>
      <c r="AB3" s="1">
        <f>建筑各项能耗拆分!$B$18*建筑各项能耗拆分!AB153</f>
        <v>0</v>
      </c>
      <c r="AC3" s="1">
        <f>建筑各项能耗拆分!$B$18*建筑各项能耗拆分!AC153</f>
        <v>0</v>
      </c>
      <c r="AD3" s="1">
        <f>建筑各项能耗拆分!$B$18*建筑各项能耗拆分!AD153</f>
        <v>0</v>
      </c>
      <c r="AE3" s="1">
        <f>建筑各项能耗拆分!$B$18*建筑各项能耗拆分!AE153</f>
        <v>0</v>
      </c>
      <c r="AF3" s="1">
        <f>建筑各项能耗拆分!$B$18*建筑各项能耗拆分!AF153</f>
        <v>0</v>
      </c>
      <c r="AG3" s="1">
        <f>建筑各项能耗拆分!$B$18*建筑各项能耗拆分!AG153</f>
        <v>0</v>
      </c>
      <c r="AH3" s="1">
        <f>建筑各项能耗拆分!$B$18*建筑各项能耗拆分!AH153</f>
        <v>0</v>
      </c>
      <c r="AI3" s="1">
        <f>建筑各项能耗拆分!$B$18*建筑各项能耗拆分!AI153</f>
        <v>0</v>
      </c>
      <c r="AJ3" s="1">
        <f>建筑各项能耗拆分!$B$18*建筑各项能耗拆分!AJ153</f>
        <v>0</v>
      </c>
      <c r="AK3" s="1">
        <f>建筑各项能耗拆分!$B$18*建筑各项能耗拆分!AK153</f>
        <v>0</v>
      </c>
      <c r="AL3" s="1">
        <f>建筑各项能耗拆分!$B$18*建筑各项能耗拆分!AL153</f>
        <v>0</v>
      </c>
      <c r="AM3" s="1">
        <f>建筑各项能耗拆分!$B$18*建筑各项能耗拆分!AM153</f>
        <v>0</v>
      </c>
      <c r="AN3" s="1">
        <f>建筑各项能耗拆分!$B$18*建筑各项能耗拆分!AN153</f>
        <v>0</v>
      </c>
      <c r="AO3" s="1">
        <f>建筑各项能耗拆分!$B$18*建筑各项能耗拆分!AO153</f>
        <v>0</v>
      </c>
      <c r="AP3" s="1">
        <f>建筑各项能耗拆分!$B$18*建筑各项能耗拆分!AP153</f>
        <v>0</v>
      </c>
      <c r="AQ3" s="1">
        <f>建筑各项能耗拆分!$B$18*建筑各项能耗拆分!AQ153</f>
        <v>0</v>
      </c>
      <c r="AR3" s="1">
        <f>建筑各项能耗拆分!$B$18*建筑各项能耗拆分!AR153</f>
        <v>0</v>
      </c>
    </row>
    <row r="4" spans="1:44" x14ac:dyDescent="0.15">
      <c r="A4" t="s">
        <v>2</v>
      </c>
      <c r="B4" s="1">
        <f>建筑各项能耗拆分!$B$18*建筑各项能耗拆分!B154</f>
        <v>0</v>
      </c>
      <c r="C4" s="1">
        <f>建筑各项能耗拆分!$B$18*建筑各项能耗拆分!C154</f>
        <v>0</v>
      </c>
      <c r="D4" s="1">
        <f>建筑各项能耗拆分!$B$18*建筑各项能耗拆分!D154</f>
        <v>0</v>
      </c>
      <c r="E4" s="1">
        <f>建筑各项能耗拆分!$B$18*建筑各项能耗拆分!E154</f>
        <v>0</v>
      </c>
      <c r="F4" s="1">
        <f>建筑各项能耗拆分!$B$18*建筑各项能耗拆分!F154</f>
        <v>0</v>
      </c>
      <c r="G4" s="1">
        <f>建筑各项能耗拆分!$B$18*建筑各项能耗拆分!G154</f>
        <v>0</v>
      </c>
      <c r="H4" s="1">
        <f>建筑各项能耗拆分!$B$18*建筑各项能耗拆分!H154</f>
        <v>0</v>
      </c>
      <c r="I4" s="1">
        <f>建筑各项能耗拆分!$B$18*建筑各项能耗拆分!I154</f>
        <v>0</v>
      </c>
      <c r="J4" s="1">
        <f>建筑各项能耗拆分!$B$18*建筑各项能耗拆分!J154</f>
        <v>0</v>
      </c>
      <c r="K4" s="1">
        <f>建筑各项能耗拆分!$B$18*建筑各项能耗拆分!K154</f>
        <v>0</v>
      </c>
      <c r="L4" s="1">
        <f>建筑各项能耗拆分!$B$18*建筑各项能耗拆分!L154</f>
        <v>0</v>
      </c>
      <c r="M4" s="1">
        <f>建筑各项能耗拆分!$B$18*建筑各项能耗拆分!M154</f>
        <v>0</v>
      </c>
      <c r="N4" s="1">
        <f>建筑各项能耗拆分!$B$18*建筑各项能耗拆分!N154</f>
        <v>0</v>
      </c>
      <c r="O4" s="1">
        <f>建筑各项能耗拆分!$B$18*建筑各项能耗拆分!O154</f>
        <v>0</v>
      </c>
      <c r="P4" s="1">
        <f>建筑各项能耗拆分!$B$18*建筑各项能耗拆分!P154</f>
        <v>0</v>
      </c>
      <c r="Q4" s="1">
        <f>建筑各项能耗拆分!$B$18*建筑各项能耗拆分!Q154</f>
        <v>0</v>
      </c>
      <c r="R4" s="1">
        <f>建筑各项能耗拆分!$B$18*建筑各项能耗拆分!R154</f>
        <v>0</v>
      </c>
      <c r="S4" s="1">
        <f>建筑各项能耗拆分!$B$18*建筑各项能耗拆分!S154</f>
        <v>0</v>
      </c>
      <c r="T4" s="1">
        <f>建筑各项能耗拆分!$B$18*建筑各项能耗拆分!T154</f>
        <v>0</v>
      </c>
      <c r="U4" s="1">
        <f>建筑各项能耗拆分!$B$18*建筑各项能耗拆分!U154</f>
        <v>0</v>
      </c>
      <c r="V4" s="1">
        <f>建筑各项能耗拆分!$B$18*建筑各项能耗拆分!V154</f>
        <v>0</v>
      </c>
      <c r="W4" s="1">
        <f>建筑各项能耗拆分!$B$18*建筑各项能耗拆分!W154</f>
        <v>0</v>
      </c>
      <c r="X4" s="1">
        <f>建筑各项能耗拆分!$B$18*建筑各项能耗拆分!X154</f>
        <v>0</v>
      </c>
      <c r="Y4" s="1">
        <f>建筑各项能耗拆分!$B$18*建筑各项能耗拆分!Y154</f>
        <v>0</v>
      </c>
      <c r="Z4" s="1">
        <f>建筑各项能耗拆分!$B$18*建筑各项能耗拆分!Z154</f>
        <v>0</v>
      </c>
      <c r="AA4" s="1">
        <f>建筑各项能耗拆分!$B$18*建筑各项能耗拆分!AA154</f>
        <v>0</v>
      </c>
      <c r="AB4" s="1">
        <f>建筑各项能耗拆分!$B$18*建筑各项能耗拆分!AB154</f>
        <v>0</v>
      </c>
      <c r="AC4" s="1">
        <f>建筑各项能耗拆分!$B$18*建筑各项能耗拆分!AC154</f>
        <v>0</v>
      </c>
      <c r="AD4" s="1">
        <f>建筑各项能耗拆分!$B$18*建筑各项能耗拆分!AD154</f>
        <v>0</v>
      </c>
      <c r="AE4" s="1">
        <f>建筑各项能耗拆分!$B$18*建筑各项能耗拆分!AE154</f>
        <v>0</v>
      </c>
      <c r="AF4" s="1">
        <f>建筑各项能耗拆分!$B$18*建筑各项能耗拆分!AF154</f>
        <v>0</v>
      </c>
      <c r="AG4" s="1">
        <f>建筑各项能耗拆分!$B$18*建筑各项能耗拆分!AG154</f>
        <v>0</v>
      </c>
      <c r="AH4" s="1">
        <f>建筑各项能耗拆分!$B$18*建筑各项能耗拆分!AH154</f>
        <v>0</v>
      </c>
      <c r="AI4" s="1">
        <f>建筑各项能耗拆分!$B$18*建筑各项能耗拆分!AI154</f>
        <v>0</v>
      </c>
      <c r="AJ4" s="1">
        <f>建筑各项能耗拆分!$B$18*建筑各项能耗拆分!AJ154</f>
        <v>0</v>
      </c>
      <c r="AK4" s="1">
        <f>建筑各项能耗拆分!$B$18*建筑各项能耗拆分!AK154</f>
        <v>0</v>
      </c>
      <c r="AL4" s="1">
        <f>建筑各项能耗拆分!$B$18*建筑各项能耗拆分!AL154</f>
        <v>0</v>
      </c>
      <c r="AM4" s="1">
        <f>建筑各项能耗拆分!$B$18*建筑各项能耗拆分!AM154</f>
        <v>0</v>
      </c>
      <c r="AN4" s="1">
        <f>建筑各项能耗拆分!$B$18*建筑各项能耗拆分!AN154</f>
        <v>0</v>
      </c>
      <c r="AO4" s="1">
        <f>建筑各项能耗拆分!$B$18*建筑各项能耗拆分!AO154</f>
        <v>0</v>
      </c>
      <c r="AP4" s="1">
        <f>建筑各项能耗拆分!$B$18*建筑各项能耗拆分!AP154</f>
        <v>0</v>
      </c>
      <c r="AQ4" s="1">
        <f>建筑各项能耗拆分!$B$18*建筑各项能耗拆分!AQ154</f>
        <v>0</v>
      </c>
      <c r="AR4" s="1">
        <f>建筑各项能耗拆分!$B$18*建筑各项能耗拆分!AR154</f>
        <v>0</v>
      </c>
    </row>
    <row r="5" spans="1:44" x14ac:dyDescent="0.15">
      <c r="A5" t="s">
        <v>3</v>
      </c>
      <c r="B5" s="1">
        <f>建筑各项能耗拆分!$B$18*建筑各项能耗拆分!B155</f>
        <v>0</v>
      </c>
      <c r="C5" s="1">
        <f>建筑各项能耗拆分!$B$18*建筑各项能耗拆分!C155</f>
        <v>0</v>
      </c>
      <c r="D5" s="1">
        <f>建筑各项能耗拆分!$B$18*建筑各项能耗拆分!D155</f>
        <v>0</v>
      </c>
      <c r="E5" s="1">
        <f>建筑各项能耗拆分!$B$18*建筑各项能耗拆分!E155</f>
        <v>0</v>
      </c>
      <c r="F5" s="1">
        <f>建筑各项能耗拆分!$B$18*建筑各项能耗拆分!F155</f>
        <v>0</v>
      </c>
      <c r="G5" s="1">
        <f>建筑各项能耗拆分!$B$18*建筑各项能耗拆分!G155</f>
        <v>0</v>
      </c>
      <c r="H5" s="1">
        <f>建筑各项能耗拆分!$B$18*建筑各项能耗拆分!H155</f>
        <v>0</v>
      </c>
      <c r="I5" s="1">
        <f>建筑各项能耗拆分!$B$18*建筑各项能耗拆分!I155</f>
        <v>0</v>
      </c>
      <c r="J5" s="1">
        <f>建筑各项能耗拆分!$B$18*建筑各项能耗拆分!J155</f>
        <v>0</v>
      </c>
      <c r="K5" s="1">
        <f>建筑各项能耗拆分!$B$18*建筑各项能耗拆分!K155</f>
        <v>0</v>
      </c>
      <c r="L5" s="1">
        <f>建筑各项能耗拆分!$B$18*建筑各项能耗拆分!L155</f>
        <v>0</v>
      </c>
      <c r="M5" s="1">
        <f>建筑各项能耗拆分!$B$18*建筑各项能耗拆分!M155</f>
        <v>0</v>
      </c>
      <c r="N5" s="1">
        <f>建筑各项能耗拆分!$B$18*建筑各项能耗拆分!N155</f>
        <v>0</v>
      </c>
      <c r="O5" s="1">
        <f>建筑各项能耗拆分!$B$18*建筑各项能耗拆分!O155</f>
        <v>0</v>
      </c>
      <c r="P5" s="1">
        <f>建筑各项能耗拆分!$B$18*建筑各项能耗拆分!P155</f>
        <v>0</v>
      </c>
      <c r="Q5" s="1">
        <f>建筑各项能耗拆分!$B$18*建筑各项能耗拆分!Q155</f>
        <v>0</v>
      </c>
      <c r="R5" s="1">
        <f>建筑各项能耗拆分!$B$18*建筑各项能耗拆分!R155</f>
        <v>0</v>
      </c>
      <c r="S5" s="1">
        <f>建筑各项能耗拆分!$B$18*建筑各项能耗拆分!S155</f>
        <v>0</v>
      </c>
      <c r="T5" s="1">
        <f>建筑各项能耗拆分!$B$18*建筑各项能耗拆分!T155</f>
        <v>0</v>
      </c>
      <c r="U5" s="1">
        <f>建筑各项能耗拆分!$B$18*建筑各项能耗拆分!U155</f>
        <v>0</v>
      </c>
      <c r="V5" s="1">
        <f>建筑各项能耗拆分!$B$18*建筑各项能耗拆分!V155</f>
        <v>0</v>
      </c>
      <c r="W5" s="1">
        <f>建筑各项能耗拆分!$B$18*建筑各项能耗拆分!W155</f>
        <v>0</v>
      </c>
      <c r="X5" s="1">
        <f>建筑各项能耗拆分!$B$18*建筑各项能耗拆分!X155</f>
        <v>0</v>
      </c>
      <c r="Y5" s="1">
        <f>建筑各项能耗拆分!$B$18*建筑各项能耗拆分!Y155</f>
        <v>0</v>
      </c>
      <c r="Z5" s="1">
        <f>建筑各项能耗拆分!$B$18*建筑各项能耗拆分!Z155</f>
        <v>0</v>
      </c>
      <c r="AA5" s="1">
        <f>建筑各项能耗拆分!$B$18*建筑各项能耗拆分!AA155</f>
        <v>0</v>
      </c>
      <c r="AB5" s="1">
        <f>建筑各项能耗拆分!$B$18*建筑各项能耗拆分!AB155</f>
        <v>0</v>
      </c>
      <c r="AC5" s="1">
        <f>建筑各项能耗拆分!$B$18*建筑各项能耗拆分!AC155</f>
        <v>0</v>
      </c>
      <c r="AD5" s="1">
        <f>建筑各项能耗拆分!$B$18*建筑各项能耗拆分!AD155</f>
        <v>0</v>
      </c>
      <c r="AE5" s="1">
        <f>建筑各项能耗拆分!$B$18*建筑各项能耗拆分!AE155</f>
        <v>0</v>
      </c>
      <c r="AF5" s="1">
        <f>建筑各项能耗拆分!$B$18*建筑各项能耗拆分!AF155</f>
        <v>0</v>
      </c>
      <c r="AG5" s="1">
        <f>建筑各项能耗拆分!$B$18*建筑各项能耗拆分!AG155</f>
        <v>0</v>
      </c>
      <c r="AH5" s="1">
        <f>建筑各项能耗拆分!$B$18*建筑各项能耗拆分!AH155</f>
        <v>0</v>
      </c>
      <c r="AI5" s="1">
        <f>建筑各项能耗拆分!$B$18*建筑各项能耗拆分!AI155</f>
        <v>0</v>
      </c>
      <c r="AJ5" s="1">
        <f>建筑各项能耗拆分!$B$18*建筑各项能耗拆分!AJ155</f>
        <v>0</v>
      </c>
      <c r="AK5" s="1">
        <f>建筑各项能耗拆分!$B$18*建筑各项能耗拆分!AK155</f>
        <v>0</v>
      </c>
      <c r="AL5" s="1">
        <f>建筑各项能耗拆分!$B$18*建筑各项能耗拆分!AL155</f>
        <v>0</v>
      </c>
      <c r="AM5" s="1">
        <f>建筑各项能耗拆分!$B$18*建筑各项能耗拆分!AM155</f>
        <v>0</v>
      </c>
      <c r="AN5" s="1">
        <f>建筑各项能耗拆分!$B$18*建筑各项能耗拆分!AN155</f>
        <v>0</v>
      </c>
      <c r="AO5" s="1">
        <f>建筑各项能耗拆分!$B$18*建筑各项能耗拆分!AO155</f>
        <v>0</v>
      </c>
      <c r="AP5" s="1">
        <f>建筑各项能耗拆分!$B$18*建筑各项能耗拆分!AP155</f>
        <v>0</v>
      </c>
      <c r="AQ5" s="1">
        <f>建筑各项能耗拆分!$B$18*建筑各项能耗拆分!AQ155</f>
        <v>0</v>
      </c>
      <c r="AR5" s="1">
        <f>建筑各项能耗拆分!$B$18*建筑各项能耗拆分!AR155</f>
        <v>0</v>
      </c>
    </row>
    <row r="6" spans="1:44" x14ac:dyDescent="0.15">
      <c r="A6" t="s">
        <v>4</v>
      </c>
      <c r="B6" s="1">
        <f>建筑各项能耗拆分!$B$18*建筑各项能耗拆分!B156</f>
        <v>0</v>
      </c>
      <c r="C6" s="1">
        <f>建筑各项能耗拆分!$B$18*建筑各项能耗拆分!C156</f>
        <v>0</v>
      </c>
      <c r="D6" s="1">
        <f>建筑各项能耗拆分!$B$18*建筑各项能耗拆分!D156</f>
        <v>0</v>
      </c>
      <c r="E6" s="1">
        <f>建筑各项能耗拆分!$B$18*建筑各项能耗拆分!E156</f>
        <v>0</v>
      </c>
      <c r="F6" s="1">
        <f>建筑各项能耗拆分!$B$18*建筑各项能耗拆分!F156</f>
        <v>0</v>
      </c>
      <c r="G6" s="1">
        <f>建筑各项能耗拆分!$B$18*建筑各项能耗拆分!G156</f>
        <v>0</v>
      </c>
      <c r="H6" s="1">
        <f>建筑各项能耗拆分!$B$18*建筑各项能耗拆分!H156</f>
        <v>0</v>
      </c>
      <c r="I6" s="1">
        <f>建筑各项能耗拆分!$B$18*建筑各项能耗拆分!I156</f>
        <v>0</v>
      </c>
      <c r="J6" s="1">
        <f>建筑各项能耗拆分!$B$18*建筑各项能耗拆分!J156</f>
        <v>0</v>
      </c>
      <c r="K6" s="1">
        <f>建筑各项能耗拆分!$B$18*建筑各项能耗拆分!K156</f>
        <v>0</v>
      </c>
      <c r="L6" s="1">
        <f>建筑各项能耗拆分!$B$18*建筑各项能耗拆分!L156</f>
        <v>0</v>
      </c>
      <c r="M6" s="1">
        <f>建筑各项能耗拆分!$B$18*建筑各项能耗拆分!M156</f>
        <v>0</v>
      </c>
      <c r="N6" s="1">
        <f>建筑各项能耗拆分!$B$18*建筑各项能耗拆分!N156</f>
        <v>0</v>
      </c>
      <c r="O6" s="1">
        <f>建筑各项能耗拆分!$B$18*建筑各项能耗拆分!O156</f>
        <v>0</v>
      </c>
      <c r="P6" s="1">
        <f>建筑各项能耗拆分!$B$18*建筑各项能耗拆分!P156</f>
        <v>0</v>
      </c>
      <c r="Q6" s="1">
        <f>建筑各项能耗拆分!$B$18*建筑各项能耗拆分!Q156</f>
        <v>0</v>
      </c>
      <c r="R6" s="1">
        <f>建筑各项能耗拆分!$B$18*建筑各项能耗拆分!R156</f>
        <v>0</v>
      </c>
      <c r="S6" s="1">
        <f>建筑各项能耗拆分!$B$18*建筑各项能耗拆分!S156</f>
        <v>0</v>
      </c>
      <c r="T6" s="1">
        <f>建筑各项能耗拆分!$B$18*建筑各项能耗拆分!T156</f>
        <v>0</v>
      </c>
      <c r="U6" s="1">
        <f>建筑各项能耗拆分!$B$18*建筑各项能耗拆分!U156</f>
        <v>0</v>
      </c>
      <c r="V6" s="1">
        <f>建筑各项能耗拆分!$B$18*建筑各项能耗拆分!V156</f>
        <v>0</v>
      </c>
      <c r="W6" s="1">
        <f>建筑各项能耗拆分!$B$18*建筑各项能耗拆分!W156</f>
        <v>0</v>
      </c>
      <c r="X6" s="1">
        <f>建筑各项能耗拆分!$B$18*建筑各项能耗拆分!X156</f>
        <v>0</v>
      </c>
      <c r="Y6" s="1">
        <f>建筑各项能耗拆分!$B$18*建筑各项能耗拆分!Y156</f>
        <v>0</v>
      </c>
      <c r="Z6" s="1">
        <f>建筑各项能耗拆分!$B$18*建筑各项能耗拆分!Z156</f>
        <v>0</v>
      </c>
      <c r="AA6" s="1">
        <f>建筑各项能耗拆分!$B$18*建筑各项能耗拆分!AA156</f>
        <v>0</v>
      </c>
      <c r="AB6" s="1">
        <f>建筑各项能耗拆分!$B$18*建筑各项能耗拆分!AB156</f>
        <v>0</v>
      </c>
      <c r="AC6" s="1">
        <f>建筑各项能耗拆分!$B$18*建筑各项能耗拆分!AC156</f>
        <v>0</v>
      </c>
      <c r="AD6" s="1">
        <f>建筑各项能耗拆分!$B$18*建筑各项能耗拆分!AD156</f>
        <v>0</v>
      </c>
      <c r="AE6" s="1">
        <f>建筑各项能耗拆分!$B$18*建筑各项能耗拆分!AE156</f>
        <v>0</v>
      </c>
      <c r="AF6" s="1">
        <f>建筑各项能耗拆分!$B$18*建筑各项能耗拆分!AF156</f>
        <v>0</v>
      </c>
      <c r="AG6" s="1">
        <f>建筑各项能耗拆分!$B$18*建筑各项能耗拆分!AG156</f>
        <v>0</v>
      </c>
      <c r="AH6" s="1">
        <f>建筑各项能耗拆分!$B$18*建筑各项能耗拆分!AH156</f>
        <v>0</v>
      </c>
      <c r="AI6" s="1">
        <f>建筑各项能耗拆分!$B$18*建筑各项能耗拆分!AI156</f>
        <v>0</v>
      </c>
      <c r="AJ6" s="1">
        <f>建筑各项能耗拆分!$B$18*建筑各项能耗拆分!AJ156</f>
        <v>0</v>
      </c>
      <c r="AK6" s="1">
        <f>建筑各项能耗拆分!$B$18*建筑各项能耗拆分!AK156</f>
        <v>0</v>
      </c>
      <c r="AL6" s="1">
        <f>建筑各项能耗拆分!$B$18*建筑各项能耗拆分!AL156</f>
        <v>0</v>
      </c>
      <c r="AM6" s="1">
        <f>建筑各项能耗拆分!$B$18*建筑各项能耗拆分!AM156</f>
        <v>0</v>
      </c>
      <c r="AN6" s="1">
        <f>建筑各项能耗拆分!$B$18*建筑各项能耗拆分!AN156</f>
        <v>0</v>
      </c>
      <c r="AO6" s="1">
        <f>建筑各项能耗拆分!$B$18*建筑各项能耗拆分!AO156</f>
        <v>0</v>
      </c>
      <c r="AP6" s="1">
        <f>建筑各项能耗拆分!$B$18*建筑各项能耗拆分!AP156</f>
        <v>0</v>
      </c>
      <c r="AQ6" s="1">
        <f>建筑各项能耗拆分!$B$18*建筑各项能耗拆分!AQ156</f>
        <v>0</v>
      </c>
      <c r="AR6" s="1">
        <f>建筑各项能耗拆分!$B$18*建筑各项能耗拆分!AR156</f>
        <v>0</v>
      </c>
    </row>
    <row r="7" spans="1:44" x14ac:dyDescent="0.15">
      <c r="A7" t="s">
        <v>5</v>
      </c>
      <c r="B7" s="1">
        <f>建筑各项能耗拆分!$B$18*建筑各项能耗拆分!B157</f>
        <v>0</v>
      </c>
      <c r="C7" s="1">
        <f>建筑各项能耗拆分!$B$18*建筑各项能耗拆分!C157</f>
        <v>0</v>
      </c>
      <c r="D7" s="1">
        <f>建筑各项能耗拆分!$B$18*建筑各项能耗拆分!D157</f>
        <v>0</v>
      </c>
      <c r="E7" s="1">
        <f>建筑各项能耗拆分!$B$18*建筑各项能耗拆分!E157</f>
        <v>0</v>
      </c>
      <c r="F7" s="1">
        <f>建筑各项能耗拆分!$B$18*建筑各项能耗拆分!F157</f>
        <v>0</v>
      </c>
      <c r="G7" s="1">
        <f>建筑各项能耗拆分!$B$18*建筑各项能耗拆分!G157</f>
        <v>0</v>
      </c>
      <c r="H7" s="1">
        <f>建筑各项能耗拆分!$B$18*建筑各项能耗拆分!H157</f>
        <v>0</v>
      </c>
      <c r="I7" s="1">
        <f>建筑各项能耗拆分!$B$18*建筑各项能耗拆分!I157</f>
        <v>0</v>
      </c>
      <c r="J7" s="1">
        <f>建筑各项能耗拆分!$B$18*建筑各项能耗拆分!J157</f>
        <v>0</v>
      </c>
      <c r="K7" s="1">
        <f>建筑各项能耗拆分!$B$18*建筑各项能耗拆分!K157</f>
        <v>0</v>
      </c>
      <c r="L7" s="1">
        <f>建筑各项能耗拆分!$B$18*建筑各项能耗拆分!L157</f>
        <v>0</v>
      </c>
      <c r="M7" s="1">
        <f>建筑各项能耗拆分!$B$18*建筑各项能耗拆分!M157</f>
        <v>0</v>
      </c>
      <c r="N7" s="1">
        <f>建筑各项能耗拆分!$B$18*建筑各项能耗拆分!N157</f>
        <v>0</v>
      </c>
      <c r="O7" s="1">
        <f>建筑各项能耗拆分!$B$18*建筑各项能耗拆分!O157</f>
        <v>0</v>
      </c>
      <c r="P7" s="1">
        <f>建筑各项能耗拆分!$B$18*建筑各项能耗拆分!P157</f>
        <v>0</v>
      </c>
      <c r="Q7" s="1">
        <f>建筑各项能耗拆分!$B$18*建筑各项能耗拆分!Q157</f>
        <v>0</v>
      </c>
      <c r="R7" s="1">
        <f>建筑各项能耗拆分!$B$18*建筑各项能耗拆分!R157</f>
        <v>0</v>
      </c>
      <c r="S7" s="1">
        <f>建筑各项能耗拆分!$B$18*建筑各项能耗拆分!S157</f>
        <v>0</v>
      </c>
      <c r="T7" s="1">
        <f>建筑各项能耗拆分!$B$18*建筑各项能耗拆分!T157</f>
        <v>0</v>
      </c>
      <c r="U7" s="1">
        <f>建筑各项能耗拆分!$B$18*建筑各项能耗拆分!U157</f>
        <v>0</v>
      </c>
      <c r="V7" s="1">
        <f>建筑各项能耗拆分!$B$18*建筑各项能耗拆分!V157</f>
        <v>0</v>
      </c>
      <c r="W7" s="1">
        <f>建筑各项能耗拆分!$B$18*建筑各项能耗拆分!W157</f>
        <v>0</v>
      </c>
      <c r="X7" s="1">
        <f>建筑各项能耗拆分!$B$18*建筑各项能耗拆分!X157</f>
        <v>0</v>
      </c>
      <c r="Y7" s="1">
        <f>建筑各项能耗拆分!$B$18*建筑各项能耗拆分!Y157</f>
        <v>0</v>
      </c>
      <c r="Z7" s="1">
        <f>建筑各项能耗拆分!$B$18*建筑各项能耗拆分!Z157</f>
        <v>0</v>
      </c>
      <c r="AA7" s="1">
        <f>建筑各项能耗拆分!$B$18*建筑各项能耗拆分!AA157</f>
        <v>0</v>
      </c>
      <c r="AB7" s="1">
        <f>建筑各项能耗拆分!$B$18*建筑各项能耗拆分!AB157</f>
        <v>0</v>
      </c>
      <c r="AC7" s="1">
        <f>建筑各项能耗拆分!$B$18*建筑各项能耗拆分!AC157</f>
        <v>0</v>
      </c>
      <c r="AD7" s="1">
        <f>建筑各项能耗拆分!$B$18*建筑各项能耗拆分!AD157</f>
        <v>0</v>
      </c>
      <c r="AE7" s="1">
        <f>建筑各项能耗拆分!$B$18*建筑各项能耗拆分!AE157</f>
        <v>0</v>
      </c>
      <c r="AF7" s="1">
        <f>建筑各项能耗拆分!$B$18*建筑各项能耗拆分!AF157</f>
        <v>0</v>
      </c>
      <c r="AG7" s="1">
        <f>建筑各项能耗拆分!$B$18*建筑各项能耗拆分!AG157</f>
        <v>0</v>
      </c>
      <c r="AH7" s="1">
        <f>建筑各项能耗拆分!$B$18*建筑各项能耗拆分!AH157</f>
        <v>0</v>
      </c>
      <c r="AI7" s="1">
        <f>建筑各项能耗拆分!$B$18*建筑各项能耗拆分!AI157</f>
        <v>0</v>
      </c>
      <c r="AJ7" s="1">
        <f>建筑各项能耗拆分!$B$18*建筑各项能耗拆分!AJ157</f>
        <v>0</v>
      </c>
      <c r="AK7" s="1">
        <f>建筑各项能耗拆分!$B$18*建筑各项能耗拆分!AK157</f>
        <v>0</v>
      </c>
      <c r="AL7" s="1">
        <f>建筑各项能耗拆分!$B$18*建筑各项能耗拆分!AL157</f>
        <v>0</v>
      </c>
      <c r="AM7" s="1">
        <f>建筑各项能耗拆分!$B$18*建筑各项能耗拆分!AM157</f>
        <v>0</v>
      </c>
      <c r="AN7" s="1">
        <f>建筑各项能耗拆分!$B$18*建筑各项能耗拆分!AN157</f>
        <v>0</v>
      </c>
      <c r="AO7" s="1">
        <f>建筑各项能耗拆分!$B$18*建筑各项能耗拆分!AO157</f>
        <v>0</v>
      </c>
      <c r="AP7" s="1">
        <f>建筑各项能耗拆分!$B$18*建筑各项能耗拆分!AP157</f>
        <v>0</v>
      </c>
      <c r="AQ7" s="1">
        <f>建筑各项能耗拆分!$B$18*建筑各项能耗拆分!AQ157</f>
        <v>0</v>
      </c>
      <c r="AR7" s="1">
        <f>建筑各项能耗拆分!$B$18*建筑各项能耗拆分!AR157</f>
        <v>0</v>
      </c>
    </row>
    <row r="8" spans="1:44" x14ac:dyDescent="0.15">
      <c r="A8" t="s">
        <v>6</v>
      </c>
      <c r="B8" s="1">
        <f>建筑各项能耗拆分!$B$18*建筑各项能耗拆分!B158</f>
        <v>0</v>
      </c>
      <c r="C8" s="1">
        <f>建筑各项能耗拆分!$B$18*建筑各项能耗拆分!C158</f>
        <v>0</v>
      </c>
      <c r="D8" s="1">
        <f>建筑各项能耗拆分!$B$18*建筑各项能耗拆分!D158</f>
        <v>0</v>
      </c>
      <c r="E8" s="1">
        <f>建筑各项能耗拆分!$B$18*建筑各项能耗拆分!E158</f>
        <v>0</v>
      </c>
      <c r="F8" s="1">
        <f>建筑各项能耗拆分!$B$18*建筑各项能耗拆分!F158</f>
        <v>0</v>
      </c>
      <c r="G8" s="1">
        <f>建筑各项能耗拆分!$B$18*建筑各项能耗拆分!G158</f>
        <v>0</v>
      </c>
      <c r="H8" s="1">
        <f>建筑各项能耗拆分!$B$18*建筑各项能耗拆分!H158</f>
        <v>0</v>
      </c>
      <c r="I8" s="1">
        <f>建筑各项能耗拆分!$B$18*建筑各项能耗拆分!I158</f>
        <v>0</v>
      </c>
      <c r="J8" s="1">
        <f>建筑各项能耗拆分!$B$18*建筑各项能耗拆分!J158</f>
        <v>0</v>
      </c>
      <c r="K8" s="1">
        <f>建筑各项能耗拆分!$B$18*建筑各项能耗拆分!K158</f>
        <v>0</v>
      </c>
      <c r="L8" s="1">
        <f>建筑各项能耗拆分!$B$18*建筑各项能耗拆分!L158</f>
        <v>0</v>
      </c>
      <c r="M8" s="1">
        <f>建筑各项能耗拆分!$B$18*建筑各项能耗拆分!M158</f>
        <v>0</v>
      </c>
      <c r="N8" s="1">
        <f>建筑各项能耗拆分!$B$18*建筑各项能耗拆分!N158</f>
        <v>0</v>
      </c>
      <c r="O8" s="1">
        <f>建筑各项能耗拆分!$B$18*建筑各项能耗拆分!O158</f>
        <v>0</v>
      </c>
      <c r="P8" s="1">
        <f>建筑各项能耗拆分!$B$18*建筑各项能耗拆分!P158</f>
        <v>0</v>
      </c>
      <c r="Q8" s="1">
        <f>建筑各项能耗拆分!$B$18*建筑各项能耗拆分!Q158</f>
        <v>0</v>
      </c>
      <c r="R8" s="1">
        <f>建筑各项能耗拆分!$B$18*建筑各项能耗拆分!R158</f>
        <v>0</v>
      </c>
      <c r="S8" s="1">
        <f>建筑各项能耗拆分!$B$18*建筑各项能耗拆分!S158</f>
        <v>0</v>
      </c>
      <c r="T8" s="1">
        <f>建筑各项能耗拆分!$B$18*建筑各项能耗拆分!T158</f>
        <v>0</v>
      </c>
      <c r="U8" s="1">
        <f>建筑各项能耗拆分!$B$18*建筑各项能耗拆分!U158</f>
        <v>0</v>
      </c>
      <c r="V8" s="1">
        <f>建筑各项能耗拆分!$B$18*建筑各项能耗拆分!V158</f>
        <v>0</v>
      </c>
      <c r="W8" s="1">
        <f>建筑各项能耗拆分!$B$18*建筑各项能耗拆分!W158</f>
        <v>0</v>
      </c>
      <c r="X8" s="1">
        <f>建筑各项能耗拆分!$B$18*建筑各项能耗拆分!X158</f>
        <v>0</v>
      </c>
      <c r="Y8" s="1">
        <f>建筑各项能耗拆分!$B$18*建筑各项能耗拆分!Y158</f>
        <v>0</v>
      </c>
      <c r="Z8" s="1">
        <f>建筑各项能耗拆分!$B$18*建筑各项能耗拆分!Z158</f>
        <v>0</v>
      </c>
      <c r="AA8" s="1">
        <f>建筑各项能耗拆分!$B$18*建筑各项能耗拆分!AA158</f>
        <v>0</v>
      </c>
      <c r="AB8" s="1">
        <f>建筑各项能耗拆分!$B$18*建筑各项能耗拆分!AB158</f>
        <v>0</v>
      </c>
      <c r="AC8" s="1">
        <f>建筑各项能耗拆分!$B$18*建筑各项能耗拆分!AC158</f>
        <v>0</v>
      </c>
      <c r="AD8" s="1">
        <f>建筑各项能耗拆分!$B$18*建筑各项能耗拆分!AD158</f>
        <v>0</v>
      </c>
      <c r="AE8" s="1">
        <f>建筑各项能耗拆分!$B$18*建筑各项能耗拆分!AE158</f>
        <v>0</v>
      </c>
      <c r="AF8" s="1">
        <f>建筑各项能耗拆分!$B$18*建筑各项能耗拆分!AF158</f>
        <v>0</v>
      </c>
      <c r="AG8" s="1">
        <f>建筑各项能耗拆分!$B$18*建筑各项能耗拆分!AG158</f>
        <v>0</v>
      </c>
      <c r="AH8" s="1">
        <f>建筑各项能耗拆分!$B$18*建筑各项能耗拆分!AH158</f>
        <v>0</v>
      </c>
      <c r="AI8" s="1">
        <f>建筑各项能耗拆分!$B$18*建筑各项能耗拆分!AI158</f>
        <v>0</v>
      </c>
      <c r="AJ8" s="1">
        <f>建筑各项能耗拆分!$B$18*建筑各项能耗拆分!AJ158</f>
        <v>0</v>
      </c>
      <c r="AK8" s="1">
        <f>建筑各项能耗拆分!$B$18*建筑各项能耗拆分!AK158</f>
        <v>0</v>
      </c>
      <c r="AL8" s="1">
        <f>建筑各项能耗拆分!$B$18*建筑各项能耗拆分!AL158</f>
        <v>0</v>
      </c>
      <c r="AM8" s="1">
        <f>建筑各项能耗拆分!$B$18*建筑各项能耗拆分!AM158</f>
        <v>0</v>
      </c>
      <c r="AN8" s="1">
        <f>建筑各项能耗拆分!$B$18*建筑各项能耗拆分!AN158</f>
        <v>0</v>
      </c>
      <c r="AO8" s="1">
        <f>建筑各项能耗拆分!$B$18*建筑各项能耗拆分!AO158</f>
        <v>0</v>
      </c>
      <c r="AP8" s="1">
        <f>建筑各项能耗拆分!$B$18*建筑各项能耗拆分!AP158</f>
        <v>0</v>
      </c>
      <c r="AQ8" s="1">
        <f>建筑各项能耗拆分!$B$18*建筑各项能耗拆分!AQ158</f>
        <v>0</v>
      </c>
      <c r="AR8" s="1">
        <f>建筑各项能耗拆分!$B$18*建筑各项能耗拆分!AR158</f>
        <v>0</v>
      </c>
    </row>
    <row r="9" spans="1:44" x14ac:dyDescent="0.15">
      <c r="A9" t="s">
        <v>7</v>
      </c>
      <c r="B9" s="1">
        <f>建筑各项能耗拆分!$B$18*建筑各项能耗拆分!B159</f>
        <v>0</v>
      </c>
      <c r="C9" s="1">
        <f>建筑各项能耗拆分!$B$18*建筑各项能耗拆分!C159</f>
        <v>0</v>
      </c>
      <c r="D9" s="1">
        <f>建筑各项能耗拆分!$B$18*建筑各项能耗拆分!D159</f>
        <v>0</v>
      </c>
      <c r="E9" s="1">
        <f>建筑各项能耗拆分!$B$18*建筑各项能耗拆分!E159</f>
        <v>0</v>
      </c>
      <c r="F9" s="1">
        <f>建筑各项能耗拆分!$B$18*建筑各项能耗拆分!F159</f>
        <v>0</v>
      </c>
      <c r="G9" s="1">
        <f>建筑各项能耗拆分!$B$18*建筑各项能耗拆分!G159</f>
        <v>0</v>
      </c>
      <c r="H9" s="1">
        <f>建筑各项能耗拆分!$B$18*建筑各项能耗拆分!H159</f>
        <v>0</v>
      </c>
      <c r="I9" s="1">
        <f>建筑各项能耗拆分!$B$18*建筑各项能耗拆分!I159</f>
        <v>0</v>
      </c>
      <c r="J9" s="1">
        <f>建筑各项能耗拆分!$B$18*建筑各项能耗拆分!J159</f>
        <v>0</v>
      </c>
      <c r="K9" s="1">
        <f>建筑各项能耗拆分!$B$18*建筑各项能耗拆分!K159</f>
        <v>0</v>
      </c>
      <c r="L9" s="1">
        <f>建筑各项能耗拆分!$B$18*建筑各项能耗拆分!L159</f>
        <v>0</v>
      </c>
      <c r="M9" s="1">
        <f>建筑各项能耗拆分!$B$18*建筑各项能耗拆分!M159</f>
        <v>0</v>
      </c>
      <c r="N9" s="1">
        <f>建筑各项能耗拆分!$B$18*建筑各项能耗拆分!N159</f>
        <v>0</v>
      </c>
      <c r="O9" s="1">
        <f>建筑各项能耗拆分!$B$18*建筑各项能耗拆分!O159</f>
        <v>0</v>
      </c>
      <c r="P9" s="1">
        <f>建筑各项能耗拆分!$B$18*建筑各项能耗拆分!P159</f>
        <v>0</v>
      </c>
      <c r="Q9" s="1">
        <f>建筑各项能耗拆分!$B$18*建筑各项能耗拆分!Q159</f>
        <v>0</v>
      </c>
      <c r="R9" s="1">
        <f>建筑各项能耗拆分!$B$18*建筑各项能耗拆分!R159</f>
        <v>0</v>
      </c>
      <c r="S9" s="1">
        <f>建筑各项能耗拆分!$B$18*建筑各项能耗拆分!S159</f>
        <v>0</v>
      </c>
      <c r="T9" s="1">
        <f>建筑各项能耗拆分!$B$18*建筑各项能耗拆分!T159</f>
        <v>0</v>
      </c>
      <c r="U9" s="1">
        <f>建筑各项能耗拆分!$B$18*建筑各项能耗拆分!U159</f>
        <v>0</v>
      </c>
      <c r="V9" s="1">
        <f>建筑各项能耗拆分!$B$18*建筑各项能耗拆分!V159</f>
        <v>0</v>
      </c>
      <c r="W9" s="1">
        <f>建筑各项能耗拆分!$B$18*建筑各项能耗拆分!W159</f>
        <v>0</v>
      </c>
      <c r="X9" s="1">
        <f>建筑各项能耗拆分!$B$18*建筑各项能耗拆分!X159</f>
        <v>0</v>
      </c>
      <c r="Y9" s="1">
        <f>建筑各项能耗拆分!$B$18*建筑各项能耗拆分!Y159</f>
        <v>0</v>
      </c>
      <c r="Z9" s="1">
        <f>建筑各项能耗拆分!$B$18*建筑各项能耗拆分!Z159</f>
        <v>0</v>
      </c>
      <c r="AA9" s="1">
        <f>建筑各项能耗拆分!$B$18*建筑各项能耗拆分!AA159</f>
        <v>0</v>
      </c>
      <c r="AB9" s="1">
        <f>建筑各项能耗拆分!$B$18*建筑各项能耗拆分!AB159</f>
        <v>0</v>
      </c>
      <c r="AC9" s="1">
        <f>建筑各项能耗拆分!$B$18*建筑各项能耗拆分!AC159</f>
        <v>0</v>
      </c>
      <c r="AD9" s="1">
        <f>建筑各项能耗拆分!$B$18*建筑各项能耗拆分!AD159</f>
        <v>0</v>
      </c>
      <c r="AE9" s="1">
        <f>建筑各项能耗拆分!$B$18*建筑各项能耗拆分!AE159</f>
        <v>0</v>
      </c>
      <c r="AF9" s="1">
        <f>建筑各项能耗拆分!$B$18*建筑各项能耗拆分!AF159</f>
        <v>0</v>
      </c>
      <c r="AG9" s="1">
        <f>建筑各项能耗拆分!$B$18*建筑各项能耗拆分!AG159</f>
        <v>0</v>
      </c>
      <c r="AH9" s="1">
        <f>建筑各项能耗拆分!$B$18*建筑各项能耗拆分!AH159</f>
        <v>0</v>
      </c>
      <c r="AI9" s="1">
        <f>建筑各项能耗拆分!$B$18*建筑各项能耗拆分!AI159</f>
        <v>0</v>
      </c>
      <c r="AJ9" s="1">
        <f>建筑各项能耗拆分!$B$18*建筑各项能耗拆分!AJ159</f>
        <v>0</v>
      </c>
      <c r="AK9" s="1">
        <f>建筑各项能耗拆分!$B$18*建筑各项能耗拆分!AK159</f>
        <v>0</v>
      </c>
      <c r="AL9" s="1">
        <f>建筑各项能耗拆分!$B$18*建筑各项能耗拆分!AL159</f>
        <v>0</v>
      </c>
      <c r="AM9" s="1">
        <f>建筑各项能耗拆分!$B$18*建筑各项能耗拆分!AM159</f>
        <v>0</v>
      </c>
      <c r="AN9" s="1">
        <f>建筑各项能耗拆分!$B$18*建筑各项能耗拆分!AN159</f>
        <v>0</v>
      </c>
      <c r="AO9" s="1">
        <f>建筑各项能耗拆分!$B$18*建筑各项能耗拆分!AO159</f>
        <v>0</v>
      </c>
      <c r="AP9" s="1">
        <f>建筑各项能耗拆分!$B$18*建筑各项能耗拆分!AP159</f>
        <v>0</v>
      </c>
      <c r="AQ9" s="1">
        <f>建筑各项能耗拆分!$B$18*建筑各项能耗拆分!AQ159</f>
        <v>0</v>
      </c>
      <c r="AR9" s="1">
        <f>建筑各项能耗拆分!$B$18*建筑各项能耗拆分!AR159</f>
        <v>0</v>
      </c>
    </row>
    <row r="10" spans="1:44" x14ac:dyDescent="0.15">
      <c r="A10" t="s">
        <v>8</v>
      </c>
      <c r="B10" s="1">
        <f>建筑各项能耗拆分!$B$18*建筑各项能耗拆分!B160</f>
        <v>0</v>
      </c>
      <c r="C10" s="1">
        <f>建筑各项能耗拆分!$B$18*建筑各项能耗拆分!C160</f>
        <v>0</v>
      </c>
      <c r="D10" s="1">
        <f>建筑各项能耗拆分!$B$18*建筑各项能耗拆分!D160</f>
        <v>0</v>
      </c>
      <c r="E10" s="1">
        <f>建筑各项能耗拆分!$B$18*建筑各项能耗拆分!E160</f>
        <v>0</v>
      </c>
      <c r="F10" s="1">
        <f>建筑各项能耗拆分!$B$18*建筑各项能耗拆分!F160</f>
        <v>0</v>
      </c>
      <c r="G10" s="1">
        <f>建筑各项能耗拆分!$B$18*建筑各项能耗拆分!G160</f>
        <v>0</v>
      </c>
      <c r="H10" s="1">
        <f>建筑各项能耗拆分!$B$18*建筑各项能耗拆分!H160</f>
        <v>0</v>
      </c>
      <c r="I10" s="1">
        <f>建筑各项能耗拆分!$B$18*建筑各项能耗拆分!I160</f>
        <v>0</v>
      </c>
      <c r="J10" s="1">
        <f>建筑各项能耗拆分!$B$18*建筑各项能耗拆分!J160</f>
        <v>0</v>
      </c>
      <c r="K10" s="1">
        <f>建筑各项能耗拆分!$B$18*建筑各项能耗拆分!K160</f>
        <v>0</v>
      </c>
      <c r="L10" s="1">
        <f>建筑各项能耗拆分!$B$18*建筑各项能耗拆分!L160</f>
        <v>0</v>
      </c>
      <c r="M10" s="1">
        <f>建筑各项能耗拆分!$B$18*建筑各项能耗拆分!M160</f>
        <v>0</v>
      </c>
      <c r="N10" s="1">
        <f>建筑各项能耗拆分!$B$18*建筑各项能耗拆分!N160</f>
        <v>0</v>
      </c>
      <c r="O10" s="1">
        <f>建筑各项能耗拆分!$B$18*建筑各项能耗拆分!O160</f>
        <v>0</v>
      </c>
      <c r="P10" s="1">
        <f>建筑各项能耗拆分!$B$18*建筑各项能耗拆分!P160</f>
        <v>0</v>
      </c>
      <c r="Q10" s="1">
        <f>建筑各项能耗拆分!$B$18*建筑各项能耗拆分!Q160</f>
        <v>0</v>
      </c>
      <c r="R10" s="1">
        <f>建筑各项能耗拆分!$B$18*建筑各项能耗拆分!R160</f>
        <v>0</v>
      </c>
      <c r="S10" s="1">
        <f>建筑各项能耗拆分!$B$18*建筑各项能耗拆分!S160</f>
        <v>0</v>
      </c>
      <c r="T10" s="1">
        <f>建筑各项能耗拆分!$B$18*建筑各项能耗拆分!T160</f>
        <v>0</v>
      </c>
      <c r="U10" s="1">
        <f>建筑各项能耗拆分!$B$18*建筑各项能耗拆分!U160</f>
        <v>0</v>
      </c>
      <c r="V10" s="1">
        <f>建筑各项能耗拆分!$B$18*建筑各项能耗拆分!V160</f>
        <v>0</v>
      </c>
      <c r="W10" s="1">
        <f>建筑各项能耗拆分!$B$18*建筑各项能耗拆分!W160</f>
        <v>0</v>
      </c>
      <c r="X10" s="1">
        <f>建筑各项能耗拆分!$B$18*建筑各项能耗拆分!X160</f>
        <v>0</v>
      </c>
      <c r="Y10" s="1">
        <f>建筑各项能耗拆分!$B$18*建筑各项能耗拆分!Y160</f>
        <v>0</v>
      </c>
      <c r="Z10" s="1">
        <f>建筑各项能耗拆分!$B$18*建筑各项能耗拆分!Z160</f>
        <v>0</v>
      </c>
      <c r="AA10" s="1">
        <f>建筑各项能耗拆分!$B$18*建筑各项能耗拆分!AA160</f>
        <v>0</v>
      </c>
      <c r="AB10" s="1">
        <f>建筑各项能耗拆分!$B$18*建筑各项能耗拆分!AB160</f>
        <v>0</v>
      </c>
      <c r="AC10" s="1">
        <f>建筑各项能耗拆分!$B$18*建筑各项能耗拆分!AC160</f>
        <v>0</v>
      </c>
      <c r="AD10" s="1">
        <f>建筑各项能耗拆分!$B$18*建筑各项能耗拆分!AD160</f>
        <v>0</v>
      </c>
      <c r="AE10" s="1">
        <f>建筑各项能耗拆分!$B$18*建筑各项能耗拆分!AE160</f>
        <v>0</v>
      </c>
      <c r="AF10" s="1">
        <f>建筑各项能耗拆分!$B$18*建筑各项能耗拆分!AF160</f>
        <v>0</v>
      </c>
      <c r="AG10" s="1">
        <f>建筑各项能耗拆分!$B$18*建筑各项能耗拆分!AG160</f>
        <v>0</v>
      </c>
      <c r="AH10" s="1">
        <f>建筑各项能耗拆分!$B$18*建筑各项能耗拆分!AH160</f>
        <v>0</v>
      </c>
      <c r="AI10" s="1">
        <f>建筑各项能耗拆分!$B$18*建筑各项能耗拆分!AI160</f>
        <v>0</v>
      </c>
      <c r="AJ10" s="1">
        <f>建筑各项能耗拆分!$B$18*建筑各项能耗拆分!AJ160</f>
        <v>0</v>
      </c>
      <c r="AK10" s="1">
        <f>建筑各项能耗拆分!$B$18*建筑各项能耗拆分!AK160</f>
        <v>0</v>
      </c>
      <c r="AL10" s="1">
        <f>建筑各项能耗拆分!$B$18*建筑各项能耗拆分!AL160</f>
        <v>0</v>
      </c>
      <c r="AM10" s="1">
        <f>建筑各项能耗拆分!$B$18*建筑各项能耗拆分!AM160</f>
        <v>0</v>
      </c>
      <c r="AN10" s="1">
        <f>建筑各项能耗拆分!$B$18*建筑各项能耗拆分!AN160</f>
        <v>0</v>
      </c>
      <c r="AO10" s="1">
        <f>建筑各项能耗拆分!$B$18*建筑各项能耗拆分!AO160</f>
        <v>0</v>
      </c>
      <c r="AP10" s="1">
        <f>建筑各项能耗拆分!$B$18*建筑各项能耗拆分!AP160</f>
        <v>0</v>
      </c>
      <c r="AQ10" s="1">
        <f>建筑各项能耗拆分!$B$18*建筑各项能耗拆分!AQ160</f>
        <v>0</v>
      </c>
      <c r="AR10" s="1">
        <f>建筑各项能耗拆分!$B$18*建筑各项能耗拆分!AR160</f>
        <v>0</v>
      </c>
    </row>
    <row r="11" spans="1:44" x14ac:dyDescent="0.15">
      <c r="A11" t="s">
        <v>9</v>
      </c>
      <c r="B11" s="1">
        <f>建筑各项能耗拆分!$B$18*建筑各项能耗拆分!B161</f>
        <v>0</v>
      </c>
      <c r="C11" s="1">
        <f>建筑各项能耗拆分!$B$18*建筑各项能耗拆分!C161</f>
        <v>0</v>
      </c>
      <c r="D11" s="1">
        <f>建筑各项能耗拆分!$B$18*建筑各项能耗拆分!D161</f>
        <v>0</v>
      </c>
      <c r="E11" s="1">
        <f>建筑各项能耗拆分!$B$18*建筑各项能耗拆分!E161</f>
        <v>0</v>
      </c>
      <c r="F11" s="1">
        <f>建筑各项能耗拆分!$B$18*建筑各项能耗拆分!F161</f>
        <v>0</v>
      </c>
      <c r="G11" s="1">
        <f>建筑各项能耗拆分!$B$18*建筑各项能耗拆分!G161</f>
        <v>0</v>
      </c>
      <c r="H11" s="1">
        <f>建筑各项能耗拆分!$B$18*建筑各项能耗拆分!H161</f>
        <v>0</v>
      </c>
      <c r="I11" s="1">
        <f>建筑各项能耗拆分!$B$18*建筑各项能耗拆分!I161</f>
        <v>0</v>
      </c>
      <c r="J11" s="1">
        <f>建筑各项能耗拆分!$B$18*建筑各项能耗拆分!J161</f>
        <v>0</v>
      </c>
      <c r="K11" s="1">
        <f>建筑各项能耗拆分!$B$18*建筑各项能耗拆分!K161</f>
        <v>0</v>
      </c>
      <c r="L11" s="1">
        <f>建筑各项能耗拆分!$B$18*建筑各项能耗拆分!L161</f>
        <v>0</v>
      </c>
      <c r="M11" s="1">
        <f>建筑各项能耗拆分!$B$18*建筑各项能耗拆分!M161</f>
        <v>0</v>
      </c>
      <c r="N11" s="1">
        <f>建筑各项能耗拆分!$B$18*建筑各项能耗拆分!N161</f>
        <v>0</v>
      </c>
      <c r="O11" s="1">
        <f>建筑各项能耗拆分!$B$18*建筑各项能耗拆分!O161</f>
        <v>0</v>
      </c>
      <c r="P11" s="1">
        <f>建筑各项能耗拆分!$B$18*建筑各项能耗拆分!P161</f>
        <v>0</v>
      </c>
      <c r="Q11" s="1">
        <f>建筑各项能耗拆分!$B$18*建筑各项能耗拆分!Q161</f>
        <v>0</v>
      </c>
      <c r="R11" s="1">
        <f>建筑各项能耗拆分!$B$18*建筑各项能耗拆分!R161</f>
        <v>0</v>
      </c>
      <c r="S11" s="1">
        <f>建筑各项能耗拆分!$B$18*建筑各项能耗拆分!S161</f>
        <v>0</v>
      </c>
      <c r="T11" s="1">
        <f>建筑各项能耗拆分!$B$18*建筑各项能耗拆分!T161</f>
        <v>0</v>
      </c>
      <c r="U11" s="1">
        <f>建筑各项能耗拆分!$B$18*建筑各项能耗拆分!U161</f>
        <v>0</v>
      </c>
      <c r="V11" s="1">
        <f>建筑各项能耗拆分!$B$18*建筑各项能耗拆分!V161</f>
        <v>0</v>
      </c>
      <c r="W11" s="1">
        <f>建筑各项能耗拆分!$B$18*建筑各项能耗拆分!W161</f>
        <v>0</v>
      </c>
      <c r="X11" s="1">
        <f>建筑各项能耗拆分!$B$18*建筑各项能耗拆分!X161</f>
        <v>0</v>
      </c>
      <c r="Y11" s="1">
        <f>建筑各项能耗拆分!$B$18*建筑各项能耗拆分!Y161</f>
        <v>0</v>
      </c>
      <c r="Z11" s="1">
        <f>建筑各项能耗拆分!$B$18*建筑各项能耗拆分!Z161</f>
        <v>0</v>
      </c>
      <c r="AA11" s="1">
        <f>建筑各项能耗拆分!$B$18*建筑各项能耗拆分!AA161</f>
        <v>0</v>
      </c>
      <c r="AB11" s="1">
        <f>建筑各项能耗拆分!$B$18*建筑各项能耗拆分!AB161</f>
        <v>0</v>
      </c>
      <c r="AC11" s="1">
        <f>建筑各项能耗拆分!$B$18*建筑各项能耗拆分!AC161</f>
        <v>0</v>
      </c>
      <c r="AD11" s="1">
        <f>建筑各项能耗拆分!$B$18*建筑各项能耗拆分!AD161</f>
        <v>0</v>
      </c>
      <c r="AE11" s="1">
        <f>建筑各项能耗拆分!$B$18*建筑各项能耗拆分!AE161</f>
        <v>0</v>
      </c>
      <c r="AF11" s="1">
        <f>建筑各项能耗拆分!$B$18*建筑各项能耗拆分!AF161</f>
        <v>0</v>
      </c>
      <c r="AG11" s="1">
        <f>建筑各项能耗拆分!$B$18*建筑各项能耗拆分!AG161</f>
        <v>0</v>
      </c>
      <c r="AH11" s="1">
        <f>建筑各项能耗拆分!$B$18*建筑各项能耗拆分!AH161</f>
        <v>0</v>
      </c>
      <c r="AI11" s="1">
        <f>建筑各项能耗拆分!$B$18*建筑各项能耗拆分!AI161</f>
        <v>0</v>
      </c>
      <c r="AJ11" s="1">
        <f>建筑各项能耗拆分!$B$18*建筑各项能耗拆分!AJ161</f>
        <v>0</v>
      </c>
      <c r="AK11" s="1">
        <f>建筑各项能耗拆分!$B$18*建筑各项能耗拆分!AK161</f>
        <v>0</v>
      </c>
      <c r="AL11" s="1">
        <f>建筑各项能耗拆分!$B$18*建筑各项能耗拆分!AL161</f>
        <v>0</v>
      </c>
      <c r="AM11" s="1">
        <f>建筑各项能耗拆分!$B$18*建筑各项能耗拆分!AM161</f>
        <v>0</v>
      </c>
      <c r="AN11" s="1">
        <f>建筑各项能耗拆分!$B$18*建筑各项能耗拆分!AN161</f>
        <v>0</v>
      </c>
      <c r="AO11" s="1">
        <f>建筑各项能耗拆分!$B$18*建筑各项能耗拆分!AO161</f>
        <v>0</v>
      </c>
      <c r="AP11" s="1">
        <f>建筑各项能耗拆分!$B$18*建筑各项能耗拆分!AP161</f>
        <v>0</v>
      </c>
      <c r="AQ11" s="1">
        <f>建筑各项能耗拆分!$B$18*建筑各项能耗拆分!AQ161</f>
        <v>0</v>
      </c>
      <c r="AR11" s="1">
        <f>建筑各项能耗拆分!$B$18*建筑各项能耗拆分!AR161</f>
        <v>0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0C43-D2AD-4FF8-8332-ACE5C659F89B}">
  <sheetPr>
    <tabColor rgb="FF7030A0"/>
  </sheetPr>
  <dimension ref="A1:AR11"/>
  <sheetViews>
    <sheetView workbookViewId="0">
      <selection activeCell="A21" sqref="A21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建筑各项能耗拆分!$B$18*建筑各项能耗拆分!B100</f>
        <v>411725623274288.75</v>
      </c>
      <c r="C2" s="1">
        <f>建筑各项能耗拆分!$B$18*建筑各项能耗拆分!C100</f>
        <v>408802371349041.38</v>
      </c>
      <c r="D2" s="1">
        <f>建筑各项能耗拆分!$B$18*建筑各项能耗拆分!D100</f>
        <v>397227934125061.19</v>
      </c>
      <c r="E2" s="1">
        <f>建筑各项能耗拆分!$B$18*建筑各项能耗拆分!E100</f>
        <v>389838687460471.81</v>
      </c>
      <c r="F2" s="1">
        <f>建筑各项能耗拆分!$B$18*建筑各项能耗拆分!F100</f>
        <v>388663992445183.94</v>
      </c>
      <c r="G2" s="1">
        <f>建筑各项能耗拆分!$B$18*建筑各项能耗拆分!G100</f>
        <v>387317048919345.5</v>
      </c>
      <c r="H2" s="1">
        <f>建筑各项能耗拆分!$B$18*建筑各项能耗拆分!H100</f>
        <v>385800973368450</v>
      </c>
      <c r="I2" s="1">
        <f>建筑各项能耗拆分!$B$18*建筑各项能耗拆分!I100</f>
        <v>384119117455780.06</v>
      </c>
      <c r="J2" s="1">
        <f>建筑各项能耗拆分!$B$18*建筑各项能耗拆分!J100</f>
        <v>382275040740425</v>
      </c>
      <c r="K2" s="1">
        <f>建筑各项能耗拆分!$B$18*建筑各项能耗拆分!K100</f>
        <v>380272529318223.38</v>
      </c>
      <c r="L2" s="1">
        <f>建筑各项能耗拆分!$B$18*建筑各项能耗拆分!L100</f>
        <v>378115568166591.69</v>
      </c>
      <c r="M2" s="1">
        <f>建筑各项能耗拆分!$B$18*建筑各项能耗拆分!M100</f>
        <v>375808346900845.81</v>
      </c>
      <c r="N2" s="1">
        <f>建筑各项能耗拆分!$B$18*建筑各项能耗拆分!N100</f>
        <v>373355249623211.63</v>
      </c>
      <c r="O2" s="1">
        <f>建筑各项能耗拆分!$B$18*建筑各项能耗拆分!O100</f>
        <v>370760842433692.81</v>
      </c>
      <c r="P2" s="1">
        <f>建筑各项能耗拆分!$B$18*建筑各项能耗拆分!P100</f>
        <v>368029877851031.31</v>
      </c>
      <c r="Q2" s="1">
        <f>建筑各项能耗拆分!$B$18*建筑各项能耗拆分!Q100</f>
        <v>365167269272434.81</v>
      </c>
      <c r="R2" s="1">
        <f>建筑各项能耗拆分!$B$18*建筑各项能耗拆分!R100</f>
        <v>362244017347187.25</v>
      </c>
      <c r="S2" s="1">
        <f>建筑各项能耗拆分!$B$18*建筑各项能耗拆分!S100</f>
        <v>359200115800169.88</v>
      </c>
      <c r="T2" s="1">
        <f>建筑各项能耗拆分!$B$18*建筑各项能耗拆分!T100</f>
        <v>355934141434461.06</v>
      </c>
      <c r="U2" s="1">
        <f>建筑各项能耗拆分!$B$18*建筑各项能耗拆分!U100</f>
        <v>352455920090265.31</v>
      </c>
      <c r="V2" s="1">
        <f>建筑各项能耗拆分!$B$18*建筑各项能耗拆分!V100</f>
        <v>348775522097052</v>
      </c>
      <c r="W2" s="1">
        <f>建筑各项能耗拆分!$B$18*建筑各项能耗拆分!W100</f>
        <v>344903222160724.75</v>
      </c>
      <c r="X2" s="1">
        <f>建筑各项能耗拆分!$B$18*建筑各项能耗拆分!X100</f>
        <v>340849497930545.69</v>
      </c>
      <c r="Y2" s="1">
        <f>建筑各项能耗拆分!$B$18*建筑各项能耗拆分!Y100</f>
        <v>336625000592966.81</v>
      </c>
      <c r="Z2" s="1">
        <f>建筑各项能耗拆分!$B$18*建筑各项能耗拆分!Z100</f>
        <v>332240532326086.94</v>
      </c>
      <c r="AA2" s="1">
        <f>建筑各项能耗拆分!$B$18*建筑各项能耗拆分!AA100</f>
        <v>327707011128128.63</v>
      </c>
      <c r="AB2" s="1">
        <f>建筑各项能耗拆分!$B$18*建筑各项能耗拆分!AB100</f>
        <v>323035452878475.38</v>
      </c>
      <c r="AC2" s="1">
        <f>建筑各项能耗拆分!$B$18*建筑各项能耗拆分!AC100</f>
        <v>318236954038852.88</v>
      </c>
      <c r="AD2" s="1">
        <f>建筑各项能耗拆分!$B$18*建筑各项能耗拆分!AD100</f>
        <v>313322642091658.06</v>
      </c>
      <c r="AE2" s="1">
        <f>建筑各项能耗拆分!$B$18*建筑各项能耗拆分!AE100</f>
        <v>308303651441241.31</v>
      </c>
      <c r="AF2" s="1">
        <f>建筑各项能耗拆分!$B$18*建筑各项能耗拆分!AF100</f>
        <v>303191112958263.56</v>
      </c>
      <c r="AG2" s="1">
        <f>建筑各项能耗拆分!$B$18*建筑各项能耗拆分!AG100</f>
        <v>297996089361683.44</v>
      </c>
      <c r="AH2" s="1">
        <f>建筑各项能耗拆分!$B$18*建筑各项能耗拆分!AH100</f>
        <v>292729558376874.13</v>
      </c>
      <c r="AI2" s="1">
        <f>建筑各项能耗拆分!$B$18*建筑各项能耗拆分!AI100</f>
        <v>287402383527018.75</v>
      </c>
      <c r="AJ2" s="1">
        <f>建筑各项能耗拆分!$B$18*建筑各项能耗拆分!AJ100</f>
        <v>282025253566959.75</v>
      </c>
      <c r="AK2" s="1">
        <f>建筑各项能耗拆分!$B$18*建筑各项能耗拆分!AK100</f>
        <v>276608676126892.78</v>
      </c>
      <c r="AL2" s="1">
        <f>建筑各项能耗拆分!$B$18*建筑各项能耗拆分!AL100</f>
        <v>271162900715865.28</v>
      </c>
      <c r="AM2" s="1">
        <f>建筑各项能耗拆分!$B$18*建筑各项能耗拆分!AM100</f>
        <v>265697912631013.16</v>
      </c>
      <c r="AN2" s="1">
        <f>建筑各项能耗拆分!$B$18*建筑各项能耗拆分!AN100</f>
        <v>260223367132460.91</v>
      </c>
      <c r="AO2" s="1">
        <f>建筑各项能耗拆分!$B$18*建筑各项能耗拆分!AO100</f>
        <v>254748548957900.41</v>
      </c>
      <c r="AP2" s="1">
        <f>建筑各项能耗拆分!$B$18*建筑各项能耗拆分!AP100</f>
        <v>249282326593862.5</v>
      </c>
      <c r="AQ2" s="1">
        <f>建筑各项能耗拆分!$B$18*建筑各项能耗拆分!AQ100</f>
        <v>243833104683914.03</v>
      </c>
      <c r="AR2" s="1">
        <f>建筑各项能耗拆分!$B$18*建筑各项能耗拆分!AR100</f>
        <v>238408780048820.66</v>
      </c>
    </row>
    <row r="3" spans="1:44" x14ac:dyDescent="0.15">
      <c r="A3" t="s">
        <v>1</v>
      </c>
      <c r="B3" s="1">
        <f>建筑各项能耗拆分!$B$18*建筑各项能耗拆分!B101</f>
        <v>990599214954608.38</v>
      </c>
      <c r="C3" s="1">
        <f>建筑各项能耗拆分!$B$18*建筑各项能耗拆分!C101</f>
        <v>983565960528430.63</v>
      </c>
      <c r="D3" s="1">
        <f>建筑各项能耗拆分!$B$18*建筑各项能耗拆分!D101</f>
        <v>955718219752827.25</v>
      </c>
      <c r="E3" s="1">
        <f>建筑各项能耗拆分!$B$18*建筑各项能耗拆分!E101</f>
        <v>937939919031980.75</v>
      </c>
      <c r="F3" s="1">
        <f>建筑各项能耗拆分!$B$18*建筑各项能耗拆分!F101</f>
        <v>935113638873118.75</v>
      </c>
      <c r="G3" s="1">
        <f>建筑各项能耗拆分!$B$18*建筑各项能耗拆分!G101</f>
        <v>931872934083670.13</v>
      </c>
      <c r="H3" s="1">
        <f>建筑各项能耗拆分!$B$18*建筑各项能耗拆分!H101</f>
        <v>928225302832096.25</v>
      </c>
      <c r="I3" s="1">
        <f>建筑各项能耗拆分!$B$18*建筑各项能耗拆分!I101</f>
        <v>924178809117402.88</v>
      </c>
      <c r="J3" s="1">
        <f>建筑各项能耗拆分!$B$18*建筑各项能耗拆分!J101</f>
        <v>919742017129526.5</v>
      </c>
      <c r="K3" s="1">
        <f>建筑各项能耗拆分!$B$18*建筑各项能耗拆分!K101</f>
        <v>914924036098870.5</v>
      </c>
      <c r="L3" s="1">
        <f>建筑各项能耗拆分!$B$18*建筑各项能耗拆分!L101</f>
        <v>909734453758811.75</v>
      </c>
      <c r="M3" s="1">
        <f>建筑各项能耗拆分!$B$18*建筑各项能耗拆分!M101</f>
        <v>904183350195233.25</v>
      </c>
      <c r="N3" s="1">
        <f>建筑各项能耗拆分!$B$18*建筑各项能耗拆分!N101</f>
        <v>898281273423555.63</v>
      </c>
      <c r="O3" s="1">
        <f>建筑各项能耗拆分!$B$18*建筑各项能耗拆分!O101</f>
        <v>892039209340267.38</v>
      </c>
      <c r="P3" s="1">
        <f>建筑各项能耗拆分!$B$18*建筑各项能耗拆分!P101</f>
        <v>885468592359620.75</v>
      </c>
      <c r="Q3" s="1">
        <f>建筑各项能耗拆分!$B$18*建筑各项能耗拆分!Q101</f>
        <v>878581243964519.88</v>
      </c>
      <c r="R3" s="1">
        <f>建筑各项能耗拆分!$B$18*建筑各项能耗拆分!R101</f>
        <v>871547989538342.25</v>
      </c>
      <c r="S3" s="1">
        <f>建筑各项能耗拆分!$B$18*建筑各项能耗拆分!S101</f>
        <v>864224455824566.5</v>
      </c>
      <c r="T3" s="1">
        <f>建筑各项能耗拆分!$B$18*建筑各项能耗拆分!T101</f>
        <v>856366621723778.13</v>
      </c>
      <c r="U3" s="1">
        <f>建筑各项能耗拆分!$B$18*建筑各项能耗拆分!U101</f>
        <v>847998127905983</v>
      </c>
      <c r="V3" s="1">
        <f>建筑各项能耗拆分!$B$18*建筑各项能耗拆分!V101</f>
        <v>839143203274856</v>
      </c>
      <c r="W3" s="1">
        <f>建筑各项能耗拆分!$B$18*建筑各项能耗拆分!W101</f>
        <v>829826568457500.75</v>
      </c>
      <c r="X3" s="1">
        <f>建筑各项能耗拆分!$B$18*建筑各项能耗拆分!X101</f>
        <v>820073432356513.88</v>
      </c>
      <c r="Y3" s="1">
        <f>建筑各项能耗拆分!$B$18*建筑各项能耗拆分!Y101</f>
        <v>809909421399645.13</v>
      </c>
      <c r="Z3" s="1">
        <f>建筑各项能耗拆分!$B$18*建筑各项能耗拆分!Z101</f>
        <v>799360525295913.5</v>
      </c>
      <c r="AA3" s="1">
        <f>建筑各项能耗拆分!$B$18*建筑各项能耗拆分!AA101</f>
        <v>788453012414001.5</v>
      </c>
      <c r="AB3" s="1">
        <f>建筑各项能耗拆分!$B$18*建筑各项能耗拆分!AB101</f>
        <v>777213386621660.88</v>
      </c>
      <c r="AC3" s="1">
        <f>建筑各项能耗拆分!$B$18*建筑各项能耗拆分!AC101</f>
        <v>765668345665286</v>
      </c>
      <c r="AD3" s="1">
        <f>建筑各项能耗拆分!$B$18*建筑各项能耗拆分!AD101</f>
        <v>753844661926054.25</v>
      </c>
      <c r="AE3" s="1">
        <f>建筑各项能耗拆分!$B$18*建筑各项能耗拆分!AE101</f>
        <v>741769124439150.88</v>
      </c>
      <c r="AF3" s="1">
        <f>建筑各项能耗拆分!$B$18*建筑各项能耗拆分!AF101</f>
        <v>729468513737812.5</v>
      </c>
      <c r="AG3" s="1">
        <f>建筑各项能耗拆分!$B$18*建筑各项能耗拆分!AG101</f>
        <v>716969446384371.13</v>
      </c>
      <c r="AH3" s="1">
        <f>建筑各项能耗拆分!$B$18*建筑各项能耗拆分!AH101</f>
        <v>704298334449200.75</v>
      </c>
      <c r="AI3" s="1">
        <f>建筑各项能耗拆分!$B$18*建筑各项能耗拆分!AI101</f>
        <v>691481315235710.75</v>
      </c>
      <c r="AJ3" s="1">
        <f>建筑各项能耗拆分!$B$18*建筑各项能耗拆分!AJ101</f>
        <v>678544105560045.88</v>
      </c>
      <c r="AK3" s="1">
        <f>建筑各项能耗拆分!$B$18*建筑各项能耗拆分!AK101</f>
        <v>665511986458008.38</v>
      </c>
      <c r="AL3" s="1">
        <f>建筑各项能耗拆分!$B$18*建筑各项能耗拆分!AL101</f>
        <v>652409617933839.13</v>
      </c>
      <c r="AM3" s="1">
        <f>建筑各项能耗拆分!$B$18*建筑各项能耗拆分!AM101</f>
        <v>639261024306028.25</v>
      </c>
      <c r="AN3" s="1">
        <f>建筑各项能耗拆分!$B$18*建筑各项能耗拆分!AN101</f>
        <v>626089435834143.5</v>
      </c>
      <c r="AO3" s="1">
        <f>建筑各项能耗拆分!$B$18*建筑各项能耗拆分!AO101</f>
        <v>612917191312150.75</v>
      </c>
      <c r="AP3" s="1">
        <f>建筑各项能耗拆分!$B$18*建筑各项能耗拆分!AP101</f>
        <v>599765628046495.25</v>
      </c>
      <c r="AQ3" s="1">
        <f>建筑各项能耗拆分!$B$18*建筑各项能耗拆分!AQ101</f>
        <v>586654967351685.13</v>
      </c>
      <c r="AR3" s="1">
        <f>建筑各项能耗拆分!$B$18*建筑各项能耗拆分!AR101</f>
        <v>573604208736152.5</v>
      </c>
    </row>
    <row r="4" spans="1:44" x14ac:dyDescent="0.15">
      <c r="A4" t="s">
        <v>2</v>
      </c>
      <c r="B4" s="1">
        <f>建筑各项能耗拆分!$B$18*建筑各项能耗拆分!B102</f>
        <v>208997925062876.75</v>
      </c>
      <c r="C4" s="1">
        <f>建筑各项能耗拆分!$B$18*建筑各项能耗拆分!C102</f>
        <v>207514039794930.34</v>
      </c>
      <c r="D4" s="1">
        <f>建筑各项能耗拆分!$B$18*建筑各项能耗拆分!D102</f>
        <v>201638686824802.38</v>
      </c>
      <c r="E4" s="1">
        <f>建筑各项能耗拆分!$B$18*建筑各项能耗拆分!E102</f>
        <v>197887797559287.47</v>
      </c>
      <c r="F4" s="1">
        <f>建筑各项能耗拆分!$B$18*建筑各项能耗拆分!F102</f>
        <v>197291505254658.88</v>
      </c>
      <c r="G4" s="1">
        <f>建筑各项能耗拆分!$B$18*建筑各项能耗拆分!G102</f>
        <v>196607777096478.25</v>
      </c>
      <c r="H4" s="1">
        <f>建筑各项能耗拆分!$B$18*建筑各项能耗拆分!H102</f>
        <v>195838195058188.09</v>
      </c>
      <c r="I4" s="1">
        <f>建筑各项能耗拆分!$B$18*建筑各项能耗拆分!I102</f>
        <v>194984460492903.13</v>
      </c>
      <c r="J4" s="1">
        <f>建筑各项能耗拆分!$B$18*建筑各项能耗拆分!J102</f>
        <v>194048380284678.59</v>
      </c>
      <c r="K4" s="1">
        <f>建筑各项能耗拆分!$B$18*建筑各项能耗拆分!K102</f>
        <v>193031876310924.13</v>
      </c>
      <c r="L4" s="1">
        <f>建筑各项能耗拆分!$B$18*建筑各项能耗拆分!L102</f>
        <v>191936971404235.97</v>
      </c>
      <c r="M4" s="1">
        <f>建筑各项能耗拆分!$B$18*建筑各项能耗拆分!M102</f>
        <v>190765792274389.63</v>
      </c>
      <c r="N4" s="1">
        <f>建筑各项能耗拆分!$B$18*建筑各项能耗拆分!N102</f>
        <v>189520564355549.63</v>
      </c>
      <c r="O4" s="1">
        <f>建筑各项能耗拆分!$B$18*建筑各项能耗拆分!O102</f>
        <v>188203605466604.28</v>
      </c>
      <c r="P4" s="1">
        <f>建筑各项能耗拆分!$B$18*建筑各项能耗拆分!P102</f>
        <v>186817328055309.38</v>
      </c>
      <c r="Q4" s="1">
        <f>建筑各项能耗拆分!$B$18*建筑各项能耗拆分!Q102</f>
        <v>185364226233673.91</v>
      </c>
      <c r="R4" s="1">
        <f>建筑各项能耗拆分!$B$18*建筑各项能耗拆分!R102</f>
        <v>183880340965727.47</v>
      </c>
      <c r="S4" s="1">
        <f>建筑各项能耗拆分!$B$18*建筑各项能耗拆分!S102</f>
        <v>182335212191950.59</v>
      </c>
      <c r="T4" s="1">
        <f>建筑各项能耗拆分!$B$18*建筑各项能耗拆分!T102</f>
        <v>180677356019887.81</v>
      </c>
      <c r="U4" s="1">
        <f>建筑各项能耗拆分!$B$18*建筑各项能耗拆分!U102</f>
        <v>178911760189185.66</v>
      </c>
      <c r="V4" s="1">
        <f>建筑各项能耗拆分!$B$18*建筑各项能耗拆分!V102</f>
        <v>177043536545803.75</v>
      </c>
      <c r="W4" s="1">
        <f>建筑各项能耗拆分!$B$18*建筑各项能耗拆分!W102</f>
        <v>175077900680157.53</v>
      </c>
      <c r="X4" s="1">
        <f>建筑各项能耗拆分!$B$18*建筑各项能耗拆分!X102</f>
        <v>173020171199667.78</v>
      </c>
      <c r="Y4" s="1">
        <f>建筑各项能耗拆分!$B$18*建筑各项能耗拆分!Y102</f>
        <v>170875754801761.31</v>
      </c>
      <c r="Z4" s="1">
        <f>建筑各项能耗拆分!$B$18*建筑各项能耗拆分!Z102</f>
        <v>168650134829424.91</v>
      </c>
      <c r="AA4" s="1">
        <f>建筑各项能耗拆分!$B$18*建筑各项能耗拆分!AA102</f>
        <v>166348853417627.41</v>
      </c>
      <c r="AB4" s="1">
        <f>建筑各项能耗拆分!$B$18*建筑各项能耗拆分!AB102</f>
        <v>163977502387241.19</v>
      </c>
      <c r="AC4" s="1">
        <f>建筑各项能耗拆分!$B$18*建筑各项能耗拆分!AC102</f>
        <v>161541714463909.53</v>
      </c>
      <c r="AD4" s="1">
        <f>建筑各项能耗拆分!$B$18*建筑各项能耗拆分!AD102</f>
        <v>159047138119820.31</v>
      </c>
      <c r="AE4" s="1">
        <f>建筑各项能耗拆分!$B$18*建筑各项能耗拆分!AE102</f>
        <v>156499425340845.97</v>
      </c>
      <c r="AF4" s="1">
        <f>建筑各项能耗拆分!$B$18*建筑各项能耗拆分!AF102</f>
        <v>153904226319106.66</v>
      </c>
      <c r="AG4" s="1">
        <f>建筑各项能耗拆分!$B$18*建筑各项能耗拆分!AG102</f>
        <v>151267156651925.34</v>
      </c>
      <c r="AH4" s="1">
        <f>建筑各项能耗拆分!$B$18*建筑各项能耗拆分!AH102</f>
        <v>148593788792642.94</v>
      </c>
      <c r="AI4" s="1">
        <f>建筑各项能耗拆分!$B$18*建筑各项能耗拆分!AI102</f>
        <v>145889637223904.66</v>
      </c>
      <c r="AJ4" s="1">
        <f>建筑各项能耗拆分!$B$18*建筑各项能耗拆分!AJ102</f>
        <v>143160127713399.72</v>
      </c>
      <c r="AK4" s="1">
        <f>建筑各项能耗拆分!$B$18*建筑各项能耗拆分!AK102</f>
        <v>140410594087307.61</v>
      </c>
      <c r="AL4" s="1">
        <f>建筑各项能耗拆分!$B$18*建筑各项能耗拆分!AL102</f>
        <v>137646239145752.36</v>
      </c>
      <c r="AM4" s="1">
        <f>建筑各项能耗拆分!$B$18*建筑各项能耗拆分!AM102</f>
        <v>134872131571042.3</v>
      </c>
      <c r="AN4" s="1">
        <f>建筑各项能耗拆分!$B$18*建筑各项能耗拆分!AN102</f>
        <v>132093172513890.06</v>
      </c>
      <c r="AO4" s="1">
        <f>建筑各项能耗拆分!$B$18*建筑各项能耗拆分!AO102</f>
        <v>129314075042423.23</v>
      </c>
      <c r="AP4" s="1">
        <f>建筑各项能耗拆分!$B$18*建筑各项能耗拆分!AP102</f>
        <v>126539340929615.48</v>
      </c>
      <c r="AQ4" s="1">
        <f>建筑各项能耗拆分!$B$18*建筑各项能耗拆分!AQ102</f>
        <v>123773236494993.77</v>
      </c>
      <c r="AR4" s="1">
        <f>建筑各项能耗拆分!$B$18*建筑各项能耗拆分!AR102</f>
        <v>121019770279832.5</v>
      </c>
    </row>
    <row r="5" spans="1:44" x14ac:dyDescent="0.15">
      <c r="A5" t="s">
        <v>3</v>
      </c>
      <c r="B5" s="1">
        <f>建筑各项能耗拆分!$B$18*建筑各项能耗拆分!B103</f>
        <v>0</v>
      </c>
      <c r="C5" s="1">
        <f>建筑各项能耗拆分!$B$18*建筑各项能耗拆分!C103</f>
        <v>0</v>
      </c>
      <c r="D5" s="1">
        <f>建筑各项能耗拆分!$B$18*建筑各项能耗拆分!D103</f>
        <v>0</v>
      </c>
      <c r="E5" s="1">
        <f>建筑各项能耗拆分!$B$18*建筑各项能耗拆分!E103</f>
        <v>0</v>
      </c>
      <c r="F5" s="1">
        <f>建筑各项能耗拆分!$B$18*建筑各项能耗拆分!F103</f>
        <v>0</v>
      </c>
      <c r="G5" s="1">
        <f>建筑各项能耗拆分!$B$18*建筑各项能耗拆分!G103</f>
        <v>0</v>
      </c>
      <c r="H5" s="1">
        <f>建筑各项能耗拆分!$B$18*建筑各项能耗拆分!H103</f>
        <v>0</v>
      </c>
      <c r="I5" s="1">
        <f>建筑各项能耗拆分!$B$18*建筑各项能耗拆分!I103</f>
        <v>0</v>
      </c>
      <c r="J5" s="1">
        <f>建筑各项能耗拆分!$B$18*建筑各项能耗拆分!J103</f>
        <v>0</v>
      </c>
      <c r="K5" s="1">
        <f>建筑各项能耗拆分!$B$18*建筑各项能耗拆分!K103</f>
        <v>0</v>
      </c>
      <c r="L5" s="1">
        <f>建筑各项能耗拆分!$B$18*建筑各项能耗拆分!L103</f>
        <v>0</v>
      </c>
      <c r="M5" s="1">
        <f>建筑各项能耗拆分!$B$18*建筑各项能耗拆分!M103</f>
        <v>0</v>
      </c>
      <c r="N5" s="1">
        <f>建筑各项能耗拆分!$B$18*建筑各项能耗拆分!N103</f>
        <v>0</v>
      </c>
      <c r="O5" s="1">
        <f>建筑各项能耗拆分!$B$18*建筑各项能耗拆分!O103</f>
        <v>0</v>
      </c>
      <c r="P5" s="1">
        <f>建筑各项能耗拆分!$B$18*建筑各项能耗拆分!P103</f>
        <v>0</v>
      </c>
      <c r="Q5" s="1">
        <f>建筑各项能耗拆分!$B$18*建筑各项能耗拆分!Q103</f>
        <v>0</v>
      </c>
      <c r="R5" s="1">
        <f>建筑各项能耗拆分!$B$18*建筑各项能耗拆分!R103</f>
        <v>0</v>
      </c>
      <c r="S5" s="1">
        <f>建筑各项能耗拆分!$B$18*建筑各项能耗拆分!S103</f>
        <v>0</v>
      </c>
      <c r="T5" s="1">
        <f>建筑各项能耗拆分!$B$18*建筑各项能耗拆分!T103</f>
        <v>0</v>
      </c>
      <c r="U5" s="1">
        <f>建筑各项能耗拆分!$B$18*建筑各项能耗拆分!U103</f>
        <v>0</v>
      </c>
      <c r="V5" s="1">
        <f>建筑各项能耗拆分!$B$18*建筑各项能耗拆分!V103</f>
        <v>0</v>
      </c>
      <c r="W5" s="1">
        <f>建筑各项能耗拆分!$B$18*建筑各项能耗拆分!W103</f>
        <v>0</v>
      </c>
      <c r="X5" s="1">
        <f>建筑各项能耗拆分!$B$18*建筑各项能耗拆分!X103</f>
        <v>0</v>
      </c>
      <c r="Y5" s="1">
        <f>建筑各项能耗拆分!$B$18*建筑各项能耗拆分!Y103</f>
        <v>0</v>
      </c>
      <c r="Z5" s="1">
        <f>建筑各项能耗拆分!$B$18*建筑各项能耗拆分!Z103</f>
        <v>0</v>
      </c>
      <c r="AA5" s="1">
        <f>建筑各项能耗拆分!$B$18*建筑各项能耗拆分!AA103</f>
        <v>0</v>
      </c>
      <c r="AB5" s="1">
        <f>建筑各项能耗拆分!$B$18*建筑各项能耗拆分!AB103</f>
        <v>0</v>
      </c>
      <c r="AC5" s="1">
        <f>建筑各项能耗拆分!$B$18*建筑各项能耗拆分!AC103</f>
        <v>0</v>
      </c>
      <c r="AD5" s="1">
        <f>建筑各项能耗拆分!$B$18*建筑各项能耗拆分!AD103</f>
        <v>0</v>
      </c>
      <c r="AE5" s="1">
        <f>建筑各项能耗拆分!$B$18*建筑各项能耗拆分!AE103</f>
        <v>0</v>
      </c>
      <c r="AF5" s="1">
        <f>建筑各项能耗拆分!$B$18*建筑各项能耗拆分!AF103</f>
        <v>0</v>
      </c>
      <c r="AG5" s="1">
        <f>建筑各项能耗拆分!$B$18*建筑各项能耗拆分!AG103</f>
        <v>0</v>
      </c>
      <c r="AH5" s="1">
        <f>建筑各项能耗拆分!$B$18*建筑各项能耗拆分!AH103</f>
        <v>0</v>
      </c>
      <c r="AI5" s="1">
        <f>建筑各项能耗拆分!$B$18*建筑各项能耗拆分!AI103</f>
        <v>0</v>
      </c>
      <c r="AJ5" s="1">
        <f>建筑各项能耗拆分!$B$18*建筑各项能耗拆分!AJ103</f>
        <v>0</v>
      </c>
      <c r="AK5" s="1">
        <f>建筑各项能耗拆分!$B$18*建筑各项能耗拆分!AK103</f>
        <v>0</v>
      </c>
      <c r="AL5" s="1">
        <f>建筑各项能耗拆分!$B$18*建筑各项能耗拆分!AL103</f>
        <v>0</v>
      </c>
      <c r="AM5" s="1">
        <f>建筑各项能耗拆分!$B$18*建筑各项能耗拆分!AM103</f>
        <v>0</v>
      </c>
      <c r="AN5" s="1">
        <f>建筑各项能耗拆分!$B$18*建筑各项能耗拆分!AN103</f>
        <v>0</v>
      </c>
      <c r="AO5" s="1">
        <f>建筑各项能耗拆分!$B$18*建筑各项能耗拆分!AO103</f>
        <v>0</v>
      </c>
      <c r="AP5" s="1">
        <f>建筑各项能耗拆分!$B$18*建筑各项能耗拆分!AP103</f>
        <v>0</v>
      </c>
      <c r="AQ5" s="1">
        <f>建筑各项能耗拆分!$B$18*建筑各项能耗拆分!AQ103</f>
        <v>0</v>
      </c>
      <c r="AR5" s="1">
        <f>建筑各项能耗拆分!$B$18*建筑各项能耗拆分!AR103</f>
        <v>0</v>
      </c>
    </row>
    <row r="6" spans="1:44" x14ac:dyDescent="0.1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</row>
    <row r="7" spans="1:44" x14ac:dyDescent="0.15">
      <c r="A7" t="s">
        <v>5</v>
      </c>
      <c r="B7" s="1">
        <f>建筑各项能耗拆分!$B$18*建筑各项能耗拆分!B105</f>
        <v>46335810613569.555</v>
      </c>
      <c r="C7" s="1">
        <f>建筑各项能耗拆分!$B$18*建筑各项能耗拆分!C105</f>
        <v>46006826358213.211</v>
      </c>
      <c r="D7" s="1">
        <f>建筑各项能耗拆分!$B$18*建筑各项能耗拆分!D105</f>
        <v>44704233318450.648</v>
      </c>
      <c r="E7" s="1">
        <f>建筑各项能耗拆分!$B$18*建筑各项能耗拆分!E105</f>
        <v>43872643748424.617</v>
      </c>
      <c r="F7" s="1">
        <f>建筑各项能耗拆分!$B$18*建筑各项能耗拆分!F105</f>
        <v>43740442975190.68</v>
      </c>
      <c r="G7" s="1">
        <f>建筑各项能耗拆分!$B$18*建筑各项能耗拆分!G105</f>
        <v>43588857267155.109</v>
      </c>
      <c r="H7" s="1">
        <f>建筑各项能耗拆分!$B$18*建筑各项能耗拆分!H105</f>
        <v>43418237355177.086</v>
      </c>
      <c r="I7" s="1">
        <f>建筑各项能耗拆分!$B$18*建筑各项能耗拆分!I105</f>
        <v>43228960437143.563</v>
      </c>
      <c r="J7" s="1">
        <f>建筑各项能耗拆分!$B$18*建筑各项能耗拆分!J105</f>
        <v>43021427107641.109</v>
      </c>
      <c r="K7" s="1">
        <f>建筑各项能耗拆分!$B$18*建筑各项能耗拆分!K105</f>
        <v>42796063455817.023</v>
      </c>
      <c r="L7" s="1">
        <f>建筑各项能耗拆分!$B$18*建筑各项能耗拆分!L105</f>
        <v>42553317953052.305</v>
      </c>
      <c r="M7" s="1">
        <f>建筑各项能耗拆分!$B$18*建筑各项能耗拆分!M105</f>
        <v>42293662100781.039</v>
      </c>
      <c r="N7" s="1">
        <f>建筑各项能耗拆分!$B$18*建筑各项能耗拆分!N105</f>
        <v>42017589288092.875</v>
      </c>
      <c r="O7" s="1">
        <f>建筑各项能耗拆分!$B$18*建筑各项能耗拆分!O105</f>
        <v>41725613386199.734</v>
      </c>
      <c r="P7" s="1">
        <f>建筑各项能耗拆分!$B$18*建筑各项能耗拆分!P105</f>
        <v>41418269245972.969</v>
      </c>
      <c r="Q7" s="1">
        <f>建筑各项能耗拆分!$B$18*建筑各项能耗拆分!Q105</f>
        <v>41096109823628.094</v>
      </c>
      <c r="R7" s="1">
        <f>建筑各项能耗拆分!$B$18*建筑各项能耗拆分!R105</f>
        <v>40767125568271.742</v>
      </c>
      <c r="S7" s="1">
        <f>建筑各项能耗拆分!$B$18*建筑各项能耗拆分!S105</f>
        <v>40424563343245.992</v>
      </c>
      <c r="T7" s="1">
        <f>建筑各项能耗拆分!$B$18*建筑各项能耗拆分!T105</f>
        <v>40057008930492.234</v>
      </c>
      <c r="U7" s="1">
        <f>建筑各项能耗拆分!$B$18*建筑各项能耗拆分!U105</f>
        <v>39665568135054.148</v>
      </c>
      <c r="V7" s="1">
        <f>建筑各项能耗拆分!$B$18*建筑各项能耗拆分!V105</f>
        <v>39251374276921.383</v>
      </c>
      <c r="W7" s="1">
        <f>建筑各项能耗拆分!$B$18*建筑各项能耗拆分!W105</f>
        <v>38815583676711.258</v>
      </c>
      <c r="X7" s="1">
        <f>建筑各项能耗拆分!$B$18*建筑各项能耗拆分!X105</f>
        <v>38359375494389.594</v>
      </c>
      <c r="Y7" s="1">
        <f>建筑各项能耗拆分!$B$18*建筑各项能耗拆分!Y105</f>
        <v>37883948419885.711</v>
      </c>
      <c r="Z7" s="1">
        <f>建筑各项能耗拆分!$B$18*建筑各项能耗拆分!Z105</f>
        <v>37390518135805.453</v>
      </c>
      <c r="AA7" s="1">
        <f>建筑各项能耗拆分!$B$18*建筑各项能耗拆分!AA105</f>
        <v>36880313359210.203</v>
      </c>
      <c r="AB7" s="1">
        <f>建筑各项能耗拆分!$B$18*建筑各项能耗拆分!AB105</f>
        <v>36354573822756.852</v>
      </c>
      <c r="AC7" s="1">
        <f>建筑各项能耗拆分!$B$18*建筑各项能耗拆分!AC105</f>
        <v>35814548327879.992</v>
      </c>
      <c r="AD7" s="1">
        <f>建筑各项能耗拆分!$B$18*建筑各项能耗拆分!AD105</f>
        <v>35261489167096.297</v>
      </c>
      <c r="AE7" s="1">
        <f>建筑各项能耗拆分!$B$18*建筑各项能耗拆分!AE105</f>
        <v>34696649411922.602</v>
      </c>
      <c r="AF7" s="1">
        <f>建筑各项能耗拆分!$B$18*建筑各项能耗拆分!AF105</f>
        <v>34121281736192.535</v>
      </c>
      <c r="AG7" s="1">
        <f>建筑各项能耗拆分!$B$18*建筑各项能耗拆分!AG105</f>
        <v>33536631143912.539</v>
      </c>
      <c r="AH7" s="1">
        <f>建筑各项能耗拆分!$B$18*建筑各项能耗拆分!AH105</f>
        <v>32943933073867.84</v>
      </c>
      <c r="AI7" s="1">
        <f>建筑各项能耗拆分!$B$18*建筑各项能耗拆分!AI105</f>
        <v>32344410112471.219</v>
      </c>
      <c r="AJ7" s="1">
        <f>建筑各项能耗拆分!$B$18*建筑各项能耗拆分!AJ105</f>
        <v>31739265177617.707</v>
      </c>
      <c r="AK7" s="1">
        <f>建筑各项能耗拆分!$B$18*建筑各项能耗拆分!AK105</f>
        <v>31129680803342.617</v>
      </c>
      <c r="AL7" s="1">
        <f>建筑各项能耗拆分!$B$18*建筑各项能耗拆分!AL105</f>
        <v>30516810474596.281</v>
      </c>
      <c r="AM7" s="1">
        <f>建筑各项能耗拆分!$B$18*建筑各项能耗拆分!AM105</f>
        <v>29901777941786.379</v>
      </c>
      <c r="AN7" s="1">
        <f>建筑各项能耗拆分!$B$18*建筑各项能耗拆分!AN105</f>
        <v>29285669812787.824</v>
      </c>
      <c r="AO7" s="1">
        <f>建筑各项能耗拆分!$B$18*建筑各项能耗拆分!AO105</f>
        <v>28669530996692.898</v>
      </c>
      <c r="AP7" s="1">
        <f>建筑各项能耗拆分!$B$18*建筑各项能耗拆分!AP105</f>
        <v>28054359557476.977</v>
      </c>
      <c r="AQ7" s="1">
        <f>建筑各项能耗拆分!$B$18*建筑各项能耗拆分!AQ105</f>
        <v>27441101357992.809</v>
      </c>
      <c r="AR7" s="1">
        <f>建筑各项能耗拆分!$B$18*建筑各项能耗拆分!AR105</f>
        <v>26830645110457.379</v>
      </c>
    </row>
    <row r="8" spans="1:44" x14ac:dyDescent="0.15">
      <c r="A8" t="s">
        <v>6</v>
      </c>
      <c r="B8" s="1">
        <f>建筑各项能耗拆分!$B$18*建筑各项能耗拆分!B106</f>
        <v>0</v>
      </c>
      <c r="C8" s="1">
        <f>建筑各项能耗拆分!$B$18*建筑各项能耗拆分!C106</f>
        <v>0</v>
      </c>
      <c r="D8" s="1">
        <f>建筑各项能耗拆分!$B$18*建筑各项能耗拆分!D106</f>
        <v>0</v>
      </c>
      <c r="E8" s="1">
        <f>建筑各项能耗拆分!$B$18*建筑各项能耗拆分!E106</f>
        <v>0</v>
      </c>
      <c r="F8" s="1">
        <f>建筑各项能耗拆分!$B$18*建筑各项能耗拆分!F106</f>
        <v>0</v>
      </c>
      <c r="G8" s="1">
        <f>建筑各项能耗拆分!$B$18*建筑各项能耗拆分!G106</f>
        <v>0</v>
      </c>
      <c r="H8" s="1">
        <f>建筑各项能耗拆分!$B$18*建筑各项能耗拆分!H106</f>
        <v>0</v>
      </c>
      <c r="I8" s="1">
        <f>建筑各项能耗拆分!$B$18*建筑各项能耗拆分!I106</f>
        <v>0</v>
      </c>
      <c r="J8" s="1">
        <f>建筑各项能耗拆分!$B$18*建筑各项能耗拆分!J106</f>
        <v>0</v>
      </c>
      <c r="K8" s="1">
        <f>建筑各项能耗拆分!$B$18*建筑各项能耗拆分!K106</f>
        <v>0</v>
      </c>
      <c r="L8" s="1">
        <f>建筑各项能耗拆分!$B$18*建筑各项能耗拆分!L106</f>
        <v>0</v>
      </c>
      <c r="M8" s="1">
        <f>建筑各项能耗拆分!$B$18*建筑各项能耗拆分!M106</f>
        <v>0</v>
      </c>
      <c r="N8" s="1">
        <f>建筑各项能耗拆分!$B$18*建筑各项能耗拆分!N106</f>
        <v>0</v>
      </c>
      <c r="O8" s="1">
        <f>建筑各项能耗拆分!$B$18*建筑各项能耗拆分!O106</f>
        <v>0</v>
      </c>
      <c r="P8" s="1">
        <f>建筑各项能耗拆分!$B$18*建筑各项能耗拆分!P106</f>
        <v>0</v>
      </c>
      <c r="Q8" s="1">
        <f>建筑各项能耗拆分!$B$18*建筑各项能耗拆分!Q106</f>
        <v>0</v>
      </c>
      <c r="R8" s="1">
        <f>建筑各项能耗拆分!$B$18*建筑各项能耗拆分!R106</f>
        <v>0</v>
      </c>
      <c r="S8" s="1">
        <f>建筑各项能耗拆分!$B$18*建筑各项能耗拆分!S106</f>
        <v>0</v>
      </c>
      <c r="T8" s="1">
        <f>建筑各项能耗拆分!$B$18*建筑各项能耗拆分!T106</f>
        <v>0</v>
      </c>
      <c r="U8" s="1">
        <f>建筑各项能耗拆分!$B$18*建筑各项能耗拆分!U106</f>
        <v>0</v>
      </c>
      <c r="V8" s="1">
        <f>建筑各项能耗拆分!$B$18*建筑各项能耗拆分!V106</f>
        <v>0</v>
      </c>
      <c r="W8" s="1">
        <f>建筑各项能耗拆分!$B$18*建筑各项能耗拆分!W106</f>
        <v>0</v>
      </c>
      <c r="X8" s="1">
        <f>建筑各项能耗拆分!$B$18*建筑各项能耗拆分!X106</f>
        <v>0</v>
      </c>
      <c r="Y8" s="1">
        <f>建筑各项能耗拆分!$B$18*建筑各项能耗拆分!Y106</f>
        <v>0</v>
      </c>
      <c r="Z8" s="1">
        <f>建筑各项能耗拆分!$B$18*建筑各项能耗拆分!Z106</f>
        <v>0</v>
      </c>
      <c r="AA8" s="1">
        <f>建筑各项能耗拆分!$B$18*建筑各项能耗拆分!AA106</f>
        <v>0</v>
      </c>
      <c r="AB8" s="1">
        <f>建筑各项能耗拆分!$B$18*建筑各项能耗拆分!AB106</f>
        <v>0</v>
      </c>
      <c r="AC8" s="1">
        <f>建筑各项能耗拆分!$B$18*建筑各项能耗拆分!AC106</f>
        <v>0</v>
      </c>
      <c r="AD8" s="1">
        <f>建筑各项能耗拆分!$B$18*建筑各项能耗拆分!AD106</f>
        <v>0</v>
      </c>
      <c r="AE8" s="1">
        <f>建筑各项能耗拆分!$B$18*建筑各项能耗拆分!AE106</f>
        <v>0</v>
      </c>
      <c r="AF8" s="1">
        <f>建筑各项能耗拆分!$B$18*建筑各项能耗拆分!AF106</f>
        <v>0</v>
      </c>
      <c r="AG8" s="1">
        <f>建筑各项能耗拆分!$B$18*建筑各项能耗拆分!AG106</f>
        <v>0</v>
      </c>
      <c r="AH8" s="1">
        <f>建筑各项能耗拆分!$B$18*建筑各项能耗拆分!AH106</f>
        <v>0</v>
      </c>
      <c r="AI8" s="1">
        <f>建筑各项能耗拆分!$B$18*建筑各项能耗拆分!AI106</f>
        <v>0</v>
      </c>
      <c r="AJ8" s="1">
        <f>建筑各项能耗拆分!$B$18*建筑各项能耗拆分!AJ106</f>
        <v>0</v>
      </c>
      <c r="AK8" s="1">
        <f>建筑各项能耗拆分!$B$18*建筑各项能耗拆分!AK106</f>
        <v>0</v>
      </c>
      <c r="AL8" s="1">
        <f>建筑各项能耗拆分!$B$18*建筑各项能耗拆分!AL106</f>
        <v>0</v>
      </c>
      <c r="AM8" s="1">
        <f>建筑各项能耗拆分!$B$18*建筑各项能耗拆分!AM106</f>
        <v>0</v>
      </c>
      <c r="AN8" s="1">
        <f>建筑各项能耗拆分!$B$18*建筑各项能耗拆分!AN106</f>
        <v>0</v>
      </c>
      <c r="AO8" s="1">
        <f>建筑各项能耗拆分!$B$18*建筑各项能耗拆分!AO106</f>
        <v>0</v>
      </c>
      <c r="AP8" s="1">
        <f>建筑各项能耗拆分!$B$18*建筑各项能耗拆分!AP106</f>
        <v>0</v>
      </c>
      <c r="AQ8" s="1">
        <f>建筑各项能耗拆分!$B$18*建筑各项能耗拆分!AQ106</f>
        <v>0</v>
      </c>
      <c r="AR8" s="1">
        <f>建筑各项能耗拆分!$B$18*建筑各项能耗拆分!AR106</f>
        <v>0</v>
      </c>
    </row>
    <row r="9" spans="1:44" x14ac:dyDescent="0.15">
      <c r="A9" t="s">
        <v>7</v>
      </c>
      <c r="B9" s="1">
        <f>建筑各项能耗拆分!$B$18*建筑各项能耗拆分!B107</f>
        <v>0</v>
      </c>
      <c r="C9" s="1">
        <f>建筑各项能耗拆分!$B$18*建筑各项能耗拆分!C107</f>
        <v>0</v>
      </c>
      <c r="D9" s="1">
        <f>建筑各项能耗拆分!$B$18*建筑各项能耗拆分!D107</f>
        <v>0</v>
      </c>
      <c r="E9" s="1">
        <f>建筑各项能耗拆分!$B$18*建筑各项能耗拆分!E107</f>
        <v>0</v>
      </c>
      <c r="F9" s="1">
        <f>建筑各项能耗拆分!$B$18*建筑各项能耗拆分!F107</f>
        <v>0</v>
      </c>
      <c r="G9" s="1">
        <f>建筑各项能耗拆分!$B$18*建筑各项能耗拆分!G107</f>
        <v>0</v>
      </c>
      <c r="H9" s="1">
        <f>建筑各项能耗拆分!$B$18*建筑各项能耗拆分!H107</f>
        <v>0</v>
      </c>
      <c r="I9" s="1">
        <f>建筑各项能耗拆分!$B$18*建筑各项能耗拆分!I107</f>
        <v>0</v>
      </c>
      <c r="J9" s="1">
        <f>建筑各项能耗拆分!$B$18*建筑各项能耗拆分!J107</f>
        <v>0</v>
      </c>
      <c r="K9" s="1">
        <f>建筑各项能耗拆分!$B$18*建筑各项能耗拆分!K107</f>
        <v>0</v>
      </c>
      <c r="L9" s="1">
        <f>建筑各项能耗拆分!$B$18*建筑各项能耗拆分!L107</f>
        <v>0</v>
      </c>
      <c r="M9" s="1">
        <f>建筑各项能耗拆分!$B$18*建筑各项能耗拆分!M107</f>
        <v>0</v>
      </c>
      <c r="N9" s="1">
        <f>建筑各项能耗拆分!$B$18*建筑各项能耗拆分!N107</f>
        <v>0</v>
      </c>
      <c r="O9" s="1">
        <f>建筑各项能耗拆分!$B$18*建筑各项能耗拆分!O107</f>
        <v>0</v>
      </c>
      <c r="P9" s="1">
        <f>建筑各项能耗拆分!$B$18*建筑各项能耗拆分!P107</f>
        <v>0</v>
      </c>
      <c r="Q9" s="1">
        <f>建筑各项能耗拆分!$B$18*建筑各项能耗拆分!Q107</f>
        <v>0</v>
      </c>
      <c r="R9" s="1">
        <f>建筑各项能耗拆分!$B$18*建筑各项能耗拆分!R107</f>
        <v>0</v>
      </c>
      <c r="S9" s="1">
        <f>建筑各项能耗拆分!$B$18*建筑各项能耗拆分!S107</f>
        <v>0</v>
      </c>
      <c r="T9" s="1">
        <f>建筑各项能耗拆分!$B$18*建筑各项能耗拆分!T107</f>
        <v>0</v>
      </c>
      <c r="U9" s="1">
        <f>建筑各项能耗拆分!$B$18*建筑各项能耗拆分!U107</f>
        <v>0</v>
      </c>
      <c r="V9" s="1">
        <f>建筑各项能耗拆分!$B$18*建筑各项能耗拆分!V107</f>
        <v>0</v>
      </c>
      <c r="W9" s="1">
        <f>建筑各项能耗拆分!$B$18*建筑各项能耗拆分!W107</f>
        <v>0</v>
      </c>
      <c r="X9" s="1">
        <f>建筑各项能耗拆分!$B$18*建筑各项能耗拆分!X107</f>
        <v>0</v>
      </c>
      <c r="Y9" s="1">
        <f>建筑各项能耗拆分!$B$18*建筑各项能耗拆分!Y107</f>
        <v>0</v>
      </c>
      <c r="Z9" s="1">
        <f>建筑各项能耗拆分!$B$18*建筑各项能耗拆分!Z107</f>
        <v>0</v>
      </c>
      <c r="AA9" s="1">
        <f>建筑各项能耗拆分!$B$18*建筑各项能耗拆分!AA107</f>
        <v>0</v>
      </c>
      <c r="AB9" s="1">
        <f>建筑各项能耗拆分!$B$18*建筑各项能耗拆分!AB107</f>
        <v>0</v>
      </c>
      <c r="AC9" s="1">
        <f>建筑各项能耗拆分!$B$18*建筑各项能耗拆分!AC107</f>
        <v>0</v>
      </c>
      <c r="AD9" s="1">
        <f>建筑各项能耗拆分!$B$18*建筑各项能耗拆分!AD107</f>
        <v>0</v>
      </c>
      <c r="AE9" s="1">
        <f>建筑各项能耗拆分!$B$18*建筑各项能耗拆分!AE107</f>
        <v>0</v>
      </c>
      <c r="AF9" s="1">
        <f>建筑各项能耗拆分!$B$18*建筑各项能耗拆分!AF107</f>
        <v>0</v>
      </c>
      <c r="AG9" s="1">
        <f>建筑各项能耗拆分!$B$18*建筑各项能耗拆分!AG107</f>
        <v>0</v>
      </c>
      <c r="AH9" s="1">
        <f>建筑各项能耗拆分!$B$18*建筑各项能耗拆分!AH107</f>
        <v>0</v>
      </c>
      <c r="AI9" s="1">
        <f>建筑各项能耗拆分!$B$18*建筑各项能耗拆分!AI107</f>
        <v>0</v>
      </c>
      <c r="AJ9" s="1">
        <f>建筑各项能耗拆分!$B$18*建筑各项能耗拆分!AJ107</f>
        <v>0</v>
      </c>
      <c r="AK9" s="1">
        <f>建筑各项能耗拆分!$B$18*建筑各项能耗拆分!AK107</f>
        <v>0</v>
      </c>
      <c r="AL9" s="1">
        <f>建筑各项能耗拆分!$B$18*建筑各项能耗拆分!AL107</f>
        <v>0</v>
      </c>
      <c r="AM9" s="1">
        <f>建筑各项能耗拆分!$B$18*建筑各项能耗拆分!AM107</f>
        <v>0</v>
      </c>
      <c r="AN9" s="1">
        <f>建筑各项能耗拆分!$B$18*建筑各项能耗拆分!AN107</f>
        <v>0</v>
      </c>
      <c r="AO9" s="1">
        <f>建筑各项能耗拆分!$B$18*建筑各项能耗拆分!AO107</f>
        <v>0</v>
      </c>
      <c r="AP9" s="1">
        <f>建筑各项能耗拆分!$B$18*建筑各项能耗拆分!AP107</f>
        <v>0</v>
      </c>
      <c r="AQ9" s="1">
        <f>建筑各项能耗拆分!$B$18*建筑各项能耗拆分!AQ107</f>
        <v>0</v>
      </c>
      <c r="AR9" s="1">
        <f>建筑各项能耗拆分!$B$18*建筑各项能耗拆分!AR107</f>
        <v>0</v>
      </c>
    </row>
    <row r="10" spans="1:44" x14ac:dyDescent="0.15">
      <c r="A10" t="s">
        <v>8</v>
      </c>
      <c r="B10" s="1">
        <f>建筑各项能耗拆分!$B$18*建筑各项能耗拆分!B108</f>
        <v>107192800286882.91</v>
      </c>
      <c r="C10" s="1">
        <f>建筑各项能耗拆分!$B$18*建筑各项能耗拆分!C108</f>
        <v>106431731404846.03</v>
      </c>
      <c r="D10" s="1">
        <f>建筑各项能耗拆分!$B$18*建筑各项能耗拆分!D108</f>
        <v>103418325710256.48</v>
      </c>
      <c r="E10" s="1">
        <f>建筑各项能耗拆分!$B$18*建筑各项能耗拆分!E108</f>
        <v>101494534726132.64</v>
      </c>
      <c r="F10" s="1">
        <f>建筑各项能耗拆分!$B$18*建筑各项能耗拆分!F108</f>
        <v>101188702781134.03</v>
      </c>
      <c r="G10" s="1">
        <f>建筑各项能耗拆分!$B$18*建筑各项能耗拆分!G108</f>
        <v>100838025922077.52</v>
      </c>
      <c r="H10" s="1">
        <f>建筑各项能耗拆分!$B$18*建筑各项能耗拆分!H108</f>
        <v>100443315526220.75</v>
      </c>
      <c r="I10" s="1">
        <f>建筑各项能耗拆分!$B$18*建筑各项能耗拆分!I108</f>
        <v>100005444199378.3</v>
      </c>
      <c r="J10" s="1">
        <f>建筑各项能耗拆分!$B$18*建筑各项能耗拆分!J108</f>
        <v>99525338673055.375</v>
      </c>
      <c r="K10" s="1">
        <f>建筑各项能耗拆分!$B$18*建筑各项能耗拆分!K108</f>
        <v>99003984657618.609</v>
      </c>
      <c r="L10" s="1">
        <f>建筑各项能耗拆分!$B$18*建筑各项能耗拆分!L108</f>
        <v>98442419642270.031</v>
      </c>
      <c r="M10" s="1">
        <f>建筑各项能耗拆分!$B$18*建筑各项能耗拆分!M108</f>
        <v>97841734393705.875</v>
      </c>
      <c r="N10" s="1">
        <f>建筑各项能耗拆分!$B$18*建筑各项能耗拆分!N108</f>
        <v>97203070313305.516</v>
      </c>
      <c r="O10" s="1">
        <f>建筑各项能耗拆分!$B$18*建筑各项能耗拆分!O108</f>
        <v>96527616185584.953</v>
      </c>
      <c r="P10" s="1">
        <f>建筑各项能耗拆分!$B$18*建筑各项能耗拆分!P108</f>
        <v>95816609329194.172</v>
      </c>
      <c r="Q10" s="1">
        <f>建筑各项能耗拆分!$B$18*建筑各项能耗拆分!Q108</f>
        <v>95071328947505.141</v>
      </c>
      <c r="R10" s="1">
        <f>建筑各项能耗拆分!$B$18*建筑各项能耗拆分!R108</f>
        <v>94310260065468.266</v>
      </c>
      <c r="S10" s="1">
        <f>建筑各项能耗拆分!$B$18*建筑各项能耗拆分!S108</f>
        <v>93517780044362.063</v>
      </c>
      <c r="T10" s="1">
        <f>建筑各项能耗拆分!$B$18*建筑各项能耗拆分!T108</f>
        <v>92667483346426.719</v>
      </c>
      <c r="U10" s="1">
        <f>建筑各项能耗拆分!$B$18*建筑各项能耗拆分!U108</f>
        <v>91761928129977.234</v>
      </c>
      <c r="V10" s="1">
        <f>建筑各项能耗拆分!$B$18*建筑各项能耗拆分!V108</f>
        <v>90803736206129.078</v>
      </c>
      <c r="W10" s="1">
        <f>建筑各项能耗拆分!$B$18*建筑各项能耗拆分!W108</f>
        <v>89795582595419.516</v>
      </c>
      <c r="X10" s="1">
        <f>建筑各项能耗拆分!$B$18*建筑各项能耗拆分!X108</f>
        <v>88740195154705.875</v>
      </c>
      <c r="Y10" s="1">
        <f>建筑各项能耗拆分!$B$18*建筑各项能耗拆分!Y108</f>
        <v>87640346921267.438</v>
      </c>
      <c r="Z10" s="1">
        <f>建筑各项能耗拆分!$B$18*建筑各项能耗拆分!Z108</f>
        <v>86498850243071.313</v>
      </c>
      <c r="AA10" s="1">
        <f>建筑各项能耗拆分!$B$18*建筑各项能耗拆分!AA108</f>
        <v>85318547621863.406</v>
      </c>
      <c r="AB10" s="1">
        <f>建筑各项能耗拆分!$B$18*建筑各项能耗拆分!AB108</f>
        <v>84102307042758.094</v>
      </c>
      <c r="AC10" s="1">
        <f>建筑各项能耗拆分!$B$18*建筑各项能耗拆分!AC108</f>
        <v>82853017470489.172</v>
      </c>
      <c r="AD10" s="1">
        <f>建筑各项能耗拆分!$B$18*建筑各项能耗拆分!AD108</f>
        <v>81573575946024.797</v>
      </c>
      <c r="AE10" s="1">
        <f>建筑各项能耗拆分!$B$18*建筑各项能耗拆分!AE108</f>
        <v>80266881312464.328</v>
      </c>
      <c r="AF10" s="1">
        <f>建筑各项能耗拆分!$B$18*建筑各项能耗拆分!AF108</f>
        <v>78935831492910.734</v>
      </c>
      <c r="AG10" s="1">
        <f>建筑各项能耗拆分!$B$18*建筑各项能耗拆分!AG108</f>
        <v>77583306667165.609</v>
      </c>
      <c r="AH10" s="1">
        <f>建筑各项能耗拆分!$B$18*建筑各项能耗拆分!AH108</f>
        <v>76212164886943.547</v>
      </c>
      <c r="AI10" s="1">
        <f>建筑各项能耗拆分!$B$18*建筑各项能耗拆分!AI108</f>
        <v>74825234471409.422</v>
      </c>
      <c r="AJ10" s="1">
        <f>建筑各项能耗拆分!$B$18*建筑各项能耗拆分!AJ108</f>
        <v>73425298238776.109</v>
      </c>
      <c r="AK10" s="1">
        <f>建筑各项能耗拆分!$B$18*建筑各项能耗拆分!AK108</f>
        <v>72015091851439.516</v>
      </c>
      <c r="AL10" s="1">
        <f>建筑各项能耗拆分!$B$18*建筑各项能耗拆分!AL108</f>
        <v>70597283769933.25</v>
      </c>
      <c r="AM10" s="1">
        <f>建筑各项能耗拆分!$B$18*建筑各项能耗拆分!AM108</f>
        <v>69174473667197.719</v>
      </c>
      <c r="AN10" s="1">
        <f>建筑各项能耗拆分!$B$18*建筑各项能耗拆分!AN108</f>
        <v>67749175291009.875</v>
      </c>
      <c r="AO10" s="1">
        <f>建筑各项能耗拆分!$B$18*建筑各项能耗拆分!AO108</f>
        <v>66323805923600.609</v>
      </c>
      <c r="AP10" s="1">
        <f>建筑各项能耗拆分!$B$18*建筑各项能耗拆分!AP108</f>
        <v>64900674476176.32</v>
      </c>
      <c r="AQ10" s="1">
        <f>建筑各项能耗拆分!$B$18*建筑各项能耗拆分!AQ108</f>
        <v>63481969098389.141</v>
      </c>
      <c r="AR10" s="1">
        <f>建筑各项能耗拆分!$B$18*建筑各项能耗拆分!AR108</f>
        <v>62069745728182.641</v>
      </c>
    </row>
    <row r="11" spans="1:44" x14ac:dyDescent="0.15">
      <c r="A11" t="s">
        <v>9</v>
      </c>
      <c r="B11" s="1">
        <f>建筑各项能耗拆分!$B$18*建筑各项能耗拆分!B109</f>
        <v>0</v>
      </c>
      <c r="C11" s="1">
        <f>建筑各项能耗拆分!$B$18*建筑各项能耗拆分!C109</f>
        <v>0</v>
      </c>
      <c r="D11" s="1">
        <f>建筑各项能耗拆分!$B$18*建筑各项能耗拆分!D109</f>
        <v>0</v>
      </c>
      <c r="E11" s="1">
        <f>建筑各项能耗拆分!$B$18*建筑各项能耗拆分!E109</f>
        <v>0</v>
      </c>
      <c r="F11" s="1">
        <f>建筑各项能耗拆分!$B$18*建筑各项能耗拆分!F109</f>
        <v>0</v>
      </c>
      <c r="G11" s="1">
        <f>建筑各项能耗拆分!$B$18*建筑各项能耗拆分!G109</f>
        <v>0</v>
      </c>
      <c r="H11" s="1">
        <f>建筑各项能耗拆分!$B$18*建筑各项能耗拆分!H109</f>
        <v>0</v>
      </c>
      <c r="I11" s="1">
        <f>建筑各项能耗拆分!$B$18*建筑各项能耗拆分!I109</f>
        <v>0</v>
      </c>
      <c r="J11" s="1">
        <f>建筑各项能耗拆分!$B$18*建筑各项能耗拆分!J109</f>
        <v>0</v>
      </c>
      <c r="K11" s="1">
        <f>建筑各项能耗拆分!$B$18*建筑各项能耗拆分!K109</f>
        <v>0</v>
      </c>
      <c r="L11" s="1">
        <f>建筑各项能耗拆分!$B$18*建筑各项能耗拆分!L109</f>
        <v>0</v>
      </c>
      <c r="M11" s="1">
        <f>建筑各项能耗拆分!$B$18*建筑各项能耗拆分!M109</f>
        <v>0</v>
      </c>
      <c r="N11" s="1">
        <f>建筑各项能耗拆分!$B$18*建筑各项能耗拆分!N109</f>
        <v>0</v>
      </c>
      <c r="O11" s="1">
        <f>建筑各项能耗拆分!$B$18*建筑各项能耗拆分!O109</f>
        <v>0</v>
      </c>
      <c r="P11" s="1">
        <f>建筑各项能耗拆分!$B$18*建筑各项能耗拆分!P109</f>
        <v>0</v>
      </c>
      <c r="Q11" s="1">
        <f>建筑各项能耗拆分!$B$18*建筑各项能耗拆分!Q109</f>
        <v>0</v>
      </c>
      <c r="R11" s="1">
        <f>建筑各项能耗拆分!$B$18*建筑各项能耗拆分!R109</f>
        <v>0</v>
      </c>
      <c r="S11" s="1">
        <f>建筑各项能耗拆分!$B$18*建筑各项能耗拆分!S109</f>
        <v>0</v>
      </c>
      <c r="T11" s="1">
        <f>建筑各项能耗拆分!$B$18*建筑各项能耗拆分!T109</f>
        <v>0</v>
      </c>
      <c r="U11" s="1">
        <f>建筑各项能耗拆分!$B$18*建筑各项能耗拆分!U109</f>
        <v>0</v>
      </c>
      <c r="V11" s="1">
        <f>建筑各项能耗拆分!$B$18*建筑各项能耗拆分!V109</f>
        <v>0</v>
      </c>
      <c r="W11" s="1">
        <f>建筑各项能耗拆分!$B$18*建筑各项能耗拆分!W109</f>
        <v>0</v>
      </c>
      <c r="X11" s="1">
        <f>建筑各项能耗拆分!$B$18*建筑各项能耗拆分!X109</f>
        <v>0</v>
      </c>
      <c r="Y11" s="1">
        <f>建筑各项能耗拆分!$B$18*建筑各项能耗拆分!Y109</f>
        <v>0</v>
      </c>
      <c r="Z11" s="1">
        <f>建筑各项能耗拆分!$B$18*建筑各项能耗拆分!Z109</f>
        <v>0</v>
      </c>
      <c r="AA11" s="1">
        <f>建筑各项能耗拆分!$B$18*建筑各项能耗拆分!AA109</f>
        <v>0</v>
      </c>
      <c r="AB11" s="1">
        <f>建筑各项能耗拆分!$B$18*建筑各项能耗拆分!AB109</f>
        <v>0</v>
      </c>
      <c r="AC11" s="1">
        <f>建筑各项能耗拆分!$B$18*建筑各项能耗拆分!AC109</f>
        <v>0</v>
      </c>
      <c r="AD11" s="1">
        <f>建筑各项能耗拆分!$B$18*建筑各项能耗拆分!AD109</f>
        <v>0</v>
      </c>
      <c r="AE11" s="1">
        <f>建筑各项能耗拆分!$B$18*建筑各项能耗拆分!AE109</f>
        <v>0</v>
      </c>
      <c r="AF11" s="1">
        <f>建筑各项能耗拆分!$B$18*建筑各项能耗拆分!AF109</f>
        <v>0</v>
      </c>
      <c r="AG11" s="1">
        <f>建筑各项能耗拆分!$B$18*建筑各项能耗拆分!AG109</f>
        <v>0</v>
      </c>
      <c r="AH11" s="1">
        <f>建筑各项能耗拆分!$B$18*建筑各项能耗拆分!AH109</f>
        <v>0</v>
      </c>
      <c r="AI11" s="1">
        <f>建筑各项能耗拆分!$B$18*建筑各项能耗拆分!AI109</f>
        <v>0</v>
      </c>
      <c r="AJ11" s="1">
        <f>建筑各项能耗拆分!$B$18*建筑各项能耗拆分!AJ109</f>
        <v>0</v>
      </c>
      <c r="AK11" s="1">
        <f>建筑各项能耗拆分!$B$18*建筑各项能耗拆分!AK109</f>
        <v>0</v>
      </c>
      <c r="AL11" s="1">
        <f>建筑各项能耗拆分!$B$18*建筑各项能耗拆分!AL109</f>
        <v>0</v>
      </c>
      <c r="AM11" s="1">
        <f>建筑各项能耗拆分!$B$18*建筑各项能耗拆分!AM109</f>
        <v>0</v>
      </c>
      <c r="AN11" s="1">
        <f>建筑各项能耗拆分!$B$18*建筑各项能耗拆分!AN109</f>
        <v>0</v>
      </c>
      <c r="AO11" s="1">
        <f>建筑各项能耗拆分!$B$18*建筑各项能耗拆分!AO109</f>
        <v>0</v>
      </c>
      <c r="AP11" s="1">
        <f>建筑各项能耗拆分!$B$18*建筑各项能耗拆分!AP109</f>
        <v>0</v>
      </c>
      <c r="AQ11" s="1">
        <f>建筑各项能耗拆分!$B$18*建筑各项能耗拆分!AQ109</f>
        <v>0</v>
      </c>
      <c r="AR11" s="1">
        <f>建筑各项能耗拆分!$B$18*建筑各项能耗拆分!AR109</f>
        <v>0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9578-B780-4FB6-8B37-38BA24C86B8C}">
  <sheetPr>
    <tabColor rgb="FF7030A0"/>
  </sheetPr>
  <dimension ref="A1:AR12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建筑各项能耗拆分!$B$18*建筑各项能耗拆分!B165</f>
        <v>332422271034122.44</v>
      </c>
      <c r="C2" s="1">
        <f>建筑各项能耗拆分!$B$18*建筑各项能耗拆分!C165</f>
        <v>330062072909780.13</v>
      </c>
      <c r="D2" s="1">
        <f>建筑各项能耗拆分!$B$18*建筑各项能耗拆分!D165</f>
        <v>320717012776434.63</v>
      </c>
      <c r="E2" s="1">
        <f>建筑各项能耗拆分!$B$18*建筑各项能耗拆分!E165</f>
        <v>314751024704233.25</v>
      </c>
      <c r="F2" s="1">
        <f>建筑各项能耗拆分!$B$18*建筑各项能耗拆分!F165</f>
        <v>313802590206401.75</v>
      </c>
      <c r="G2" s="1">
        <f>建筑各项能耗拆分!$B$18*建筑各项能耗拆分!G165</f>
        <v>312715084351767.06</v>
      </c>
      <c r="H2" s="1">
        <f>建筑各项能耗拆分!$B$18*建筑各项能耗拆分!H165</f>
        <v>311491023352891</v>
      </c>
      <c r="I2" s="1">
        <f>建筑各项能耗拆分!$B$18*建筑各项能耗拆分!I165</f>
        <v>310133113302028.19</v>
      </c>
      <c r="J2" s="1">
        <f>建筑各项能耗拆分!$B$18*建筑各项能耗拆分!J165</f>
        <v>308644228143984.31</v>
      </c>
      <c r="K2" s="1">
        <f>建筑各项能耗拆分!$B$18*建筑各项能耗拆分!K165</f>
        <v>307027424726586.75</v>
      </c>
      <c r="L2" s="1">
        <f>建筑各项能耗拆分!$B$18*建筑各项能耗拆分!L165</f>
        <v>305285920472235.06</v>
      </c>
      <c r="M2" s="1">
        <f>建筑各项能耗拆分!$B$18*建筑各项能耗拆分!M165</f>
        <v>303423098025485.06</v>
      </c>
      <c r="N2" s="1">
        <f>建筑各项能耗拆分!$B$18*建筑各项能耗拆分!N165</f>
        <v>301442497057263.19</v>
      </c>
      <c r="O2" s="1">
        <f>建筑各项能耗拆分!$B$18*建筑各项能耗拆分!O165</f>
        <v>299347804181292.94</v>
      </c>
      <c r="P2" s="1">
        <f>建筑各项能耗拆分!$B$18*建筑各项能耗拆分!P165</f>
        <v>297142856523524</v>
      </c>
      <c r="Q2" s="1">
        <f>建筑各项能耗拆分!$B$18*建筑各项能耗拆分!Q165</f>
        <v>294831621101227.13</v>
      </c>
      <c r="R2" s="1">
        <f>建筑各项能耗拆分!$B$18*建筑各项能耗拆分!R165</f>
        <v>292471422976884.75</v>
      </c>
      <c r="S2" s="1">
        <f>建筑各项能耗拆分!$B$18*建筑各项能耗拆分!S165</f>
        <v>290013813812274.38</v>
      </c>
      <c r="T2" s="1">
        <f>建筑各项能耗拆分!$B$18*建筑各项能耗拆分!T165</f>
        <v>287376905749195.5</v>
      </c>
      <c r="U2" s="1">
        <f>建筑各项能耗拆分!$B$18*建筑各项能耗拆分!U165</f>
        <v>284568632051770.94</v>
      </c>
      <c r="V2" s="1">
        <f>建筑各项能耗拆分!$B$18*建筑各项能耗拆分!V165</f>
        <v>281597123381788.69</v>
      </c>
      <c r="W2" s="1">
        <f>建筑各项能耗拆分!$B$18*建筑各项能耗拆分!W165</f>
        <v>278470675412089.16</v>
      </c>
      <c r="X2" s="1">
        <f>建筑各项能耗拆分!$B$18*建筑各项能耗拆分!X165</f>
        <v>275197747669517.16</v>
      </c>
      <c r="Y2" s="1">
        <f>建筑各项能耗拆分!$B$18*建筑各项能耗拆分!Y165</f>
        <v>271786939792738.38</v>
      </c>
      <c r="Z2" s="1">
        <f>建筑各项能耗拆分!$B$18*建筑各项能耗拆分!Z165</f>
        <v>268246973329241.75</v>
      </c>
      <c r="AA2" s="1">
        <f>建筑各项能耗拆分!$B$18*建筑各项能耗拆分!AA165</f>
        <v>264586663338278</v>
      </c>
      <c r="AB2" s="1">
        <f>建筑各项能耗拆分!$B$18*建筑各项能耗拆分!AB165</f>
        <v>260814903907159.59</v>
      </c>
      <c r="AC2" s="1">
        <f>建筑各项能耗拆分!$B$18*建筑各项能耗拆分!AC165</f>
        <v>256940654184403.72</v>
      </c>
      <c r="AD2" s="1">
        <f>建筑各项能耗拆分!$B$18*建筑各项能耗拆分!AD165</f>
        <v>252972898364241.13</v>
      </c>
      <c r="AE2" s="1">
        <f>建筑各项能耗拆分!$B$18*建筑各项能耗拆分!AE165</f>
        <v>248920626229603.84</v>
      </c>
      <c r="AF2" s="1">
        <f>建筑各项能耗拆分!$B$18*建筑各项能耗拆分!AF165</f>
        <v>244792824710365.84</v>
      </c>
      <c r="AG2" s="1">
        <f>建筑各项能耗拆分!$B$18*建筑各项能耗拆分!AG165</f>
        <v>240598425711543.91</v>
      </c>
      <c r="AH2" s="1">
        <f>建筑各项能耗拆分!$B$18*建筑各项能耗拆分!AH165</f>
        <v>236346292515365.41</v>
      </c>
      <c r="AI2" s="1">
        <f>建筑各项能耗拆分!$B$18*建筑各项能耗拆分!AI165</f>
        <v>232045196198595.63</v>
      </c>
      <c r="AJ2" s="1">
        <f>建筑各项能耗拆分!$B$18*建筑各项能耗拆分!AJ165</f>
        <v>227703766732162.81</v>
      </c>
      <c r="AK2" s="1">
        <f>建筑各项能耗拆分!$B$18*建筑各项能耗拆分!AK165</f>
        <v>223330487849153.59</v>
      </c>
      <c r="AL2" s="1">
        <f>建筑各项能耗拆分!$B$18*建筑各项能耗拆分!AL165</f>
        <v>218933634878772.5</v>
      </c>
      <c r="AM2" s="1">
        <f>建筑各项能耗拆分!$B$18*建筑各项能耗拆分!AM165</f>
        <v>214521269828733.59</v>
      </c>
      <c r="AN2" s="1">
        <f>建筑各项能耗拆分!$B$18*建筑各项能耗拆分!AN165</f>
        <v>210101188238873.47</v>
      </c>
      <c r="AO2" s="1">
        <f>建筑各项能耗拆分!$B$18*建筑各项能耗拆分!AO165</f>
        <v>205680886493713.84</v>
      </c>
      <c r="AP2" s="1">
        <f>建筑各项能耗拆分!$B$18*建筑各项能耗拆分!AP165</f>
        <v>201267524901640.97</v>
      </c>
      <c r="AQ2" s="1">
        <f>建筑各项能耗拆分!$B$18*建筑各项能耗拆分!AQ165</f>
        <v>196867889269862.03</v>
      </c>
      <c r="AR2" s="1">
        <f>建筑各项能耗拆分!$B$18*建筑各项能耗拆分!AR165</f>
        <v>192488355395617.78</v>
      </c>
    </row>
    <row r="3" spans="1:44" x14ac:dyDescent="0.15">
      <c r="A3" t="s">
        <v>1</v>
      </c>
      <c r="B3" s="1">
        <f>建筑各项能耗拆分!$B$18*建筑各项能耗拆分!B166</f>
        <v>51941531870279.086</v>
      </c>
      <c r="C3" s="1">
        <f>建筑各项能耗拆分!$B$18*建筑各项能耗拆分!C166</f>
        <v>51572746994000.109</v>
      </c>
      <c r="D3" s="1">
        <f>建筑各项能耗拆分!$B$18*建筑各项能耗拆分!D166</f>
        <v>50112565829736.25</v>
      </c>
      <c r="E3" s="1">
        <f>建筑各项能耗拆分!$B$18*建筑各项能耗拆分!E166</f>
        <v>49180370286321.102</v>
      </c>
      <c r="F3" s="1">
        <f>建筑各项能耗拆分!$B$18*建筑各项能耗拆分!F166</f>
        <v>49032175821062.398</v>
      </c>
      <c r="G3" s="1">
        <f>建筑各项能耗拆分!$B$18*建筑各项能耗拆分!G166</f>
        <v>48862251225360.977</v>
      </c>
      <c r="H3" s="1">
        <f>建筑各项能耗拆分!$B$18*建筑各项能耗拆分!H166</f>
        <v>48670989661608.047</v>
      </c>
      <c r="I3" s="1">
        <f>建筑各项能耗拆分!$B$18*建筑各项能耗拆分!I166</f>
        <v>48458813961212.125</v>
      </c>
      <c r="J3" s="1">
        <f>建筑各项能耗拆分!$B$18*建筑各项能耗拆分!J166</f>
        <v>48226173182821.617</v>
      </c>
      <c r="K3" s="1">
        <f>建筑各项能耗拆分!$B$18*建筑各项能耗拆分!K166</f>
        <v>47973544963985.719</v>
      </c>
      <c r="L3" s="1">
        <f>建筑各项能耗拆分!$B$18*建筑各项能耗拆分!L166</f>
        <v>47701432032297.25</v>
      </c>
      <c r="M3" s="1">
        <f>建筑各项能耗拆分!$B$18*建筑各项能耗拆分!M166</f>
        <v>47410362931585.266</v>
      </c>
      <c r="N3" s="1">
        <f>建筑各项能耗拆分!$B$18*建筑各项能耗拆分!N166</f>
        <v>47100890741310.023</v>
      </c>
      <c r="O3" s="1">
        <f>建筑各项能耗拆分!$B$18*建筑各项能耗拆分!O166</f>
        <v>46773591500987.805</v>
      </c>
      <c r="P3" s="1">
        <f>建筑各项能耗拆分!$B$18*建筑各项能耗拆分!P166</f>
        <v>46429064767920.188</v>
      </c>
      <c r="Q3" s="1">
        <f>建筑各项能耗拆分!$B$18*建筑各项能耗拆分!Q166</f>
        <v>46067930395143.375</v>
      </c>
      <c r="R3" s="1">
        <f>建筑各项能耗拆分!$B$18*建筑各项能耗拆分!R166</f>
        <v>45699145518864.375</v>
      </c>
      <c r="S3" s="1">
        <f>建筑各项能耗拆分!$B$18*建筑各项能耗拆分!S166</f>
        <v>45315140005782.5</v>
      </c>
      <c r="T3" s="1">
        <f>建筑各项能耗拆分!$B$18*建筑各项能耗拆分!T166</f>
        <v>44903118742070.773</v>
      </c>
      <c r="U3" s="1">
        <f>建筑各项能耗拆分!$B$18*建筑各项能耗拆分!U166</f>
        <v>44464321313422.328</v>
      </c>
      <c r="V3" s="1">
        <f>建筑各项能耗拆分!$B$18*建筑各项能耗拆分!V166</f>
        <v>44000018149243.383</v>
      </c>
      <c r="W3" s="1">
        <f>建筑各项能耗拆分!$B$18*建筑各项能耗拆分!W166</f>
        <v>43511505462191.055</v>
      </c>
      <c r="X3" s="1">
        <f>建筑各项能耗拆分!$B$18*建筑各项能耗拆分!X166</f>
        <v>43000105067382.75</v>
      </c>
      <c r="Y3" s="1">
        <f>建筑各项能耗拆分!$B$18*建筑各项能耗拆分!Y166</f>
        <v>42467160672640.563</v>
      </c>
      <c r="Z3" s="1">
        <f>建筑各项能耗拆分!$B$18*建筑各项能耗拆分!Z166</f>
        <v>41914035034242.664</v>
      </c>
      <c r="AA3" s="1">
        <f>建筑各项能耗拆分!$B$18*建筑各项能耗拆分!AA166</f>
        <v>41342105519835.273</v>
      </c>
      <c r="AB3" s="1">
        <f>建筑各项能耗拆分!$B$18*建筑各项能耗拆分!AB166</f>
        <v>40752761845330.531</v>
      </c>
      <c r="AC3" s="1">
        <f>建筑各项能耗拆分!$B$18*建筑各项能耗拆分!AC166</f>
        <v>40147403892561.813</v>
      </c>
      <c r="AD3" s="1">
        <f>建筑各项能耗拆分!$B$18*建筑各项能耗拆分!AD166</f>
        <v>39527435456796.852</v>
      </c>
      <c r="AE3" s="1">
        <f>建筑各项能耗拆分!$B$18*建筑各项能耗拆分!AE166</f>
        <v>38894261206547.234</v>
      </c>
      <c r="AF3" s="1">
        <f>建筑各项能耗拆分!$B$18*建筑各项能耗拆分!AF166</f>
        <v>38249285364529.484</v>
      </c>
      <c r="AG3" s="1">
        <f>建筑各项能耗拆分!$B$18*建筑各项能耗拆分!AG166</f>
        <v>37593903555734.805</v>
      </c>
      <c r="AH3" s="1">
        <f>建筑各项能耗拆分!$B$18*建筑各项能耗拆分!AH166</f>
        <v>36929500682729.625</v>
      </c>
      <c r="AI3" s="1">
        <f>建筑各项能耗拆分!$B$18*建筑各项能耗拆分!AI166</f>
        <v>36257447240823.789</v>
      </c>
      <c r="AJ3" s="1">
        <f>建筑各项能耗拆分!$B$18*建筑各项能耗拆分!AJ166</f>
        <v>35579091677305.781</v>
      </c>
      <c r="AK3" s="1">
        <f>建筑各项能耗拆分!$B$18*建筑各项能耗拆分!AK166</f>
        <v>34895759589558.488</v>
      </c>
      <c r="AL3" s="1">
        <f>建筑各项能耗拆分!$B$18*建筑各项能耗拆分!AL166</f>
        <v>34208744011512.168</v>
      </c>
      <c r="AM3" s="1">
        <f>建筑各项能耗拆分!$B$18*建筑各项能耗拆分!AM166</f>
        <v>33519304645259.906</v>
      </c>
      <c r="AN3" s="1">
        <f>建筑各项能耗拆分!$B$18*建筑各项能耗拆分!AN166</f>
        <v>32828659556846.48</v>
      </c>
      <c r="AO3" s="1">
        <f>建筑各项能耗拆分!$B$18*建筑各项能耗拆分!AO166</f>
        <v>32137980068801.91</v>
      </c>
      <c r="AP3" s="1">
        <f>建筑各项能耗拆分!$B$18*建筑各项能耗拆分!AP166</f>
        <v>31448384991201.992</v>
      </c>
      <c r="AQ3" s="1">
        <f>建筑各项能耗拆分!$B$18*建筑各项能耗拆分!AQ166</f>
        <v>30760934617691.352</v>
      </c>
      <c r="AR3" s="1">
        <f>建筑各项能耗拆分!$B$18*建筑各项能耗拆分!AR166</f>
        <v>30076625177176.539</v>
      </c>
    </row>
    <row r="4" spans="1:44" x14ac:dyDescent="0.15">
      <c r="A4" t="s">
        <v>2</v>
      </c>
      <c r="B4" s="1">
        <f>建筑各项能耗拆分!$B$18*建筑各项能耗拆分!B167</f>
        <v>38436400011563.539</v>
      </c>
      <c r="C4" s="1">
        <f>建筑各项能耗拆分!$B$18*建筑各项能耗拆分!C167</f>
        <v>38163501571481.445</v>
      </c>
      <c r="D4" s="1">
        <f>建筑各项能耗拆分!$B$18*建筑各项能耗拆分!D167</f>
        <v>37082976887319.977</v>
      </c>
      <c r="E4" s="1">
        <f>建筑各项能耗拆分!$B$18*建筑各项能耗拆分!E167</f>
        <v>36393158171822.984</v>
      </c>
      <c r="F4" s="1">
        <f>建筑各项能耗拆分!$B$18*建筑各项能耗拆分!F167</f>
        <v>36283495219247.609</v>
      </c>
      <c r="G4" s="1">
        <f>建筑各项能耗拆分!$B$18*建筑各项能耗拆分!G167</f>
        <v>36157752109697.141</v>
      </c>
      <c r="H4" s="1">
        <f>建筑各项能耗拆分!$B$18*建筑各项能耗拆分!H167</f>
        <v>36016219780816.195</v>
      </c>
      <c r="I4" s="1">
        <f>建筑各项能耗拆分!$B$18*建筑各项能耗拆分!I167</f>
        <v>35859211125131.594</v>
      </c>
      <c r="J4" s="1">
        <f>建筑各项能耗拆分!$B$18*建筑各项能耗拆分!J167</f>
        <v>35687058443159.281</v>
      </c>
      <c r="K4" s="1">
        <f>建筑各项能耗拆分!$B$18*建筑各项能耗拆分!K167</f>
        <v>35500115183618.227</v>
      </c>
      <c r="L4" s="1">
        <f>建筑各项能耗拆分!$B$18*建筑各项能耗拆分!L167</f>
        <v>35298753361698.578</v>
      </c>
      <c r="M4" s="1">
        <f>建筑各项能耗拆分!$B$18*建筑各项能耗拆分!M167</f>
        <v>35083364096439.461</v>
      </c>
      <c r="N4" s="1">
        <f>建筑各项能耗拆分!$B$18*建筑各项能耗拆分!N167</f>
        <v>34854356663089.578</v>
      </c>
      <c r="O4" s="1">
        <f>建筑各项能耗拆分!$B$18*建筑各项能耗拆分!O167</f>
        <v>34612157327191.598</v>
      </c>
      <c r="P4" s="1">
        <f>建筑各项能耗拆分!$B$18*建筑各项能耗拆分!P167</f>
        <v>34357209757298.277</v>
      </c>
      <c r="Q4" s="1">
        <f>建筑各项能耗拆分!$B$18*建筑各项能耗拆分!Q167</f>
        <v>34089972640675.664</v>
      </c>
      <c r="R4" s="1">
        <f>建筑各项能耗拆分!$B$18*建筑各项能耗拆分!R167</f>
        <v>33817074200593.555</v>
      </c>
      <c r="S4" s="1">
        <f>建筑各项能耗拆分!$B$18*建筑各项能耗拆分!S167</f>
        <v>33532912587025.391</v>
      </c>
      <c r="T4" s="1">
        <f>建筑各项能耗拆分!$B$18*建筑各项能耗拆分!T167</f>
        <v>33228019497910.402</v>
      </c>
      <c r="U4" s="1">
        <f>建筑各项能耗拆分!$B$18*建筑各项能耗拆分!U167</f>
        <v>32903312218700.801</v>
      </c>
      <c r="V4" s="1">
        <f>建筑各项能耗拆分!$B$18*建筑各项能耗拆分!V167</f>
        <v>32559730858998.391</v>
      </c>
      <c r="W4" s="1">
        <f>建筑各项能耗拆分!$B$18*建筑各项能耗拆分!W167</f>
        <v>32198234607845.059</v>
      </c>
      <c r="X4" s="1">
        <f>建筑各项能耗拆分!$B$18*建筑各项能耗拆分!X167</f>
        <v>31819801599938.898</v>
      </c>
      <c r="Y4" s="1">
        <f>建筑各项能耗拆分!$B$18*建筑各项能耗拆分!Y167</f>
        <v>31425426170438.859</v>
      </c>
      <c r="Z4" s="1">
        <f>建筑各项能耗拆分!$B$18*建筑各项能耗拆分!Z167</f>
        <v>31016116750239.063</v>
      </c>
      <c r="AA4" s="1">
        <f>建筑各项能耗拆分!$B$18*建筑各项能耗拆分!AA167</f>
        <v>30592892582552.16</v>
      </c>
      <c r="AB4" s="1">
        <f>建筑各项能耗拆分!$B$18*建筑各项能耗拆分!AB167</f>
        <v>30156782048228.258</v>
      </c>
      <c r="AC4" s="1">
        <f>建筑各项能耗拆分!$B$18*建筑各项能耗拆分!AC167</f>
        <v>29708821050833.934</v>
      </c>
      <c r="AD4" s="1">
        <f>建筑各项能耗拆分!$B$18*建筑各项能耗拆分!AD167</f>
        <v>29250048389852.012</v>
      </c>
      <c r="AE4" s="1">
        <f>建筑各项能耗拆分!$B$18*建筑各项能耗拆分!AE167</f>
        <v>28781503510960.176</v>
      </c>
      <c r="AF4" s="1">
        <f>建筑各项能耗拆分!$B$18*建筑各项能耗拆分!AF167</f>
        <v>28304225529950.641</v>
      </c>
      <c r="AG4" s="1">
        <f>建筑各项能耗拆分!$B$18*建筑各项能耗拆分!AG167</f>
        <v>27819247200354.086</v>
      </c>
      <c r="AH4" s="1">
        <f>建筑各项能耗拆分!$B$18*建筑各项能耗拆分!AH167</f>
        <v>27327593341175.711</v>
      </c>
      <c r="AI4" s="1">
        <f>建筑各项能耗拆分!$B$18*建筑各项能耗拆分!AI167</f>
        <v>26830278110143.387</v>
      </c>
      <c r="AJ4" s="1">
        <f>建筑各项能耗拆分!$B$18*建筑各项能耗拆分!AJ167</f>
        <v>26328299349590.75</v>
      </c>
      <c r="AK4" s="1">
        <f>建筑各项能耗拆分!$B$18*建筑各项能耗拆分!AK167</f>
        <v>25822637993068.066</v>
      </c>
      <c r="AL4" s="1">
        <f>建筑各项能耗拆分!$B$18*建筑各项能耗拆分!AL167</f>
        <v>25314250877379.746</v>
      </c>
      <c r="AM4" s="1">
        <f>建筑各项能耗拆分!$B$18*建筑各项能耗拆分!AM167</f>
        <v>24804070173984.789</v>
      </c>
      <c r="AN4" s="1">
        <f>建筑各项能耗拆分!$B$18*建筑各项能耗拆分!AN167</f>
        <v>24292997243933.797</v>
      </c>
      <c r="AO4" s="1">
        <f>建筑各项能耗拆分!$B$18*建筑各项能耗拆分!AO167</f>
        <v>23781898858376.688</v>
      </c>
      <c r="AP4" s="1">
        <f>建筑各项能耗拆分!$B$18*建筑各项能耗拆分!AP167</f>
        <v>23271602929584.449</v>
      </c>
      <c r="AQ4" s="1">
        <f>建筑各项能耗拆分!$B$18*建筑各项能耗拆分!AQ167</f>
        <v>22762894068044.828</v>
      </c>
      <c r="AR4" s="1">
        <f>建筑各项能耗拆分!$B$18*建筑各项能耗拆分!AR167</f>
        <v>22256509476750.805</v>
      </c>
    </row>
    <row r="5" spans="1:44" x14ac:dyDescent="0.15">
      <c r="A5" t="s">
        <v>3</v>
      </c>
      <c r="B5" s="1">
        <f>建筑各项能耗拆分!$B$18*建筑各项能耗拆分!B168</f>
        <v>0</v>
      </c>
      <c r="C5" s="1">
        <f>建筑各项能耗拆分!$B$18*建筑各项能耗拆分!C168</f>
        <v>0</v>
      </c>
      <c r="D5" s="1">
        <f>建筑各项能耗拆分!$B$18*建筑各项能耗拆分!D168</f>
        <v>0</v>
      </c>
      <c r="E5" s="1">
        <f>建筑各项能耗拆分!$B$18*建筑各项能耗拆分!E168</f>
        <v>0</v>
      </c>
      <c r="F5" s="1">
        <f>建筑各项能耗拆分!$B$18*建筑各项能耗拆分!F168</f>
        <v>0</v>
      </c>
      <c r="G5" s="1">
        <f>建筑各项能耗拆分!$B$18*建筑各项能耗拆分!G168</f>
        <v>0</v>
      </c>
      <c r="H5" s="1">
        <f>建筑各项能耗拆分!$B$18*建筑各项能耗拆分!H168</f>
        <v>0</v>
      </c>
      <c r="I5" s="1">
        <f>建筑各项能耗拆分!$B$18*建筑各项能耗拆分!I168</f>
        <v>0</v>
      </c>
      <c r="J5" s="1">
        <f>建筑各项能耗拆分!$B$18*建筑各项能耗拆分!J168</f>
        <v>0</v>
      </c>
      <c r="K5" s="1">
        <f>建筑各项能耗拆分!$B$18*建筑各项能耗拆分!K168</f>
        <v>0</v>
      </c>
      <c r="L5" s="1">
        <f>建筑各项能耗拆分!$B$18*建筑各项能耗拆分!L168</f>
        <v>0</v>
      </c>
      <c r="M5" s="1">
        <f>建筑各项能耗拆分!$B$18*建筑各项能耗拆分!M168</f>
        <v>0</v>
      </c>
      <c r="N5" s="1">
        <f>建筑各项能耗拆分!$B$18*建筑各项能耗拆分!N168</f>
        <v>0</v>
      </c>
      <c r="O5" s="1">
        <f>建筑各项能耗拆分!$B$18*建筑各项能耗拆分!O168</f>
        <v>0</v>
      </c>
      <c r="P5" s="1">
        <f>建筑各项能耗拆分!$B$18*建筑各项能耗拆分!P168</f>
        <v>0</v>
      </c>
      <c r="Q5" s="1">
        <f>建筑各项能耗拆分!$B$18*建筑各项能耗拆分!Q168</f>
        <v>0</v>
      </c>
      <c r="R5" s="1">
        <f>建筑各项能耗拆分!$B$18*建筑各项能耗拆分!R168</f>
        <v>0</v>
      </c>
      <c r="S5" s="1">
        <f>建筑各项能耗拆分!$B$18*建筑各项能耗拆分!S168</f>
        <v>0</v>
      </c>
      <c r="T5" s="1">
        <f>建筑各项能耗拆分!$B$18*建筑各项能耗拆分!T168</f>
        <v>0</v>
      </c>
      <c r="U5" s="1">
        <f>建筑各项能耗拆分!$B$18*建筑各项能耗拆分!U168</f>
        <v>0</v>
      </c>
      <c r="V5" s="1">
        <f>建筑各项能耗拆分!$B$18*建筑各项能耗拆分!V168</f>
        <v>0</v>
      </c>
      <c r="W5" s="1">
        <f>建筑各项能耗拆分!$B$18*建筑各项能耗拆分!W168</f>
        <v>0</v>
      </c>
      <c r="X5" s="1">
        <f>建筑各项能耗拆分!$B$18*建筑各项能耗拆分!X168</f>
        <v>0</v>
      </c>
      <c r="Y5" s="1">
        <f>建筑各项能耗拆分!$B$18*建筑各项能耗拆分!Y168</f>
        <v>0</v>
      </c>
      <c r="Z5" s="1">
        <f>建筑各项能耗拆分!$B$18*建筑各项能耗拆分!Z168</f>
        <v>0</v>
      </c>
      <c r="AA5" s="1">
        <f>建筑各项能耗拆分!$B$18*建筑各项能耗拆分!AA168</f>
        <v>0</v>
      </c>
      <c r="AB5" s="1">
        <f>建筑各项能耗拆分!$B$18*建筑各项能耗拆分!AB168</f>
        <v>0</v>
      </c>
      <c r="AC5" s="1">
        <f>建筑各项能耗拆分!$B$18*建筑各项能耗拆分!AC168</f>
        <v>0</v>
      </c>
      <c r="AD5" s="1">
        <f>建筑各项能耗拆分!$B$18*建筑各项能耗拆分!AD168</f>
        <v>0</v>
      </c>
      <c r="AE5" s="1">
        <f>建筑各项能耗拆分!$B$18*建筑各项能耗拆分!AE168</f>
        <v>0</v>
      </c>
      <c r="AF5" s="1">
        <f>建筑各项能耗拆分!$B$18*建筑各项能耗拆分!AF168</f>
        <v>0</v>
      </c>
      <c r="AG5" s="1">
        <f>建筑各项能耗拆分!$B$18*建筑各项能耗拆分!AG168</f>
        <v>0</v>
      </c>
      <c r="AH5" s="1">
        <f>建筑各项能耗拆分!$B$18*建筑各项能耗拆分!AH168</f>
        <v>0</v>
      </c>
      <c r="AI5" s="1">
        <f>建筑各项能耗拆分!$B$18*建筑各项能耗拆分!AI168</f>
        <v>0</v>
      </c>
      <c r="AJ5" s="1">
        <f>建筑各项能耗拆分!$B$18*建筑各项能耗拆分!AJ168</f>
        <v>0</v>
      </c>
      <c r="AK5" s="1">
        <f>建筑各项能耗拆分!$B$18*建筑各项能耗拆分!AK168</f>
        <v>0</v>
      </c>
      <c r="AL5" s="1">
        <f>建筑各项能耗拆分!$B$18*建筑各项能耗拆分!AL168</f>
        <v>0</v>
      </c>
      <c r="AM5" s="1">
        <f>建筑各项能耗拆分!$B$18*建筑各项能耗拆分!AM168</f>
        <v>0</v>
      </c>
      <c r="AN5" s="1">
        <f>建筑各项能耗拆分!$B$18*建筑各项能耗拆分!AN168</f>
        <v>0</v>
      </c>
      <c r="AO5" s="1">
        <f>建筑各项能耗拆分!$B$18*建筑各项能耗拆分!AO168</f>
        <v>0</v>
      </c>
      <c r="AP5" s="1">
        <f>建筑各项能耗拆分!$B$18*建筑各项能耗拆分!AP168</f>
        <v>0</v>
      </c>
      <c r="AQ5" s="1">
        <f>建筑各项能耗拆分!$B$18*建筑各项能耗拆分!AQ168</f>
        <v>0</v>
      </c>
      <c r="AR5" s="1">
        <f>建筑各项能耗拆分!$B$18*建筑各项能耗拆分!AR168</f>
        <v>0</v>
      </c>
    </row>
    <row r="6" spans="1:44" x14ac:dyDescent="0.15">
      <c r="A6" t="s">
        <v>4</v>
      </c>
      <c r="B6" s="1">
        <f>建筑各项能耗拆分!$B$18*建筑各项能耗拆分!B169</f>
        <v>0</v>
      </c>
      <c r="C6" s="1">
        <f>建筑各项能耗拆分!$B$18*建筑各项能耗拆分!C169</f>
        <v>0</v>
      </c>
      <c r="D6" s="1">
        <f>建筑各项能耗拆分!$B$18*建筑各项能耗拆分!D169</f>
        <v>0</v>
      </c>
      <c r="E6" s="1">
        <f>建筑各项能耗拆分!$B$18*建筑各项能耗拆分!E169</f>
        <v>0</v>
      </c>
      <c r="F6" s="1">
        <f>建筑各项能耗拆分!$B$18*建筑各项能耗拆分!F169</f>
        <v>0</v>
      </c>
      <c r="G6" s="1">
        <f>建筑各项能耗拆分!$B$18*建筑各项能耗拆分!G169</f>
        <v>0</v>
      </c>
      <c r="H6" s="1">
        <f>建筑各项能耗拆分!$B$18*建筑各项能耗拆分!H169</f>
        <v>0</v>
      </c>
      <c r="I6" s="1">
        <f>建筑各项能耗拆分!$B$18*建筑各项能耗拆分!I169</f>
        <v>0</v>
      </c>
      <c r="J6" s="1">
        <f>建筑各项能耗拆分!$B$18*建筑各项能耗拆分!J169</f>
        <v>0</v>
      </c>
      <c r="K6" s="1">
        <f>建筑各项能耗拆分!$B$18*建筑各项能耗拆分!K169</f>
        <v>0</v>
      </c>
      <c r="L6" s="1">
        <f>建筑各项能耗拆分!$B$18*建筑各项能耗拆分!L169</f>
        <v>0</v>
      </c>
      <c r="M6" s="1">
        <f>建筑各项能耗拆分!$B$18*建筑各项能耗拆分!M169</f>
        <v>0</v>
      </c>
      <c r="N6" s="1">
        <f>建筑各项能耗拆分!$B$18*建筑各项能耗拆分!N169</f>
        <v>0</v>
      </c>
      <c r="O6" s="1">
        <f>建筑各项能耗拆分!$B$18*建筑各项能耗拆分!O169</f>
        <v>0</v>
      </c>
      <c r="P6" s="1">
        <f>建筑各项能耗拆分!$B$18*建筑各项能耗拆分!P169</f>
        <v>0</v>
      </c>
      <c r="Q6" s="1">
        <f>建筑各项能耗拆分!$B$18*建筑各项能耗拆分!Q169</f>
        <v>0</v>
      </c>
      <c r="R6" s="1">
        <f>建筑各项能耗拆分!$B$18*建筑各项能耗拆分!R169</f>
        <v>0</v>
      </c>
      <c r="S6" s="1">
        <f>建筑各项能耗拆分!$B$18*建筑各项能耗拆分!S169</f>
        <v>0</v>
      </c>
      <c r="T6" s="1">
        <f>建筑各项能耗拆分!$B$18*建筑各项能耗拆分!T169</f>
        <v>0</v>
      </c>
      <c r="U6" s="1">
        <f>建筑各项能耗拆分!$B$18*建筑各项能耗拆分!U169</f>
        <v>0</v>
      </c>
      <c r="V6" s="1">
        <f>建筑各项能耗拆分!$B$18*建筑各项能耗拆分!V169</f>
        <v>0</v>
      </c>
      <c r="W6" s="1">
        <f>建筑各项能耗拆分!$B$18*建筑各项能耗拆分!W169</f>
        <v>0</v>
      </c>
      <c r="X6" s="1">
        <f>建筑各项能耗拆分!$B$18*建筑各项能耗拆分!X169</f>
        <v>0</v>
      </c>
      <c r="Y6" s="1">
        <f>建筑各项能耗拆分!$B$18*建筑各项能耗拆分!Y169</f>
        <v>0</v>
      </c>
      <c r="Z6" s="1">
        <f>建筑各项能耗拆分!$B$18*建筑各项能耗拆分!Z169</f>
        <v>0</v>
      </c>
      <c r="AA6" s="1">
        <f>建筑各项能耗拆分!$B$18*建筑各项能耗拆分!AA169</f>
        <v>0</v>
      </c>
      <c r="AB6" s="1">
        <f>建筑各项能耗拆分!$B$18*建筑各项能耗拆分!AB169</f>
        <v>0</v>
      </c>
      <c r="AC6" s="1">
        <f>建筑各项能耗拆分!$B$18*建筑各项能耗拆分!AC169</f>
        <v>0</v>
      </c>
      <c r="AD6" s="1">
        <f>建筑各项能耗拆分!$B$18*建筑各项能耗拆分!AD169</f>
        <v>0</v>
      </c>
      <c r="AE6" s="1">
        <f>建筑各项能耗拆分!$B$18*建筑各项能耗拆分!AE169</f>
        <v>0</v>
      </c>
      <c r="AF6" s="1">
        <f>建筑各项能耗拆分!$B$18*建筑各项能耗拆分!AF169</f>
        <v>0</v>
      </c>
      <c r="AG6" s="1">
        <f>建筑各项能耗拆分!$B$18*建筑各项能耗拆分!AG169</f>
        <v>0</v>
      </c>
      <c r="AH6" s="1">
        <f>建筑各项能耗拆分!$B$18*建筑各项能耗拆分!AH169</f>
        <v>0</v>
      </c>
      <c r="AI6" s="1">
        <f>建筑各项能耗拆分!$B$18*建筑各项能耗拆分!AI169</f>
        <v>0</v>
      </c>
      <c r="AJ6" s="1">
        <f>建筑各项能耗拆分!$B$18*建筑各项能耗拆分!AJ169</f>
        <v>0</v>
      </c>
      <c r="AK6" s="1">
        <f>建筑各项能耗拆分!$B$18*建筑各项能耗拆分!AK169</f>
        <v>0</v>
      </c>
      <c r="AL6" s="1">
        <f>建筑各项能耗拆分!$B$18*建筑各项能耗拆分!AL169</f>
        <v>0</v>
      </c>
      <c r="AM6" s="1">
        <f>建筑各项能耗拆分!$B$18*建筑各项能耗拆分!AM169</f>
        <v>0</v>
      </c>
      <c r="AN6" s="1">
        <f>建筑各项能耗拆分!$B$18*建筑各项能耗拆分!AN169</f>
        <v>0</v>
      </c>
      <c r="AO6" s="1">
        <f>建筑各项能耗拆分!$B$18*建筑各项能耗拆分!AO169</f>
        <v>0</v>
      </c>
      <c r="AP6" s="1">
        <f>建筑各项能耗拆分!$B$18*建筑各项能耗拆分!AP169</f>
        <v>0</v>
      </c>
      <c r="AQ6" s="1">
        <f>建筑各项能耗拆分!$B$18*建筑各项能耗拆分!AQ169</f>
        <v>0</v>
      </c>
      <c r="AR6" s="1">
        <f>建筑各项能耗拆分!$B$18*建筑各项能耗拆分!AR169</f>
        <v>0</v>
      </c>
    </row>
    <row r="7" spans="1:44" x14ac:dyDescent="0.15">
      <c r="A7" t="s">
        <v>5</v>
      </c>
      <c r="B7" s="1">
        <f>建筑各项能耗拆分!$B$18*建筑各项能耗拆分!B170</f>
        <v>65641037312631.664</v>
      </c>
      <c r="C7" s="1">
        <f>建筑各项能耗拆分!$B$18*建筑各项能耗拆分!C170</f>
        <v>65174985947711.984</v>
      </c>
      <c r="D7" s="1">
        <f>建筑各项能耗拆分!$B$18*建筑各项能耗拆分!D170</f>
        <v>63329684070092.742</v>
      </c>
      <c r="E7" s="1">
        <f>建筑各项能耗拆分!$B$18*建筑各项能耗拆分!E170</f>
        <v>62151623272794.688</v>
      </c>
      <c r="F7" s="1">
        <f>建筑各项能耗拆分!$B$18*建筑各项能耗拆分!F170</f>
        <v>61964342727279.289</v>
      </c>
      <c r="G7" s="1">
        <f>建筑各项能耗拆分!$B$18*建筑各项能耗拆分!G170</f>
        <v>61749600760203.156</v>
      </c>
      <c r="H7" s="1">
        <f>建筑各项能耗拆分!$B$18*建筑各项能耗拆分!H170</f>
        <v>61507894229981.203</v>
      </c>
      <c r="I7" s="1">
        <f>建筑各项能耗拆分!$B$18*建筑各项能耗拆分!I170</f>
        <v>61239757489206.891</v>
      </c>
      <c r="J7" s="1">
        <f>建筑各项能耗拆分!$B$18*建筑各项能耗拆分!J170</f>
        <v>60945758035110.891</v>
      </c>
      <c r="K7" s="1">
        <f>建筑各项能耗拆分!$B$18*建筑各项能耗拆分!K170</f>
        <v>60626499481469.375</v>
      </c>
      <c r="L7" s="1">
        <f>建筑各项能耗拆分!$B$18*建筑各项能耗拆分!L170</f>
        <v>60282617149565.461</v>
      </c>
      <c r="M7" s="1">
        <f>建筑各项能耗拆分!$B$18*建筑各项能耗拆分!M170</f>
        <v>59914778985914.336</v>
      </c>
      <c r="N7" s="1">
        <f>建筑各项能耗拆分!$B$18*建筑各项能耗拆分!N170</f>
        <v>59523683943900.336</v>
      </c>
      <c r="O7" s="1">
        <f>建筑各项能耗拆分!$B$18*建筑各项能耗拆分!O170</f>
        <v>59110059992646.008</v>
      </c>
      <c r="P7" s="1">
        <f>建筑各项能耗拆分!$B$18*建筑各项能耗拆分!P170</f>
        <v>58674664821841.844</v>
      </c>
      <c r="Q7" s="1">
        <f>建筑各项能耗拆分!$B$18*建筑各项能耗拆分!Q170</f>
        <v>58218281769884.133</v>
      </c>
      <c r="R7" s="1">
        <f>建筑各项能耗拆分!$B$18*建筑各项能耗拆分!R170</f>
        <v>57752230404964.43</v>
      </c>
      <c r="S7" s="1">
        <f>建筑各项能耗拆分!$B$18*建筑各项能耗拆分!S170</f>
        <v>57266943981849.008</v>
      </c>
      <c r="T7" s="1">
        <f>建筑各项能耗拆分!$B$18*建筑各项能耗拆分!T170</f>
        <v>56746252693566.555</v>
      </c>
      <c r="U7" s="1">
        <f>建筑各项能耗拆分!$B$18*建筑各项能耗拆分!U170</f>
        <v>56191723064780.617</v>
      </c>
      <c r="V7" s="1">
        <f>建筑各项能耗拆分!$B$18*建筑各项能耗拆分!V170</f>
        <v>55604960598853.375</v>
      </c>
      <c r="W7" s="1">
        <f>建筑各项能耗拆分!$B$18*建筑各项能耗拆分!W170</f>
        <v>54987603382693.867</v>
      </c>
      <c r="X7" s="1">
        <f>建筑各项能耗拆分!$B$18*建筑各项能耗拆分!X170</f>
        <v>54341321858284.023</v>
      </c>
      <c r="Y7" s="1">
        <f>建筑各项能耗拆分!$B$18*建筑各项能耗拆分!Y170</f>
        <v>53667814134480.313</v>
      </c>
      <c r="Z7" s="1">
        <f>建筑各项能耗拆分!$B$18*建筑各项能耗拆分!Z170</f>
        <v>52968802392598.563</v>
      </c>
      <c r="AA7" s="1">
        <f>建筑各项能耗拆分!$B$18*建筑各项能耗拆分!AA170</f>
        <v>52246027279050.328</v>
      </c>
      <c r="AB7" s="1">
        <f>建筑各项能耗拆分!$B$18*建筑各项能耗拆分!AB170</f>
        <v>51501245045350.641</v>
      </c>
      <c r="AC7" s="1">
        <f>建筑各项能耗拆分!$B$18*建筑各项能耗拆分!AC170</f>
        <v>50736224790183.18</v>
      </c>
      <c r="AD7" s="1">
        <f>建筑各项能耗拆分!$B$18*建筑各项能耗拆分!AD170</f>
        <v>49952740557828.695</v>
      </c>
      <c r="AE7" s="1">
        <f>建筑各项能耗拆分!$B$18*建筑各项能耗拆分!AE170</f>
        <v>49152567496128.641</v>
      </c>
      <c r="AF7" s="1">
        <f>建筑各项能耗拆分!$B$18*建筑各项能耗拆分!AF170</f>
        <v>48337480189551.547</v>
      </c>
      <c r="AG7" s="1">
        <f>建筑各项能耗拆分!$B$18*建筑各项能耗拆分!AG170</f>
        <v>47509242357202.852</v>
      </c>
      <c r="AH7" s="1">
        <f>建筑各项能耗拆分!$B$18*建筑各项能耗拆分!AH170</f>
        <v>46669604167738.75</v>
      </c>
      <c r="AI7" s="1">
        <f>建筑各项能耗拆分!$B$18*建筑各项能耗拆分!AI170</f>
        <v>45820297582665.438</v>
      </c>
      <c r="AJ7" s="1">
        <f>建筑各项能耗拆分!$B$18*建筑各项能耗拆分!AJ170</f>
        <v>44963026700333.289</v>
      </c>
      <c r="AK7" s="1">
        <f>建筑各项能耗拆分!$B$18*建筑各项能耗拆分!AK170</f>
        <v>44099466742556.922</v>
      </c>
      <c r="AL7" s="1">
        <f>建筑各项能耗拆分!$B$18*建筑各项能耗拆分!AL170</f>
        <v>43231251779133.742</v>
      </c>
      <c r="AM7" s="1">
        <f>建筑各项能耗拆分!$B$18*建筑各项能耗拆分!AM170</f>
        <v>42359973756799.234</v>
      </c>
      <c r="AN7" s="1">
        <f>建筑各项能耗拆分!$B$18*建筑各项能耗拆分!AN170</f>
        <v>41487172004791.766</v>
      </c>
      <c r="AO7" s="1">
        <f>建筑各项能耗拆分!$B$18*建筑各项能耗拆分!AO170</f>
        <v>40614326780299.172</v>
      </c>
      <c r="AP7" s="1">
        <f>建筑各项能耗拆分!$B$18*建筑各项能耗拆分!AP170</f>
        <v>39742851977969.664</v>
      </c>
      <c r="AQ7" s="1">
        <f>建筑各项能耗拆分!$B$18*建筑各项能耗拆分!AQ170</f>
        <v>38874087542394.461</v>
      </c>
      <c r="AR7" s="1">
        <f>建筑各项能耗拆分!$B$18*建筑各项能耗拆分!AR170</f>
        <v>38009292456442.805</v>
      </c>
    </row>
    <row r="8" spans="1:44" x14ac:dyDescent="0.15">
      <c r="A8" t="s">
        <v>6</v>
      </c>
      <c r="B8" s="1">
        <f>建筑各项能耗拆分!$B$18*建筑各项能耗拆分!B171</f>
        <v>0</v>
      </c>
      <c r="C8" s="1">
        <f>建筑各项能耗拆分!$B$18*建筑各项能耗拆分!C171</f>
        <v>0</v>
      </c>
      <c r="D8" s="1">
        <f>建筑各项能耗拆分!$B$18*建筑各项能耗拆分!D171</f>
        <v>0</v>
      </c>
      <c r="E8" s="1">
        <f>建筑各项能耗拆分!$B$18*建筑各项能耗拆分!E171</f>
        <v>0</v>
      </c>
      <c r="F8" s="1">
        <f>建筑各项能耗拆分!$B$18*建筑各项能耗拆分!F171</f>
        <v>0</v>
      </c>
      <c r="G8" s="1">
        <f>建筑各项能耗拆分!$B$18*建筑各项能耗拆分!G171</f>
        <v>0</v>
      </c>
      <c r="H8" s="1">
        <f>建筑各项能耗拆分!$B$18*建筑各项能耗拆分!H171</f>
        <v>0</v>
      </c>
      <c r="I8" s="1">
        <f>建筑各项能耗拆分!$B$18*建筑各项能耗拆分!I171</f>
        <v>0</v>
      </c>
      <c r="J8" s="1">
        <f>建筑各项能耗拆分!$B$18*建筑各项能耗拆分!J171</f>
        <v>0</v>
      </c>
      <c r="K8" s="1">
        <f>建筑各项能耗拆分!$B$18*建筑各项能耗拆分!K171</f>
        <v>0</v>
      </c>
      <c r="L8" s="1">
        <f>建筑各项能耗拆分!$B$18*建筑各项能耗拆分!L171</f>
        <v>0</v>
      </c>
      <c r="M8" s="1">
        <f>建筑各项能耗拆分!$B$18*建筑各项能耗拆分!M171</f>
        <v>0</v>
      </c>
      <c r="N8" s="1">
        <f>建筑各项能耗拆分!$B$18*建筑各项能耗拆分!N171</f>
        <v>0</v>
      </c>
      <c r="O8" s="1">
        <f>建筑各项能耗拆分!$B$18*建筑各项能耗拆分!O171</f>
        <v>0</v>
      </c>
      <c r="P8" s="1">
        <f>建筑各项能耗拆分!$B$18*建筑各项能耗拆分!P171</f>
        <v>0</v>
      </c>
      <c r="Q8" s="1">
        <f>建筑各项能耗拆分!$B$18*建筑各项能耗拆分!Q171</f>
        <v>0</v>
      </c>
      <c r="R8" s="1">
        <f>建筑各项能耗拆分!$B$18*建筑各项能耗拆分!R171</f>
        <v>0</v>
      </c>
      <c r="S8" s="1">
        <f>建筑各项能耗拆分!$B$18*建筑各项能耗拆分!S171</f>
        <v>0</v>
      </c>
      <c r="T8" s="1">
        <f>建筑各项能耗拆分!$B$18*建筑各项能耗拆分!T171</f>
        <v>0</v>
      </c>
      <c r="U8" s="1">
        <f>建筑各项能耗拆分!$B$18*建筑各项能耗拆分!U171</f>
        <v>0</v>
      </c>
      <c r="V8" s="1">
        <f>建筑各项能耗拆分!$B$18*建筑各项能耗拆分!V171</f>
        <v>0</v>
      </c>
      <c r="W8" s="1">
        <f>建筑各项能耗拆分!$B$18*建筑各项能耗拆分!W171</f>
        <v>0</v>
      </c>
      <c r="X8" s="1">
        <f>建筑各项能耗拆分!$B$18*建筑各项能耗拆分!X171</f>
        <v>0</v>
      </c>
      <c r="Y8" s="1">
        <f>建筑各项能耗拆分!$B$18*建筑各项能耗拆分!Y171</f>
        <v>0</v>
      </c>
      <c r="Z8" s="1">
        <f>建筑各项能耗拆分!$B$18*建筑各项能耗拆分!Z171</f>
        <v>0</v>
      </c>
      <c r="AA8" s="1">
        <f>建筑各项能耗拆分!$B$18*建筑各项能耗拆分!AA171</f>
        <v>0</v>
      </c>
      <c r="AB8" s="1">
        <f>建筑各项能耗拆分!$B$18*建筑各项能耗拆分!AB171</f>
        <v>0</v>
      </c>
      <c r="AC8" s="1">
        <f>建筑各项能耗拆分!$B$18*建筑各项能耗拆分!AC171</f>
        <v>0</v>
      </c>
      <c r="AD8" s="1">
        <f>建筑各项能耗拆分!$B$18*建筑各项能耗拆分!AD171</f>
        <v>0</v>
      </c>
      <c r="AE8" s="1">
        <f>建筑各项能耗拆分!$B$18*建筑各项能耗拆分!AE171</f>
        <v>0</v>
      </c>
      <c r="AF8" s="1">
        <f>建筑各项能耗拆分!$B$18*建筑各项能耗拆分!AF171</f>
        <v>0</v>
      </c>
      <c r="AG8" s="1">
        <f>建筑各项能耗拆分!$B$18*建筑各项能耗拆分!AG171</f>
        <v>0</v>
      </c>
      <c r="AH8" s="1">
        <f>建筑各项能耗拆分!$B$18*建筑各项能耗拆分!AH171</f>
        <v>0</v>
      </c>
      <c r="AI8" s="1">
        <f>建筑各项能耗拆分!$B$18*建筑各项能耗拆分!AI171</f>
        <v>0</v>
      </c>
      <c r="AJ8" s="1">
        <f>建筑各项能耗拆分!$B$18*建筑各项能耗拆分!AJ171</f>
        <v>0</v>
      </c>
      <c r="AK8" s="1">
        <f>建筑各项能耗拆分!$B$18*建筑各项能耗拆分!AK171</f>
        <v>0</v>
      </c>
      <c r="AL8" s="1">
        <f>建筑各项能耗拆分!$B$18*建筑各项能耗拆分!AL171</f>
        <v>0</v>
      </c>
      <c r="AM8" s="1">
        <f>建筑各项能耗拆分!$B$18*建筑各项能耗拆分!AM171</f>
        <v>0</v>
      </c>
      <c r="AN8" s="1">
        <f>建筑各项能耗拆分!$B$18*建筑各项能耗拆分!AN171</f>
        <v>0</v>
      </c>
      <c r="AO8" s="1">
        <f>建筑各项能耗拆分!$B$18*建筑各项能耗拆分!AO171</f>
        <v>0</v>
      </c>
      <c r="AP8" s="1">
        <f>建筑各项能耗拆分!$B$18*建筑各项能耗拆分!AP171</f>
        <v>0</v>
      </c>
      <c r="AQ8" s="1">
        <f>建筑各项能耗拆分!$B$18*建筑各项能耗拆分!AQ171</f>
        <v>0</v>
      </c>
      <c r="AR8" s="1">
        <f>建筑各项能耗拆分!$B$18*建筑各项能耗拆分!AR171</f>
        <v>0</v>
      </c>
    </row>
    <row r="9" spans="1:44" x14ac:dyDescent="0.15">
      <c r="A9" t="s">
        <v>7</v>
      </c>
      <c r="B9" s="1">
        <f>建筑各项能耗拆分!$B$18*建筑各项能耗拆分!B172</f>
        <v>0</v>
      </c>
      <c r="C9" s="1">
        <f>建筑各项能耗拆分!$B$18*建筑各项能耗拆分!C172</f>
        <v>0</v>
      </c>
      <c r="D9" s="1">
        <f>建筑各项能耗拆分!$B$18*建筑各项能耗拆分!D172</f>
        <v>0</v>
      </c>
      <c r="E9" s="1">
        <f>建筑各项能耗拆分!$B$18*建筑各项能耗拆分!E172</f>
        <v>0</v>
      </c>
      <c r="F9" s="1">
        <f>建筑各项能耗拆分!$B$18*建筑各项能耗拆分!F172</f>
        <v>0</v>
      </c>
      <c r="G9" s="1">
        <f>建筑各项能耗拆分!$B$18*建筑各项能耗拆分!G172</f>
        <v>0</v>
      </c>
      <c r="H9" s="1">
        <f>建筑各项能耗拆分!$B$18*建筑各项能耗拆分!H172</f>
        <v>0</v>
      </c>
      <c r="I9" s="1">
        <f>建筑各项能耗拆分!$B$18*建筑各项能耗拆分!I172</f>
        <v>0</v>
      </c>
      <c r="J9" s="1">
        <f>建筑各项能耗拆分!$B$18*建筑各项能耗拆分!J172</f>
        <v>0</v>
      </c>
      <c r="K9" s="1">
        <f>建筑各项能耗拆分!$B$18*建筑各项能耗拆分!K172</f>
        <v>0</v>
      </c>
      <c r="L9" s="1">
        <f>建筑各项能耗拆分!$B$18*建筑各项能耗拆分!L172</f>
        <v>0</v>
      </c>
      <c r="M9" s="1">
        <f>建筑各项能耗拆分!$B$18*建筑各项能耗拆分!M172</f>
        <v>0</v>
      </c>
      <c r="N9" s="1">
        <f>建筑各项能耗拆分!$B$18*建筑各项能耗拆分!N172</f>
        <v>0</v>
      </c>
      <c r="O9" s="1">
        <f>建筑各项能耗拆分!$B$18*建筑各项能耗拆分!O172</f>
        <v>0</v>
      </c>
      <c r="P9" s="1">
        <f>建筑各项能耗拆分!$B$18*建筑各项能耗拆分!P172</f>
        <v>0</v>
      </c>
      <c r="Q9" s="1">
        <f>建筑各项能耗拆分!$B$18*建筑各项能耗拆分!Q172</f>
        <v>0</v>
      </c>
      <c r="R9" s="1">
        <f>建筑各项能耗拆分!$B$18*建筑各项能耗拆分!R172</f>
        <v>0</v>
      </c>
      <c r="S9" s="1">
        <f>建筑各项能耗拆分!$B$18*建筑各项能耗拆分!S172</f>
        <v>0</v>
      </c>
      <c r="T9" s="1">
        <f>建筑各项能耗拆分!$B$18*建筑各项能耗拆分!T172</f>
        <v>0</v>
      </c>
      <c r="U9" s="1">
        <f>建筑各项能耗拆分!$B$18*建筑各项能耗拆分!U172</f>
        <v>0</v>
      </c>
      <c r="V9" s="1">
        <f>建筑各项能耗拆分!$B$18*建筑各项能耗拆分!V172</f>
        <v>0</v>
      </c>
      <c r="W9" s="1">
        <f>建筑各项能耗拆分!$B$18*建筑各项能耗拆分!W172</f>
        <v>0</v>
      </c>
      <c r="X9" s="1">
        <f>建筑各项能耗拆分!$B$18*建筑各项能耗拆分!X172</f>
        <v>0</v>
      </c>
      <c r="Y9" s="1">
        <f>建筑各项能耗拆分!$B$18*建筑各项能耗拆分!Y172</f>
        <v>0</v>
      </c>
      <c r="Z9" s="1">
        <f>建筑各项能耗拆分!$B$18*建筑各项能耗拆分!Z172</f>
        <v>0</v>
      </c>
      <c r="AA9" s="1">
        <f>建筑各项能耗拆分!$B$18*建筑各项能耗拆分!AA172</f>
        <v>0</v>
      </c>
      <c r="AB9" s="1">
        <f>建筑各项能耗拆分!$B$18*建筑各项能耗拆分!AB172</f>
        <v>0</v>
      </c>
      <c r="AC9" s="1">
        <f>建筑各项能耗拆分!$B$18*建筑各项能耗拆分!AC172</f>
        <v>0</v>
      </c>
      <c r="AD9" s="1">
        <f>建筑各项能耗拆分!$B$18*建筑各项能耗拆分!AD172</f>
        <v>0</v>
      </c>
      <c r="AE9" s="1">
        <f>建筑各项能耗拆分!$B$18*建筑各项能耗拆分!AE172</f>
        <v>0</v>
      </c>
      <c r="AF9" s="1">
        <f>建筑各项能耗拆分!$B$18*建筑各项能耗拆分!AF172</f>
        <v>0</v>
      </c>
      <c r="AG9" s="1">
        <f>建筑各项能耗拆分!$B$18*建筑各项能耗拆分!AG172</f>
        <v>0</v>
      </c>
      <c r="AH9" s="1">
        <f>建筑各项能耗拆分!$B$18*建筑各项能耗拆分!AH172</f>
        <v>0</v>
      </c>
      <c r="AI9" s="1">
        <f>建筑各项能耗拆分!$B$18*建筑各项能耗拆分!AI172</f>
        <v>0</v>
      </c>
      <c r="AJ9" s="1">
        <f>建筑各项能耗拆分!$B$18*建筑各项能耗拆分!AJ172</f>
        <v>0</v>
      </c>
      <c r="AK9" s="1">
        <f>建筑各项能耗拆分!$B$18*建筑各项能耗拆分!AK172</f>
        <v>0</v>
      </c>
      <c r="AL9" s="1">
        <f>建筑各项能耗拆分!$B$18*建筑各项能耗拆分!AL172</f>
        <v>0</v>
      </c>
      <c r="AM9" s="1">
        <f>建筑各项能耗拆分!$B$18*建筑各项能耗拆分!AM172</f>
        <v>0</v>
      </c>
      <c r="AN9" s="1">
        <f>建筑各项能耗拆分!$B$18*建筑各项能耗拆分!AN172</f>
        <v>0</v>
      </c>
      <c r="AO9" s="1">
        <f>建筑各项能耗拆分!$B$18*建筑各项能耗拆分!AO172</f>
        <v>0</v>
      </c>
      <c r="AP9" s="1">
        <f>建筑各项能耗拆分!$B$18*建筑各项能耗拆分!AP172</f>
        <v>0</v>
      </c>
      <c r="AQ9" s="1">
        <f>建筑各项能耗拆分!$B$18*建筑各项能耗拆分!AQ172</f>
        <v>0</v>
      </c>
      <c r="AR9" s="1">
        <f>建筑各项能耗拆分!$B$18*建筑各项能耗拆分!AR172</f>
        <v>0</v>
      </c>
    </row>
    <row r="10" spans="1:44" x14ac:dyDescent="0.15">
      <c r="A10" t="s">
        <v>8</v>
      </c>
      <c r="B10" s="1">
        <f>建筑各项能耗拆分!$B$18*建筑各项能耗拆分!B173</f>
        <v>193099087041618.84</v>
      </c>
      <c r="C10" s="1">
        <f>建筑各项能耗拆分!$B$18*建筑各项能耗拆分!C173</f>
        <v>191728083523623.34</v>
      </c>
      <c r="D10" s="1">
        <f>建筑各项能耗拆分!$B$18*建筑各项能耗拆分!D173</f>
        <v>186299678939043.56</v>
      </c>
      <c r="E10" s="1">
        <f>建筑各项能耗拆分!$B$18*建筑各项能耗拆分!E173</f>
        <v>182834126386082.94</v>
      </c>
      <c r="F10" s="1">
        <f>建筑各项能耗拆分!$B$18*建筑各项能耗拆分!F173</f>
        <v>182283195080908.06</v>
      </c>
      <c r="G10" s="1">
        <f>建筑各项能耗拆分!$B$18*建筑各项能耗拆分!G173</f>
        <v>181651479320621.91</v>
      </c>
      <c r="H10" s="1">
        <f>建筑各项能耗拆分!$B$18*建筑各项能耗拆分!H173</f>
        <v>180940440735177.78</v>
      </c>
      <c r="I10" s="1">
        <f>建筑各项能耗拆分!$B$18*建筑各项能耗拆分!I173</f>
        <v>180151651252780.75</v>
      </c>
      <c r="J10" s="1">
        <f>建筑各项能耗拆分!$B$18*建筑各项能耗拆分!J173</f>
        <v>179286780304652.91</v>
      </c>
      <c r="K10" s="1">
        <f>建筑各项能耗拆分!$B$18*建筑各项能耗拆分!K173</f>
        <v>178347603567624.97</v>
      </c>
      <c r="L10" s="1">
        <f>建筑各项能耗拆分!$B$18*建筑各项能耗拆分!L173</f>
        <v>177335989993876.53</v>
      </c>
      <c r="M10" s="1">
        <f>建筑各项能耗拆分!$B$18*建筑各项能耗拆分!M173</f>
        <v>176253904510647.44</v>
      </c>
      <c r="N10" s="1">
        <f>建筑各项能耗拆分!$B$18*建筑各项能耗拆分!N173</f>
        <v>175103403259429.75</v>
      </c>
      <c r="O10" s="1">
        <f>建筑各项能耗拆分!$B$18*建筑各项能耗拆分!O173</f>
        <v>173886627738571.44</v>
      </c>
      <c r="P10" s="1">
        <f>建筑各项能耗拆分!$B$18*建筑各项能耗拆分!P173</f>
        <v>172605806876704.38</v>
      </c>
      <c r="Q10" s="1">
        <f>建筑各项能耗拆分!$B$18*建筑各项能耗拆分!Q173</f>
        <v>171263245054371</v>
      </c>
      <c r="R10" s="1">
        <f>建筑各项能耗拆分!$B$18*建筑各项能耗拆分!R173</f>
        <v>169892241536375.44</v>
      </c>
      <c r="S10" s="1">
        <f>建筑各项能耗拆分!$B$18*建筑各项能耗拆分!S173</f>
        <v>168464653413247.94</v>
      </c>
      <c r="T10" s="1">
        <f>建筑各项能耗拆分!$B$18*建筑各项能耗拆分!T173</f>
        <v>166932913262357.38</v>
      </c>
      <c r="U10" s="1">
        <f>建筑各项能耗拆分!$B$18*建筑各项能耗拆分!U173</f>
        <v>165301629397263.91</v>
      </c>
      <c r="V10" s="1">
        <f>建筑各项能耗拆分!$B$18*建筑各项能耗拆分!V173</f>
        <v>163575524796856.63</v>
      </c>
      <c r="W10" s="1">
        <f>建筑各项能耗拆分!$B$18*建筑各项能耗拆分!W173</f>
        <v>161759418292457.81</v>
      </c>
      <c r="X10" s="1">
        <f>建筑各项能耗拆分!$B$18*建筑各项能耗拆分!X173</f>
        <v>159858223895711.25</v>
      </c>
      <c r="Y10" s="1">
        <f>建筑各项能耗拆分!$B$18*建筑各项能耗拆分!Y173</f>
        <v>157876937007105.84</v>
      </c>
      <c r="Z10" s="1">
        <f>建筑各项能耗拆分!$B$18*建筑各项能耗拆分!Z173</f>
        <v>155820623842128.44</v>
      </c>
      <c r="AA10" s="1">
        <f>建筑各项能耗拆分!$B$18*建筑各项能耗拆分!AA173</f>
        <v>153694404935839.03</v>
      </c>
      <c r="AB10" s="1">
        <f>建筑各项能耗拆分!$B$18*建筑各项能耗拆分!AB173</f>
        <v>151503446729507.47</v>
      </c>
      <c r="AC10" s="1">
        <f>建筑各项能耗拆分!$B$18*建筑各项能耗拆分!AC173</f>
        <v>149252953457476.94</v>
      </c>
      <c r="AD10" s="1">
        <f>建筑各项能耗拆分!$B$18*建筑各项能耗拆分!AD173</f>
        <v>146948143902768.06</v>
      </c>
      <c r="AE10" s="1">
        <f>建筑各项能耗拆分!$B$18*建筑各项能耗拆分!AE173</f>
        <v>144594240094793.91</v>
      </c>
      <c r="AF10" s="1">
        <f>建筑各项能耗拆分!$B$18*建筑各项能耗拆分!AF173</f>
        <v>142196462405668.94</v>
      </c>
      <c r="AG10" s="1">
        <f>建筑各项能耗拆分!$B$18*建筑各项能耗拆分!AG173</f>
        <v>139759999244397.61</v>
      </c>
      <c r="AH10" s="1">
        <f>建筑各项能耗拆分!$B$18*建筑各项能耗拆分!AH173</f>
        <v>137289999158040.13</v>
      </c>
      <c r="AI10" s="1">
        <f>建筑各项能耗拆分!$B$18*建筑各项能耗拆分!AI173</f>
        <v>134791557132893.55</v>
      </c>
      <c r="AJ10" s="1">
        <f>建筑各项能耗拆分!$B$18*建筑各项能耗拆分!AJ173</f>
        <v>132269686189000.91</v>
      </c>
      <c r="AK10" s="1">
        <f>建筑各项能耗拆分!$B$18*建筑各项能耗拆分!AK173</f>
        <v>129729314399047.06</v>
      </c>
      <c r="AL10" s="1">
        <f>建筑各项能耗拆分!$B$18*建筑各项能耗拆分!AL173</f>
        <v>127175248777042.89</v>
      </c>
      <c r="AM10" s="1">
        <f>建筑各项能耗拆分!$B$18*建筑各项能耗拆分!AM173</f>
        <v>124612172421760.42</v>
      </c>
      <c r="AN10" s="1">
        <f>建筑各项能耗拆分!$B$18*建筑各项能耗拆分!AN173</f>
        <v>122044613644797.94</v>
      </c>
      <c r="AO10" s="1">
        <f>建筑各项能耗拆分!$B$18*建筑各项能耗拆分!AO173</f>
        <v>119476926982940.09</v>
      </c>
      <c r="AP10" s="1">
        <f>建筑各项能耗拆分!$B$18*建筑各项能耗拆分!AP173</f>
        <v>116913271751409.81</v>
      </c>
      <c r="AQ10" s="1">
        <f>建筑各项能耗拆分!$B$18*建筑各项能耗拆分!AQ173</f>
        <v>114357589723339.3</v>
      </c>
      <c r="AR10" s="1">
        <f>建筑各项能耗拆分!$B$18*建筑各项能耗拆分!AR173</f>
        <v>111813584503251.02</v>
      </c>
    </row>
    <row r="11" spans="1:44" x14ac:dyDescent="0.15">
      <c r="A11" t="s">
        <v>9</v>
      </c>
      <c r="B11" s="1">
        <f>建筑各项能耗拆分!$B$18*建筑各项能耗拆分!B174</f>
        <v>0</v>
      </c>
      <c r="C11" s="1">
        <f>建筑各项能耗拆分!$B$18*建筑各项能耗拆分!C174</f>
        <v>0</v>
      </c>
      <c r="D11" s="1">
        <f>建筑各项能耗拆分!$B$18*建筑各项能耗拆分!D174</f>
        <v>0</v>
      </c>
      <c r="E11" s="1">
        <f>建筑各项能耗拆分!$B$18*建筑各项能耗拆分!E174</f>
        <v>0</v>
      </c>
      <c r="F11" s="1">
        <f>建筑各项能耗拆分!$B$18*建筑各项能耗拆分!F174</f>
        <v>0</v>
      </c>
      <c r="G11" s="1">
        <f>建筑各项能耗拆分!$B$18*建筑各项能耗拆分!G174</f>
        <v>0</v>
      </c>
      <c r="H11" s="1">
        <f>建筑各项能耗拆分!$B$18*建筑各项能耗拆分!H174</f>
        <v>0</v>
      </c>
      <c r="I11" s="1">
        <f>建筑各项能耗拆分!$B$18*建筑各项能耗拆分!I174</f>
        <v>0</v>
      </c>
      <c r="J11" s="1">
        <f>建筑各项能耗拆分!$B$18*建筑各项能耗拆分!J174</f>
        <v>0</v>
      </c>
      <c r="K11" s="1">
        <f>建筑各项能耗拆分!$B$18*建筑各项能耗拆分!K174</f>
        <v>0</v>
      </c>
      <c r="L11" s="1">
        <f>建筑各项能耗拆分!$B$18*建筑各项能耗拆分!L174</f>
        <v>0</v>
      </c>
      <c r="M11" s="1">
        <f>建筑各项能耗拆分!$B$18*建筑各项能耗拆分!M174</f>
        <v>0</v>
      </c>
      <c r="N11" s="1">
        <f>建筑各项能耗拆分!$B$18*建筑各项能耗拆分!N174</f>
        <v>0</v>
      </c>
      <c r="O11" s="1">
        <f>建筑各项能耗拆分!$B$18*建筑各项能耗拆分!O174</f>
        <v>0</v>
      </c>
      <c r="P11" s="1">
        <f>建筑各项能耗拆分!$B$18*建筑各项能耗拆分!P174</f>
        <v>0</v>
      </c>
      <c r="Q11" s="1">
        <f>建筑各项能耗拆分!$B$18*建筑各项能耗拆分!Q174</f>
        <v>0</v>
      </c>
      <c r="R11" s="1">
        <f>建筑各项能耗拆分!$B$18*建筑各项能耗拆分!R174</f>
        <v>0</v>
      </c>
      <c r="S11" s="1">
        <f>建筑各项能耗拆分!$B$18*建筑各项能耗拆分!S174</f>
        <v>0</v>
      </c>
      <c r="T11" s="1">
        <f>建筑各项能耗拆分!$B$18*建筑各项能耗拆分!T174</f>
        <v>0</v>
      </c>
      <c r="U11" s="1">
        <f>建筑各项能耗拆分!$B$18*建筑各项能耗拆分!U174</f>
        <v>0</v>
      </c>
      <c r="V11" s="1">
        <f>建筑各项能耗拆分!$B$18*建筑各项能耗拆分!V174</f>
        <v>0</v>
      </c>
      <c r="W11" s="1">
        <f>建筑各项能耗拆分!$B$18*建筑各项能耗拆分!W174</f>
        <v>0</v>
      </c>
      <c r="X11" s="1">
        <f>建筑各项能耗拆分!$B$18*建筑各项能耗拆分!X174</f>
        <v>0</v>
      </c>
      <c r="Y11" s="1">
        <f>建筑各项能耗拆分!$B$18*建筑各项能耗拆分!Y174</f>
        <v>0</v>
      </c>
      <c r="Z11" s="1">
        <f>建筑各项能耗拆分!$B$18*建筑各项能耗拆分!Z174</f>
        <v>0</v>
      </c>
      <c r="AA11" s="1">
        <f>建筑各项能耗拆分!$B$18*建筑各项能耗拆分!AA174</f>
        <v>0</v>
      </c>
      <c r="AB11" s="1">
        <f>建筑各项能耗拆分!$B$18*建筑各项能耗拆分!AB174</f>
        <v>0</v>
      </c>
      <c r="AC11" s="1">
        <f>建筑各项能耗拆分!$B$18*建筑各项能耗拆分!AC174</f>
        <v>0</v>
      </c>
      <c r="AD11" s="1">
        <f>建筑各项能耗拆分!$B$18*建筑各项能耗拆分!AD174</f>
        <v>0</v>
      </c>
      <c r="AE11" s="1">
        <f>建筑各项能耗拆分!$B$18*建筑各项能耗拆分!AE174</f>
        <v>0</v>
      </c>
      <c r="AF11" s="1">
        <f>建筑各项能耗拆分!$B$18*建筑各项能耗拆分!AF174</f>
        <v>0</v>
      </c>
      <c r="AG11" s="1">
        <f>建筑各项能耗拆分!$B$18*建筑各项能耗拆分!AG174</f>
        <v>0</v>
      </c>
      <c r="AH11" s="1">
        <f>建筑各项能耗拆分!$B$18*建筑各项能耗拆分!AH174</f>
        <v>0</v>
      </c>
      <c r="AI11" s="1">
        <f>建筑各项能耗拆分!$B$18*建筑各项能耗拆分!AI174</f>
        <v>0</v>
      </c>
      <c r="AJ11" s="1">
        <f>建筑各项能耗拆分!$B$18*建筑各项能耗拆分!AJ174</f>
        <v>0</v>
      </c>
      <c r="AK11" s="1">
        <f>建筑各项能耗拆分!$B$18*建筑各项能耗拆分!AK174</f>
        <v>0</v>
      </c>
      <c r="AL11" s="1">
        <f>建筑各项能耗拆分!$B$18*建筑各项能耗拆分!AL174</f>
        <v>0</v>
      </c>
      <c r="AM11" s="1">
        <f>建筑各项能耗拆分!$B$18*建筑各项能耗拆分!AM174</f>
        <v>0</v>
      </c>
      <c r="AN11" s="1">
        <f>建筑各项能耗拆分!$B$18*建筑各项能耗拆分!AN174</f>
        <v>0</v>
      </c>
      <c r="AO11" s="1">
        <f>建筑各项能耗拆分!$B$18*建筑各项能耗拆分!AO174</f>
        <v>0</v>
      </c>
      <c r="AP11" s="1">
        <f>建筑各项能耗拆分!$B$18*建筑各项能耗拆分!AP174</f>
        <v>0</v>
      </c>
      <c r="AQ11" s="1">
        <f>建筑各项能耗拆分!$B$18*建筑各项能耗拆分!AQ174</f>
        <v>0</v>
      </c>
      <c r="AR11" s="1">
        <f>建筑各项能耗拆分!$B$18*建筑各项能耗拆分!AR174</f>
        <v>0</v>
      </c>
    </row>
    <row r="12" spans="1:44" x14ac:dyDescent="0.15">
      <c r="A12" t="s">
        <v>1160</v>
      </c>
      <c r="B12" s="1">
        <f>SUM(B2:B11)</f>
        <v>681540327270215.63</v>
      </c>
      <c r="C12" s="1">
        <f t="shared" ref="C12:AR12" si="0">SUM(C2:C11)</f>
        <v>676701390946597</v>
      </c>
      <c r="D12" s="1">
        <f t="shared" si="0"/>
        <v>657541918502627.25</v>
      </c>
      <c r="E12" s="1">
        <f t="shared" si="0"/>
        <v>645310302821255</v>
      </c>
      <c r="F12" s="1">
        <f t="shared" si="0"/>
        <v>643365799054899.13</v>
      </c>
      <c r="G12" s="1">
        <f t="shared" si="0"/>
        <v>641136167767650.25</v>
      </c>
      <c r="H12" s="1">
        <f t="shared" si="0"/>
        <v>638626567760474.25</v>
      </c>
      <c r="I12" s="1">
        <f t="shared" si="0"/>
        <v>635842547130359.5</v>
      </c>
      <c r="J12" s="1">
        <f t="shared" si="0"/>
        <v>632789998109729</v>
      </c>
      <c r="K12" s="1">
        <f t="shared" si="0"/>
        <v>629475187923285.13</v>
      </c>
      <c r="L12" s="1">
        <f t="shared" si="0"/>
        <v>625904713009672.88</v>
      </c>
      <c r="M12" s="1">
        <f t="shared" si="0"/>
        <v>622085508550071.5</v>
      </c>
      <c r="N12" s="1">
        <f t="shared" si="0"/>
        <v>618024831664992.75</v>
      </c>
      <c r="O12" s="1">
        <f t="shared" si="0"/>
        <v>613730240740689.75</v>
      </c>
      <c r="P12" s="1">
        <f t="shared" si="0"/>
        <v>609209602747288.63</v>
      </c>
      <c r="Q12" s="1">
        <f t="shared" si="0"/>
        <v>604471050961301.25</v>
      </c>
      <c r="R12" s="1">
        <f t="shared" si="0"/>
        <v>599632114637682.5</v>
      </c>
      <c r="S12" s="1">
        <f t="shared" si="0"/>
        <v>594593463800179.25</v>
      </c>
      <c r="T12" s="1">
        <f t="shared" si="0"/>
        <v>589187209945100.5</v>
      </c>
      <c r="U12" s="1">
        <f t="shared" si="0"/>
        <v>583429618045938.63</v>
      </c>
      <c r="V12" s="1">
        <f t="shared" si="0"/>
        <v>577337357785740.5</v>
      </c>
      <c r="W12" s="1">
        <f t="shared" si="0"/>
        <v>570927437157277</v>
      </c>
      <c r="X12" s="1">
        <f t="shared" si="0"/>
        <v>564217200090834</v>
      </c>
      <c r="Y12" s="1">
        <f t="shared" si="0"/>
        <v>557224277777404</v>
      </c>
      <c r="Z12" s="1">
        <f t="shared" si="0"/>
        <v>549966551348450.5</v>
      </c>
      <c r="AA12" s="1">
        <f t="shared" si="0"/>
        <v>542462093655554.75</v>
      </c>
      <c r="AB12" s="1">
        <f t="shared" si="0"/>
        <v>534729139575576.5</v>
      </c>
      <c r="AC12" s="1">
        <f t="shared" si="0"/>
        <v>526786057375459.56</v>
      </c>
      <c r="AD12" s="1">
        <f t="shared" si="0"/>
        <v>518651266671486.75</v>
      </c>
      <c r="AE12" s="1">
        <f t="shared" si="0"/>
        <v>510343198538033.75</v>
      </c>
      <c r="AF12" s="1">
        <f t="shared" si="0"/>
        <v>501880278200066.44</v>
      </c>
      <c r="AG12" s="1">
        <f t="shared" si="0"/>
        <v>493280818069233.31</v>
      </c>
      <c r="AH12" s="1">
        <f t="shared" si="0"/>
        <v>484562989865049.63</v>
      </c>
      <c r="AI12" s="1">
        <f t="shared" si="0"/>
        <v>475744776265121.81</v>
      </c>
      <c r="AJ12" s="1">
        <f t="shared" si="0"/>
        <v>466843870648393.63</v>
      </c>
      <c r="AK12" s="1">
        <f t="shared" si="0"/>
        <v>457877666573384.19</v>
      </c>
      <c r="AL12" s="1">
        <f t="shared" si="0"/>
        <v>448863130323841</v>
      </c>
      <c r="AM12" s="1">
        <f t="shared" si="0"/>
        <v>439816790826537.94</v>
      </c>
      <c r="AN12" s="1">
        <f t="shared" si="0"/>
        <v>430754630689243.44</v>
      </c>
      <c r="AO12" s="1">
        <f t="shared" si="0"/>
        <v>421692019184131.75</v>
      </c>
      <c r="AP12" s="1">
        <f t="shared" si="0"/>
        <v>412643636551806.88</v>
      </c>
      <c r="AQ12" s="1">
        <f t="shared" si="0"/>
        <v>403623395221331.94</v>
      </c>
      <c r="AR12" s="1">
        <f t="shared" si="0"/>
        <v>394644367009238.94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5933-1129-42D9-B6D7-AA6F486D4776}">
  <sheetPr>
    <tabColor rgb="FF7030A0"/>
  </sheetPr>
  <dimension ref="A1:AR12"/>
  <sheetViews>
    <sheetView topLeftCell="AN1" workbookViewId="0">
      <selection activeCell="B2" sqref="B2:AR11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建筑各项能耗拆分!$B$18*建筑各项能耗拆分!B165+建筑各项能耗拆分!$B$18*建筑各项能耗拆分!B152</f>
        <v>910359029825472.25</v>
      </c>
      <c r="C2" s="1">
        <f>建筑各项能耗拆分!$B$18*建筑各项能耗拆分!C165+建筑各项能耗拆分!$B$18*建筑各项能耗拆分!C152</f>
        <v>903895480713711.5</v>
      </c>
      <c r="D2" s="1">
        <f>建筑各项能耗拆分!$B$18*建筑各项能耗拆分!D165+建筑各项能耗拆分!$B$18*建筑各项能耗拆分!D152</f>
        <v>878303453289713</v>
      </c>
      <c r="E2" s="1">
        <f>建筑各项能耗拆分!$B$18*建筑各项能耗拆分!E165+建筑各项能耗拆分!$B$18*建筑各项能耗拆分!E152</f>
        <v>861965224516821.5</v>
      </c>
      <c r="F2" s="1">
        <f>建筑各项能耗拆分!$B$18*建筑各项能耗拆分!F165+建筑各项能耗拆分!$B$18*建筑各项能耗拆分!F152</f>
        <v>859367877754786.5</v>
      </c>
      <c r="G2" s="1">
        <f>建筑各项能耗拆分!$B$18*建筑各项能耗拆分!G165+建筑各项能耗拆分!$B$18*建筑各项能耗拆分!G152</f>
        <v>856389675446996</v>
      </c>
      <c r="H2" s="1">
        <f>建筑各项能耗拆分!$B$18*建筑各项能耗拆分!H165+建筑各项能耗拆分!$B$18*建筑各项能耗拆分!H152</f>
        <v>853037508397786.5</v>
      </c>
      <c r="I2" s="1">
        <f>建筑各项能耗拆分!$B$18*建筑各项能耗拆分!I165+建筑各项能耗拆分!$B$18*建筑各项能耗拆分!I152</f>
        <v>849318787408822.25</v>
      </c>
      <c r="J2" s="1">
        <f>建筑各项能耗拆分!$B$18*建筑各项能耗拆分!J165+建筑各项能耗拆分!$B$18*建筑各项能耗拆分!J152</f>
        <v>845241382956401.38</v>
      </c>
      <c r="K2" s="1">
        <f>建筑各项能耗拆分!$B$18*建筑各项能耗拆分!K165+建筑各项能耗拆分!$B$18*建筑各项能耗拆分!K152</f>
        <v>840813666408103.5</v>
      </c>
      <c r="L2" s="1">
        <f>建筑各项能耗拆分!$B$18*建筑各项能耗拆分!L165+建筑各项能耗拆分!$B$18*建筑各项能耗拆分!L152</f>
        <v>836044448874944.25</v>
      </c>
      <c r="M2" s="1">
        <f>建筑各项能耗拆分!$B$18*建筑各项能耗拆分!M165+建筑各项能耗拆分!$B$18*建筑各项能耗拆分!M152</f>
        <v>830942993939073.25</v>
      </c>
      <c r="N2" s="1">
        <f>建筑各项能耗拆分!$B$18*建筑各项能耗拆分!N165+建筑各项能耗拆分!$B$18*建筑各项能耗拆分!N152</f>
        <v>825518995209106.38</v>
      </c>
      <c r="O2" s="1">
        <f>建筑各项能耗拆分!$B$18*建筑各项能耗拆分!O165+建筑各项能耗拆分!$B$18*建筑各项能耗拆分!O152</f>
        <v>819782548705632.25</v>
      </c>
      <c r="P2" s="1">
        <f>建筑各项能耗拆分!$B$18*建筑各项能耗拆分!P165+建筑各项能耗拆分!$B$18*建筑各项能耗拆分!P152</f>
        <v>813744162636317.25</v>
      </c>
      <c r="Q2" s="1">
        <f>建筑各项能耗拆分!$B$18*建筑各项能耗拆分!Q165+建筑各项能耗拆分!$B$18*建筑各项能耗拆分!Q152</f>
        <v>807414700924275.38</v>
      </c>
      <c r="R2" s="1">
        <f>建筑各项能耗拆分!$B$18*建筑各项能耗拆分!R165+建筑各项能耗拆分!$B$18*建筑各项能耗拆分!R152</f>
        <v>800951151812514.25</v>
      </c>
      <c r="S2" s="1">
        <f>建筑各项能耗拆分!$B$18*建筑各项能耗拆分!S165+建筑各项能耗拆分!$B$18*建筑各项能耗拆分!S152</f>
        <v>794220836518581.25</v>
      </c>
      <c r="T2" s="1">
        <f>建筑各项能耗拆分!$B$18*建筑各项能耗拆分!T165+建筑各项能耗拆分!$B$18*建筑各项能耗拆分!T152</f>
        <v>786999500058254.25</v>
      </c>
      <c r="U2" s="1">
        <f>建筑各项能耗拆分!$B$18*建筑各项能耗拆分!U165+建筑各项能耗拆分!$B$18*建筑各项能耗拆分!U152</f>
        <v>779308868167921.63</v>
      </c>
      <c r="V2" s="1">
        <f>建筑各项能耗拆分!$B$18*建筑各项能耗拆分!V165+建筑各项能耗拆分!$B$18*建筑各项能耗拆分!V152</f>
        <v>771171207169734.88</v>
      </c>
      <c r="W2" s="1">
        <f>建筑各项能耗拆分!$B$18*建筑各项能耗拆分!W165+建筑各项能耗拆分!$B$18*建筑各项能耗拆分!W152</f>
        <v>762609235278858.38</v>
      </c>
      <c r="X2" s="1">
        <f>建筑各项能耗拆分!$B$18*建筑各项能耗拆分!X165+建筑各项能耗拆分!$B$18*建筑各项能耗拆分!X152</f>
        <v>753646119434821.38</v>
      </c>
      <c r="Y2" s="1">
        <f>建筑各项能耗拆分!$B$18*建筑各项能耗拆分!Y165+建筑各项能耗拆分!$B$18*建筑各项能耗拆分!Y152</f>
        <v>744305410282074.25</v>
      </c>
      <c r="Z2" s="1">
        <f>建筑各项能耗拆分!$B$18*建筑各项能耗拆分!Z165+建筑各项能耗拆分!$B$18*建筑各项能耗拆分!Z152</f>
        <v>734610992319949.5</v>
      </c>
      <c r="AA2" s="1">
        <f>建筑各项能耗拆分!$B$18*建筑各项能耗拆分!AA165+建筑各项能耗拆分!$B$18*建筑各项能耗拆分!AA152</f>
        <v>724587006135545.5</v>
      </c>
      <c r="AB2" s="1">
        <f>建筑各项能耗拆分!$B$18*建筑各项能耗拆分!AB165+建筑各项能耗拆分!$B$18*建筑各项能耗拆分!AB152</f>
        <v>714257808739214.75</v>
      </c>
      <c r="AC2" s="1">
        <f>建筑各项能耗拆分!$B$18*建筑各项能耗拆分!AC165+建筑各项能耗拆分!$B$18*建筑各项能耗拆分!AC152</f>
        <v>703647935315458.38</v>
      </c>
      <c r="AD2" s="1">
        <f>建筑各项能耗拆分!$B$18*建筑各项能耗拆分!AD165+建筑各项能耗拆分!$B$18*建筑各项能耗拆分!AD152</f>
        <v>692781989638019.75</v>
      </c>
      <c r="AE2" s="1">
        <f>建筑各项能耗拆分!$B$18*建筑各项能耗拆分!AE165+建筑各项能耗拆分!$B$18*建筑各项能耗拆分!AE152</f>
        <v>681684590785647</v>
      </c>
      <c r="AF2" s="1">
        <f>建筑各项能耗拆分!$B$18*建筑各项能耗拆分!AF165+建筑各项能耗拆分!$B$18*建筑各项能耗拆分!AF152</f>
        <v>670380350023812.25</v>
      </c>
      <c r="AG2" s="1">
        <f>建筑各项能耗拆分!$B$18*建筑各项能耗拆分!AG165+建筑各项能耗拆分!$B$18*建筑各项能耗拆分!AG152</f>
        <v>658893727928999.25</v>
      </c>
      <c r="AH2" s="1">
        <f>建筑各项能耗拆分!$B$18*建筑各项能耗拆分!AH165+建筑各项能耗拆分!$B$18*建筑各项能耗拆分!AH152</f>
        <v>647248997149922.13</v>
      </c>
      <c r="AI2" s="1">
        <f>建筑各项能耗拆分!$B$18*建筑各项能耗拆分!AI165+建筑各项能耗拆分!$B$18*建筑各项能耗拆分!AI152</f>
        <v>635470177824912</v>
      </c>
      <c r="AJ2" s="1">
        <f>建筑各项能耗拆分!$B$18*建筑各项能耗拆分!AJ165+建筑各项能耗拆分!$B$18*建筑各项能耗拆分!AJ152</f>
        <v>623580903665204</v>
      </c>
      <c r="AK2" s="1">
        <f>建筑各项能耗拆分!$B$18*建筑各项能耗拆分!AK165+建筑各项能耗拆分!$B$18*建筑各项能耗拆分!AK152</f>
        <v>611604407900623.13</v>
      </c>
      <c r="AL2" s="1">
        <f>建筑各项能耗拆分!$B$18*建筑各项能耗拆分!AL165+建筑各项能耗拆分!$B$18*建筑各项能耗拆分!AL152</f>
        <v>599563353034024</v>
      </c>
      <c r="AM2" s="1">
        <f>建筑各项能耗拆分!$B$18*建筑各项能耗拆分!AM165+建筑各项能耗拆分!$B$18*建筑各项能耗拆分!AM152</f>
        <v>587479817374113.5</v>
      </c>
      <c r="AN2" s="1">
        <f>建筑各项能耗拆分!$B$18*建筑各项能耗拆分!AN165+建筑各项能耗拆分!$B$18*建筑各项能耗拆分!AN152</f>
        <v>575375149490771</v>
      </c>
      <c r="AO2" s="1">
        <f>建筑各项能耗拆分!$B$18*建筑各项能耗拆分!AO165+建筑各项能耗拆分!$B$18*建筑各项能耗拆分!AO152</f>
        <v>563269878698471.13</v>
      </c>
      <c r="AP2" s="1">
        <f>建筑各项能耗拆分!$B$18*建筑各项能耗拆分!AP165+建筑各项能耗拆分!$B$18*建筑各项能耗拆分!AP152</f>
        <v>551183613946323.88</v>
      </c>
      <c r="AQ2" s="1">
        <f>建筑各项能耗拆分!$B$18*建筑各项能耗拆分!AQ165+建筑各项能耗拆分!$B$18*建筑各项能耗拆分!AQ152</f>
        <v>539134938588707.13</v>
      </c>
      <c r="AR2" s="1">
        <f>建筑各项能耗拆分!$B$18*建筑各项能耗拆分!AR165+建筑各项能耗拆分!$B$18*建筑各项能耗拆分!AR152</f>
        <v>527141313142247.25</v>
      </c>
    </row>
    <row r="3" spans="1:44" x14ac:dyDescent="0.15">
      <c r="A3" t="s">
        <v>1</v>
      </c>
      <c r="B3" s="1">
        <f>建筑各项能耗拆分!$B$18*建筑各项能耗拆分!B166+建筑各项能耗拆分!$B$18*建筑各项能耗拆分!B153</f>
        <v>51941531870279.086</v>
      </c>
      <c r="C3" s="1">
        <f>建筑各项能耗拆分!$B$18*建筑各项能耗拆分!C166+建筑各项能耗拆分!$B$18*建筑各项能耗拆分!C153</f>
        <v>51572746994000.109</v>
      </c>
      <c r="D3" s="1">
        <f>建筑各项能耗拆分!$B$18*建筑各项能耗拆分!D166+建筑各项能耗拆分!$B$18*建筑各项能耗拆分!D153</f>
        <v>50112565829736.25</v>
      </c>
      <c r="E3" s="1">
        <f>建筑各项能耗拆分!$B$18*建筑各项能耗拆分!E166+建筑各项能耗拆分!$B$18*建筑各项能耗拆分!E153</f>
        <v>49180370286321.102</v>
      </c>
      <c r="F3" s="1">
        <f>建筑各项能耗拆分!$B$18*建筑各项能耗拆分!F166+建筑各项能耗拆分!$B$18*建筑各项能耗拆分!F153</f>
        <v>49032175821062.398</v>
      </c>
      <c r="G3" s="1">
        <f>建筑各项能耗拆分!$B$18*建筑各项能耗拆分!G166+建筑各项能耗拆分!$B$18*建筑各项能耗拆分!G153</f>
        <v>48862251225360.977</v>
      </c>
      <c r="H3" s="1">
        <f>建筑各项能耗拆分!$B$18*建筑各项能耗拆分!H166+建筑各项能耗拆分!$B$18*建筑各项能耗拆分!H153</f>
        <v>48670989661608.047</v>
      </c>
      <c r="I3" s="1">
        <f>建筑各项能耗拆分!$B$18*建筑各项能耗拆分!I166+建筑各项能耗拆分!$B$18*建筑各项能耗拆分!I153</f>
        <v>48458813961212.125</v>
      </c>
      <c r="J3" s="1">
        <f>建筑各项能耗拆分!$B$18*建筑各项能耗拆分!J166+建筑各项能耗拆分!$B$18*建筑各项能耗拆分!J153</f>
        <v>48226173182821.617</v>
      </c>
      <c r="K3" s="1">
        <f>建筑各项能耗拆分!$B$18*建筑各项能耗拆分!K166+建筑各项能耗拆分!$B$18*建筑各项能耗拆分!K153</f>
        <v>47973544963985.719</v>
      </c>
      <c r="L3" s="1">
        <f>建筑各项能耗拆分!$B$18*建筑各项能耗拆分!L166+建筑各项能耗拆分!$B$18*建筑各项能耗拆分!L153</f>
        <v>47701432032297.25</v>
      </c>
      <c r="M3" s="1">
        <f>建筑各项能耗拆分!$B$18*建筑各项能耗拆分!M166+建筑各项能耗拆分!$B$18*建筑各项能耗拆分!M153</f>
        <v>47410362931585.266</v>
      </c>
      <c r="N3" s="1">
        <f>建筑各项能耗拆分!$B$18*建筑各项能耗拆分!N166+建筑各项能耗拆分!$B$18*建筑各项能耗拆分!N153</f>
        <v>47100890741310.023</v>
      </c>
      <c r="O3" s="1">
        <f>建筑各项能耗拆分!$B$18*建筑各项能耗拆分!O166+建筑各项能耗拆分!$B$18*建筑各项能耗拆分!O153</f>
        <v>46773591500987.805</v>
      </c>
      <c r="P3" s="1">
        <f>建筑各项能耗拆分!$B$18*建筑各项能耗拆分!P166+建筑各项能耗拆分!$B$18*建筑各项能耗拆分!P153</f>
        <v>46429064767920.188</v>
      </c>
      <c r="Q3" s="1">
        <f>建筑各项能耗拆分!$B$18*建筑各项能耗拆分!Q166+建筑各项能耗拆分!$B$18*建筑各项能耗拆分!Q153</f>
        <v>46067930395143.375</v>
      </c>
      <c r="R3" s="1">
        <f>建筑各项能耗拆分!$B$18*建筑各项能耗拆分!R166+建筑各项能耗拆分!$B$18*建筑各项能耗拆分!R153</f>
        <v>45699145518864.375</v>
      </c>
      <c r="S3" s="1">
        <f>建筑各项能耗拆分!$B$18*建筑各项能耗拆分!S166+建筑各项能耗拆分!$B$18*建筑各项能耗拆分!S153</f>
        <v>45315140005782.5</v>
      </c>
      <c r="T3" s="1">
        <f>建筑各项能耗拆分!$B$18*建筑各项能耗拆分!T166+建筑各项能耗拆分!$B$18*建筑各项能耗拆分!T153</f>
        <v>44903118742070.773</v>
      </c>
      <c r="U3" s="1">
        <f>建筑各项能耗拆分!$B$18*建筑各项能耗拆分!U166+建筑各项能耗拆分!$B$18*建筑各项能耗拆分!U153</f>
        <v>44464321313422.328</v>
      </c>
      <c r="V3" s="1">
        <f>建筑各项能耗拆分!$B$18*建筑各项能耗拆分!V166+建筑各项能耗拆分!$B$18*建筑各项能耗拆分!V153</f>
        <v>44000018149243.383</v>
      </c>
      <c r="W3" s="1">
        <f>建筑各项能耗拆分!$B$18*建筑各项能耗拆分!W166+建筑各项能耗拆分!$B$18*建筑各项能耗拆分!W153</f>
        <v>43511505462191.055</v>
      </c>
      <c r="X3" s="1">
        <f>建筑各项能耗拆分!$B$18*建筑各项能耗拆分!X166+建筑各项能耗拆分!$B$18*建筑各项能耗拆分!X153</f>
        <v>43000105067382.75</v>
      </c>
      <c r="Y3" s="1">
        <f>建筑各项能耗拆分!$B$18*建筑各项能耗拆分!Y166+建筑各项能耗拆分!$B$18*建筑各项能耗拆分!Y153</f>
        <v>42467160672640.563</v>
      </c>
      <c r="Z3" s="1">
        <f>建筑各项能耗拆分!$B$18*建筑各项能耗拆分!Z166+建筑各项能耗拆分!$B$18*建筑各项能耗拆分!Z153</f>
        <v>41914035034242.664</v>
      </c>
      <c r="AA3" s="1">
        <f>建筑各项能耗拆分!$B$18*建筑各项能耗拆分!AA166+建筑各项能耗拆分!$B$18*建筑各项能耗拆分!AA153</f>
        <v>41342105519835.273</v>
      </c>
      <c r="AB3" s="1">
        <f>建筑各项能耗拆分!$B$18*建筑各项能耗拆分!AB166+建筑各项能耗拆分!$B$18*建筑各项能耗拆分!AB153</f>
        <v>40752761845330.531</v>
      </c>
      <c r="AC3" s="1">
        <f>建筑各项能耗拆分!$B$18*建筑各项能耗拆分!AC166+建筑各项能耗拆分!$B$18*建筑各项能耗拆分!AC153</f>
        <v>40147403892561.813</v>
      </c>
      <c r="AD3" s="1">
        <f>建筑各项能耗拆分!$B$18*建筑各项能耗拆分!AD166+建筑各项能耗拆分!$B$18*建筑各项能耗拆分!AD153</f>
        <v>39527435456796.852</v>
      </c>
      <c r="AE3" s="1">
        <f>建筑各项能耗拆分!$B$18*建筑各项能耗拆分!AE166+建筑各项能耗拆分!$B$18*建筑各项能耗拆分!AE153</f>
        <v>38894261206547.234</v>
      </c>
      <c r="AF3" s="1">
        <f>建筑各项能耗拆分!$B$18*建筑各项能耗拆分!AF166+建筑各项能耗拆分!$B$18*建筑各项能耗拆分!AF153</f>
        <v>38249285364529.484</v>
      </c>
      <c r="AG3" s="1">
        <f>建筑各项能耗拆分!$B$18*建筑各项能耗拆分!AG166+建筑各项能耗拆分!$B$18*建筑各项能耗拆分!AG153</f>
        <v>37593903555734.805</v>
      </c>
      <c r="AH3" s="1">
        <f>建筑各项能耗拆分!$B$18*建筑各项能耗拆分!AH166+建筑各项能耗拆分!$B$18*建筑各项能耗拆分!AH153</f>
        <v>36929500682729.625</v>
      </c>
      <c r="AI3" s="1">
        <f>建筑各项能耗拆分!$B$18*建筑各项能耗拆分!AI166+建筑各项能耗拆分!$B$18*建筑各项能耗拆分!AI153</f>
        <v>36257447240823.789</v>
      </c>
      <c r="AJ3" s="1">
        <f>建筑各项能耗拆分!$B$18*建筑各项能耗拆分!AJ166+建筑各项能耗拆分!$B$18*建筑各项能耗拆分!AJ153</f>
        <v>35579091677305.781</v>
      </c>
      <c r="AK3" s="1">
        <f>建筑各项能耗拆分!$B$18*建筑各项能耗拆分!AK166+建筑各项能耗拆分!$B$18*建筑各项能耗拆分!AK153</f>
        <v>34895759589558.488</v>
      </c>
      <c r="AL3" s="1">
        <f>建筑各项能耗拆分!$B$18*建筑各项能耗拆分!AL166+建筑各项能耗拆分!$B$18*建筑各项能耗拆分!AL153</f>
        <v>34208744011512.168</v>
      </c>
      <c r="AM3" s="1">
        <f>建筑各项能耗拆分!$B$18*建筑各项能耗拆分!AM166+建筑各项能耗拆分!$B$18*建筑各项能耗拆分!AM153</f>
        <v>33519304645259.906</v>
      </c>
      <c r="AN3" s="1">
        <f>建筑各项能耗拆分!$B$18*建筑各项能耗拆分!AN166+建筑各项能耗拆分!$B$18*建筑各项能耗拆分!AN153</f>
        <v>32828659556846.48</v>
      </c>
      <c r="AO3" s="1">
        <f>建筑各项能耗拆分!$B$18*建筑各项能耗拆分!AO166+建筑各项能耗拆分!$B$18*建筑各项能耗拆分!AO153</f>
        <v>32137980068801.91</v>
      </c>
      <c r="AP3" s="1">
        <f>建筑各项能耗拆分!$B$18*建筑各项能耗拆分!AP166+建筑各项能耗拆分!$B$18*建筑各项能耗拆分!AP153</f>
        <v>31448384991201.992</v>
      </c>
      <c r="AQ3" s="1">
        <f>建筑各项能耗拆分!$B$18*建筑各项能耗拆分!AQ166+建筑各项能耗拆分!$B$18*建筑各项能耗拆分!AQ153</f>
        <v>30760934617691.352</v>
      </c>
      <c r="AR3" s="1">
        <f>建筑各项能耗拆分!$B$18*建筑各项能耗拆分!AR166+建筑各项能耗拆分!$B$18*建筑各项能耗拆分!AR153</f>
        <v>30076625177176.539</v>
      </c>
    </row>
    <row r="4" spans="1:44" x14ac:dyDescent="0.15">
      <c r="A4" t="s">
        <v>2</v>
      </c>
      <c r="B4" s="1">
        <f>建筑各项能耗拆分!$B$18*建筑各项能耗拆分!B167+建筑各项能耗拆分!$B$18*建筑各项能耗拆分!B154</f>
        <v>38436400011563.539</v>
      </c>
      <c r="C4" s="1">
        <f>建筑各项能耗拆分!$B$18*建筑各项能耗拆分!C167+建筑各项能耗拆分!$B$18*建筑各项能耗拆分!C154</f>
        <v>38163501571481.445</v>
      </c>
      <c r="D4" s="1">
        <f>建筑各项能耗拆分!$B$18*建筑各项能耗拆分!D167+建筑各项能耗拆分!$B$18*建筑各项能耗拆分!D154</f>
        <v>37082976887319.977</v>
      </c>
      <c r="E4" s="1">
        <f>建筑各项能耗拆分!$B$18*建筑各项能耗拆分!E167+建筑各项能耗拆分!$B$18*建筑各项能耗拆分!E154</f>
        <v>36393158171822.984</v>
      </c>
      <c r="F4" s="1">
        <f>建筑各项能耗拆分!$B$18*建筑各项能耗拆分!F167+建筑各项能耗拆分!$B$18*建筑各项能耗拆分!F154</f>
        <v>36283495219247.609</v>
      </c>
      <c r="G4" s="1">
        <f>建筑各项能耗拆分!$B$18*建筑各项能耗拆分!G167+建筑各项能耗拆分!$B$18*建筑各项能耗拆分!G154</f>
        <v>36157752109697.141</v>
      </c>
      <c r="H4" s="1">
        <f>建筑各项能耗拆分!$B$18*建筑各项能耗拆分!H167+建筑各项能耗拆分!$B$18*建筑各项能耗拆分!H154</f>
        <v>36016219780816.195</v>
      </c>
      <c r="I4" s="1">
        <f>建筑各项能耗拆分!$B$18*建筑各项能耗拆分!I167+建筑各项能耗拆分!$B$18*建筑各项能耗拆分!I154</f>
        <v>35859211125131.594</v>
      </c>
      <c r="J4" s="1">
        <f>建筑各项能耗拆分!$B$18*建筑各项能耗拆分!J167+建筑各项能耗拆分!$B$18*建筑各项能耗拆分!J154</f>
        <v>35687058443159.281</v>
      </c>
      <c r="K4" s="1">
        <f>建筑各项能耗拆分!$B$18*建筑各项能耗拆分!K167+建筑各项能耗拆分!$B$18*建筑各项能耗拆分!K154</f>
        <v>35500115183618.227</v>
      </c>
      <c r="L4" s="1">
        <f>建筑各项能耗拆分!$B$18*建筑各项能耗拆分!L167+建筑各项能耗拆分!$B$18*建筑各项能耗拆分!L154</f>
        <v>35298753361698.578</v>
      </c>
      <c r="M4" s="1">
        <f>建筑各项能耗拆分!$B$18*建筑各项能耗拆分!M167+建筑各项能耗拆分!$B$18*建筑各项能耗拆分!M154</f>
        <v>35083364096439.461</v>
      </c>
      <c r="N4" s="1">
        <f>建筑各项能耗拆分!$B$18*建筑各项能耗拆分!N167+建筑各项能耗拆分!$B$18*建筑各项能耗拆分!N154</f>
        <v>34854356663089.578</v>
      </c>
      <c r="O4" s="1">
        <f>建筑各项能耗拆分!$B$18*建筑各项能耗拆分!O167+建筑各项能耗拆分!$B$18*建筑各项能耗拆分!O154</f>
        <v>34612157327191.598</v>
      </c>
      <c r="P4" s="1">
        <f>建筑各项能耗拆分!$B$18*建筑各项能耗拆分!P167+建筑各项能耗拆分!$B$18*建筑各项能耗拆分!P154</f>
        <v>34357209757298.277</v>
      </c>
      <c r="Q4" s="1">
        <f>建筑各项能耗拆分!$B$18*建筑各项能耗拆分!Q167+建筑各项能耗拆分!$B$18*建筑各项能耗拆分!Q154</f>
        <v>34089972640675.664</v>
      </c>
      <c r="R4" s="1">
        <f>建筑各项能耗拆分!$B$18*建筑各项能耗拆分!R167+建筑各项能耗拆分!$B$18*建筑各项能耗拆分!R154</f>
        <v>33817074200593.555</v>
      </c>
      <c r="S4" s="1">
        <f>建筑各项能耗拆分!$B$18*建筑各项能耗拆分!S167+建筑各项能耗拆分!$B$18*建筑各项能耗拆分!S154</f>
        <v>33532912587025.391</v>
      </c>
      <c r="T4" s="1">
        <f>建筑各项能耗拆分!$B$18*建筑各项能耗拆分!T167+建筑各项能耗拆分!$B$18*建筑各项能耗拆分!T154</f>
        <v>33228019497910.402</v>
      </c>
      <c r="U4" s="1">
        <f>建筑各项能耗拆分!$B$18*建筑各项能耗拆分!U167+建筑各项能耗拆分!$B$18*建筑各项能耗拆分!U154</f>
        <v>32903312218700.801</v>
      </c>
      <c r="V4" s="1">
        <f>建筑各项能耗拆分!$B$18*建筑各项能耗拆分!V167+建筑各项能耗拆分!$B$18*建筑各项能耗拆分!V154</f>
        <v>32559730858998.391</v>
      </c>
      <c r="W4" s="1">
        <f>建筑各项能耗拆分!$B$18*建筑各项能耗拆分!W167+建筑各项能耗拆分!$B$18*建筑各项能耗拆分!W154</f>
        <v>32198234607845.059</v>
      </c>
      <c r="X4" s="1">
        <f>建筑各项能耗拆分!$B$18*建筑各项能耗拆分!X167+建筑各项能耗拆分!$B$18*建筑各项能耗拆分!X154</f>
        <v>31819801599938.898</v>
      </c>
      <c r="Y4" s="1">
        <f>建筑各项能耗拆分!$B$18*建筑各项能耗拆分!Y167+建筑各项能耗拆分!$B$18*建筑各项能耗拆分!Y154</f>
        <v>31425426170438.859</v>
      </c>
      <c r="Z4" s="1">
        <f>建筑各项能耗拆分!$B$18*建筑各项能耗拆分!Z167+建筑各项能耗拆分!$B$18*建筑各项能耗拆分!Z154</f>
        <v>31016116750239.063</v>
      </c>
      <c r="AA4" s="1">
        <f>建筑各项能耗拆分!$B$18*建筑各项能耗拆分!AA167+建筑各项能耗拆分!$B$18*建筑各项能耗拆分!AA154</f>
        <v>30592892582552.16</v>
      </c>
      <c r="AB4" s="1">
        <f>建筑各项能耗拆分!$B$18*建筑各项能耗拆分!AB167+建筑各项能耗拆分!$B$18*建筑各项能耗拆分!AB154</f>
        <v>30156782048228.258</v>
      </c>
      <c r="AC4" s="1">
        <f>建筑各项能耗拆分!$B$18*建筑各项能耗拆分!AC167+建筑各项能耗拆分!$B$18*建筑各项能耗拆分!AC154</f>
        <v>29708821050833.934</v>
      </c>
      <c r="AD4" s="1">
        <f>建筑各项能耗拆分!$B$18*建筑各项能耗拆分!AD167+建筑各项能耗拆分!$B$18*建筑各项能耗拆分!AD154</f>
        <v>29250048389852.012</v>
      </c>
      <c r="AE4" s="1">
        <f>建筑各项能耗拆分!$B$18*建筑各项能耗拆分!AE167+建筑各项能耗拆分!$B$18*建筑各项能耗拆分!AE154</f>
        <v>28781503510960.176</v>
      </c>
      <c r="AF4" s="1">
        <f>建筑各项能耗拆分!$B$18*建筑各项能耗拆分!AF167+建筑各项能耗拆分!$B$18*建筑各项能耗拆分!AF154</f>
        <v>28304225529950.641</v>
      </c>
      <c r="AG4" s="1">
        <f>建筑各项能耗拆分!$B$18*建筑各项能耗拆分!AG167+建筑各项能耗拆分!$B$18*建筑各项能耗拆分!AG154</f>
        <v>27819247200354.086</v>
      </c>
      <c r="AH4" s="1">
        <f>建筑各项能耗拆分!$B$18*建筑各项能耗拆分!AH167+建筑各项能耗拆分!$B$18*建筑各项能耗拆分!AH154</f>
        <v>27327593341175.711</v>
      </c>
      <c r="AI4" s="1">
        <f>建筑各项能耗拆分!$B$18*建筑各项能耗拆分!AI167+建筑各项能耗拆分!$B$18*建筑各项能耗拆分!AI154</f>
        <v>26830278110143.387</v>
      </c>
      <c r="AJ4" s="1">
        <f>建筑各项能耗拆分!$B$18*建筑各项能耗拆分!AJ167+建筑各项能耗拆分!$B$18*建筑各项能耗拆分!AJ154</f>
        <v>26328299349590.75</v>
      </c>
      <c r="AK4" s="1">
        <f>建筑各项能耗拆分!$B$18*建筑各项能耗拆分!AK167+建筑各项能耗拆分!$B$18*建筑各项能耗拆分!AK154</f>
        <v>25822637993068.066</v>
      </c>
      <c r="AL4" s="1">
        <f>建筑各项能耗拆分!$B$18*建筑各项能耗拆分!AL167+建筑各项能耗拆分!$B$18*建筑各项能耗拆分!AL154</f>
        <v>25314250877379.746</v>
      </c>
      <c r="AM4" s="1">
        <f>建筑各项能耗拆分!$B$18*建筑各项能耗拆分!AM167+建筑各项能耗拆分!$B$18*建筑各项能耗拆分!AM154</f>
        <v>24804070173984.789</v>
      </c>
      <c r="AN4" s="1">
        <f>建筑各项能耗拆分!$B$18*建筑各项能耗拆分!AN167+建筑各项能耗拆分!$B$18*建筑各项能耗拆分!AN154</f>
        <v>24292997243933.797</v>
      </c>
      <c r="AO4" s="1">
        <f>建筑各项能耗拆分!$B$18*建筑各项能耗拆分!AO167+建筑各项能耗拆分!$B$18*建筑各项能耗拆分!AO154</f>
        <v>23781898858376.688</v>
      </c>
      <c r="AP4" s="1">
        <f>建筑各项能耗拆分!$B$18*建筑各项能耗拆分!AP167+建筑各项能耗拆分!$B$18*建筑各项能耗拆分!AP154</f>
        <v>23271602929584.449</v>
      </c>
      <c r="AQ4" s="1">
        <f>建筑各项能耗拆分!$B$18*建筑各项能耗拆分!AQ167+建筑各项能耗拆分!$B$18*建筑各项能耗拆分!AQ154</f>
        <v>22762894068044.828</v>
      </c>
      <c r="AR4" s="1">
        <f>建筑各项能耗拆分!$B$18*建筑各项能耗拆分!AR167+建筑各项能耗拆分!$B$18*建筑各项能耗拆分!AR154</f>
        <v>22256509476750.805</v>
      </c>
    </row>
    <row r="5" spans="1:44" x14ac:dyDescent="0.15">
      <c r="A5" t="s">
        <v>3</v>
      </c>
      <c r="B5" s="1">
        <f>建筑各项能耗拆分!$B$18*建筑各项能耗拆分!B168+建筑各项能耗拆分!$B$18*建筑各项能耗拆分!B155</f>
        <v>0</v>
      </c>
      <c r="C5" s="1">
        <f>建筑各项能耗拆分!$B$18*建筑各项能耗拆分!C168+建筑各项能耗拆分!$B$18*建筑各项能耗拆分!C155</f>
        <v>0</v>
      </c>
      <c r="D5" s="1">
        <f>建筑各项能耗拆分!$B$18*建筑各项能耗拆分!D168+建筑各项能耗拆分!$B$18*建筑各项能耗拆分!D155</f>
        <v>0</v>
      </c>
      <c r="E5" s="1">
        <f>建筑各项能耗拆分!$B$18*建筑各项能耗拆分!E168+建筑各项能耗拆分!$B$18*建筑各项能耗拆分!E155</f>
        <v>0</v>
      </c>
      <c r="F5" s="1">
        <f>建筑各项能耗拆分!$B$18*建筑各项能耗拆分!F168+建筑各项能耗拆分!$B$18*建筑各项能耗拆分!F155</f>
        <v>0</v>
      </c>
      <c r="G5" s="1">
        <f>建筑各项能耗拆分!$B$18*建筑各项能耗拆分!G168+建筑各项能耗拆分!$B$18*建筑各项能耗拆分!G155</f>
        <v>0</v>
      </c>
      <c r="H5" s="1">
        <f>建筑各项能耗拆分!$B$18*建筑各项能耗拆分!H168+建筑各项能耗拆分!$B$18*建筑各项能耗拆分!H155</f>
        <v>0</v>
      </c>
      <c r="I5" s="1">
        <f>建筑各项能耗拆分!$B$18*建筑各项能耗拆分!I168+建筑各项能耗拆分!$B$18*建筑各项能耗拆分!I155</f>
        <v>0</v>
      </c>
      <c r="J5" s="1">
        <f>建筑各项能耗拆分!$B$18*建筑各项能耗拆分!J168+建筑各项能耗拆分!$B$18*建筑各项能耗拆分!J155</f>
        <v>0</v>
      </c>
      <c r="K5" s="1">
        <f>建筑各项能耗拆分!$B$18*建筑各项能耗拆分!K168+建筑各项能耗拆分!$B$18*建筑各项能耗拆分!K155</f>
        <v>0</v>
      </c>
      <c r="L5" s="1">
        <f>建筑各项能耗拆分!$B$18*建筑各项能耗拆分!L168+建筑各项能耗拆分!$B$18*建筑各项能耗拆分!L155</f>
        <v>0</v>
      </c>
      <c r="M5" s="1">
        <f>建筑各项能耗拆分!$B$18*建筑各项能耗拆分!M168+建筑各项能耗拆分!$B$18*建筑各项能耗拆分!M155</f>
        <v>0</v>
      </c>
      <c r="N5" s="1">
        <f>建筑各项能耗拆分!$B$18*建筑各项能耗拆分!N168+建筑各项能耗拆分!$B$18*建筑各项能耗拆分!N155</f>
        <v>0</v>
      </c>
      <c r="O5" s="1">
        <f>建筑各项能耗拆分!$B$18*建筑各项能耗拆分!O168+建筑各项能耗拆分!$B$18*建筑各项能耗拆分!O155</f>
        <v>0</v>
      </c>
      <c r="P5" s="1">
        <f>建筑各项能耗拆分!$B$18*建筑各项能耗拆分!P168+建筑各项能耗拆分!$B$18*建筑各项能耗拆分!P155</f>
        <v>0</v>
      </c>
      <c r="Q5" s="1">
        <f>建筑各项能耗拆分!$B$18*建筑各项能耗拆分!Q168+建筑各项能耗拆分!$B$18*建筑各项能耗拆分!Q155</f>
        <v>0</v>
      </c>
      <c r="R5" s="1">
        <f>建筑各项能耗拆分!$B$18*建筑各项能耗拆分!R168+建筑各项能耗拆分!$B$18*建筑各项能耗拆分!R155</f>
        <v>0</v>
      </c>
      <c r="S5" s="1">
        <f>建筑各项能耗拆分!$B$18*建筑各项能耗拆分!S168+建筑各项能耗拆分!$B$18*建筑各项能耗拆分!S155</f>
        <v>0</v>
      </c>
      <c r="T5" s="1">
        <f>建筑各项能耗拆分!$B$18*建筑各项能耗拆分!T168+建筑各项能耗拆分!$B$18*建筑各项能耗拆分!T155</f>
        <v>0</v>
      </c>
      <c r="U5" s="1">
        <f>建筑各项能耗拆分!$B$18*建筑各项能耗拆分!U168+建筑各项能耗拆分!$B$18*建筑各项能耗拆分!U155</f>
        <v>0</v>
      </c>
      <c r="V5" s="1">
        <f>建筑各项能耗拆分!$B$18*建筑各项能耗拆分!V168+建筑各项能耗拆分!$B$18*建筑各项能耗拆分!V155</f>
        <v>0</v>
      </c>
      <c r="W5" s="1">
        <f>建筑各项能耗拆分!$B$18*建筑各项能耗拆分!W168+建筑各项能耗拆分!$B$18*建筑各项能耗拆分!W155</f>
        <v>0</v>
      </c>
      <c r="X5" s="1">
        <f>建筑各项能耗拆分!$B$18*建筑各项能耗拆分!X168+建筑各项能耗拆分!$B$18*建筑各项能耗拆分!X155</f>
        <v>0</v>
      </c>
      <c r="Y5" s="1">
        <f>建筑各项能耗拆分!$B$18*建筑各项能耗拆分!Y168+建筑各项能耗拆分!$B$18*建筑各项能耗拆分!Y155</f>
        <v>0</v>
      </c>
      <c r="Z5" s="1">
        <f>建筑各项能耗拆分!$B$18*建筑各项能耗拆分!Z168+建筑各项能耗拆分!$B$18*建筑各项能耗拆分!Z155</f>
        <v>0</v>
      </c>
      <c r="AA5" s="1">
        <f>建筑各项能耗拆分!$B$18*建筑各项能耗拆分!AA168+建筑各项能耗拆分!$B$18*建筑各项能耗拆分!AA155</f>
        <v>0</v>
      </c>
      <c r="AB5" s="1">
        <f>建筑各项能耗拆分!$B$18*建筑各项能耗拆分!AB168+建筑各项能耗拆分!$B$18*建筑各项能耗拆分!AB155</f>
        <v>0</v>
      </c>
      <c r="AC5" s="1">
        <f>建筑各项能耗拆分!$B$18*建筑各项能耗拆分!AC168+建筑各项能耗拆分!$B$18*建筑各项能耗拆分!AC155</f>
        <v>0</v>
      </c>
      <c r="AD5" s="1">
        <f>建筑各项能耗拆分!$B$18*建筑各项能耗拆分!AD168+建筑各项能耗拆分!$B$18*建筑各项能耗拆分!AD155</f>
        <v>0</v>
      </c>
      <c r="AE5" s="1">
        <f>建筑各项能耗拆分!$B$18*建筑各项能耗拆分!AE168+建筑各项能耗拆分!$B$18*建筑各项能耗拆分!AE155</f>
        <v>0</v>
      </c>
      <c r="AF5" s="1">
        <f>建筑各项能耗拆分!$B$18*建筑各项能耗拆分!AF168+建筑各项能耗拆分!$B$18*建筑各项能耗拆分!AF155</f>
        <v>0</v>
      </c>
      <c r="AG5" s="1">
        <f>建筑各项能耗拆分!$B$18*建筑各项能耗拆分!AG168+建筑各项能耗拆分!$B$18*建筑各项能耗拆分!AG155</f>
        <v>0</v>
      </c>
      <c r="AH5" s="1">
        <f>建筑各项能耗拆分!$B$18*建筑各项能耗拆分!AH168+建筑各项能耗拆分!$B$18*建筑各项能耗拆分!AH155</f>
        <v>0</v>
      </c>
      <c r="AI5" s="1">
        <f>建筑各项能耗拆分!$B$18*建筑各项能耗拆分!AI168+建筑各项能耗拆分!$B$18*建筑各项能耗拆分!AI155</f>
        <v>0</v>
      </c>
      <c r="AJ5" s="1">
        <f>建筑各项能耗拆分!$B$18*建筑各项能耗拆分!AJ168+建筑各项能耗拆分!$B$18*建筑各项能耗拆分!AJ155</f>
        <v>0</v>
      </c>
      <c r="AK5" s="1">
        <f>建筑各项能耗拆分!$B$18*建筑各项能耗拆分!AK168+建筑各项能耗拆分!$B$18*建筑各项能耗拆分!AK155</f>
        <v>0</v>
      </c>
      <c r="AL5" s="1">
        <f>建筑各项能耗拆分!$B$18*建筑各项能耗拆分!AL168+建筑各项能耗拆分!$B$18*建筑各项能耗拆分!AL155</f>
        <v>0</v>
      </c>
      <c r="AM5" s="1">
        <f>建筑各项能耗拆分!$B$18*建筑各项能耗拆分!AM168+建筑各项能耗拆分!$B$18*建筑各项能耗拆分!AM155</f>
        <v>0</v>
      </c>
      <c r="AN5" s="1">
        <f>建筑各项能耗拆分!$B$18*建筑各项能耗拆分!AN168+建筑各项能耗拆分!$B$18*建筑各项能耗拆分!AN155</f>
        <v>0</v>
      </c>
      <c r="AO5" s="1">
        <f>建筑各项能耗拆分!$B$18*建筑各项能耗拆分!AO168+建筑各项能耗拆分!$B$18*建筑各项能耗拆分!AO155</f>
        <v>0</v>
      </c>
      <c r="AP5" s="1">
        <f>建筑各项能耗拆分!$B$18*建筑各项能耗拆分!AP168+建筑各项能耗拆分!$B$18*建筑各项能耗拆分!AP155</f>
        <v>0</v>
      </c>
      <c r="AQ5" s="1">
        <f>建筑各项能耗拆分!$B$18*建筑各项能耗拆分!AQ168+建筑各项能耗拆分!$B$18*建筑各项能耗拆分!AQ155</f>
        <v>0</v>
      </c>
      <c r="AR5" s="1">
        <f>建筑各项能耗拆分!$B$18*建筑各项能耗拆分!AR168+建筑各项能耗拆分!$B$18*建筑各项能耗拆分!AR155</f>
        <v>0</v>
      </c>
    </row>
    <row r="6" spans="1:44" x14ac:dyDescent="0.15">
      <c r="A6" t="s">
        <v>4</v>
      </c>
      <c r="B6" s="1">
        <f>建筑各项能耗拆分!$B$18*建筑各项能耗拆分!B169+建筑各项能耗拆分!$B$18*建筑各项能耗拆分!B156</f>
        <v>0</v>
      </c>
      <c r="C6" s="1">
        <f>建筑各项能耗拆分!$B$18*建筑各项能耗拆分!C169+建筑各项能耗拆分!$B$18*建筑各项能耗拆分!C156</f>
        <v>0</v>
      </c>
      <c r="D6" s="1">
        <f>建筑各项能耗拆分!$B$18*建筑各项能耗拆分!D169+建筑各项能耗拆分!$B$18*建筑各项能耗拆分!D156</f>
        <v>0</v>
      </c>
      <c r="E6" s="1">
        <f>建筑各项能耗拆分!$B$18*建筑各项能耗拆分!E169+建筑各项能耗拆分!$B$18*建筑各项能耗拆分!E156</f>
        <v>0</v>
      </c>
      <c r="F6" s="1">
        <f>建筑各项能耗拆分!$B$18*建筑各项能耗拆分!F169+建筑各项能耗拆分!$B$18*建筑各项能耗拆分!F156</f>
        <v>0</v>
      </c>
      <c r="G6" s="1">
        <f>建筑各项能耗拆分!$B$18*建筑各项能耗拆分!G169+建筑各项能耗拆分!$B$18*建筑各项能耗拆分!G156</f>
        <v>0</v>
      </c>
      <c r="H6" s="1">
        <f>建筑各项能耗拆分!$B$18*建筑各项能耗拆分!H169+建筑各项能耗拆分!$B$18*建筑各项能耗拆分!H156</f>
        <v>0</v>
      </c>
      <c r="I6" s="1">
        <f>建筑各项能耗拆分!$B$18*建筑各项能耗拆分!I169+建筑各项能耗拆分!$B$18*建筑各项能耗拆分!I156</f>
        <v>0</v>
      </c>
      <c r="J6" s="1">
        <f>建筑各项能耗拆分!$B$18*建筑各项能耗拆分!J169+建筑各项能耗拆分!$B$18*建筑各项能耗拆分!J156</f>
        <v>0</v>
      </c>
      <c r="K6" s="1">
        <f>建筑各项能耗拆分!$B$18*建筑各项能耗拆分!K169+建筑各项能耗拆分!$B$18*建筑各项能耗拆分!K156</f>
        <v>0</v>
      </c>
      <c r="L6" s="1">
        <f>建筑各项能耗拆分!$B$18*建筑各项能耗拆分!L169+建筑各项能耗拆分!$B$18*建筑各项能耗拆分!L156</f>
        <v>0</v>
      </c>
      <c r="M6" s="1">
        <f>建筑各项能耗拆分!$B$18*建筑各项能耗拆分!M169+建筑各项能耗拆分!$B$18*建筑各项能耗拆分!M156</f>
        <v>0</v>
      </c>
      <c r="N6" s="1">
        <f>建筑各项能耗拆分!$B$18*建筑各项能耗拆分!N169+建筑各项能耗拆分!$B$18*建筑各项能耗拆分!N156</f>
        <v>0</v>
      </c>
      <c r="O6" s="1">
        <f>建筑各项能耗拆分!$B$18*建筑各项能耗拆分!O169+建筑各项能耗拆分!$B$18*建筑各项能耗拆分!O156</f>
        <v>0</v>
      </c>
      <c r="P6" s="1">
        <f>建筑各项能耗拆分!$B$18*建筑各项能耗拆分!P169+建筑各项能耗拆分!$B$18*建筑各项能耗拆分!P156</f>
        <v>0</v>
      </c>
      <c r="Q6" s="1">
        <f>建筑各项能耗拆分!$B$18*建筑各项能耗拆分!Q169+建筑各项能耗拆分!$B$18*建筑各项能耗拆分!Q156</f>
        <v>0</v>
      </c>
      <c r="R6" s="1">
        <f>建筑各项能耗拆分!$B$18*建筑各项能耗拆分!R169+建筑各项能耗拆分!$B$18*建筑各项能耗拆分!R156</f>
        <v>0</v>
      </c>
      <c r="S6" s="1">
        <f>建筑各项能耗拆分!$B$18*建筑各项能耗拆分!S169+建筑各项能耗拆分!$B$18*建筑各项能耗拆分!S156</f>
        <v>0</v>
      </c>
      <c r="T6" s="1">
        <f>建筑各项能耗拆分!$B$18*建筑各项能耗拆分!T169+建筑各项能耗拆分!$B$18*建筑各项能耗拆分!T156</f>
        <v>0</v>
      </c>
      <c r="U6" s="1">
        <f>建筑各项能耗拆分!$B$18*建筑各项能耗拆分!U169+建筑各项能耗拆分!$B$18*建筑各项能耗拆分!U156</f>
        <v>0</v>
      </c>
      <c r="V6" s="1">
        <f>建筑各项能耗拆分!$B$18*建筑各项能耗拆分!V169+建筑各项能耗拆分!$B$18*建筑各项能耗拆分!V156</f>
        <v>0</v>
      </c>
      <c r="W6" s="1">
        <f>建筑各项能耗拆分!$B$18*建筑各项能耗拆分!W169+建筑各项能耗拆分!$B$18*建筑各项能耗拆分!W156</f>
        <v>0</v>
      </c>
      <c r="X6" s="1">
        <f>建筑各项能耗拆分!$B$18*建筑各项能耗拆分!X169+建筑各项能耗拆分!$B$18*建筑各项能耗拆分!X156</f>
        <v>0</v>
      </c>
      <c r="Y6" s="1">
        <f>建筑各项能耗拆分!$B$18*建筑各项能耗拆分!Y169+建筑各项能耗拆分!$B$18*建筑各项能耗拆分!Y156</f>
        <v>0</v>
      </c>
      <c r="Z6" s="1">
        <f>建筑各项能耗拆分!$B$18*建筑各项能耗拆分!Z169+建筑各项能耗拆分!$B$18*建筑各项能耗拆分!Z156</f>
        <v>0</v>
      </c>
      <c r="AA6" s="1">
        <f>建筑各项能耗拆分!$B$18*建筑各项能耗拆分!AA169+建筑各项能耗拆分!$B$18*建筑各项能耗拆分!AA156</f>
        <v>0</v>
      </c>
      <c r="AB6" s="1">
        <f>建筑各项能耗拆分!$B$18*建筑各项能耗拆分!AB169+建筑各项能耗拆分!$B$18*建筑各项能耗拆分!AB156</f>
        <v>0</v>
      </c>
      <c r="AC6" s="1">
        <f>建筑各项能耗拆分!$B$18*建筑各项能耗拆分!AC169+建筑各项能耗拆分!$B$18*建筑各项能耗拆分!AC156</f>
        <v>0</v>
      </c>
      <c r="AD6" s="1">
        <f>建筑各项能耗拆分!$B$18*建筑各项能耗拆分!AD169+建筑各项能耗拆分!$B$18*建筑各项能耗拆分!AD156</f>
        <v>0</v>
      </c>
      <c r="AE6" s="1">
        <f>建筑各项能耗拆分!$B$18*建筑各项能耗拆分!AE169+建筑各项能耗拆分!$B$18*建筑各项能耗拆分!AE156</f>
        <v>0</v>
      </c>
      <c r="AF6" s="1">
        <f>建筑各项能耗拆分!$B$18*建筑各项能耗拆分!AF169+建筑各项能耗拆分!$B$18*建筑各项能耗拆分!AF156</f>
        <v>0</v>
      </c>
      <c r="AG6" s="1">
        <f>建筑各项能耗拆分!$B$18*建筑各项能耗拆分!AG169+建筑各项能耗拆分!$B$18*建筑各项能耗拆分!AG156</f>
        <v>0</v>
      </c>
      <c r="AH6" s="1">
        <f>建筑各项能耗拆分!$B$18*建筑各项能耗拆分!AH169+建筑各项能耗拆分!$B$18*建筑各项能耗拆分!AH156</f>
        <v>0</v>
      </c>
      <c r="AI6" s="1">
        <f>建筑各项能耗拆分!$B$18*建筑各项能耗拆分!AI169+建筑各项能耗拆分!$B$18*建筑各项能耗拆分!AI156</f>
        <v>0</v>
      </c>
      <c r="AJ6" s="1">
        <f>建筑各项能耗拆分!$B$18*建筑各项能耗拆分!AJ169+建筑各项能耗拆分!$B$18*建筑各项能耗拆分!AJ156</f>
        <v>0</v>
      </c>
      <c r="AK6" s="1">
        <f>建筑各项能耗拆分!$B$18*建筑各项能耗拆分!AK169+建筑各项能耗拆分!$B$18*建筑各项能耗拆分!AK156</f>
        <v>0</v>
      </c>
      <c r="AL6" s="1">
        <f>建筑各项能耗拆分!$B$18*建筑各项能耗拆分!AL169+建筑各项能耗拆分!$B$18*建筑各项能耗拆分!AL156</f>
        <v>0</v>
      </c>
      <c r="AM6" s="1">
        <f>建筑各项能耗拆分!$B$18*建筑各项能耗拆分!AM169+建筑各项能耗拆分!$B$18*建筑各项能耗拆分!AM156</f>
        <v>0</v>
      </c>
      <c r="AN6" s="1">
        <f>建筑各项能耗拆分!$B$18*建筑各项能耗拆分!AN169+建筑各项能耗拆分!$B$18*建筑各项能耗拆分!AN156</f>
        <v>0</v>
      </c>
      <c r="AO6" s="1">
        <f>建筑各项能耗拆分!$B$18*建筑各项能耗拆分!AO169+建筑各项能耗拆分!$B$18*建筑各项能耗拆分!AO156</f>
        <v>0</v>
      </c>
      <c r="AP6" s="1">
        <f>建筑各项能耗拆分!$B$18*建筑各项能耗拆分!AP169+建筑各项能耗拆分!$B$18*建筑各项能耗拆分!AP156</f>
        <v>0</v>
      </c>
      <c r="AQ6" s="1">
        <f>建筑各项能耗拆分!$B$18*建筑各项能耗拆分!AQ169+建筑各项能耗拆分!$B$18*建筑各项能耗拆分!AQ156</f>
        <v>0</v>
      </c>
      <c r="AR6" s="1">
        <f>建筑各项能耗拆分!$B$18*建筑各项能耗拆分!AR169+建筑各项能耗拆分!$B$18*建筑各项能耗拆分!AR156</f>
        <v>0</v>
      </c>
    </row>
    <row r="7" spans="1:44" x14ac:dyDescent="0.15">
      <c r="A7" t="s">
        <v>5</v>
      </c>
      <c r="B7" s="1">
        <f>建筑各项能耗拆分!$B$18*建筑各项能耗拆分!B170+建筑各项能耗拆分!$B$18*建筑各项能耗拆分!B157</f>
        <v>65641037312631.664</v>
      </c>
      <c r="C7" s="1">
        <f>建筑各项能耗拆分!$B$18*建筑各项能耗拆分!C170+建筑各项能耗拆分!$B$18*建筑各项能耗拆分!C157</f>
        <v>65174985947711.984</v>
      </c>
      <c r="D7" s="1">
        <f>建筑各项能耗拆分!$B$18*建筑各项能耗拆分!D170+建筑各项能耗拆分!$B$18*建筑各项能耗拆分!D157</f>
        <v>63329684070092.742</v>
      </c>
      <c r="E7" s="1">
        <f>建筑各项能耗拆分!$B$18*建筑各项能耗拆分!E170+建筑各项能耗拆分!$B$18*建筑各项能耗拆分!E157</f>
        <v>62151623272794.688</v>
      </c>
      <c r="F7" s="1">
        <f>建筑各项能耗拆分!$B$18*建筑各项能耗拆分!F170+建筑各项能耗拆分!$B$18*建筑各项能耗拆分!F157</f>
        <v>61964342727279.289</v>
      </c>
      <c r="G7" s="1">
        <f>建筑各项能耗拆分!$B$18*建筑各项能耗拆分!G170+建筑各项能耗拆分!$B$18*建筑各项能耗拆分!G157</f>
        <v>61749600760203.156</v>
      </c>
      <c r="H7" s="1">
        <f>建筑各项能耗拆分!$B$18*建筑各项能耗拆分!H170+建筑各项能耗拆分!$B$18*建筑各项能耗拆分!H157</f>
        <v>61507894229981.203</v>
      </c>
      <c r="I7" s="1">
        <f>建筑各项能耗拆分!$B$18*建筑各项能耗拆分!I170+建筑各项能耗拆分!$B$18*建筑各项能耗拆分!I157</f>
        <v>61239757489206.891</v>
      </c>
      <c r="J7" s="1">
        <f>建筑各项能耗拆分!$B$18*建筑各项能耗拆分!J170+建筑各项能耗拆分!$B$18*建筑各项能耗拆分!J157</f>
        <v>60945758035110.891</v>
      </c>
      <c r="K7" s="1">
        <f>建筑各项能耗拆分!$B$18*建筑各项能耗拆分!K170+建筑各项能耗拆分!$B$18*建筑各项能耗拆分!K157</f>
        <v>60626499481469.375</v>
      </c>
      <c r="L7" s="1">
        <f>建筑各项能耗拆分!$B$18*建筑各项能耗拆分!L170+建筑各项能耗拆分!$B$18*建筑各项能耗拆分!L157</f>
        <v>60282617149565.461</v>
      </c>
      <c r="M7" s="1">
        <f>建筑各项能耗拆分!$B$18*建筑各项能耗拆分!M170+建筑各项能耗拆分!$B$18*建筑各项能耗拆分!M157</f>
        <v>59914778985914.336</v>
      </c>
      <c r="N7" s="1">
        <f>建筑各项能耗拆分!$B$18*建筑各项能耗拆分!N170+建筑各项能耗拆分!$B$18*建筑各项能耗拆分!N157</f>
        <v>59523683943900.336</v>
      </c>
      <c r="O7" s="1">
        <f>建筑各项能耗拆分!$B$18*建筑各项能耗拆分!O170+建筑各项能耗拆分!$B$18*建筑各项能耗拆分!O157</f>
        <v>59110059992646.008</v>
      </c>
      <c r="P7" s="1">
        <f>建筑各项能耗拆分!$B$18*建筑各项能耗拆分!P170+建筑各项能耗拆分!$B$18*建筑各项能耗拆分!P157</f>
        <v>58674664821841.844</v>
      </c>
      <c r="Q7" s="1">
        <f>建筑各项能耗拆分!$B$18*建筑各项能耗拆分!Q170+建筑各项能耗拆分!$B$18*建筑各项能耗拆分!Q157</f>
        <v>58218281769884.133</v>
      </c>
      <c r="R7" s="1">
        <f>建筑各项能耗拆分!$B$18*建筑各项能耗拆分!R170+建筑各项能耗拆分!$B$18*建筑各项能耗拆分!R157</f>
        <v>57752230404964.43</v>
      </c>
      <c r="S7" s="1">
        <f>建筑各项能耗拆分!$B$18*建筑各项能耗拆分!S170+建筑各项能耗拆分!$B$18*建筑各项能耗拆分!S157</f>
        <v>57266943981849.008</v>
      </c>
      <c r="T7" s="1">
        <f>建筑各项能耗拆分!$B$18*建筑各项能耗拆分!T170+建筑各项能耗拆分!$B$18*建筑各项能耗拆分!T157</f>
        <v>56746252693566.555</v>
      </c>
      <c r="U7" s="1">
        <f>建筑各项能耗拆分!$B$18*建筑各项能耗拆分!U170+建筑各项能耗拆分!$B$18*建筑各项能耗拆分!U157</f>
        <v>56191723064780.617</v>
      </c>
      <c r="V7" s="1">
        <f>建筑各项能耗拆分!$B$18*建筑各项能耗拆分!V170+建筑各项能耗拆分!$B$18*建筑各项能耗拆分!V157</f>
        <v>55604960598853.375</v>
      </c>
      <c r="W7" s="1">
        <f>建筑各项能耗拆分!$B$18*建筑各项能耗拆分!W170+建筑各项能耗拆分!$B$18*建筑各项能耗拆分!W157</f>
        <v>54987603382693.867</v>
      </c>
      <c r="X7" s="1">
        <f>建筑各项能耗拆分!$B$18*建筑各项能耗拆分!X170+建筑各项能耗拆分!$B$18*建筑各项能耗拆分!X157</f>
        <v>54341321858284.023</v>
      </c>
      <c r="Y7" s="1">
        <f>建筑各项能耗拆分!$B$18*建筑各项能耗拆分!Y170+建筑各项能耗拆分!$B$18*建筑各项能耗拆分!Y157</f>
        <v>53667814134480.313</v>
      </c>
      <c r="Z7" s="1">
        <f>建筑各项能耗拆分!$B$18*建筑各项能耗拆分!Z170+建筑各项能耗拆分!$B$18*建筑各项能耗拆分!Z157</f>
        <v>52968802392598.563</v>
      </c>
      <c r="AA7" s="1">
        <f>建筑各项能耗拆分!$B$18*建筑各项能耗拆分!AA170+建筑各项能耗拆分!$B$18*建筑各项能耗拆分!AA157</f>
        <v>52246027279050.328</v>
      </c>
      <c r="AB7" s="1">
        <f>建筑各项能耗拆分!$B$18*建筑各项能耗拆分!AB170+建筑各项能耗拆分!$B$18*建筑各项能耗拆分!AB157</f>
        <v>51501245045350.641</v>
      </c>
      <c r="AC7" s="1">
        <f>建筑各项能耗拆分!$B$18*建筑各项能耗拆分!AC170+建筑各项能耗拆分!$B$18*建筑各项能耗拆分!AC157</f>
        <v>50736224790183.18</v>
      </c>
      <c r="AD7" s="1">
        <f>建筑各项能耗拆分!$B$18*建筑各项能耗拆分!AD170+建筑各项能耗拆分!$B$18*建筑各项能耗拆分!AD157</f>
        <v>49952740557828.695</v>
      </c>
      <c r="AE7" s="1">
        <f>建筑各项能耗拆分!$B$18*建筑各项能耗拆分!AE170+建筑各项能耗拆分!$B$18*建筑各项能耗拆分!AE157</f>
        <v>49152567496128.641</v>
      </c>
      <c r="AF7" s="1">
        <f>建筑各项能耗拆分!$B$18*建筑各项能耗拆分!AF170+建筑各项能耗拆分!$B$18*建筑各项能耗拆分!AF157</f>
        <v>48337480189551.547</v>
      </c>
      <c r="AG7" s="1">
        <f>建筑各项能耗拆分!$B$18*建筑各项能耗拆分!AG170+建筑各项能耗拆分!$B$18*建筑各项能耗拆分!AG157</f>
        <v>47509242357202.852</v>
      </c>
      <c r="AH7" s="1">
        <f>建筑各项能耗拆分!$B$18*建筑各项能耗拆分!AH170+建筑各项能耗拆分!$B$18*建筑各项能耗拆分!AH157</f>
        <v>46669604167738.75</v>
      </c>
      <c r="AI7" s="1">
        <f>建筑各项能耗拆分!$B$18*建筑各项能耗拆分!AI170+建筑各项能耗拆分!$B$18*建筑各项能耗拆分!AI157</f>
        <v>45820297582665.438</v>
      </c>
      <c r="AJ7" s="1">
        <f>建筑各项能耗拆分!$B$18*建筑各项能耗拆分!AJ170+建筑各项能耗拆分!$B$18*建筑各项能耗拆分!AJ157</f>
        <v>44963026700333.289</v>
      </c>
      <c r="AK7" s="1">
        <f>建筑各项能耗拆分!$B$18*建筑各项能耗拆分!AK170+建筑各项能耗拆分!$B$18*建筑各项能耗拆分!AK157</f>
        <v>44099466742556.922</v>
      </c>
      <c r="AL7" s="1">
        <f>建筑各项能耗拆分!$B$18*建筑各项能耗拆分!AL170+建筑各项能耗拆分!$B$18*建筑各项能耗拆分!AL157</f>
        <v>43231251779133.742</v>
      </c>
      <c r="AM7" s="1">
        <f>建筑各项能耗拆分!$B$18*建筑各项能耗拆分!AM170+建筑各项能耗拆分!$B$18*建筑各项能耗拆分!AM157</f>
        <v>42359973756799.234</v>
      </c>
      <c r="AN7" s="1">
        <f>建筑各项能耗拆分!$B$18*建筑各项能耗拆分!AN170+建筑各项能耗拆分!$B$18*建筑各项能耗拆分!AN157</f>
        <v>41487172004791.766</v>
      </c>
      <c r="AO7" s="1">
        <f>建筑各项能耗拆分!$B$18*建筑各项能耗拆分!AO170+建筑各项能耗拆分!$B$18*建筑各项能耗拆分!AO157</f>
        <v>40614326780299.172</v>
      </c>
      <c r="AP7" s="1">
        <f>建筑各项能耗拆分!$B$18*建筑各项能耗拆分!AP170+建筑各项能耗拆分!$B$18*建筑各项能耗拆分!AP157</f>
        <v>39742851977969.664</v>
      </c>
      <c r="AQ7" s="1">
        <f>建筑各项能耗拆分!$B$18*建筑各项能耗拆分!AQ170+建筑各项能耗拆分!$B$18*建筑各项能耗拆分!AQ157</f>
        <v>38874087542394.461</v>
      </c>
      <c r="AR7" s="1">
        <f>建筑各项能耗拆分!$B$18*建筑各项能耗拆分!AR170+建筑各项能耗拆分!$B$18*建筑各项能耗拆分!AR157</f>
        <v>38009292456442.805</v>
      </c>
    </row>
    <row r="8" spans="1:44" x14ac:dyDescent="0.15">
      <c r="A8" t="s">
        <v>6</v>
      </c>
      <c r="B8" s="1">
        <f>建筑各项能耗拆分!$B$18*建筑各项能耗拆分!B171+建筑各项能耗拆分!$B$18*建筑各项能耗拆分!B158</f>
        <v>0</v>
      </c>
      <c r="C8" s="1">
        <f>建筑各项能耗拆分!$B$18*建筑各项能耗拆分!C171+建筑各项能耗拆分!$B$18*建筑各项能耗拆分!C158</f>
        <v>0</v>
      </c>
      <c r="D8" s="1">
        <f>建筑各项能耗拆分!$B$18*建筑各项能耗拆分!D171+建筑各项能耗拆分!$B$18*建筑各项能耗拆分!D158</f>
        <v>0</v>
      </c>
      <c r="E8" s="1">
        <f>建筑各项能耗拆分!$B$18*建筑各项能耗拆分!E171+建筑各项能耗拆分!$B$18*建筑各项能耗拆分!E158</f>
        <v>0</v>
      </c>
      <c r="F8" s="1">
        <f>建筑各项能耗拆分!$B$18*建筑各项能耗拆分!F171+建筑各项能耗拆分!$B$18*建筑各项能耗拆分!F158</f>
        <v>0</v>
      </c>
      <c r="G8" s="1">
        <f>建筑各项能耗拆分!$B$18*建筑各项能耗拆分!G171+建筑各项能耗拆分!$B$18*建筑各项能耗拆分!G158</f>
        <v>0</v>
      </c>
      <c r="H8" s="1">
        <f>建筑各项能耗拆分!$B$18*建筑各项能耗拆分!H171+建筑各项能耗拆分!$B$18*建筑各项能耗拆分!H158</f>
        <v>0</v>
      </c>
      <c r="I8" s="1">
        <f>建筑各项能耗拆分!$B$18*建筑各项能耗拆分!I171+建筑各项能耗拆分!$B$18*建筑各项能耗拆分!I158</f>
        <v>0</v>
      </c>
      <c r="J8" s="1">
        <f>建筑各项能耗拆分!$B$18*建筑各项能耗拆分!J171+建筑各项能耗拆分!$B$18*建筑各项能耗拆分!J158</f>
        <v>0</v>
      </c>
      <c r="K8" s="1">
        <f>建筑各项能耗拆分!$B$18*建筑各项能耗拆分!K171+建筑各项能耗拆分!$B$18*建筑各项能耗拆分!K158</f>
        <v>0</v>
      </c>
      <c r="L8" s="1">
        <f>建筑各项能耗拆分!$B$18*建筑各项能耗拆分!L171+建筑各项能耗拆分!$B$18*建筑各项能耗拆分!L158</f>
        <v>0</v>
      </c>
      <c r="M8" s="1">
        <f>建筑各项能耗拆分!$B$18*建筑各项能耗拆分!M171+建筑各项能耗拆分!$B$18*建筑各项能耗拆分!M158</f>
        <v>0</v>
      </c>
      <c r="N8" s="1">
        <f>建筑各项能耗拆分!$B$18*建筑各项能耗拆分!N171+建筑各项能耗拆分!$B$18*建筑各项能耗拆分!N158</f>
        <v>0</v>
      </c>
      <c r="O8" s="1">
        <f>建筑各项能耗拆分!$B$18*建筑各项能耗拆分!O171+建筑各项能耗拆分!$B$18*建筑各项能耗拆分!O158</f>
        <v>0</v>
      </c>
      <c r="P8" s="1">
        <f>建筑各项能耗拆分!$B$18*建筑各项能耗拆分!P171+建筑各项能耗拆分!$B$18*建筑各项能耗拆分!P158</f>
        <v>0</v>
      </c>
      <c r="Q8" s="1">
        <f>建筑各项能耗拆分!$B$18*建筑各项能耗拆分!Q171+建筑各项能耗拆分!$B$18*建筑各项能耗拆分!Q158</f>
        <v>0</v>
      </c>
      <c r="R8" s="1">
        <f>建筑各项能耗拆分!$B$18*建筑各项能耗拆分!R171+建筑各项能耗拆分!$B$18*建筑各项能耗拆分!R158</f>
        <v>0</v>
      </c>
      <c r="S8" s="1">
        <f>建筑各项能耗拆分!$B$18*建筑各项能耗拆分!S171+建筑各项能耗拆分!$B$18*建筑各项能耗拆分!S158</f>
        <v>0</v>
      </c>
      <c r="T8" s="1">
        <f>建筑各项能耗拆分!$B$18*建筑各项能耗拆分!T171+建筑各项能耗拆分!$B$18*建筑各项能耗拆分!T158</f>
        <v>0</v>
      </c>
      <c r="U8" s="1">
        <f>建筑各项能耗拆分!$B$18*建筑各项能耗拆分!U171+建筑各项能耗拆分!$B$18*建筑各项能耗拆分!U158</f>
        <v>0</v>
      </c>
      <c r="V8" s="1">
        <f>建筑各项能耗拆分!$B$18*建筑各项能耗拆分!V171+建筑各项能耗拆分!$B$18*建筑各项能耗拆分!V158</f>
        <v>0</v>
      </c>
      <c r="W8" s="1">
        <f>建筑各项能耗拆分!$B$18*建筑各项能耗拆分!W171+建筑各项能耗拆分!$B$18*建筑各项能耗拆分!W158</f>
        <v>0</v>
      </c>
      <c r="X8" s="1">
        <f>建筑各项能耗拆分!$B$18*建筑各项能耗拆分!X171+建筑各项能耗拆分!$B$18*建筑各项能耗拆分!X158</f>
        <v>0</v>
      </c>
      <c r="Y8" s="1">
        <f>建筑各项能耗拆分!$B$18*建筑各项能耗拆分!Y171+建筑各项能耗拆分!$B$18*建筑各项能耗拆分!Y158</f>
        <v>0</v>
      </c>
      <c r="Z8" s="1">
        <f>建筑各项能耗拆分!$B$18*建筑各项能耗拆分!Z171+建筑各项能耗拆分!$B$18*建筑各项能耗拆分!Z158</f>
        <v>0</v>
      </c>
      <c r="AA8" s="1">
        <f>建筑各项能耗拆分!$B$18*建筑各项能耗拆分!AA171+建筑各项能耗拆分!$B$18*建筑各项能耗拆分!AA158</f>
        <v>0</v>
      </c>
      <c r="AB8" s="1">
        <f>建筑各项能耗拆分!$B$18*建筑各项能耗拆分!AB171+建筑各项能耗拆分!$B$18*建筑各项能耗拆分!AB158</f>
        <v>0</v>
      </c>
      <c r="AC8" s="1">
        <f>建筑各项能耗拆分!$B$18*建筑各项能耗拆分!AC171+建筑各项能耗拆分!$B$18*建筑各项能耗拆分!AC158</f>
        <v>0</v>
      </c>
      <c r="AD8" s="1">
        <f>建筑各项能耗拆分!$B$18*建筑各项能耗拆分!AD171+建筑各项能耗拆分!$B$18*建筑各项能耗拆分!AD158</f>
        <v>0</v>
      </c>
      <c r="AE8" s="1">
        <f>建筑各项能耗拆分!$B$18*建筑各项能耗拆分!AE171+建筑各项能耗拆分!$B$18*建筑各项能耗拆分!AE158</f>
        <v>0</v>
      </c>
      <c r="AF8" s="1">
        <f>建筑各项能耗拆分!$B$18*建筑各项能耗拆分!AF171+建筑各项能耗拆分!$B$18*建筑各项能耗拆分!AF158</f>
        <v>0</v>
      </c>
      <c r="AG8" s="1">
        <f>建筑各项能耗拆分!$B$18*建筑各项能耗拆分!AG171+建筑各项能耗拆分!$B$18*建筑各项能耗拆分!AG158</f>
        <v>0</v>
      </c>
      <c r="AH8" s="1">
        <f>建筑各项能耗拆分!$B$18*建筑各项能耗拆分!AH171+建筑各项能耗拆分!$B$18*建筑各项能耗拆分!AH158</f>
        <v>0</v>
      </c>
      <c r="AI8" s="1">
        <f>建筑各项能耗拆分!$B$18*建筑各项能耗拆分!AI171+建筑各项能耗拆分!$B$18*建筑各项能耗拆分!AI158</f>
        <v>0</v>
      </c>
      <c r="AJ8" s="1">
        <f>建筑各项能耗拆分!$B$18*建筑各项能耗拆分!AJ171+建筑各项能耗拆分!$B$18*建筑各项能耗拆分!AJ158</f>
        <v>0</v>
      </c>
      <c r="AK8" s="1">
        <f>建筑各项能耗拆分!$B$18*建筑各项能耗拆分!AK171+建筑各项能耗拆分!$B$18*建筑各项能耗拆分!AK158</f>
        <v>0</v>
      </c>
      <c r="AL8" s="1">
        <f>建筑各项能耗拆分!$B$18*建筑各项能耗拆分!AL171+建筑各项能耗拆分!$B$18*建筑各项能耗拆分!AL158</f>
        <v>0</v>
      </c>
      <c r="AM8" s="1">
        <f>建筑各项能耗拆分!$B$18*建筑各项能耗拆分!AM171+建筑各项能耗拆分!$B$18*建筑各项能耗拆分!AM158</f>
        <v>0</v>
      </c>
      <c r="AN8" s="1">
        <f>建筑各项能耗拆分!$B$18*建筑各项能耗拆分!AN171+建筑各项能耗拆分!$B$18*建筑各项能耗拆分!AN158</f>
        <v>0</v>
      </c>
      <c r="AO8" s="1">
        <f>建筑各项能耗拆分!$B$18*建筑各项能耗拆分!AO171+建筑各项能耗拆分!$B$18*建筑各项能耗拆分!AO158</f>
        <v>0</v>
      </c>
      <c r="AP8" s="1">
        <f>建筑各项能耗拆分!$B$18*建筑各项能耗拆分!AP171+建筑各项能耗拆分!$B$18*建筑各项能耗拆分!AP158</f>
        <v>0</v>
      </c>
      <c r="AQ8" s="1">
        <f>建筑各项能耗拆分!$B$18*建筑各项能耗拆分!AQ171+建筑各项能耗拆分!$B$18*建筑各项能耗拆分!AQ158</f>
        <v>0</v>
      </c>
      <c r="AR8" s="1">
        <f>建筑各项能耗拆分!$B$18*建筑各项能耗拆分!AR171+建筑各项能耗拆分!$B$18*建筑各项能耗拆分!AR158</f>
        <v>0</v>
      </c>
    </row>
    <row r="9" spans="1:44" x14ac:dyDescent="0.15">
      <c r="A9" t="s">
        <v>7</v>
      </c>
      <c r="B9" s="1">
        <f>建筑各项能耗拆分!$B$18*建筑各项能耗拆分!B172+建筑各项能耗拆分!$B$18*建筑各项能耗拆分!B159</f>
        <v>0</v>
      </c>
      <c r="C9" s="1">
        <f>建筑各项能耗拆分!$B$18*建筑各项能耗拆分!C172+建筑各项能耗拆分!$B$18*建筑各项能耗拆分!C159</f>
        <v>0</v>
      </c>
      <c r="D9" s="1">
        <f>建筑各项能耗拆分!$B$18*建筑各项能耗拆分!D172+建筑各项能耗拆分!$B$18*建筑各项能耗拆分!D159</f>
        <v>0</v>
      </c>
      <c r="E9" s="1">
        <f>建筑各项能耗拆分!$B$18*建筑各项能耗拆分!E172+建筑各项能耗拆分!$B$18*建筑各项能耗拆分!E159</f>
        <v>0</v>
      </c>
      <c r="F9" s="1">
        <f>建筑各项能耗拆分!$B$18*建筑各项能耗拆分!F172+建筑各项能耗拆分!$B$18*建筑各项能耗拆分!F159</f>
        <v>0</v>
      </c>
      <c r="G9" s="1">
        <f>建筑各项能耗拆分!$B$18*建筑各项能耗拆分!G172+建筑各项能耗拆分!$B$18*建筑各项能耗拆分!G159</f>
        <v>0</v>
      </c>
      <c r="H9" s="1">
        <f>建筑各项能耗拆分!$B$18*建筑各项能耗拆分!H172+建筑各项能耗拆分!$B$18*建筑各项能耗拆分!H159</f>
        <v>0</v>
      </c>
      <c r="I9" s="1">
        <f>建筑各项能耗拆分!$B$18*建筑各项能耗拆分!I172+建筑各项能耗拆分!$B$18*建筑各项能耗拆分!I159</f>
        <v>0</v>
      </c>
      <c r="J9" s="1">
        <f>建筑各项能耗拆分!$B$18*建筑各项能耗拆分!J172+建筑各项能耗拆分!$B$18*建筑各项能耗拆分!J159</f>
        <v>0</v>
      </c>
      <c r="K9" s="1">
        <f>建筑各项能耗拆分!$B$18*建筑各项能耗拆分!K172+建筑各项能耗拆分!$B$18*建筑各项能耗拆分!K159</f>
        <v>0</v>
      </c>
      <c r="L9" s="1">
        <f>建筑各项能耗拆分!$B$18*建筑各项能耗拆分!L172+建筑各项能耗拆分!$B$18*建筑各项能耗拆分!L159</f>
        <v>0</v>
      </c>
      <c r="M9" s="1">
        <f>建筑各项能耗拆分!$B$18*建筑各项能耗拆分!M172+建筑各项能耗拆分!$B$18*建筑各项能耗拆分!M159</f>
        <v>0</v>
      </c>
      <c r="N9" s="1">
        <f>建筑各项能耗拆分!$B$18*建筑各项能耗拆分!N172+建筑各项能耗拆分!$B$18*建筑各项能耗拆分!N159</f>
        <v>0</v>
      </c>
      <c r="O9" s="1">
        <f>建筑各项能耗拆分!$B$18*建筑各项能耗拆分!O172+建筑各项能耗拆分!$B$18*建筑各项能耗拆分!O159</f>
        <v>0</v>
      </c>
      <c r="P9" s="1">
        <f>建筑各项能耗拆分!$B$18*建筑各项能耗拆分!P172+建筑各项能耗拆分!$B$18*建筑各项能耗拆分!P159</f>
        <v>0</v>
      </c>
      <c r="Q9" s="1">
        <f>建筑各项能耗拆分!$B$18*建筑各项能耗拆分!Q172+建筑各项能耗拆分!$B$18*建筑各项能耗拆分!Q159</f>
        <v>0</v>
      </c>
      <c r="R9" s="1">
        <f>建筑各项能耗拆分!$B$18*建筑各项能耗拆分!R172+建筑各项能耗拆分!$B$18*建筑各项能耗拆分!R159</f>
        <v>0</v>
      </c>
      <c r="S9" s="1">
        <f>建筑各项能耗拆分!$B$18*建筑各项能耗拆分!S172+建筑各项能耗拆分!$B$18*建筑各项能耗拆分!S159</f>
        <v>0</v>
      </c>
      <c r="T9" s="1">
        <f>建筑各项能耗拆分!$B$18*建筑各项能耗拆分!T172+建筑各项能耗拆分!$B$18*建筑各项能耗拆分!T159</f>
        <v>0</v>
      </c>
      <c r="U9" s="1">
        <f>建筑各项能耗拆分!$B$18*建筑各项能耗拆分!U172+建筑各项能耗拆分!$B$18*建筑各项能耗拆分!U159</f>
        <v>0</v>
      </c>
      <c r="V9" s="1">
        <f>建筑各项能耗拆分!$B$18*建筑各项能耗拆分!V172+建筑各项能耗拆分!$B$18*建筑各项能耗拆分!V159</f>
        <v>0</v>
      </c>
      <c r="W9" s="1">
        <f>建筑各项能耗拆分!$B$18*建筑各项能耗拆分!W172+建筑各项能耗拆分!$B$18*建筑各项能耗拆分!W159</f>
        <v>0</v>
      </c>
      <c r="X9" s="1">
        <f>建筑各项能耗拆分!$B$18*建筑各项能耗拆分!X172+建筑各项能耗拆分!$B$18*建筑各项能耗拆分!X159</f>
        <v>0</v>
      </c>
      <c r="Y9" s="1">
        <f>建筑各项能耗拆分!$B$18*建筑各项能耗拆分!Y172+建筑各项能耗拆分!$B$18*建筑各项能耗拆分!Y159</f>
        <v>0</v>
      </c>
      <c r="Z9" s="1">
        <f>建筑各项能耗拆分!$B$18*建筑各项能耗拆分!Z172+建筑各项能耗拆分!$B$18*建筑各项能耗拆分!Z159</f>
        <v>0</v>
      </c>
      <c r="AA9" s="1">
        <f>建筑各项能耗拆分!$B$18*建筑各项能耗拆分!AA172+建筑各项能耗拆分!$B$18*建筑各项能耗拆分!AA159</f>
        <v>0</v>
      </c>
      <c r="AB9" s="1">
        <f>建筑各项能耗拆分!$B$18*建筑各项能耗拆分!AB172+建筑各项能耗拆分!$B$18*建筑各项能耗拆分!AB159</f>
        <v>0</v>
      </c>
      <c r="AC9" s="1">
        <f>建筑各项能耗拆分!$B$18*建筑各项能耗拆分!AC172+建筑各项能耗拆分!$B$18*建筑各项能耗拆分!AC159</f>
        <v>0</v>
      </c>
      <c r="AD9" s="1">
        <f>建筑各项能耗拆分!$B$18*建筑各项能耗拆分!AD172+建筑各项能耗拆分!$B$18*建筑各项能耗拆分!AD159</f>
        <v>0</v>
      </c>
      <c r="AE9" s="1">
        <f>建筑各项能耗拆分!$B$18*建筑各项能耗拆分!AE172+建筑各项能耗拆分!$B$18*建筑各项能耗拆分!AE159</f>
        <v>0</v>
      </c>
      <c r="AF9" s="1">
        <f>建筑各项能耗拆分!$B$18*建筑各项能耗拆分!AF172+建筑各项能耗拆分!$B$18*建筑各项能耗拆分!AF159</f>
        <v>0</v>
      </c>
      <c r="AG9" s="1">
        <f>建筑各项能耗拆分!$B$18*建筑各项能耗拆分!AG172+建筑各项能耗拆分!$B$18*建筑各项能耗拆分!AG159</f>
        <v>0</v>
      </c>
      <c r="AH9" s="1">
        <f>建筑各项能耗拆分!$B$18*建筑各项能耗拆分!AH172+建筑各项能耗拆分!$B$18*建筑各项能耗拆分!AH159</f>
        <v>0</v>
      </c>
      <c r="AI9" s="1">
        <f>建筑各项能耗拆分!$B$18*建筑各项能耗拆分!AI172+建筑各项能耗拆分!$B$18*建筑各项能耗拆分!AI159</f>
        <v>0</v>
      </c>
      <c r="AJ9" s="1">
        <f>建筑各项能耗拆分!$B$18*建筑各项能耗拆分!AJ172+建筑各项能耗拆分!$B$18*建筑各项能耗拆分!AJ159</f>
        <v>0</v>
      </c>
      <c r="AK9" s="1">
        <f>建筑各项能耗拆分!$B$18*建筑各项能耗拆分!AK172+建筑各项能耗拆分!$B$18*建筑各项能耗拆分!AK159</f>
        <v>0</v>
      </c>
      <c r="AL9" s="1">
        <f>建筑各项能耗拆分!$B$18*建筑各项能耗拆分!AL172+建筑各项能耗拆分!$B$18*建筑各项能耗拆分!AL159</f>
        <v>0</v>
      </c>
      <c r="AM9" s="1">
        <f>建筑各项能耗拆分!$B$18*建筑各项能耗拆分!AM172+建筑各项能耗拆分!$B$18*建筑各项能耗拆分!AM159</f>
        <v>0</v>
      </c>
      <c r="AN9" s="1">
        <f>建筑各项能耗拆分!$B$18*建筑各项能耗拆分!AN172+建筑各项能耗拆分!$B$18*建筑各项能耗拆分!AN159</f>
        <v>0</v>
      </c>
      <c r="AO9" s="1">
        <f>建筑各项能耗拆分!$B$18*建筑各项能耗拆分!AO172+建筑各项能耗拆分!$B$18*建筑各项能耗拆分!AO159</f>
        <v>0</v>
      </c>
      <c r="AP9" s="1">
        <f>建筑各项能耗拆分!$B$18*建筑各项能耗拆分!AP172+建筑各项能耗拆分!$B$18*建筑各项能耗拆分!AP159</f>
        <v>0</v>
      </c>
      <c r="AQ9" s="1">
        <f>建筑各项能耗拆分!$B$18*建筑各项能耗拆分!AQ172+建筑各项能耗拆分!$B$18*建筑各项能耗拆分!AQ159</f>
        <v>0</v>
      </c>
      <c r="AR9" s="1">
        <f>建筑各项能耗拆分!$B$18*建筑各项能耗拆分!AR172+建筑各项能耗拆分!$B$18*建筑各项能耗拆分!AR159</f>
        <v>0</v>
      </c>
    </row>
    <row r="10" spans="1:44" x14ac:dyDescent="0.15">
      <c r="A10" t="s">
        <v>8</v>
      </c>
      <c r="B10" s="1">
        <f>建筑各项能耗拆分!$B$18*建筑各项能耗拆分!B173+建筑各项能耗拆分!$B$18*建筑各项能耗拆分!B160</f>
        <v>193099087041618.84</v>
      </c>
      <c r="C10" s="1">
        <f>建筑各项能耗拆分!$B$18*建筑各项能耗拆分!C173+建筑各项能耗拆分!$B$18*建筑各项能耗拆分!C160</f>
        <v>191728083523623.34</v>
      </c>
      <c r="D10" s="1">
        <f>建筑各项能耗拆分!$B$18*建筑各项能耗拆分!D173+建筑各项能耗拆分!$B$18*建筑各项能耗拆分!D160</f>
        <v>186299678939043.56</v>
      </c>
      <c r="E10" s="1">
        <f>建筑各项能耗拆分!$B$18*建筑各项能耗拆分!E173+建筑各项能耗拆分!$B$18*建筑各项能耗拆分!E160</f>
        <v>182834126386082.94</v>
      </c>
      <c r="F10" s="1">
        <f>建筑各项能耗拆分!$B$18*建筑各项能耗拆分!F173+建筑各项能耗拆分!$B$18*建筑各项能耗拆分!F160</f>
        <v>182283195080908.06</v>
      </c>
      <c r="G10" s="1">
        <f>建筑各项能耗拆分!$B$18*建筑各项能耗拆分!G173+建筑各项能耗拆分!$B$18*建筑各项能耗拆分!G160</f>
        <v>181651479320621.91</v>
      </c>
      <c r="H10" s="1">
        <f>建筑各项能耗拆分!$B$18*建筑各项能耗拆分!H173+建筑各项能耗拆分!$B$18*建筑各项能耗拆分!H160</f>
        <v>180940440735177.78</v>
      </c>
      <c r="I10" s="1">
        <f>建筑各项能耗拆分!$B$18*建筑各项能耗拆分!I173+建筑各项能耗拆分!$B$18*建筑各项能耗拆分!I160</f>
        <v>180151651252780.75</v>
      </c>
      <c r="J10" s="1">
        <f>建筑各项能耗拆分!$B$18*建筑各项能耗拆分!J173+建筑各项能耗拆分!$B$18*建筑各项能耗拆分!J160</f>
        <v>179286780304652.91</v>
      </c>
      <c r="K10" s="1">
        <f>建筑各项能耗拆分!$B$18*建筑各项能耗拆分!K173+建筑各项能耗拆分!$B$18*建筑各项能耗拆分!K160</f>
        <v>178347603567624.97</v>
      </c>
      <c r="L10" s="1">
        <f>建筑各项能耗拆分!$B$18*建筑各项能耗拆分!L173+建筑各项能耗拆分!$B$18*建筑各项能耗拆分!L160</f>
        <v>177335989993876.53</v>
      </c>
      <c r="M10" s="1">
        <f>建筑各项能耗拆分!$B$18*建筑各项能耗拆分!M173+建筑各项能耗拆分!$B$18*建筑各项能耗拆分!M160</f>
        <v>176253904510647.44</v>
      </c>
      <c r="N10" s="1">
        <f>建筑各项能耗拆分!$B$18*建筑各项能耗拆分!N173+建筑各项能耗拆分!$B$18*建筑各项能耗拆分!N160</f>
        <v>175103403259429.75</v>
      </c>
      <c r="O10" s="1">
        <f>建筑各项能耗拆分!$B$18*建筑各项能耗拆分!O173+建筑各项能耗拆分!$B$18*建筑各项能耗拆分!O160</f>
        <v>173886627738571.44</v>
      </c>
      <c r="P10" s="1">
        <f>建筑各项能耗拆分!$B$18*建筑各项能耗拆分!P173+建筑各项能耗拆分!$B$18*建筑各项能耗拆分!P160</f>
        <v>172605806876704.38</v>
      </c>
      <c r="Q10" s="1">
        <f>建筑各项能耗拆分!$B$18*建筑各项能耗拆分!Q173+建筑各项能耗拆分!$B$18*建筑各项能耗拆分!Q160</f>
        <v>171263245054371</v>
      </c>
      <c r="R10" s="1">
        <f>建筑各项能耗拆分!$B$18*建筑各项能耗拆分!R173+建筑各项能耗拆分!$B$18*建筑各项能耗拆分!R160</f>
        <v>169892241536375.44</v>
      </c>
      <c r="S10" s="1">
        <f>建筑各项能耗拆分!$B$18*建筑各项能耗拆分!S173+建筑各项能耗拆分!$B$18*建筑各项能耗拆分!S160</f>
        <v>168464653413247.94</v>
      </c>
      <c r="T10" s="1">
        <f>建筑各项能耗拆分!$B$18*建筑各项能耗拆分!T173+建筑各项能耗拆分!$B$18*建筑各项能耗拆分!T160</f>
        <v>166932913262357.38</v>
      </c>
      <c r="U10" s="1">
        <f>建筑各项能耗拆分!$B$18*建筑各项能耗拆分!U173+建筑各项能耗拆分!$B$18*建筑各项能耗拆分!U160</f>
        <v>165301629397263.91</v>
      </c>
      <c r="V10" s="1">
        <f>建筑各项能耗拆分!$B$18*建筑各项能耗拆分!V173+建筑各项能耗拆分!$B$18*建筑各项能耗拆分!V160</f>
        <v>163575524796856.63</v>
      </c>
      <c r="W10" s="1">
        <f>建筑各项能耗拆分!$B$18*建筑各项能耗拆分!W173+建筑各项能耗拆分!$B$18*建筑各项能耗拆分!W160</f>
        <v>161759418292457.81</v>
      </c>
      <c r="X10" s="1">
        <f>建筑各项能耗拆分!$B$18*建筑各项能耗拆分!X173+建筑各项能耗拆分!$B$18*建筑各项能耗拆分!X160</f>
        <v>159858223895711.25</v>
      </c>
      <c r="Y10" s="1">
        <f>建筑各项能耗拆分!$B$18*建筑各项能耗拆分!Y173+建筑各项能耗拆分!$B$18*建筑各项能耗拆分!Y160</f>
        <v>157876937007105.84</v>
      </c>
      <c r="Z10" s="1">
        <f>建筑各项能耗拆分!$B$18*建筑各项能耗拆分!Z173+建筑各项能耗拆分!$B$18*建筑各项能耗拆分!Z160</f>
        <v>155820623842128.44</v>
      </c>
      <c r="AA10" s="1">
        <f>建筑各项能耗拆分!$B$18*建筑各项能耗拆分!AA173+建筑各项能耗拆分!$B$18*建筑各项能耗拆分!AA160</f>
        <v>153694404935839.03</v>
      </c>
      <c r="AB10" s="1">
        <f>建筑各项能耗拆分!$B$18*建筑各项能耗拆分!AB173+建筑各项能耗拆分!$B$18*建筑各项能耗拆分!AB160</f>
        <v>151503446729507.47</v>
      </c>
      <c r="AC10" s="1">
        <f>建筑各项能耗拆分!$B$18*建筑各项能耗拆分!AC173+建筑各项能耗拆分!$B$18*建筑各项能耗拆分!AC160</f>
        <v>149252953457476.94</v>
      </c>
      <c r="AD10" s="1">
        <f>建筑各项能耗拆分!$B$18*建筑各项能耗拆分!AD173+建筑各项能耗拆分!$B$18*建筑各项能耗拆分!AD160</f>
        <v>146948143902768.06</v>
      </c>
      <c r="AE10" s="1">
        <f>建筑各项能耗拆分!$B$18*建筑各项能耗拆分!AE173+建筑各项能耗拆分!$B$18*建筑各项能耗拆分!AE160</f>
        <v>144594240094793.91</v>
      </c>
      <c r="AF10" s="1">
        <f>建筑各项能耗拆分!$B$18*建筑各项能耗拆分!AF173+建筑各项能耗拆分!$B$18*建筑各项能耗拆分!AF160</f>
        <v>142196462405668.94</v>
      </c>
      <c r="AG10" s="1">
        <f>建筑各项能耗拆分!$B$18*建筑各项能耗拆分!AG173+建筑各项能耗拆分!$B$18*建筑各项能耗拆分!AG160</f>
        <v>139759999244397.61</v>
      </c>
      <c r="AH10" s="1">
        <f>建筑各项能耗拆分!$B$18*建筑各项能耗拆分!AH173+建筑各项能耗拆分!$B$18*建筑各项能耗拆分!AH160</f>
        <v>137289999158040.13</v>
      </c>
      <c r="AI10" s="1">
        <f>建筑各项能耗拆分!$B$18*建筑各项能耗拆分!AI173+建筑各项能耗拆分!$B$18*建筑各项能耗拆分!AI160</f>
        <v>134791557132893.55</v>
      </c>
      <c r="AJ10" s="1">
        <f>建筑各项能耗拆分!$B$18*建筑各项能耗拆分!AJ173+建筑各项能耗拆分!$B$18*建筑各项能耗拆分!AJ160</f>
        <v>132269686189000.91</v>
      </c>
      <c r="AK10" s="1">
        <f>建筑各项能耗拆分!$B$18*建筑各项能耗拆分!AK173+建筑各项能耗拆分!$B$18*建筑各项能耗拆分!AK160</f>
        <v>129729314399047.06</v>
      </c>
      <c r="AL10" s="1">
        <f>建筑各项能耗拆分!$B$18*建筑各项能耗拆分!AL173+建筑各项能耗拆分!$B$18*建筑各项能耗拆分!AL160</f>
        <v>127175248777042.89</v>
      </c>
      <c r="AM10" s="1">
        <f>建筑各项能耗拆分!$B$18*建筑各项能耗拆分!AM173+建筑各项能耗拆分!$B$18*建筑各项能耗拆分!AM160</f>
        <v>124612172421760.42</v>
      </c>
      <c r="AN10" s="1">
        <f>建筑各项能耗拆分!$B$18*建筑各项能耗拆分!AN173+建筑各项能耗拆分!$B$18*建筑各项能耗拆分!AN160</f>
        <v>122044613644797.94</v>
      </c>
      <c r="AO10" s="1">
        <f>建筑各项能耗拆分!$B$18*建筑各项能耗拆分!AO173+建筑各项能耗拆分!$B$18*建筑各项能耗拆分!AO160</f>
        <v>119476926982940.09</v>
      </c>
      <c r="AP10" s="1">
        <f>建筑各项能耗拆分!$B$18*建筑各项能耗拆分!AP173+建筑各项能耗拆分!$B$18*建筑各项能耗拆分!AP160</f>
        <v>116913271751409.81</v>
      </c>
      <c r="AQ10" s="1">
        <f>建筑各项能耗拆分!$B$18*建筑各项能耗拆分!AQ173+建筑各项能耗拆分!$B$18*建筑各项能耗拆分!AQ160</f>
        <v>114357589723339.3</v>
      </c>
      <c r="AR10" s="1">
        <f>建筑各项能耗拆分!$B$18*建筑各项能耗拆分!AR173+建筑各项能耗拆分!$B$18*建筑各项能耗拆分!AR160</f>
        <v>111813584503251.02</v>
      </c>
    </row>
    <row r="11" spans="1:44" x14ac:dyDescent="0.15">
      <c r="A11" t="s">
        <v>9</v>
      </c>
      <c r="B11" s="1">
        <f>建筑各项能耗拆分!$B$18*建筑各项能耗拆分!B174+建筑各项能耗拆分!$B$18*建筑各项能耗拆分!B161</f>
        <v>0</v>
      </c>
      <c r="C11" s="1">
        <f>建筑各项能耗拆分!$B$18*建筑各项能耗拆分!C174+建筑各项能耗拆分!$B$18*建筑各项能耗拆分!C161</f>
        <v>0</v>
      </c>
      <c r="D11" s="1">
        <f>建筑各项能耗拆分!$B$18*建筑各项能耗拆分!D174+建筑各项能耗拆分!$B$18*建筑各项能耗拆分!D161</f>
        <v>0</v>
      </c>
      <c r="E11" s="1">
        <f>建筑各项能耗拆分!$B$18*建筑各项能耗拆分!E174+建筑各项能耗拆分!$B$18*建筑各项能耗拆分!E161</f>
        <v>0</v>
      </c>
      <c r="F11" s="1">
        <f>建筑各项能耗拆分!$B$18*建筑各项能耗拆分!F174+建筑各项能耗拆分!$B$18*建筑各项能耗拆分!F161</f>
        <v>0</v>
      </c>
      <c r="G11" s="1">
        <f>建筑各项能耗拆分!$B$18*建筑各项能耗拆分!G174+建筑各项能耗拆分!$B$18*建筑各项能耗拆分!G161</f>
        <v>0</v>
      </c>
      <c r="H11" s="1">
        <f>建筑各项能耗拆分!$B$18*建筑各项能耗拆分!H174+建筑各项能耗拆分!$B$18*建筑各项能耗拆分!H161</f>
        <v>0</v>
      </c>
      <c r="I11" s="1">
        <f>建筑各项能耗拆分!$B$18*建筑各项能耗拆分!I174+建筑各项能耗拆分!$B$18*建筑各项能耗拆分!I161</f>
        <v>0</v>
      </c>
      <c r="J11" s="1">
        <f>建筑各项能耗拆分!$B$18*建筑各项能耗拆分!J174+建筑各项能耗拆分!$B$18*建筑各项能耗拆分!J161</f>
        <v>0</v>
      </c>
      <c r="K11" s="1">
        <f>建筑各项能耗拆分!$B$18*建筑各项能耗拆分!K174+建筑各项能耗拆分!$B$18*建筑各项能耗拆分!K161</f>
        <v>0</v>
      </c>
      <c r="L11" s="1">
        <f>建筑各项能耗拆分!$B$18*建筑各项能耗拆分!L174+建筑各项能耗拆分!$B$18*建筑各项能耗拆分!L161</f>
        <v>0</v>
      </c>
      <c r="M11" s="1">
        <f>建筑各项能耗拆分!$B$18*建筑各项能耗拆分!M174+建筑各项能耗拆分!$B$18*建筑各项能耗拆分!M161</f>
        <v>0</v>
      </c>
      <c r="N11" s="1">
        <f>建筑各项能耗拆分!$B$18*建筑各项能耗拆分!N174+建筑各项能耗拆分!$B$18*建筑各项能耗拆分!N161</f>
        <v>0</v>
      </c>
      <c r="O11" s="1">
        <f>建筑各项能耗拆分!$B$18*建筑各项能耗拆分!O174+建筑各项能耗拆分!$B$18*建筑各项能耗拆分!O161</f>
        <v>0</v>
      </c>
      <c r="P11" s="1">
        <f>建筑各项能耗拆分!$B$18*建筑各项能耗拆分!P174+建筑各项能耗拆分!$B$18*建筑各项能耗拆分!P161</f>
        <v>0</v>
      </c>
      <c r="Q11" s="1">
        <f>建筑各项能耗拆分!$B$18*建筑各项能耗拆分!Q174+建筑各项能耗拆分!$B$18*建筑各项能耗拆分!Q161</f>
        <v>0</v>
      </c>
      <c r="R11" s="1">
        <f>建筑各项能耗拆分!$B$18*建筑各项能耗拆分!R174+建筑各项能耗拆分!$B$18*建筑各项能耗拆分!R161</f>
        <v>0</v>
      </c>
      <c r="S11" s="1">
        <f>建筑各项能耗拆分!$B$18*建筑各项能耗拆分!S174+建筑各项能耗拆分!$B$18*建筑各项能耗拆分!S161</f>
        <v>0</v>
      </c>
      <c r="T11" s="1">
        <f>建筑各项能耗拆分!$B$18*建筑各项能耗拆分!T174+建筑各项能耗拆分!$B$18*建筑各项能耗拆分!T161</f>
        <v>0</v>
      </c>
      <c r="U11" s="1">
        <f>建筑各项能耗拆分!$B$18*建筑各项能耗拆分!U174+建筑各项能耗拆分!$B$18*建筑各项能耗拆分!U161</f>
        <v>0</v>
      </c>
      <c r="V11" s="1">
        <f>建筑各项能耗拆分!$B$18*建筑各项能耗拆分!V174+建筑各项能耗拆分!$B$18*建筑各项能耗拆分!V161</f>
        <v>0</v>
      </c>
      <c r="W11" s="1">
        <f>建筑各项能耗拆分!$B$18*建筑各项能耗拆分!W174+建筑各项能耗拆分!$B$18*建筑各项能耗拆分!W161</f>
        <v>0</v>
      </c>
      <c r="X11" s="1">
        <f>建筑各项能耗拆分!$B$18*建筑各项能耗拆分!X174+建筑各项能耗拆分!$B$18*建筑各项能耗拆分!X161</f>
        <v>0</v>
      </c>
      <c r="Y11" s="1">
        <f>建筑各项能耗拆分!$B$18*建筑各项能耗拆分!Y174+建筑各项能耗拆分!$B$18*建筑各项能耗拆分!Y161</f>
        <v>0</v>
      </c>
      <c r="Z11" s="1">
        <f>建筑各项能耗拆分!$B$18*建筑各项能耗拆分!Z174+建筑各项能耗拆分!$B$18*建筑各项能耗拆分!Z161</f>
        <v>0</v>
      </c>
      <c r="AA11" s="1">
        <f>建筑各项能耗拆分!$B$18*建筑各项能耗拆分!AA174+建筑各项能耗拆分!$B$18*建筑各项能耗拆分!AA161</f>
        <v>0</v>
      </c>
      <c r="AB11" s="1">
        <f>建筑各项能耗拆分!$B$18*建筑各项能耗拆分!AB174+建筑各项能耗拆分!$B$18*建筑各项能耗拆分!AB161</f>
        <v>0</v>
      </c>
      <c r="AC11" s="1">
        <f>建筑各项能耗拆分!$B$18*建筑各项能耗拆分!AC174+建筑各项能耗拆分!$B$18*建筑各项能耗拆分!AC161</f>
        <v>0</v>
      </c>
      <c r="AD11" s="1">
        <f>建筑各项能耗拆分!$B$18*建筑各项能耗拆分!AD174+建筑各项能耗拆分!$B$18*建筑各项能耗拆分!AD161</f>
        <v>0</v>
      </c>
      <c r="AE11" s="1">
        <f>建筑各项能耗拆分!$B$18*建筑各项能耗拆分!AE174+建筑各项能耗拆分!$B$18*建筑各项能耗拆分!AE161</f>
        <v>0</v>
      </c>
      <c r="AF11" s="1">
        <f>建筑各项能耗拆分!$B$18*建筑各项能耗拆分!AF174+建筑各项能耗拆分!$B$18*建筑各项能耗拆分!AF161</f>
        <v>0</v>
      </c>
      <c r="AG11" s="1">
        <f>建筑各项能耗拆分!$B$18*建筑各项能耗拆分!AG174+建筑各项能耗拆分!$B$18*建筑各项能耗拆分!AG161</f>
        <v>0</v>
      </c>
      <c r="AH11" s="1">
        <f>建筑各项能耗拆分!$B$18*建筑各项能耗拆分!AH174+建筑各项能耗拆分!$B$18*建筑各项能耗拆分!AH161</f>
        <v>0</v>
      </c>
      <c r="AI11" s="1">
        <f>建筑各项能耗拆分!$B$18*建筑各项能耗拆分!AI174+建筑各项能耗拆分!$B$18*建筑各项能耗拆分!AI161</f>
        <v>0</v>
      </c>
      <c r="AJ11" s="1">
        <f>建筑各项能耗拆分!$B$18*建筑各项能耗拆分!AJ174+建筑各项能耗拆分!$B$18*建筑各项能耗拆分!AJ161</f>
        <v>0</v>
      </c>
      <c r="AK11" s="1">
        <f>建筑各项能耗拆分!$B$18*建筑各项能耗拆分!AK174+建筑各项能耗拆分!$B$18*建筑各项能耗拆分!AK161</f>
        <v>0</v>
      </c>
      <c r="AL11" s="1">
        <f>建筑各项能耗拆分!$B$18*建筑各项能耗拆分!AL174+建筑各项能耗拆分!$B$18*建筑各项能耗拆分!AL161</f>
        <v>0</v>
      </c>
      <c r="AM11" s="1">
        <f>建筑各项能耗拆分!$B$18*建筑各项能耗拆分!AM174+建筑各项能耗拆分!$B$18*建筑各项能耗拆分!AM161</f>
        <v>0</v>
      </c>
      <c r="AN11" s="1">
        <f>建筑各项能耗拆分!$B$18*建筑各项能耗拆分!AN174+建筑各项能耗拆分!$B$18*建筑各项能耗拆分!AN161</f>
        <v>0</v>
      </c>
      <c r="AO11" s="1">
        <f>建筑各项能耗拆分!$B$18*建筑各项能耗拆分!AO174+建筑各项能耗拆分!$B$18*建筑各项能耗拆分!AO161</f>
        <v>0</v>
      </c>
      <c r="AP11" s="1">
        <f>建筑各项能耗拆分!$B$18*建筑各项能耗拆分!AP174+建筑各项能耗拆分!$B$18*建筑各项能耗拆分!AP161</f>
        <v>0</v>
      </c>
      <c r="AQ11" s="1">
        <f>建筑各项能耗拆分!$B$18*建筑各项能耗拆分!AQ174+建筑各项能耗拆分!$B$18*建筑各项能耗拆分!AQ161</f>
        <v>0</v>
      </c>
      <c r="AR11" s="1">
        <f>建筑各项能耗拆分!$B$18*建筑各项能耗拆分!AR174+建筑各项能耗拆分!$B$18*建筑各项能耗拆分!AR161</f>
        <v>0</v>
      </c>
    </row>
    <row r="12" spans="1:44" x14ac:dyDescent="0.15">
      <c r="A12" t="s">
        <v>911</v>
      </c>
      <c r="B12" s="1">
        <f>SUM(B2:B11)</f>
        <v>1259477086061565.3</v>
      </c>
      <c r="C12" s="1">
        <f t="shared" ref="C12:AR12" si="0">SUM(C2:C11)</f>
        <v>1250534798750528.5</v>
      </c>
      <c r="D12" s="1">
        <f t="shared" si="0"/>
        <v>1215128359015905.5</v>
      </c>
      <c r="E12" s="1">
        <f t="shared" si="0"/>
        <v>1192524502633843.3</v>
      </c>
      <c r="F12" s="1">
        <f t="shared" si="0"/>
        <v>1188931086603283.8</v>
      </c>
      <c r="G12" s="1">
        <f t="shared" si="0"/>
        <v>1184810758862879.3</v>
      </c>
      <c r="H12" s="1">
        <f t="shared" si="0"/>
        <v>1180173052805369.8</v>
      </c>
      <c r="I12" s="1">
        <f t="shared" si="0"/>
        <v>1175028221237153.5</v>
      </c>
      <c r="J12" s="1">
        <f t="shared" si="0"/>
        <v>1169387152922146</v>
      </c>
      <c r="K12" s="1">
        <f t="shared" si="0"/>
        <v>1163261429604801.8</v>
      </c>
      <c r="L12" s="1">
        <f t="shared" si="0"/>
        <v>1156663241412382.3</v>
      </c>
      <c r="M12" s="1">
        <f t="shared" si="0"/>
        <v>1149605404463659.8</v>
      </c>
      <c r="N12" s="1">
        <f t="shared" si="0"/>
        <v>1142101329816836</v>
      </c>
      <c r="O12" s="1">
        <f t="shared" si="0"/>
        <v>1134164985265029</v>
      </c>
      <c r="P12" s="1">
        <f t="shared" si="0"/>
        <v>1125810908860082</v>
      </c>
      <c r="Q12" s="1">
        <f t="shared" si="0"/>
        <v>1117054130784349.5</v>
      </c>
      <c r="R12" s="1">
        <f t="shared" si="0"/>
        <v>1108111843473312</v>
      </c>
      <c r="S12" s="1">
        <f t="shared" si="0"/>
        <v>1098800486506486</v>
      </c>
      <c r="T12" s="1">
        <f t="shared" si="0"/>
        <v>1088809804254159.3</v>
      </c>
      <c r="U12" s="1">
        <f t="shared" si="0"/>
        <v>1078169854162089.3</v>
      </c>
      <c r="V12" s="1">
        <f t="shared" si="0"/>
        <v>1066911441573686.6</v>
      </c>
      <c r="W12" s="1">
        <f t="shared" si="0"/>
        <v>1055065997024046</v>
      </c>
      <c r="X12" s="1">
        <f t="shared" si="0"/>
        <v>1042665571856138.3</v>
      </c>
      <c r="Y12" s="1">
        <f t="shared" si="0"/>
        <v>1029742748266739.9</v>
      </c>
      <c r="Z12" s="1">
        <f t="shared" si="0"/>
        <v>1016330570339158.3</v>
      </c>
      <c r="AA12" s="1">
        <f t="shared" si="0"/>
        <v>1002462436452822.3</v>
      </c>
      <c r="AB12" s="1">
        <f t="shared" si="0"/>
        <v>988172044407631.63</v>
      </c>
      <c r="AC12" s="1">
        <f t="shared" si="0"/>
        <v>973493338506514.25</v>
      </c>
      <c r="AD12" s="1">
        <f t="shared" si="0"/>
        <v>958460357945265.5</v>
      </c>
      <c r="AE12" s="1">
        <f t="shared" si="0"/>
        <v>943107163094076.88</v>
      </c>
      <c r="AF12" s="1">
        <f t="shared" si="0"/>
        <v>927467803513512.75</v>
      </c>
      <c r="AG12" s="1">
        <f t="shared" si="0"/>
        <v>911576120286688.63</v>
      </c>
      <c r="AH12" s="1">
        <f t="shared" si="0"/>
        <v>895465694499606.38</v>
      </c>
      <c r="AI12" s="1">
        <f t="shared" si="0"/>
        <v>879169757891438</v>
      </c>
      <c r="AJ12" s="1">
        <f t="shared" si="0"/>
        <v>862721007581434.63</v>
      </c>
      <c r="AK12" s="1">
        <f t="shared" si="0"/>
        <v>846151586624853.75</v>
      </c>
      <c r="AL12" s="1">
        <f t="shared" si="0"/>
        <v>829492848479092.5</v>
      </c>
      <c r="AM12" s="1">
        <f t="shared" si="0"/>
        <v>812775338371917.75</v>
      </c>
      <c r="AN12" s="1">
        <f t="shared" si="0"/>
        <v>796028591941141</v>
      </c>
      <c r="AO12" s="1">
        <f t="shared" si="0"/>
        <v>779281011388889</v>
      </c>
      <c r="AP12" s="1">
        <f t="shared" si="0"/>
        <v>762559725596489.75</v>
      </c>
      <c r="AQ12" s="1">
        <f t="shared" si="0"/>
        <v>745890444540177.13</v>
      </c>
      <c r="AR12" s="1">
        <f t="shared" si="0"/>
        <v>729297324755868.38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CA32-4B35-4A57-8DDE-2B0DAD4D68C2}">
  <sheetPr>
    <tabColor rgb="FF002060"/>
  </sheetPr>
  <dimension ref="A1:AR15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建筑各项能耗拆分!$B$18*建筑各项能耗拆分!B178</f>
        <v>0</v>
      </c>
      <c r="C2" s="1">
        <f>建筑各项能耗拆分!$B$18*建筑各项能耗拆分!C178</f>
        <v>0</v>
      </c>
      <c r="D2" s="1">
        <f>建筑各项能耗拆分!$B$18*建筑各项能耗拆分!D178</f>
        <v>0</v>
      </c>
      <c r="E2" s="1">
        <f>建筑各项能耗拆分!$B$18*建筑各项能耗拆分!E178</f>
        <v>0</v>
      </c>
      <c r="F2" s="1">
        <f>建筑各项能耗拆分!$B$18*建筑各项能耗拆分!F178</f>
        <v>0</v>
      </c>
      <c r="G2" s="1">
        <f>建筑各项能耗拆分!$B$18*建筑各项能耗拆分!G178</f>
        <v>0</v>
      </c>
      <c r="H2" s="1">
        <f>建筑各项能耗拆分!$B$18*建筑各项能耗拆分!H178</f>
        <v>0</v>
      </c>
      <c r="I2" s="1">
        <f>建筑各项能耗拆分!$B$18*建筑各项能耗拆分!I178</f>
        <v>0</v>
      </c>
      <c r="J2" s="1">
        <f>建筑各项能耗拆分!$B$18*建筑各项能耗拆分!J178</f>
        <v>0</v>
      </c>
      <c r="K2" s="1">
        <f>建筑各项能耗拆分!$B$18*建筑各项能耗拆分!K178</f>
        <v>0</v>
      </c>
      <c r="L2" s="1">
        <f>建筑各项能耗拆分!$B$18*建筑各项能耗拆分!L178</f>
        <v>0</v>
      </c>
      <c r="M2" s="1">
        <f>建筑各项能耗拆分!$B$18*建筑各项能耗拆分!M178</f>
        <v>0</v>
      </c>
      <c r="N2" s="1">
        <f>建筑各项能耗拆分!$B$18*建筑各项能耗拆分!N178</f>
        <v>0</v>
      </c>
      <c r="O2" s="1">
        <f>建筑各项能耗拆分!$B$18*建筑各项能耗拆分!O178</f>
        <v>0</v>
      </c>
      <c r="P2" s="1">
        <f>建筑各项能耗拆分!$B$18*建筑各项能耗拆分!P178</f>
        <v>0</v>
      </c>
      <c r="Q2" s="1">
        <f>建筑各项能耗拆分!$B$18*建筑各项能耗拆分!Q178</f>
        <v>0</v>
      </c>
      <c r="R2" s="1">
        <f>建筑各项能耗拆分!$B$18*建筑各项能耗拆分!R178</f>
        <v>0</v>
      </c>
      <c r="S2" s="1">
        <f>建筑各项能耗拆分!$B$18*建筑各项能耗拆分!S178</f>
        <v>0</v>
      </c>
      <c r="T2" s="1">
        <f>建筑各项能耗拆分!$B$18*建筑各项能耗拆分!T178</f>
        <v>0</v>
      </c>
      <c r="U2" s="1">
        <f>建筑各项能耗拆分!$B$18*建筑各项能耗拆分!U178</f>
        <v>0</v>
      </c>
      <c r="V2" s="1">
        <f>建筑各项能耗拆分!$B$18*建筑各项能耗拆分!V178</f>
        <v>0</v>
      </c>
      <c r="W2" s="1">
        <f>建筑各项能耗拆分!$B$18*建筑各项能耗拆分!W178</f>
        <v>0</v>
      </c>
      <c r="X2" s="1">
        <f>建筑各项能耗拆分!$B$18*建筑各项能耗拆分!X178</f>
        <v>0</v>
      </c>
      <c r="Y2" s="1">
        <f>建筑各项能耗拆分!$B$18*建筑各项能耗拆分!Y178</f>
        <v>0</v>
      </c>
      <c r="Z2" s="1">
        <f>建筑各项能耗拆分!$B$18*建筑各项能耗拆分!Z178</f>
        <v>0</v>
      </c>
      <c r="AA2" s="1">
        <f>建筑各项能耗拆分!$B$18*建筑各项能耗拆分!AA178</f>
        <v>0</v>
      </c>
      <c r="AB2" s="1">
        <f>建筑各项能耗拆分!$B$18*建筑各项能耗拆分!AB178</f>
        <v>0</v>
      </c>
      <c r="AC2" s="1">
        <f>建筑各项能耗拆分!$B$18*建筑各项能耗拆分!AC178</f>
        <v>0</v>
      </c>
      <c r="AD2" s="1">
        <f>建筑各项能耗拆分!$B$18*建筑各项能耗拆分!AD178</f>
        <v>0</v>
      </c>
      <c r="AE2" s="1">
        <f>建筑各项能耗拆分!$B$18*建筑各项能耗拆分!AE178</f>
        <v>0</v>
      </c>
      <c r="AF2" s="1">
        <f>建筑各项能耗拆分!$B$18*建筑各项能耗拆分!AF178</f>
        <v>0</v>
      </c>
      <c r="AG2" s="1">
        <f>建筑各项能耗拆分!$B$18*建筑各项能耗拆分!AG178</f>
        <v>0</v>
      </c>
      <c r="AH2" s="1">
        <f>建筑各项能耗拆分!$B$18*建筑各项能耗拆分!AH178</f>
        <v>0</v>
      </c>
      <c r="AI2" s="1">
        <f>建筑各项能耗拆分!$B$18*建筑各项能耗拆分!AI178</f>
        <v>0</v>
      </c>
      <c r="AJ2" s="1">
        <f>建筑各项能耗拆分!$B$18*建筑各项能耗拆分!AJ178</f>
        <v>0</v>
      </c>
      <c r="AK2" s="1">
        <f>建筑各项能耗拆分!$B$18*建筑各项能耗拆分!AK178</f>
        <v>0</v>
      </c>
      <c r="AL2" s="1">
        <f>建筑各项能耗拆分!$B$18*建筑各项能耗拆分!AL178</f>
        <v>0</v>
      </c>
      <c r="AM2" s="1">
        <f>建筑各项能耗拆分!$B$18*建筑各项能耗拆分!AM178</f>
        <v>0</v>
      </c>
      <c r="AN2" s="1">
        <f>建筑各项能耗拆分!$B$18*建筑各项能耗拆分!AN178</f>
        <v>0</v>
      </c>
      <c r="AO2" s="1">
        <f>建筑各项能耗拆分!$B$18*建筑各项能耗拆分!AO178</f>
        <v>0</v>
      </c>
      <c r="AP2" s="1">
        <f>建筑各项能耗拆分!$B$18*建筑各项能耗拆分!AP178</f>
        <v>0</v>
      </c>
      <c r="AQ2" s="1">
        <f>建筑各项能耗拆分!$B$18*建筑各项能耗拆分!AQ178</f>
        <v>0</v>
      </c>
      <c r="AR2" s="1">
        <f>建筑各项能耗拆分!$B$18*建筑各项能耗拆分!AR178</f>
        <v>0</v>
      </c>
    </row>
    <row r="3" spans="1:44" x14ac:dyDescent="0.15">
      <c r="A3" t="s">
        <v>1</v>
      </c>
      <c r="B3" s="1">
        <f>建筑各项能耗拆分!$B$18*建筑各项能耗拆分!B179</f>
        <v>428607634629117.94</v>
      </c>
      <c r="C3" s="1">
        <f>建筑各项能耗拆分!$B$18*建筑各项能耗拆分!C179</f>
        <v>450734061593149.31</v>
      </c>
      <c r="D3" s="1">
        <f>建筑各项能耗拆分!$B$18*建筑各项能耗拆分!D179</f>
        <v>478389520027491.81</v>
      </c>
      <c r="E3" s="1">
        <f>建筑各项能耗拆分!$B$18*建筑各项能耗拆分!E179</f>
        <v>494443947105261.5</v>
      </c>
      <c r="F3" s="1">
        <f>建筑各项能耗拆分!$B$18*建筑各项能耗拆分!F179</f>
        <v>510192437111424.19</v>
      </c>
      <c r="G3" s="1">
        <f>建筑各项能耗拆分!$B$18*建筑各项能耗拆分!G179</f>
        <v>525628177463240.56</v>
      </c>
      <c r="H3" s="1">
        <f>建筑各项能耗拆分!$B$18*建筑各项能耗拆分!H179</f>
        <v>540745000166437.88</v>
      </c>
      <c r="I3" s="1">
        <f>建筑各项能耗拆分!$B$18*建筑各项能耗拆分!I179</f>
        <v>555537480070175.94</v>
      </c>
      <c r="J3" s="1">
        <f>建筑各项能耗拆分!$B$18*建筑各项能耗拆分!J179</f>
        <v>570000888608552.25</v>
      </c>
      <c r="K3" s="1">
        <f>建筑各项能耗拆分!$B$18*建筑各项能耗拆分!K179</f>
        <v>584131333299024.88</v>
      </c>
      <c r="L3" s="1">
        <f>建筑各项能耗拆分!$B$18*建筑各项能耗拆分!L179</f>
        <v>597925714056220.5</v>
      </c>
      <c r="M3" s="1">
        <f>建筑各项能耗拆分!$B$18*建筑各项能耗拆分!M179</f>
        <v>611381817899008.88</v>
      </c>
      <c r="N3" s="1">
        <f>建筑各项能耗拆分!$B$18*建筑各项能耗拆分!N179</f>
        <v>624498352523594.13</v>
      </c>
      <c r="O3" s="1">
        <f>建筑各项能耗拆分!$B$18*建筑各项能耗拆分!O179</f>
        <v>637274971640365.88</v>
      </c>
      <c r="P3" s="1">
        <f>建筑各项能耗拆分!$B$18*建筑各项能耗拆分!P179</f>
        <v>649712378497527.13</v>
      </c>
      <c r="Q3" s="1">
        <f>建筑各项能耗拆分!$B$18*建筑各项能耗拆分!Q179</f>
        <v>661812300502735.38</v>
      </c>
      <c r="R3" s="1">
        <f>建筑各项能耗拆分!$B$18*建筑各项能耗拆分!R179</f>
        <v>673577605035374.88</v>
      </c>
      <c r="S3" s="1">
        <f>建筑各项能耗拆分!$B$18*建筑各项能耗拆分!S179</f>
        <v>685012311947903.13</v>
      </c>
      <c r="T3" s="1">
        <f>建筑各项能耗拆分!$B$18*建筑各项能耗拆分!T179</f>
        <v>696121665161681.75</v>
      </c>
      <c r="U3" s="1">
        <f>建筑各项能耗拆分!$B$18*建筑各项能耗拆分!U179</f>
        <v>706912203643880.38</v>
      </c>
      <c r="V3" s="1">
        <f>建筑各项能耗拆分!$B$18*建筑各项能耗拆分!V179</f>
        <v>717391766770646.75</v>
      </c>
      <c r="W3" s="1">
        <f>建筑各项能耗拆分!$B$18*建筑各项能耗拆分!W179</f>
        <v>727569607674879.25</v>
      </c>
      <c r="X3" s="1">
        <f>建筑各项能耗拆分!$B$18*建筑各项能耗拆分!X179</f>
        <v>737456437277554.88</v>
      </c>
      <c r="Y3" s="1">
        <f>建筑各项能耗拆分!$B$18*建筑各项能耗拆分!Y179</f>
        <v>747064491524288.63</v>
      </c>
      <c r="Z3" s="1">
        <f>建筑各项能耗拆分!$B$18*建筑各项能耗拆分!Z179</f>
        <v>756407566554932.75</v>
      </c>
      <c r="AA3" s="1">
        <f>建筑各项能耗拆分!$B$18*建筑各项能耗拆分!AA179</f>
        <v>765501108529630.75</v>
      </c>
      <c r="AB3" s="1">
        <f>建筑各项能耗拆分!$B$18*建筑各项能耗拆分!AB179</f>
        <v>774362314170768.13</v>
      </c>
      <c r="AC3" s="1">
        <f>建筑各项能耗拆分!$B$18*建筑各项能耗拆分!AC179</f>
        <v>783010138303827.88</v>
      </c>
      <c r="AD3" s="1">
        <f>建筑各项能耗拆分!$B$18*建筑各项能耗拆分!AD179</f>
        <v>791465382517467</v>
      </c>
      <c r="AE3" s="1">
        <f>建筑各项能耗拆分!$B$18*建筑各项能耗拆分!AE179</f>
        <v>799750838014561.5</v>
      </c>
      <c r="AF3" s="1">
        <f>建筑各项能耗拆分!$B$18*建筑各项能耗拆分!AF179</f>
        <v>807891259700839.25</v>
      </c>
      <c r="AG3" s="1">
        <f>建筑各项能耗拆分!$B$18*建筑各项能耗拆分!AG179</f>
        <v>815913499866457</v>
      </c>
      <c r="AH3" s="1">
        <f>建筑各项能耗拆分!$B$18*建筑各项能耗拆分!AH179</f>
        <v>823846612790916.88</v>
      </c>
      <c r="AI3" s="1">
        <f>建筑各项能耗拆分!$B$18*建筑各项能耗拆分!AI179</f>
        <v>831721855797441.75</v>
      </c>
      <c r="AJ3" s="1">
        <f>建筑各项能耗拆分!$B$18*建筑各项能耗拆分!AJ179</f>
        <v>839572889155548.25</v>
      </c>
      <c r="AK3" s="1">
        <f>建筑各项能耗拆分!$B$18*建筑各项能耗拆分!AK179</f>
        <v>847435730539245.75</v>
      </c>
      <c r="AL3" s="1">
        <f>建筑各项能耗拆分!$B$18*建筑各项能耗拆分!AL179</f>
        <v>855348976542423.5</v>
      </c>
      <c r="AM3" s="1">
        <f>建筑各项能耗拆分!$B$18*建筑各项能耗拆分!AM179</f>
        <v>863353812905118.25</v>
      </c>
      <c r="AN3" s="1">
        <f>建筑各项能耗拆分!$B$18*建筑各项能耗拆分!AN179</f>
        <v>871494125938606.38</v>
      </c>
      <c r="AO3" s="1">
        <f>建筑各项能耗拆分!$B$18*建筑各项能耗拆分!AO179</f>
        <v>879816604244951.13</v>
      </c>
      <c r="AP3" s="1">
        <f>建筑各项能耗拆分!$B$18*建筑各项能耗拆分!AP179</f>
        <v>888370843330425.75</v>
      </c>
      <c r="AQ3" s="1">
        <f>建筑各项能耗拆分!$B$18*建筑各项能耗拆分!AQ179</f>
        <v>897209477906838.25</v>
      </c>
      <c r="AR3" s="1">
        <f>建筑各项能耗拆分!$B$18*建筑各项能耗拆分!AR179</f>
        <v>906388212822776.13</v>
      </c>
    </row>
    <row r="4" spans="1:44" x14ac:dyDescent="0.15">
      <c r="A4" t="s">
        <v>2</v>
      </c>
      <c r="B4" s="1">
        <f>建筑各项能耗拆分!$B$18*建筑各项能耗拆分!B180</f>
        <v>0</v>
      </c>
      <c r="C4" s="1">
        <f>建筑各项能耗拆分!$B$18*建筑各项能耗拆分!C180</f>
        <v>0</v>
      </c>
      <c r="D4" s="1">
        <f>建筑各项能耗拆分!$B$18*建筑各项能耗拆分!D180</f>
        <v>0</v>
      </c>
      <c r="E4" s="1">
        <f>建筑各项能耗拆分!$B$18*建筑各项能耗拆分!E180</f>
        <v>0</v>
      </c>
      <c r="F4" s="1">
        <f>建筑各项能耗拆分!$B$18*建筑各项能耗拆分!F180</f>
        <v>0</v>
      </c>
      <c r="G4" s="1">
        <f>建筑各项能耗拆分!$B$18*建筑各项能耗拆分!G180</f>
        <v>0</v>
      </c>
      <c r="H4" s="1">
        <f>建筑各项能耗拆分!$B$18*建筑各项能耗拆分!H180</f>
        <v>0</v>
      </c>
      <c r="I4" s="1">
        <f>建筑各项能耗拆分!$B$18*建筑各项能耗拆分!I180</f>
        <v>0</v>
      </c>
      <c r="J4" s="1">
        <f>建筑各项能耗拆分!$B$18*建筑各项能耗拆分!J180</f>
        <v>0</v>
      </c>
      <c r="K4" s="1">
        <f>建筑各项能耗拆分!$B$18*建筑各项能耗拆分!K180</f>
        <v>0</v>
      </c>
      <c r="L4" s="1">
        <f>建筑各项能耗拆分!$B$18*建筑各项能耗拆分!L180</f>
        <v>0</v>
      </c>
      <c r="M4" s="1">
        <f>建筑各项能耗拆分!$B$18*建筑各项能耗拆分!M180</f>
        <v>0</v>
      </c>
      <c r="N4" s="1">
        <f>建筑各项能耗拆分!$B$18*建筑各项能耗拆分!N180</f>
        <v>0</v>
      </c>
      <c r="O4" s="1">
        <f>建筑各项能耗拆分!$B$18*建筑各项能耗拆分!O180</f>
        <v>0</v>
      </c>
      <c r="P4" s="1">
        <f>建筑各项能耗拆分!$B$18*建筑各项能耗拆分!P180</f>
        <v>0</v>
      </c>
      <c r="Q4" s="1">
        <f>建筑各项能耗拆分!$B$18*建筑各项能耗拆分!Q180</f>
        <v>0</v>
      </c>
      <c r="R4" s="1">
        <f>建筑各项能耗拆分!$B$18*建筑各项能耗拆分!R180</f>
        <v>0</v>
      </c>
      <c r="S4" s="1">
        <f>建筑各项能耗拆分!$B$18*建筑各项能耗拆分!S180</f>
        <v>0</v>
      </c>
      <c r="T4" s="1">
        <f>建筑各项能耗拆分!$B$18*建筑各项能耗拆分!T180</f>
        <v>0</v>
      </c>
      <c r="U4" s="1">
        <f>建筑各项能耗拆分!$B$18*建筑各项能耗拆分!U180</f>
        <v>0</v>
      </c>
      <c r="V4" s="1">
        <f>建筑各项能耗拆分!$B$18*建筑各项能耗拆分!V180</f>
        <v>0</v>
      </c>
      <c r="W4" s="1">
        <f>建筑各项能耗拆分!$B$18*建筑各项能耗拆分!W180</f>
        <v>0</v>
      </c>
      <c r="X4" s="1">
        <f>建筑各项能耗拆分!$B$18*建筑各项能耗拆分!X180</f>
        <v>0</v>
      </c>
      <c r="Y4" s="1">
        <f>建筑各项能耗拆分!$B$18*建筑各项能耗拆分!Y180</f>
        <v>0</v>
      </c>
      <c r="Z4" s="1">
        <f>建筑各项能耗拆分!$B$18*建筑各项能耗拆分!Z180</f>
        <v>0</v>
      </c>
      <c r="AA4" s="1">
        <f>建筑各项能耗拆分!$B$18*建筑各项能耗拆分!AA180</f>
        <v>0</v>
      </c>
      <c r="AB4" s="1">
        <f>建筑各项能耗拆分!$B$18*建筑各项能耗拆分!AB180</f>
        <v>0</v>
      </c>
      <c r="AC4" s="1">
        <f>建筑各项能耗拆分!$B$18*建筑各项能耗拆分!AC180</f>
        <v>0</v>
      </c>
      <c r="AD4" s="1">
        <f>建筑各项能耗拆分!$B$18*建筑各项能耗拆分!AD180</f>
        <v>0</v>
      </c>
      <c r="AE4" s="1">
        <f>建筑各项能耗拆分!$B$18*建筑各项能耗拆分!AE180</f>
        <v>0</v>
      </c>
      <c r="AF4" s="1">
        <f>建筑各项能耗拆分!$B$18*建筑各项能耗拆分!AF180</f>
        <v>0</v>
      </c>
      <c r="AG4" s="1">
        <f>建筑各项能耗拆分!$B$18*建筑各项能耗拆分!AG180</f>
        <v>0</v>
      </c>
      <c r="AH4" s="1">
        <f>建筑各项能耗拆分!$B$18*建筑各项能耗拆分!AH180</f>
        <v>0</v>
      </c>
      <c r="AI4" s="1">
        <f>建筑各项能耗拆分!$B$18*建筑各项能耗拆分!AI180</f>
        <v>0</v>
      </c>
      <c r="AJ4" s="1">
        <f>建筑各项能耗拆分!$B$18*建筑各项能耗拆分!AJ180</f>
        <v>0</v>
      </c>
      <c r="AK4" s="1">
        <f>建筑各项能耗拆分!$B$18*建筑各项能耗拆分!AK180</f>
        <v>0</v>
      </c>
      <c r="AL4" s="1">
        <f>建筑各项能耗拆分!$B$18*建筑各项能耗拆分!AL180</f>
        <v>0</v>
      </c>
      <c r="AM4" s="1">
        <f>建筑各项能耗拆分!$B$18*建筑各项能耗拆分!AM180</f>
        <v>0</v>
      </c>
      <c r="AN4" s="1">
        <f>建筑各项能耗拆分!$B$18*建筑各项能耗拆分!AN180</f>
        <v>0</v>
      </c>
      <c r="AO4" s="1">
        <f>建筑各项能耗拆分!$B$18*建筑各项能耗拆分!AO180</f>
        <v>0</v>
      </c>
      <c r="AP4" s="1">
        <f>建筑各项能耗拆分!$B$18*建筑各项能耗拆分!AP180</f>
        <v>0</v>
      </c>
      <c r="AQ4" s="1">
        <f>建筑各项能耗拆分!$B$18*建筑各项能耗拆分!AQ180</f>
        <v>0</v>
      </c>
      <c r="AR4" s="1">
        <f>建筑各项能耗拆分!$B$18*建筑各项能耗拆分!AR180</f>
        <v>0</v>
      </c>
    </row>
    <row r="5" spans="1:44" x14ac:dyDescent="0.15">
      <c r="A5" t="s">
        <v>3</v>
      </c>
      <c r="B5" s="1">
        <f>建筑各项能耗拆分!$B$18*建筑各项能耗拆分!B181</f>
        <v>192011114156586.94</v>
      </c>
      <c r="C5" s="1">
        <f>建筑各项能耗拆分!$B$18*建筑各项能耗拆分!C181</f>
        <v>201923489836372.28</v>
      </c>
      <c r="D5" s="1">
        <f>建筑各项能耗拆分!$B$18*建筑各项能耗拆分!D181</f>
        <v>214312805745512.06</v>
      </c>
      <c r="E5" s="1">
        <f>建筑各项能耗拆分!$B$18*建筑各项能耗拆分!E181</f>
        <v>221504997814175.69</v>
      </c>
      <c r="F5" s="1">
        <f>建筑各项能耗拆分!$B$18*建筑各项能耗拆分!F181</f>
        <v>228560133719498.06</v>
      </c>
      <c r="G5" s="1">
        <f>建筑各项能耗拆分!$B$18*建筑各项能耗拆分!G181</f>
        <v>235475161505572.59</v>
      </c>
      <c r="H5" s="1">
        <f>建筑各项能耗拆分!$B$18*建筑各项能耗拆分!H181</f>
        <v>242247317984446.75</v>
      </c>
      <c r="I5" s="1">
        <f>建筑各项能耗拆分!$B$18*建筑各项能耗拆分!I181</f>
        <v>248874172753175.84</v>
      </c>
      <c r="J5" s="1">
        <f>建筑各项能耗拆分!$B$18*建筑各项能耗拆分!J181</f>
        <v>255353607470568.63</v>
      </c>
      <c r="K5" s="1">
        <f>建筑各项能耗拆分!$B$18*建筑各项能耗拆分!K181</f>
        <v>261683878350819.03</v>
      </c>
      <c r="L5" s="1">
        <f>建筑各项能耗拆分!$B$18*建筑各项能耗拆分!L181</f>
        <v>267863596592612.06</v>
      </c>
      <c r="M5" s="1">
        <f>建筑各项能耗拆分!$B$18*建筑各项能耗拆分!M181</f>
        <v>273891770806765.38</v>
      </c>
      <c r="N5" s="1">
        <f>建筑各项能耗拆分!$B$18*建筑各项能耗拆分!N181</f>
        <v>279767822056574.28</v>
      </c>
      <c r="O5" s="1">
        <f>建筑各项能耗拆分!$B$18*建筑各项能耗拆分!O181</f>
        <v>285491595208418.75</v>
      </c>
      <c r="P5" s="1">
        <f>建筑各项能耗拆分!$B$18*建筑各项能耗拆分!P181</f>
        <v>291063405309115.56</v>
      </c>
      <c r="Q5" s="1">
        <f>建筑各项能耗拆分!$B$18*建筑各项能耗拆分!Q181</f>
        <v>296484026216716.25</v>
      </c>
      <c r="R5" s="1">
        <f>建筑各项能耗拆分!$B$18*建筑各项能耗拆分!R181</f>
        <v>301754742483024.56</v>
      </c>
      <c r="S5" s="1">
        <f>建筑各项能耗拆分!$B$18*建筑各项能耗拆分!S181</f>
        <v>306877354954051.75</v>
      </c>
      <c r="T5" s="1">
        <f>建筑各项能耗拆分!$B$18*建筑各项能耗拆分!T181</f>
        <v>311854212844095.06</v>
      </c>
      <c r="U5" s="1">
        <f>建筑各项能耗拆分!$B$18*建筑各项能耗拆分!U181</f>
        <v>316688245532545.19</v>
      </c>
      <c r="V5" s="1">
        <f>建筑各项能耗拆分!$B$18*建筑各项能耗拆分!V181</f>
        <v>321382964966523.31</v>
      </c>
      <c r="W5" s="1">
        <f>建筑各项能耗拆分!$B$18*建筑各项能耗拆分!W181</f>
        <v>325942516439331.75</v>
      </c>
      <c r="X5" s="1">
        <f>建筑各项能耗拆分!$B$18*建筑各项能耗拆分!X181</f>
        <v>330371698315965.38</v>
      </c>
      <c r="Y5" s="1">
        <f>建筑各项能耗拆分!$B$18*建筑各项能耗拆分!Y181</f>
        <v>334675992154288.31</v>
      </c>
      <c r="Z5" s="1">
        <f>建筑各项能耗拆分!$B$18*建筑各项能耗拆分!Z181</f>
        <v>338861578460596</v>
      </c>
      <c r="AA5" s="1">
        <f>建筑各项能耗拆分!$B$18*建筑各项能耗拆分!AA181</f>
        <v>342935376930617.13</v>
      </c>
      <c r="AB5" s="1">
        <f>建筑各项能耗拆分!$B$18*建筑各项能耗拆分!AB181</f>
        <v>346905091491109.5</v>
      </c>
      <c r="AC5" s="1">
        <f>建筑各项能耗拆分!$B$18*建筑各项能耗拆分!AC181</f>
        <v>350779213678073.88</v>
      </c>
      <c r="AD5" s="1">
        <f>建筑各项能耗拆分!$B$18*建筑各项能耗拆分!AD181</f>
        <v>354567062355411.94</v>
      </c>
      <c r="AE5" s="1">
        <f>建筑各项能耗拆分!$B$18*建筑各项能耗拆分!AE181</f>
        <v>358278847710492.19</v>
      </c>
      <c r="AF5" s="1">
        <f>建筑各项能耗拆分!$B$18*建筑各项能耗拆分!AF181</f>
        <v>361925659646166.56</v>
      </c>
      <c r="AG5" s="1">
        <f>建筑各项能耗拆分!$B$18*建筑各项能耗拆分!AG181</f>
        <v>365519527668524.31</v>
      </c>
      <c r="AH5" s="1">
        <f>建筑各项能耗拆分!$B$18*建筑各项能耗拆分!AH181</f>
        <v>369073467748648.31</v>
      </c>
      <c r="AI5" s="1">
        <f>建筑各项能耗拆分!$B$18*建筑各项能耗拆分!AI181</f>
        <v>372601482794962.63</v>
      </c>
      <c r="AJ5" s="1">
        <f>建筑各项能耗拆分!$B$18*建筑各项能耗拆分!AJ181</f>
        <v>376118652207203.75</v>
      </c>
      <c r="AK5" s="1">
        <f>建筑各项能耗拆分!$B$18*建筑各项能耗拆分!AK181</f>
        <v>379641111474236.31</v>
      </c>
      <c r="AL5" s="1">
        <f>建筑各项能耗拆分!$B$18*建筑各项能耗拆分!AL181</f>
        <v>383186151410307.75</v>
      </c>
      <c r="AM5" s="1">
        <f>建筑各项能耗拆分!$B$18*建筑各项能耗拆分!AM181</f>
        <v>386772222736293.81</v>
      </c>
      <c r="AN5" s="1">
        <f>建筑各项能耗拆分!$B$18*建筑各项能耗拆分!AN181</f>
        <v>390418985996812.81</v>
      </c>
      <c r="AO5" s="1">
        <f>建筑各项能耗拆分!$B$18*建筑各项能耗拆分!AO181</f>
        <v>394147357129371.06</v>
      </c>
      <c r="AP5" s="1">
        <f>建筑各项能耗拆分!$B$18*建筑各项能耗拆分!AP181</f>
        <v>397979554329929.88</v>
      </c>
      <c r="AQ5" s="1">
        <f>建筑各项能耗拆分!$B$18*建筑各项能耗拆分!AQ181</f>
        <v>401939157322322.63</v>
      </c>
      <c r="AR5" s="1">
        <f>建筑各项能耗拆分!$B$18*建筑各项能耗拆分!AR181</f>
        <v>406051121215085.06</v>
      </c>
    </row>
    <row r="6" spans="1:44" x14ac:dyDescent="0.15">
      <c r="A6" t="s">
        <v>4</v>
      </c>
      <c r="B6" s="1">
        <f>建筑各项能耗拆分!$B$18*建筑各项能耗拆分!B182</f>
        <v>500091576859815.13</v>
      </c>
      <c r="C6" s="1">
        <f>建筑各项能耗拆分!$B$18*建筑各项能耗拆分!C182</f>
        <v>525908288594992</v>
      </c>
      <c r="D6" s="1">
        <f>建筑各项能耗拆分!$B$18*建筑各项能耗拆分!D182</f>
        <v>558176173485047.75</v>
      </c>
      <c r="E6" s="1">
        <f>建筑各项能耗拆分!$B$18*建筑各项能耗拆分!E182</f>
        <v>576908186413025.75</v>
      </c>
      <c r="F6" s="1">
        <f>建筑各项能耗拆分!$B$18*建筑各项能耗拆分!F182</f>
        <v>595283237541449.88</v>
      </c>
      <c r="G6" s="1">
        <f>建筑各项能耗拆分!$B$18*建筑各项能耗拆分!G182</f>
        <v>613293378072936.63</v>
      </c>
      <c r="H6" s="1">
        <f>建筑各项能耗拆分!$B$18*建筑各项能耗拆分!H182</f>
        <v>630931411304178</v>
      </c>
      <c r="I6" s="1">
        <f>建筑各项能耗拆分!$B$18*建筑各项能耗拆分!I182</f>
        <v>648191007268045.38</v>
      </c>
      <c r="J6" s="1">
        <f>建筑各项能耗拆分!$B$18*建筑各项能耗拆分!J182</f>
        <v>665066648760020.13</v>
      </c>
      <c r="K6" s="1">
        <f>建筑各项能耗拆分!$B$18*建筑各项能耗拆分!K182</f>
        <v>681553794102411.63</v>
      </c>
      <c r="L6" s="1">
        <f>建筑各项能耗拆分!$B$18*建筑各项能耗拆分!L182</f>
        <v>697648826172104.13</v>
      </c>
      <c r="M6" s="1">
        <f>建筑各项能耗拆分!$B$18*建筑各项能耗拆分!M182</f>
        <v>713349162903045.38</v>
      </c>
      <c r="N6" s="1">
        <f>建筑各项能耗拆分!$B$18*建筑各项能耗拆分!N182</f>
        <v>728653296458718.63</v>
      </c>
      <c r="O6" s="1">
        <f>建筑各项能耗拆分!$B$18*建筑各项能耗拆分!O182</f>
        <v>743560822794717.38</v>
      </c>
      <c r="P6" s="1">
        <f>建筑各项能耗拆分!$B$18*建筑各项能耗拆分!P182</f>
        <v>758072562448228</v>
      </c>
      <c r="Q6" s="1">
        <f>建筑各项能耗拆分!$B$18*建筑各项能耗拆分!Q182</f>
        <v>772190530927024.5</v>
      </c>
      <c r="R6" s="1">
        <f>建筑各项能耗拆分!$B$18*建筑各项能耗拆分!R182</f>
        <v>785918073837114.88</v>
      </c>
      <c r="S6" s="1">
        <f>建筑各项能耗拆分!$B$18*建筑各项能耗拆分!S182</f>
        <v>799259881469086.75</v>
      </c>
      <c r="T6" s="1">
        <f>建筑各项能耗拆分!$B$18*建筑各项能耗拆分!T182</f>
        <v>812222072334815.63</v>
      </c>
      <c r="U6" s="1">
        <f>建筑各项能耗拆分!$B$18*建筑各项能耗拆分!U182</f>
        <v>824812275982024.75</v>
      </c>
      <c r="V6" s="1">
        <f>建筑各项能耗拆分!$B$18*建筑各项能耗拆分!V182</f>
        <v>837039639251933.63</v>
      </c>
      <c r="W6" s="1">
        <f>建筑各项能耗拆分!$B$18*建筑各项能耗拆分!W182</f>
        <v>848914958531372.63</v>
      </c>
      <c r="X6" s="1">
        <f>建筑各项能耗拆分!$B$18*建筑各项能耗拆分!X182</f>
        <v>860450731127735.38</v>
      </c>
      <c r="Y6" s="1">
        <f>建筑各项能耗拆分!$B$18*建筑各项能耗拆分!Y182</f>
        <v>871661233719368.88</v>
      </c>
      <c r="Z6" s="1">
        <f>建筑各项能耗拆分!$B$18*建筑各项能耗拆分!Z182</f>
        <v>882562563390823.38</v>
      </c>
      <c r="AA6" s="1">
        <f>建筑各项能耗拆分!$B$18*建筑各项能耗拆分!AA182</f>
        <v>893172742440253.63</v>
      </c>
      <c r="AB6" s="1">
        <f>建筑各项能耗拆分!$B$18*建筑各项能耗拆分!AB182</f>
        <v>903511835689934.25</v>
      </c>
      <c r="AC6" s="1">
        <f>建筑各项能耗拆分!$B$18*建筑各项能耗拆分!AC182</f>
        <v>913601959284793.63</v>
      </c>
      <c r="AD6" s="1">
        <f>建筑各项能耗拆分!$B$18*建筑各项能耗拆分!AD182</f>
        <v>923467384139375.38</v>
      </c>
      <c r="AE6" s="1">
        <f>建筑各项能耗拆分!$B$18*建筑各项能耗拆分!AE182</f>
        <v>933134702613833.5</v>
      </c>
      <c r="AF6" s="1">
        <f>建筑各项能耗拆分!$B$18*建筑各项能耗拆分!AF182</f>
        <v>942632798281021.5</v>
      </c>
      <c r="AG6" s="1">
        <f>建筑各项能耗拆分!$B$18*建筑各项能耗拆分!AG182</f>
        <v>951993001903720.5</v>
      </c>
      <c r="AH6" s="1">
        <f>建筑各项能耗拆分!$B$18*建筑各项能耗拆分!AH182</f>
        <v>961249213485749.5</v>
      </c>
      <c r="AI6" s="1">
        <f>建筑各项能耗拆分!$B$18*建筑各项能耗拆分!AI182</f>
        <v>970437903502191.25</v>
      </c>
      <c r="AJ6" s="1">
        <f>建筑各项能耗拆分!$B$18*建筑各项能耗拆分!AJ182</f>
        <v>979598346142070.75</v>
      </c>
      <c r="AK6" s="1">
        <f>建筑各项能耗拆分!$B$18*建筑各项能耗拆分!AK182</f>
        <v>988772566171012.63</v>
      </c>
      <c r="AL6" s="1">
        <f>建筑各项能耗拆分!$B$18*建筑各项能耗拆分!AL182</f>
        <v>998005597391357.5</v>
      </c>
      <c r="AM6" s="1">
        <f>建筑各项能耗拆分!$B$18*建筑各项能耗拆分!AM182</f>
        <v>1007345494573984.4</v>
      </c>
      <c r="AN6" s="1">
        <f>建筑各项能耗拆分!$B$18*建筑各项能耗拆分!AN182</f>
        <v>1016843463467077.3</v>
      </c>
      <c r="AO6" s="1">
        <f>建筑各项能耗拆分!$B$18*建筑各项能耗拆分!AO182</f>
        <v>1026553979480640.8</v>
      </c>
      <c r="AP6" s="1">
        <f>建筑各项能耗拆分!$B$18*建筑各项能耗拆分!AP182</f>
        <v>1036534909747533</v>
      </c>
      <c r="AQ6" s="1">
        <f>建筑各项能耗拆分!$B$18*建筑各项能耗拆分!AQ182</f>
        <v>1046847667490242.1</v>
      </c>
      <c r="AR6" s="1">
        <f>建筑各项能耗拆分!$B$18*建筑各项能耗拆分!AR182</f>
        <v>1057557248110899.4</v>
      </c>
    </row>
    <row r="7" spans="1:44" x14ac:dyDescent="0.15">
      <c r="A7" t="s">
        <v>5</v>
      </c>
      <c r="B7" s="1">
        <f>建筑各项能耗拆分!$B$18*建筑各项能耗拆分!B183</f>
        <v>6450925366809.6318</v>
      </c>
      <c r="C7" s="1">
        <f>建筑各项能耗拆分!$B$18*建筑各项能耗拆分!C183</f>
        <v>6783947733764.5322</v>
      </c>
      <c r="D7" s="1">
        <f>建筑各项能耗拆分!$B$18*建筑各项能耗拆分!D183</f>
        <v>7200186932348.1641</v>
      </c>
      <c r="E7" s="1">
        <f>建筑各项能耗拆分!$B$18*建筑各项能耗拆分!E183</f>
        <v>7441820311033.0703</v>
      </c>
      <c r="F7" s="1">
        <f>建筑各项能耗拆分!$B$18*建筑各项能耗拆分!F183</f>
        <v>7678849065216.6318</v>
      </c>
      <c r="G7" s="1">
        <f>建筑各项能耗拆分!$B$18*建筑各项能耗拆分!G183</f>
        <v>7911170659481.2393</v>
      </c>
      <c r="H7" s="1">
        <f>建筑各项能耗拆分!$B$18*建筑各项能耗拆分!H183</f>
        <v>8138692260037.8955</v>
      </c>
      <c r="I7" s="1">
        <f>建筑各项能耗拆分!$B$18*建筑各项能耗拆分!I183</f>
        <v>8361332213550.665</v>
      </c>
      <c r="J7" s="1">
        <f>建筑各项能耗拆分!$B$18*建筑各项能耗拆分!J183</f>
        <v>8579019350905.2734</v>
      </c>
      <c r="K7" s="1">
        <f>建筑各项能耗拆分!$B$18*建筑各项能耗拆分!K183</f>
        <v>8791695086784.1934</v>
      </c>
      <c r="L7" s="1">
        <f>建筑各项能耗拆分!$B$18*建筑各项能耗拆分!L183</f>
        <v>8999312762150.6758</v>
      </c>
      <c r="M7" s="1">
        <f>建筑各项能耗拆分!$B$18*建筑各项能耗拆分!M183</f>
        <v>9201839069674.293</v>
      </c>
      <c r="N7" s="1">
        <f>建筑各项能耗拆分!$B$18*建筑各项能耗拆分!N183</f>
        <v>9399254559035.7754</v>
      </c>
      <c r="O7" s="1">
        <f>建筑各项能耗拆分!$B$18*建筑各项能耗拆分!O183</f>
        <v>9591554018269.0859</v>
      </c>
      <c r="P7" s="1">
        <f>建筑各项能耗拆分!$B$18*建筑各项能耗拆分!P183</f>
        <v>9778748031883.9395</v>
      </c>
      <c r="Q7" s="1">
        <f>建筑各项能耗拆分!$B$18*建筑各项能耗拆分!Q183</f>
        <v>9960862598898.9648</v>
      </c>
      <c r="R7" s="1">
        <f>建筑各项能耗拆分!$B$18*建筑各项能耗拆分!R183</f>
        <v>10137940875919.205</v>
      </c>
      <c r="S7" s="1">
        <f>建筑各项能耗拆分!$B$18*建筑各项能耗拆分!S183</f>
        <v>10310043365292.479</v>
      </c>
      <c r="T7" s="1">
        <f>建筑各项能耗拆分!$B$18*建筑各项能耗拆分!T183</f>
        <v>10477248992690.195</v>
      </c>
      <c r="U7" s="1">
        <f>建筑各项能耗拆分!$B$18*建筑各项能耗拆分!U183</f>
        <v>10639656175372.754</v>
      </c>
      <c r="V7" s="1">
        <f>建筑各项能耗拆分!$B$18*建筑各项能耗拆分!V183</f>
        <v>10797382902910.021</v>
      </c>
      <c r="W7" s="1">
        <f>建筑各项能耗拆分!$B$18*建筑各项能耗拆分!W183</f>
        <v>10950568443165.926</v>
      </c>
      <c r="X7" s="1">
        <f>建筑各项能耗拆分!$B$18*建筑各项能耗拆分!X183</f>
        <v>11099374005009.016</v>
      </c>
      <c r="Y7" s="1">
        <f>建筑各项能耗拆分!$B$18*建筑各项能耗拆分!Y183</f>
        <v>11243983750282.385</v>
      </c>
      <c r="Z7" s="1">
        <f>建筑各项能耗拆分!$B$18*建筑各项能耗拆分!Z183</f>
        <v>11384605323137.338</v>
      </c>
      <c r="AA7" s="1">
        <f>建筑各项能耗拆分!$B$18*建筑各项能耗拆分!AA183</f>
        <v>11521471201995.256</v>
      </c>
      <c r="AB7" s="1">
        <f>建筑各项能耗拆分!$B$18*建筑各项能耗拆分!AB183</f>
        <v>11654840212793.195</v>
      </c>
      <c r="AC7" s="1">
        <f>建筑各项能耗拆分!$B$18*建筑各项能耗拆分!AC183</f>
        <v>11784997642480.459</v>
      </c>
      <c r="AD7" s="1">
        <f>建筑各项能耗拆分!$B$18*建筑各项能耗拆分!AD183</f>
        <v>11912256573431.449</v>
      </c>
      <c r="AE7" s="1">
        <f>建筑各项能耗拆分!$B$18*建筑各项能耗拆分!AE183</f>
        <v>12036960033480.709</v>
      </c>
      <c r="AF7" s="1">
        <f>建筑各项能耗拆分!$B$18*建筑各项能耗拆分!AF183</f>
        <v>12159480605933.826</v>
      </c>
      <c r="AG7" s="1">
        <f>建筑各项能耗拆分!$B$18*建筑各项能耗拆分!AG183</f>
        <v>12280222441593.855</v>
      </c>
      <c r="AH7" s="1">
        <f>建筑各项能耗拆分!$B$18*建筑各项能耗拆分!AH183</f>
        <v>12399622833158.154</v>
      </c>
      <c r="AI7" s="1">
        <f>建筑各项能耗拆分!$B$18*建筑各项能耗拆分!AI183</f>
        <v>12518152231087.664</v>
      </c>
      <c r="AJ7" s="1">
        <f>建筑各项能耗拆分!$B$18*建筑各项能耗拆分!AJ183</f>
        <v>12636317252318.104</v>
      </c>
      <c r="AK7" s="1">
        <f>建筑各项能耗拆分!$B$18*建筑各项能耗拆分!AK183</f>
        <v>12754659994815.412</v>
      </c>
      <c r="AL7" s="1">
        <f>建筑各项能耗拆分!$B$18*建筑各项能耗拆分!AL183</f>
        <v>12873761371578.98</v>
      </c>
      <c r="AM7" s="1">
        <f>建筑各项能耗拆分!$B$18*建筑各项能耗拆分!AM183</f>
        <v>12994241264556.041</v>
      </c>
      <c r="AN7" s="1">
        <f>建筑各项能耗拆分!$B$18*建筑各项能耗拆分!AN183</f>
        <v>13116760201688.225</v>
      </c>
      <c r="AO7" s="1">
        <f>建筑各项能耗拆分!$B$18*建筑各项能耗拆分!AO183</f>
        <v>13242020887881.041</v>
      </c>
      <c r="AP7" s="1">
        <f>建筑各项能耗拆分!$B$18*建筑各项能耗拆分!AP183</f>
        <v>13370769779528.744</v>
      </c>
      <c r="AQ7" s="1">
        <f>建筑各项能耗拆分!$B$18*建筑各项能耗拆分!AQ183</f>
        <v>13503799075766.73</v>
      </c>
      <c r="AR7" s="1">
        <f>建筑各项能耗拆分!$B$18*建筑各项能耗拆分!AR183</f>
        <v>13641947184014.223</v>
      </c>
    </row>
    <row r="8" spans="1:44" x14ac:dyDescent="0.15">
      <c r="A8" t="s">
        <v>6</v>
      </c>
      <c r="B8" s="1">
        <f>建筑各项能耗拆分!$B$18*建筑各项能耗拆分!B184</f>
        <v>1764950681800.9961</v>
      </c>
      <c r="C8" s="1">
        <f>建筑各项能耗拆分!$B$18*建筑各项能耗拆分!C184</f>
        <v>1856064439935.0049</v>
      </c>
      <c r="D8" s="1">
        <f>建筑各项能耗拆分!$B$18*建筑各项能耗拆分!D184</f>
        <v>1969946032971.6028</v>
      </c>
      <c r="E8" s="1">
        <f>建筑各项能耗拆分!$B$18*建筑各项能耗拆分!E184</f>
        <v>2036056082647.5796</v>
      </c>
      <c r="F8" s="1">
        <f>建筑各项能耗拆分!$B$18*建筑各项能耗拆分!F184</f>
        <v>2100906323119.2986</v>
      </c>
      <c r="G8" s="1">
        <f>建筑各项能耗拆分!$B$18*建筑各项能耗拆分!G184</f>
        <v>2164468701054.1096</v>
      </c>
      <c r="H8" s="1">
        <f>建筑各项能耗拆分!$B$18*建筑各项能耗拆分!H184</f>
        <v>2226717817451.1143</v>
      </c>
      <c r="I8" s="1">
        <f>建筑各项能耗拆分!$B$18*建筑各项能耗拆分!I184</f>
        <v>2287631332242.3799</v>
      </c>
      <c r="J8" s="1">
        <f>建筑各项能耗拆分!$B$18*建筑各项能耗拆分!J184</f>
        <v>2347189773806.4521</v>
      </c>
      <c r="K8" s="1">
        <f>建筑各项能耗拆分!$B$18*建筑各项能耗拆分!K184</f>
        <v>2405377113404.7808</v>
      </c>
      <c r="L8" s="1">
        <f>建筑各项能耗拆分!$B$18*建筑各项能耗拆分!L184</f>
        <v>2462180585287.6431</v>
      </c>
      <c r="M8" s="1">
        <f>建筑各项能耗拆分!$B$18*建筑各项能耗拆分!M184</f>
        <v>2517591076685.5972</v>
      </c>
      <c r="N8" s="1">
        <f>建筑各项能耗拆分!$B$18*建筑各项能耗拆分!N184</f>
        <v>2571603266059.1255</v>
      </c>
      <c r="O8" s="1">
        <f>建筑各项能耗拆分!$B$18*建筑各项能耗拆分!O184</f>
        <v>2624215727432.501</v>
      </c>
      <c r="P8" s="1">
        <f>建筑各项能耗拆分!$B$18*建筑各项能耗拆分!P184</f>
        <v>2675431356690.6631</v>
      </c>
      <c r="Q8" s="1">
        <f>建筑各项能耗拆分!$B$18*建筑各项能耗拆分!Q184</f>
        <v>2725257267074.4365</v>
      </c>
      <c r="R8" s="1">
        <f>建筑各项能耗拆分!$B$18*建筑各项能耗拆分!R184</f>
        <v>2773705266080.4424</v>
      </c>
      <c r="S8" s="1">
        <f>建筑各项能耗拆分!$B$18*建筑各项能耗拆分!S184</f>
        <v>2820791906940.0371</v>
      </c>
      <c r="T8" s="1">
        <f>建筑各项能耗拆分!$B$18*建筑各项能耗拆分!T184</f>
        <v>2866538783441.6504</v>
      </c>
      <c r="U8" s="1">
        <f>建筑各项能耗拆分!$B$18*建筑各项能耗拆分!U184</f>
        <v>2910972822204.4829</v>
      </c>
      <c r="V8" s="1">
        <f>建筑各项能耗拆分!$B$18*建筑各项能耗拆分!V184</f>
        <v>2954126304763.3452</v>
      </c>
      <c r="W8" s="1">
        <f>建筑各项能耗拆分!$B$18*建筑各项能耗拆分!W184</f>
        <v>2996037334320.0894</v>
      </c>
      <c r="X8" s="1">
        <f>建筑各项能耗拆分!$B$18*建筑各项能耗拆分!X184</f>
        <v>3036750017058.9126</v>
      </c>
      <c r="Y8" s="1">
        <f>建筑各项能耗拆分!$B$18*建筑各项能耗拆分!Y184</f>
        <v>3076314739017.7905</v>
      </c>
      <c r="Z8" s="1">
        <f>建筑各项能耗拆分!$B$18*建筑各项能耗拆分!Z184</f>
        <v>3114788310912.333</v>
      </c>
      <c r="AA8" s="1">
        <f>建筑各项能耗拆分!$B$18*建筑各项能耗拆分!AA184</f>
        <v>3152234338027.8262</v>
      </c>
      <c r="AB8" s="1">
        <f>建筑各项能耗拆分!$B$18*建筑各项能耗拆分!AB184</f>
        <v>3188723634237.9546</v>
      </c>
      <c r="AC8" s="1">
        <f>建筑各项能耗拆分!$B$18*建筑各项能耗拆分!AC184</f>
        <v>3224334253057.0664</v>
      </c>
      <c r="AD8" s="1">
        <f>建筑各项能耗拆分!$B$18*建筑各项能耗拆分!AD184</f>
        <v>3259151852730.8789</v>
      </c>
      <c r="AE8" s="1">
        <f>建筑各项能耗拆分!$B$18*建筑各项能耗拆分!AE184</f>
        <v>3293270284478.5605</v>
      </c>
      <c r="AF8" s="1">
        <f>建筑各项能耗拆分!$B$18*建筑各项能耗拆分!AF184</f>
        <v>3326791485793.083</v>
      </c>
      <c r="AG8" s="1">
        <f>建筑各项能耗拆分!$B$18*建筑各项能耗拆分!AG184</f>
        <v>3359826030924.6226</v>
      </c>
      <c r="AH8" s="1">
        <f>建筑各项能耗拆分!$B$18*建筑各项能耗拆分!AH184</f>
        <v>3392493561630.0557</v>
      </c>
      <c r="AI8" s="1">
        <f>建筑各项能耗拆分!$B$18*建筑各项能耗拆分!AI184</f>
        <v>3424922791514.731</v>
      </c>
      <c r="AJ8" s="1">
        <f>建筑各项能耗拆分!$B$18*建筑各项能耗拆分!AJ184</f>
        <v>3457252329205.3579</v>
      </c>
      <c r="AK8" s="1">
        <f>建筑各项能耗拆分!$B$18*建筑各项能耗拆分!AK184</f>
        <v>3489630490814.7705</v>
      </c>
      <c r="AL8" s="1">
        <f>建筑各项能耗拆分!$B$18*建筑各项能耗拆分!AL184</f>
        <v>3522216212113.5835</v>
      </c>
      <c r="AM8" s="1">
        <f>建筑各项能耗拆分!$B$18*建筑各项能耗拆分!AM184</f>
        <v>3555179090640.6279</v>
      </c>
      <c r="AN8" s="1">
        <f>建筑各项能耗拆分!$B$18*建筑各项能耗拆分!AN184</f>
        <v>3588699844537.0449</v>
      </c>
      <c r="AO8" s="1">
        <f>建筑各项能耗拆分!$B$18*建筑各项能耗拆分!AO184</f>
        <v>3622970731414.1953</v>
      </c>
      <c r="AP8" s="1">
        <f>建筑各项能耗拆分!$B$18*建筑各项能耗拆分!AP184</f>
        <v>3658195979138.1694</v>
      </c>
      <c r="AQ8" s="1">
        <f>建筑各项能耗拆分!$B$18*建筑各项能耗拆分!AQ184</f>
        <v>3694592330629.499</v>
      </c>
      <c r="AR8" s="1">
        <f>建筑各项能耗拆分!$B$18*建筑各项能耗拆分!AR184</f>
        <v>3732389171234.0146</v>
      </c>
    </row>
    <row r="9" spans="1:44" x14ac:dyDescent="0.15">
      <c r="A9" t="s">
        <v>7</v>
      </c>
      <c r="B9" s="1">
        <f>建筑各项能耗拆分!$B$18*建筑各项能耗拆分!B185</f>
        <v>0</v>
      </c>
      <c r="C9" s="1">
        <f>建筑各项能耗拆分!$B$18*建筑各项能耗拆分!C185</f>
        <v>0</v>
      </c>
      <c r="D9" s="1">
        <f>建筑各项能耗拆分!$B$18*建筑各项能耗拆分!D185</f>
        <v>0</v>
      </c>
      <c r="E9" s="1">
        <f>建筑各项能耗拆分!$B$18*建筑各项能耗拆分!E185</f>
        <v>0</v>
      </c>
      <c r="F9" s="1">
        <f>建筑各项能耗拆分!$B$18*建筑各项能耗拆分!F185</f>
        <v>0</v>
      </c>
      <c r="G9" s="1">
        <f>建筑各项能耗拆分!$B$18*建筑各项能耗拆分!G185</f>
        <v>0</v>
      </c>
      <c r="H9" s="1">
        <f>建筑各项能耗拆分!$B$18*建筑各项能耗拆分!H185</f>
        <v>0</v>
      </c>
      <c r="I9" s="1">
        <f>建筑各项能耗拆分!$B$18*建筑各项能耗拆分!I185</f>
        <v>0</v>
      </c>
      <c r="J9" s="1">
        <f>建筑各项能耗拆分!$B$18*建筑各项能耗拆分!J185</f>
        <v>0</v>
      </c>
      <c r="K9" s="1">
        <f>建筑各项能耗拆分!$B$18*建筑各项能耗拆分!K185</f>
        <v>0</v>
      </c>
      <c r="L9" s="1">
        <f>建筑各项能耗拆分!$B$18*建筑各项能耗拆分!L185</f>
        <v>0</v>
      </c>
      <c r="M9" s="1">
        <f>建筑各项能耗拆分!$B$18*建筑各项能耗拆分!M185</f>
        <v>0</v>
      </c>
      <c r="N9" s="1">
        <f>建筑各项能耗拆分!$B$18*建筑各项能耗拆分!N185</f>
        <v>0</v>
      </c>
      <c r="O9" s="1">
        <f>建筑各项能耗拆分!$B$18*建筑各项能耗拆分!O185</f>
        <v>0</v>
      </c>
      <c r="P9" s="1">
        <f>建筑各项能耗拆分!$B$18*建筑各项能耗拆分!P185</f>
        <v>0</v>
      </c>
      <c r="Q9" s="1">
        <f>建筑各项能耗拆分!$B$18*建筑各项能耗拆分!Q185</f>
        <v>0</v>
      </c>
      <c r="R9" s="1">
        <f>建筑各项能耗拆分!$B$18*建筑各项能耗拆分!R185</f>
        <v>0</v>
      </c>
      <c r="S9" s="1">
        <f>建筑各项能耗拆分!$B$18*建筑各项能耗拆分!S185</f>
        <v>0</v>
      </c>
      <c r="T9" s="1">
        <f>建筑各项能耗拆分!$B$18*建筑各项能耗拆分!T185</f>
        <v>0</v>
      </c>
      <c r="U9" s="1">
        <f>建筑各项能耗拆分!$B$18*建筑各项能耗拆分!U185</f>
        <v>0</v>
      </c>
      <c r="V9" s="1">
        <f>建筑各项能耗拆分!$B$18*建筑各项能耗拆分!V185</f>
        <v>0</v>
      </c>
      <c r="W9" s="1">
        <f>建筑各项能耗拆分!$B$18*建筑各项能耗拆分!W185</f>
        <v>0</v>
      </c>
      <c r="X9" s="1">
        <f>建筑各项能耗拆分!$B$18*建筑各项能耗拆分!X185</f>
        <v>0</v>
      </c>
      <c r="Y9" s="1">
        <f>建筑各项能耗拆分!$B$18*建筑各项能耗拆分!Y185</f>
        <v>0</v>
      </c>
      <c r="Z9" s="1">
        <f>建筑各项能耗拆分!$B$18*建筑各项能耗拆分!Z185</f>
        <v>0</v>
      </c>
      <c r="AA9" s="1">
        <f>建筑各项能耗拆分!$B$18*建筑各项能耗拆分!AA185</f>
        <v>0</v>
      </c>
      <c r="AB9" s="1">
        <f>建筑各项能耗拆分!$B$18*建筑各项能耗拆分!AB185</f>
        <v>0</v>
      </c>
      <c r="AC9" s="1">
        <f>建筑各项能耗拆分!$B$18*建筑各项能耗拆分!AC185</f>
        <v>0</v>
      </c>
      <c r="AD9" s="1">
        <f>建筑各项能耗拆分!$B$18*建筑各项能耗拆分!AD185</f>
        <v>0</v>
      </c>
      <c r="AE9" s="1">
        <f>建筑各项能耗拆分!$B$18*建筑各项能耗拆分!AE185</f>
        <v>0</v>
      </c>
      <c r="AF9" s="1">
        <f>建筑各项能耗拆分!$B$18*建筑各项能耗拆分!AF185</f>
        <v>0</v>
      </c>
      <c r="AG9" s="1">
        <f>建筑各项能耗拆分!$B$18*建筑各项能耗拆分!AG185</f>
        <v>0</v>
      </c>
      <c r="AH9" s="1">
        <f>建筑各项能耗拆分!$B$18*建筑各项能耗拆分!AH185</f>
        <v>0</v>
      </c>
      <c r="AI9" s="1">
        <f>建筑各项能耗拆分!$B$18*建筑各项能耗拆分!AI185</f>
        <v>0</v>
      </c>
      <c r="AJ9" s="1">
        <f>建筑各项能耗拆分!$B$18*建筑各项能耗拆分!AJ185</f>
        <v>0</v>
      </c>
      <c r="AK9" s="1">
        <f>建筑各项能耗拆分!$B$18*建筑各项能耗拆分!AK185</f>
        <v>0</v>
      </c>
      <c r="AL9" s="1">
        <f>建筑各项能耗拆分!$B$18*建筑各项能耗拆分!AL185</f>
        <v>0</v>
      </c>
      <c r="AM9" s="1">
        <f>建筑各项能耗拆分!$B$18*建筑各项能耗拆分!AM185</f>
        <v>0</v>
      </c>
      <c r="AN9" s="1">
        <f>建筑各项能耗拆分!$B$18*建筑各项能耗拆分!AN185</f>
        <v>0</v>
      </c>
      <c r="AO9" s="1">
        <f>建筑各项能耗拆分!$B$18*建筑各项能耗拆分!AO185</f>
        <v>0</v>
      </c>
      <c r="AP9" s="1">
        <f>建筑各项能耗拆分!$B$18*建筑各项能耗拆分!AP185</f>
        <v>0</v>
      </c>
      <c r="AQ9" s="1">
        <f>建筑各项能耗拆分!$B$18*建筑各项能耗拆分!AQ185</f>
        <v>0</v>
      </c>
      <c r="AR9" s="1">
        <f>建筑各项能耗拆分!$B$18*建筑各项能耗拆分!AR185</f>
        <v>0</v>
      </c>
    </row>
    <row r="10" spans="1:44" x14ac:dyDescent="0.15">
      <c r="A10" t="s">
        <v>8</v>
      </c>
      <c r="B10" s="1">
        <f>建筑各项能耗拆分!$B$18*建筑各项能耗拆分!B186</f>
        <v>0</v>
      </c>
      <c r="C10" s="1">
        <f>建筑各项能耗拆分!$B$18*建筑各项能耗拆分!C186</f>
        <v>0</v>
      </c>
      <c r="D10" s="1">
        <f>建筑各项能耗拆分!$B$18*建筑各项能耗拆分!D186</f>
        <v>0</v>
      </c>
      <c r="E10" s="1">
        <f>建筑各项能耗拆分!$B$18*建筑各项能耗拆分!E186</f>
        <v>0</v>
      </c>
      <c r="F10" s="1">
        <f>建筑各项能耗拆分!$B$18*建筑各项能耗拆分!F186</f>
        <v>0</v>
      </c>
      <c r="G10" s="1">
        <f>建筑各项能耗拆分!$B$18*建筑各项能耗拆分!G186</f>
        <v>0</v>
      </c>
      <c r="H10" s="1">
        <f>建筑各项能耗拆分!$B$18*建筑各项能耗拆分!H186</f>
        <v>0</v>
      </c>
      <c r="I10" s="1">
        <f>建筑各项能耗拆分!$B$18*建筑各项能耗拆分!I186</f>
        <v>0</v>
      </c>
      <c r="J10" s="1">
        <f>建筑各项能耗拆分!$B$18*建筑各项能耗拆分!J186</f>
        <v>0</v>
      </c>
      <c r="K10" s="1">
        <f>建筑各项能耗拆分!$B$18*建筑各项能耗拆分!K186</f>
        <v>0</v>
      </c>
      <c r="L10" s="1">
        <f>建筑各项能耗拆分!$B$18*建筑各项能耗拆分!L186</f>
        <v>0</v>
      </c>
      <c r="M10" s="1">
        <f>建筑各项能耗拆分!$B$18*建筑各项能耗拆分!M186</f>
        <v>0</v>
      </c>
      <c r="N10" s="1">
        <f>建筑各项能耗拆分!$B$18*建筑各项能耗拆分!N186</f>
        <v>0</v>
      </c>
      <c r="O10" s="1">
        <f>建筑各项能耗拆分!$B$18*建筑各项能耗拆分!O186</f>
        <v>0</v>
      </c>
      <c r="P10" s="1">
        <f>建筑各项能耗拆分!$B$18*建筑各项能耗拆分!P186</f>
        <v>0</v>
      </c>
      <c r="Q10" s="1">
        <f>建筑各项能耗拆分!$B$18*建筑各项能耗拆分!Q186</f>
        <v>0</v>
      </c>
      <c r="R10" s="1">
        <f>建筑各项能耗拆分!$B$18*建筑各项能耗拆分!R186</f>
        <v>0</v>
      </c>
      <c r="S10" s="1">
        <f>建筑各项能耗拆分!$B$18*建筑各项能耗拆分!S186</f>
        <v>0</v>
      </c>
      <c r="T10" s="1">
        <f>建筑各项能耗拆分!$B$18*建筑各项能耗拆分!T186</f>
        <v>0</v>
      </c>
      <c r="U10" s="1">
        <f>建筑各项能耗拆分!$B$18*建筑各项能耗拆分!U186</f>
        <v>0</v>
      </c>
      <c r="V10" s="1">
        <f>建筑各项能耗拆分!$B$18*建筑各项能耗拆分!V186</f>
        <v>0</v>
      </c>
      <c r="W10" s="1">
        <f>建筑各项能耗拆分!$B$18*建筑各项能耗拆分!W186</f>
        <v>0</v>
      </c>
      <c r="X10" s="1">
        <f>建筑各项能耗拆分!$B$18*建筑各项能耗拆分!X186</f>
        <v>0</v>
      </c>
      <c r="Y10" s="1">
        <f>建筑各项能耗拆分!$B$18*建筑各项能耗拆分!Y186</f>
        <v>0</v>
      </c>
      <c r="Z10" s="1">
        <f>建筑各项能耗拆分!$B$18*建筑各项能耗拆分!Z186</f>
        <v>0</v>
      </c>
      <c r="AA10" s="1">
        <f>建筑各项能耗拆分!$B$18*建筑各项能耗拆分!AA186</f>
        <v>0</v>
      </c>
      <c r="AB10" s="1">
        <f>建筑各项能耗拆分!$B$18*建筑各项能耗拆分!AB186</f>
        <v>0</v>
      </c>
      <c r="AC10" s="1">
        <f>建筑各项能耗拆分!$B$18*建筑各项能耗拆分!AC186</f>
        <v>0</v>
      </c>
      <c r="AD10" s="1">
        <f>建筑各项能耗拆分!$B$18*建筑各项能耗拆分!AD186</f>
        <v>0</v>
      </c>
      <c r="AE10" s="1">
        <f>建筑各项能耗拆分!$B$18*建筑各项能耗拆分!AE186</f>
        <v>0</v>
      </c>
      <c r="AF10" s="1">
        <f>建筑各项能耗拆分!$B$18*建筑各项能耗拆分!AF186</f>
        <v>0</v>
      </c>
      <c r="AG10" s="1">
        <f>建筑各项能耗拆分!$B$18*建筑各项能耗拆分!AG186</f>
        <v>0</v>
      </c>
      <c r="AH10" s="1">
        <f>建筑各项能耗拆分!$B$18*建筑各项能耗拆分!AH186</f>
        <v>0</v>
      </c>
      <c r="AI10" s="1">
        <f>建筑各项能耗拆分!$B$18*建筑各项能耗拆分!AI186</f>
        <v>0</v>
      </c>
      <c r="AJ10" s="1">
        <f>建筑各项能耗拆分!$B$18*建筑各项能耗拆分!AJ186</f>
        <v>0</v>
      </c>
      <c r="AK10" s="1">
        <f>建筑各项能耗拆分!$B$18*建筑各项能耗拆分!AK186</f>
        <v>0</v>
      </c>
      <c r="AL10" s="1">
        <f>建筑各项能耗拆分!$B$18*建筑各项能耗拆分!AL186</f>
        <v>0</v>
      </c>
      <c r="AM10" s="1">
        <f>建筑各项能耗拆分!$B$18*建筑各项能耗拆分!AM186</f>
        <v>0</v>
      </c>
      <c r="AN10" s="1">
        <f>建筑各项能耗拆分!$B$18*建筑各项能耗拆分!AN186</f>
        <v>0</v>
      </c>
      <c r="AO10" s="1">
        <f>建筑各项能耗拆分!$B$18*建筑各项能耗拆分!AO186</f>
        <v>0</v>
      </c>
      <c r="AP10" s="1">
        <f>建筑各项能耗拆分!$B$18*建筑各项能耗拆分!AP186</f>
        <v>0</v>
      </c>
      <c r="AQ10" s="1">
        <f>建筑各项能耗拆分!$B$18*建筑各项能耗拆分!AQ186</f>
        <v>0</v>
      </c>
      <c r="AR10" s="1">
        <f>建筑各项能耗拆分!$B$18*建筑各项能耗拆分!AR186</f>
        <v>0</v>
      </c>
    </row>
    <row r="11" spans="1:44" x14ac:dyDescent="0.15">
      <c r="A11" t="s">
        <v>9</v>
      </c>
      <c r="B11" s="1">
        <f>建筑各项能耗拆分!$B$18*建筑各项能耗拆分!B187</f>
        <v>0</v>
      </c>
      <c r="C11" s="1">
        <f>建筑各项能耗拆分!$B$18*建筑各项能耗拆分!C187</f>
        <v>0</v>
      </c>
      <c r="D11" s="1">
        <f>建筑各项能耗拆分!$B$18*建筑各项能耗拆分!D187</f>
        <v>0</v>
      </c>
      <c r="E11" s="1">
        <f>建筑各项能耗拆分!$B$18*建筑各项能耗拆分!E187</f>
        <v>0</v>
      </c>
      <c r="F11" s="1">
        <f>建筑各项能耗拆分!$B$18*建筑各项能耗拆分!F187</f>
        <v>0</v>
      </c>
      <c r="G11" s="1">
        <f>建筑各项能耗拆分!$B$18*建筑各项能耗拆分!G187</f>
        <v>0</v>
      </c>
      <c r="H11" s="1">
        <f>建筑各项能耗拆分!$B$18*建筑各项能耗拆分!H187</f>
        <v>0</v>
      </c>
      <c r="I11" s="1">
        <f>建筑各项能耗拆分!$B$18*建筑各项能耗拆分!I187</f>
        <v>0</v>
      </c>
      <c r="J11" s="1">
        <f>建筑各项能耗拆分!$B$18*建筑各项能耗拆分!J187</f>
        <v>0</v>
      </c>
      <c r="K11" s="1">
        <f>建筑各项能耗拆分!$B$18*建筑各项能耗拆分!K187</f>
        <v>0</v>
      </c>
      <c r="L11" s="1">
        <f>建筑各项能耗拆分!$B$18*建筑各项能耗拆分!L187</f>
        <v>0</v>
      </c>
      <c r="M11" s="1">
        <f>建筑各项能耗拆分!$B$18*建筑各项能耗拆分!M187</f>
        <v>0</v>
      </c>
      <c r="N11" s="1">
        <f>建筑各项能耗拆分!$B$18*建筑各项能耗拆分!N187</f>
        <v>0</v>
      </c>
      <c r="O11" s="1">
        <f>建筑各项能耗拆分!$B$18*建筑各项能耗拆分!O187</f>
        <v>0</v>
      </c>
      <c r="P11" s="1">
        <f>建筑各项能耗拆分!$B$18*建筑各项能耗拆分!P187</f>
        <v>0</v>
      </c>
      <c r="Q11" s="1">
        <f>建筑各项能耗拆分!$B$18*建筑各项能耗拆分!Q187</f>
        <v>0</v>
      </c>
      <c r="R11" s="1">
        <f>建筑各项能耗拆分!$B$18*建筑各项能耗拆分!R187</f>
        <v>0</v>
      </c>
      <c r="S11" s="1">
        <f>建筑各项能耗拆分!$B$18*建筑各项能耗拆分!S187</f>
        <v>0</v>
      </c>
      <c r="T11" s="1">
        <f>建筑各项能耗拆分!$B$18*建筑各项能耗拆分!T187</f>
        <v>0</v>
      </c>
      <c r="U11" s="1">
        <f>建筑各项能耗拆分!$B$18*建筑各项能耗拆分!U187</f>
        <v>0</v>
      </c>
      <c r="V11" s="1">
        <f>建筑各项能耗拆分!$B$18*建筑各项能耗拆分!V187</f>
        <v>0</v>
      </c>
      <c r="W11" s="1">
        <f>建筑各项能耗拆分!$B$18*建筑各项能耗拆分!W187</f>
        <v>0</v>
      </c>
      <c r="X11" s="1">
        <f>建筑各项能耗拆分!$B$18*建筑各项能耗拆分!X187</f>
        <v>0</v>
      </c>
      <c r="Y11" s="1">
        <f>建筑各项能耗拆分!$B$18*建筑各项能耗拆分!Y187</f>
        <v>0</v>
      </c>
      <c r="Z11" s="1">
        <f>建筑各项能耗拆分!$B$18*建筑各项能耗拆分!Z187</f>
        <v>0</v>
      </c>
      <c r="AA11" s="1">
        <f>建筑各项能耗拆分!$B$18*建筑各项能耗拆分!AA187</f>
        <v>0</v>
      </c>
      <c r="AB11" s="1">
        <f>建筑各项能耗拆分!$B$18*建筑各项能耗拆分!AB187</f>
        <v>0</v>
      </c>
      <c r="AC11" s="1">
        <f>建筑各项能耗拆分!$B$18*建筑各项能耗拆分!AC187</f>
        <v>0</v>
      </c>
      <c r="AD11" s="1">
        <f>建筑各项能耗拆分!$B$18*建筑各项能耗拆分!AD187</f>
        <v>0</v>
      </c>
      <c r="AE11" s="1">
        <f>建筑各项能耗拆分!$B$18*建筑各项能耗拆分!AE187</f>
        <v>0</v>
      </c>
      <c r="AF11" s="1">
        <f>建筑各项能耗拆分!$B$18*建筑各项能耗拆分!AF187</f>
        <v>0</v>
      </c>
      <c r="AG11" s="1">
        <f>建筑各项能耗拆分!$B$18*建筑各项能耗拆分!AG187</f>
        <v>0</v>
      </c>
      <c r="AH11" s="1">
        <f>建筑各项能耗拆分!$B$18*建筑各项能耗拆分!AH187</f>
        <v>0</v>
      </c>
      <c r="AI11" s="1">
        <f>建筑各项能耗拆分!$B$18*建筑各项能耗拆分!AI187</f>
        <v>0</v>
      </c>
      <c r="AJ11" s="1">
        <f>建筑各项能耗拆分!$B$18*建筑各项能耗拆分!AJ187</f>
        <v>0</v>
      </c>
      <c r="AK11" s="1">
        <f>建筑各项能耗拆分!$B$18*建筑各项能耗拆分!AK187</f>
        <v>0</v>
      </c>
      <c r="AL11" s="1">
        <f>建筑各项能耗拆分!$B$18*建筑各项能耗拆分!AL187</f>
        <v>0</v>
      </c>
      <c r="AM11" s="1">
        <f>建筑各项能耗拆分!$B$18*建筑各项能耗拆分!AM187</f>
        <v>0</v>
      </c>
      <c r="AN11" s="1">
        <f>建筑各项能耗拆分!$B$18*建筑各项能耗拆分!AN187</f>
        <v>0</v>
      </c>
      <c r="AO11" s="1">
        <f>建筑各项能耗拆分!$B$18*建筑各项能耗拆分!AO187</f>
        <v>0</v>
      </c>
      <c r="AP11" s="1">
        <f>建筑各项能耗拆分!$B$18*建筑各项能耗拆分!AP187</f>
        <v>0</v>
      </c>
      <c r="AQ11" s="1">
        <f>建筑各项能耗拆分!$B$18*建筑各项能耗拆分!AQ187</f>
        <v>0</v>
      </c>
      <c r="AR11" s="1">
        <f>建筑各项能耗拆分!$B$18*建筑各项能耗拆分!AR187</f>
        <v>0</v>
      </c>
    </row>
    <row r="12" spans="1:44" x14ac:dyDescent="0.15">
      <c r="A12" t="s">
        <v>1160</v>
      </c>
      <c r="B12" s="1">
        <f>SUM(B2:B11)</f>
        <v>1128926201694130.8</v>
      </c>
      <c r="C12" s="1">
        <f t="shared" ref="C12:AR12" si="0">SUM(C2:C11)</f>
        <v>1187205852198213</v>
      </c>
      <c r="D12" s="1">
        <f t="shared" si="0"/>
        <v>1260048632223371.3</v>
      </c>
      <c r="E12" s="1">
        <f t="shared" si="0"/>
        <v>1302335007726143.5</v>
      </c>
      <c r="F12" s="1">
        <f t="shared" si="0"/>
        <v>1343815563760708</v>
      </c>
      <c r="G12" s="1">
        <f t="shared" si="0"/>
        <v>1384472356402285</v>
      </c>
      <c r="H12" s="1">
        <f t="shared" si="0"/>
        <v>1424289139532551.5</v>
      </c>
      <c r="I12" s="1">
        <f t="shared" si="0"/>
        <v>1463251623637190.3</v>
      </c>
      <c r="J12" s="1">
        <f t="shared" si="0"/>
        <v>1501347353963852.8</v>
      </c>
      <c r="K12" s="1">
        <f t="shared" si="0"/>
        <v>1538566077952444.5</v>
      </c>
      <c r="L12" s="1">
        <f t="shared" si="0"/>
        <v>1574899630168375</v>
      </c>
      <c r="M12" s="1">
        <f t="shared" si="0"/>
        <v>1610342181755179.3</v>
      </c>
      <c r="N12" s="1">
        <f t="shared" si="0"/>
        <v>1644890328863982</v>
      </c>
      <c r="O12" s="1">
        <f t="shared" si="0"/>
        <v>1678543159389203.5</v>
      </c>
      <c r="P12" s="1">
        <f t="shared" si="0"/>
        <v>1711302525643445.5</v>
      </c>
      <c r="Q12" s="1">
        <f t="shared" si="0"/>
        <v>1743172977512449.5</v>
      </c>
      <c r="R12" s="1">
        <f t="shared" si="0"/>
        <v>1774162067497514.3</v>
      </c>
      <c r="S12" s="1">
        <f t="shared" si="0"/>
        <v>1804280383643274</v>
      </c>
      <c r="T12" s="1">
        <f t="shared" si="0"/>
        <v>1833541738116724.5</v>
      </c>
      <c r="U12" s="1">
        <f t="shared" si="0"/>
        <v>1861963354156027.5</v>
      </c>
      <c r="V12" s="1">
        <f t="shared" si="0"/>
        <v>1889565880196776.8</v>
      </c>
      <c r="W12" s="1">
        <f t="shared" si="0"/>
        <v>1916373688423069.5</v>
      </c>
      <c r="X12" s="1">
        <f t="shared" si="0"/>
        <v>1942414990743323.5</v>
      </c>
      <c r="Y12" s="1">
        <f t="shared" si="0"/>
        <v>1967722015887246.3</v>
      </c>
      <c r="Z12" s="1">
        <f t="shared" si="0"/>
        <v>1992331102040401.5</v>
      </c>
      <c r="AA12" s="1">
        <f t="shared" si="0"/>
        <v>2016282933440524.5</v>
      </c>
      <c r="AB12" s="1">
        <f t="shared" si="0"/>
        <v>2039622805198843.3</v>
      </c>
      <c r="AC12" s="1">
        <f t="shared" si="0"/>
        <v>2062400643162233</v>
      </c>
      <c r="AD12" s="1">
        <f t="shared" si="0"/>
        <v>2084671237438417</v>
      </c>
      <c r="AE12" s="1">
        <f t="shared" si="0"/>
        <v>2106494618656846.5</v>
      </c>
      <c r="AF12" s="1">
        <f t="shared" si="0"/>
        <v>2127935989719754</v>
      </c>
      <c r="AG12" s="1">
        <f t="shared" si="0"/>
        <v>2149066077911220</v>
      </c>
      <c r="AH12" s="1">
        <f t="shared" si="0"/>
        <v>2169961410420103</v>
      </c>
      <c r="AI12" s="1">
        <f t="shared" si="0"/>
        <v>2190704317117198.3</v>
      </c>
      <c r="AJ12" s="1">
        <f t="shared" si="0"/>
        <v>2211383457086346</v>
      </c>
      <c r="AK12" s="1">
        <f t="shared" si="0"/>
        <v>2232093698670124.8</v>
      </c>
      <c r="AL12" s="1">
        <f t="shared" si="0"/>
        <v>2252936702927781.5</v>
      </c>
      <c r="AM12" s="1">
        <f t="shared" si="0"/>
        <v>2274020950570593</v>
      </c>
      <c r="AN12" s="1">
        <f t="shared" si="0"/>
        <v>2295462035448721.5</v>
      </c>
      <c r="AO12" s="1">
        <f t="shared" si="0"/>
        <v>2317382932474258</v>
      </c>
      <c r="AP12" s="1">
        <f t="shared" si="0"/>
        <v>2339914273166555</v>
      </c>
      <c r="AQ12" s="1">
        <f t="shared" si="0"/>
        <v>2363194694125799</v>
      </c>
      <c r="AR12" s="1">
        <f t="shared" si="0"/>
        <v>2387370918504008.5</v>
      </c>
    </row>
    <row r="13" spans="1:44" x14ac:dyDescent="0.15">
      <c r="G13" s="49"/>
      <c r="H13" s="49"/>
    </row>
    <row r="14" spans="1:44" x14ac:dyDescent="0.15">
      <c r="F14" s="49"/>
      <c r="G14" s="49"/>
      <c r="H14" s="49"/>
    </row>
    <row r="15" spans="1:44" x14ac:dyDescent="0.15">
      <c r="F15" s="49"/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4CAA-BC69-49B4-A4D2-B51016CFC73D}">
  <sheetPr>
    <tabColor rgb="FF002060"/>
  </sheetPr>
  <dimension ref="A1:AR15"/>
  <sheetViews>
    <sheetView workbookViewId="0">
      <selection activeCell="B2" sqref="B2:AR11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</row>
    <row r="3" spans="1:44" x14ac:dyDescent="0.1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1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1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15">
      <c r="A6" t="s">
        <v>4</v>
      </c>
      <c r="B6" s="1">
        <f>建筑各项能耗拆分!$B$18*建筑各项能耗拆分!B182</f>
        <v>500091576859815.13</v>
      </c>
      <c r="C6" s="1">
        <f>建筑各项能耗拆分!$B$18*建筑各项能耗拆分!C182</f>
        <v>525908288594992</v>
      </c>
      <c r="D6" s="1">
        <f>建筑各项能耗拆分!$B$18*建筑各项能耗拆分!D182</f>
        <v>558176173485047.75</v>
      </c>
      <c r="E6" s="1">
        <f>建筑各项能耗拆分!$B$18*建筑各项能耗拆分!E182</f>
        <v>576908186413025.75</v>
      </c>
      <c r="F6" s="1">
        <f>建筑各项能耗拆分!$B$18*建筑各项能耗拆分!F182</f>
        <v>595283237541449.88</v>
      </c>
      <c r="G6" s="1">
        <f>建筑各项能耗拆分!$B$18*建筑各项能耗拆分!G182</f>
        <v>613293378072936.63</v>
      </c>
      <c r="H6" s="1">
        <f>建筑各项能耗拆分!$B$18*建筑各项能耗拆分!H182</f>
        <v>630931411304178</v>
      </c>
      <c r="I6" s="1">
        <f>建筑各项能耗拆分!$B$18*建筑各项能耗拆分!I182</f>
        <v>648191007268045.38</v>
      </c>
      <c r="J6" s="1">
        <f>建筑各项能耗拆分!$B$18*建筑各项能耗拆分!J182</f>
        <v>665066648760020.13</v>
      </c>
      <c r="K6" s="1">
        <f>建筑各项能耗拆分!$B$18*建筑各项能耗拆分!K182</f>
        <v>681553794102411.63</v>
      </c>
      <c r="L6" s="1">
        <f>建筑各项能耗拆分!$B$18*建筑各项能耗拆分!L182</f>
        <v>697648826172104.13</v>
      </c>
      <c r="M6" s="1">
        <f>建筑各项能耗拆分!$B$18*建筑各项能耗拆分!M182</f>
        <v>713349162903045.38</v>
      </c>
      <c r="N6" s="1">
        <f>建筑各项能耗拆分!$B$18*建筑各项能耗拆分!N182</f>
        <v>728653296458718.63</v>
      </c>
      <c r="O6" s="1">
        <f>建筑各项能耗拆分!$B$18*建筑各项能耗拆分!O182</f>
        <v>743560822794717.38</v>
      </c>
      <c r="P6" s="1">
        <f>建筑各项能耗拆分!$B$18*建筑各项能耗拆分!P182</f>
        <v>758072562448228</v>
      </c>
      <c r="Q6" s="1">
        <f>建筑各项能耗拆分!$B$18*建筑各项能耗拆分!Q182</f>
        <v>772190530927024.5</v>
      </c>
      <c r="R6" s="1">
        <f>建筑各项能耗拆分!$B$18*建筑各项能耗拆分!R182</f>
        <v>785918073837114.88</v>
      </c>
      <c r="S6" s="1">
        <f>建筑各项能耗拆分!$B$18*建筑各项能耗拆分!S182</f>
        <v>799259881469086.75</v>
      </c>
      <c r="T6" s="1">
        <f>建筑各项能耗拆分!$B$18*建筑各项能耗拆分!T182</f>
        <v>812222072334815.63</v>
      </c>
      <c r="U6" s="1">
        <f>建筑各项能耗拆分!$B$18*建筑各项能耗拆分!U182</f>
        <v>824812275982024.75</v>
      </c>
      <c r="V6" s="1">
        <f>建筑各项能耗拆分!$B$18*建筑各项能耗拆分!V182</f>
        <v>837039639251933.63</v>
      </c>
      <c r="W6" s="1">
        <f>建筑各项能耗拆分!$B$18*建筑各项能耗拆分!W182</f>
        <v>848914958531372.63</v>
      </c>
      <c r="X6" s="1">
        <f>建筑各项能耗拆分!$B$18*建筑各项能耗拆分!X182</f>
        <v>860450731127735.38</v>
      </c>
      <c r="Y6" s="1">
        <f>建筑各项能耗拆分!$B$18*建筑各项能耗拆分!Y182</f>
        <v>871661233719368.88</v>
      </c>
      <c r="Z6" s="1">
        <f>建筑各项能耗拆分!$B$18*建筑各项能耗拆分!Z182</f>
        <v>882562563390823.38</v>
      </c>
      <c r="AA6" s="1">
        <f>建筑各项能耗拆分!$B$18*建筑各项能耗拆分!AA182</f>
        <v>893172742440253.63</v>
      </c>
      <c r="AB6" s="1">
        <f>建筑各项能耗拆分!$B$18*建筑各项能耗拆分!AB182</f>
        <v>903511835689934.25</v>
      </c>
      <c r="AC6" s="1">
        <f>建筑各项能耗拆分!$B$18*建筑各项能耗拆分!AC182</f>
        <v>913601959284793.63</v>
      </c>
      <c r="AD6" s="1">
        <f>建筑各项能耗拆分!$B$18*建筑各项能耗拆分!AD182</f>
        <v>923467384139375.38</v>
      </c>
      <c r="AE6" s="1">
        <f>建筑各项能耗拆分!$B$18*建筑各项能耗拆分!AE182</f>
        <v>933134702613833.5</v>
      </c>
      <c r="AF6" s="1">
        <f>建筑各项能耗拆分!$B$18*建筑各项能耗拆分!AF182</f>
        <v>942632798281021.5</v>
      </c>
      <c r="AG6" s="1">
        <f>建筑各项能耗拆分!$B$18*建筑各项能耗拆分!AG182</f>
        <v>951993001903720.5</v>
      </c>
      <c r="AH6" s="1">
        <f>建筑各项能耗拆分!$B$18*建筑各项能耗拆分!AH182</f>
        <v>961249213485749.5</v>
      </c>
      <c r="AI6" s="1">
        <f>建筑各项能耗拆分!$B$18*建筑各项能耗拆分!AI182</f>
        <v>970437903502191.25</v>
      </c>
      <c r="AJ6" s="1">
        <f>建筑各项能耗拆分!$B$18*建筑各项能耗拆分!AJ182</f>
        <v>979598346142070.75</v>
      </c>
      <c r="AK6" s="1">
        <f>建筑各项能耗拆分!$B$18*建筑各项能耗拆分!AK182</f>
        <v>988772566171012.63</v>
      </c>
      <c r="AL6" s="1">
        <f>建筑各项能耗拆分!$B$18*建筑各项能耗拆分!AL182</f>
        <v>998005597391357.5</v>
      </c>
      <c r="AM6" s="1">
        <f>建筑各项能耗拆分!$B$18*建筑各项能耗拆分!AM182</f>
        <v>1007345494573984.4</v>
      </c>
      <c r="AN6" s="1">
        <f>建筑各项能耗拆分!$B$18*建筑各项能耗拆分!AN182</f>
        <v>1016843463467077.3</v>
      </c>
      <c r="AO6" s="1">
        <f>建筑各项能耗拆分!$B$18*建筑各项能耗拆分!AO182</f>
        <v>1026553979480640.8</v>
      </c>
      <c r="AP6" s="1">
        <f>建筑各项能耗拆分!$B$18*建筑各项能耗拆分!AP182</f>
        <v>1036534909747533</v>
      </c>
      <c r="AQ6" s="1">
        <f>建筑各项能耗拆分!$B$18*建筑各项能耗拆分!AQ182</f>
        <v>1046847667490242.1</v>
      </c>
      <c r="AR6" s="1">
        <f>建筑各项能耗拆分!$B$18*建筑各项能耗拆分!AR182</f>
        <v>1057557248110899.4</v>
      </c>
    </row>
    <row r="7" spans="1:44" x14ac:dyDescent="0.1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1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</row>
    <row r="9" spans="1:44" x14ac:dyDescent="0.1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1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</row>
    <row r="11" spans="1:44" x14ac:dyDescent="0.1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15">
      <c r="A12" t="s">
        <v>911</v>
      </c>
      <c r="B12" s="1">
        <f>SUM(B2:B11)</f>
        <v>500091576859815.13</v>
      </c>
      <c r="C12" s="1">
        <f t="shared" ref="C12:AR12" si="0">SUM(C2:C11)</f>
        <v>525908288594992</v>
      </c>
      <c r="D12" s="1">
        <f t="shared" si="0"/>
        <v>558176173485047.75</v>
      </c>
      <c r="E12" s="1">
        <f t="shared" si="0"/>
        <v>576908186413025.75</v>
      </c>
      <c r="F12" s="1">
        <f t="shared" si="0"/>
        <v>595283237541449.88</v>
      </c>
      <c r="G12" s="1">
        <f t="shared" si="0"/>
        <v>613293378072936.63</v>
      </c>
      <c r="H12" s="1">
        <f t="shared" si="0"/>
        <v>630931411304178</v>
      </c>
      <c r="I12" s="1">
        <f t="shared" si="0"/>
        <v>648191007268045.38</v>
      </c>
      <c r="J12" s="1">
        <f t="shared" si="0"/>
        <v>665066648760020.13</v>
      </c>
      <c r="K12" s="1">
        <f t="shared" si="0"/>
        <v>681553794102411.63</v>
      </c>
      <c r="L12" s="1">
        <f t="shared" si="0"/>
        <v>697648826172104.13</v>
      </c>
      <c r="M12" s="1">
        <f t="shared" si="0"/>
        <v>713349162903045.38</v>
      </c>
      <c r="N12" s="1">
        <f t="shared" si="0"/>
        <v>728653296458718.63</v>
      </c>
      <c r="O12" s="1">
        <f t="shared" si="0"/>
        <v>743560822794717.38</v>
      </c>
      <c r="P12" s="1">
        <f t="shared" si="0"/>
        <v>758072562448228</v>
      </c>
      <c r="Q12" s="1">
        <f t="shared" si="0"/>
        <v>772190530927024.5</v>
      </c>
      <c r="R12" s="1">
        <f t="shared" si="0"/>
        <v>785918073837114.88</v>
      </c>
      <c r="S12" s="1">
        <f t="shared" si="0"/>
        <v>799259881469086.75</v>
      </c>
      <c r="T12" s="1">
        <f t="shared" si="0"/>
        <v>812222072334815.63</v>
      </c>
      <c r="U12" s="1">
        <f t="shared" si="0"/>
        <v>824812275982024.75</v>
      </c>
      <c r="V12" s="1">
        <f t="shared" si="0"/>
        <v>837039639251933.63</v>
      </c>
      <c r="W12" s="1">
        <f t="shared" si="0"/>
        <v>848914958531372.63</v>
      </c>
      <c r="X12" s="1">
        <f t="shared" si="0"/>
        <v>860450731127735.38</v>
      </c>
      <c r="Y12" s="1">
        <f t="shared" si="0"/>
        <v>871661233719368.88</v>
      </c>
      <c r="Z12" s="1">
        <f t="shared" si="0"/>
        <v>882562563390823.38</v>
      </c>
      <c r="AA12" s="1">
        <f t="shared" si="0"/>
        <v>893172742440253.63</v>
      </c>
      <c r="AB12" s="1">
        <f t="shared" si="0"/>
        <v>903511835689934.25</v>
      </c>
      <c r="AC12" s="1">
        <f t="shared" si="0"/>
        <v>913601959284793.63</v>
      </c>
      <c r="AD12" s="1">
        <f t="shared" si="0"/>
        <v>923467384139375.38</v>
      </c>
      <c r="AE12" s="1">
        <f t="shared" si="0"/>
        <v>933134702613833.5</v>
      </c>
      <c r="AF12" s="1">
        <f t="shared" si="0"/>
        <v>942632798281021.5</v>
      </c>
      <c r="AG12" s="1">
        <f t="shared" si="0"/>
        <v>951993001903720.5</v>
      </c>
      <c r="AH12" s="1">
        <f t="shared" si="0"/>
        <v>961249213485749.5</v>
      </c>
      <c r="AI12" s="1">
        <f t="shared" si="0"/>
        <v>970437903502191.25</v>
      </c>
      <c r="AJ12" s="1">
        <f t="shared" si="0"/>
        <v>979598346142070.75</v>
      </c>
      <c r="AK12" s="1">
        <f t="shared" si="0"/>
        <v>988772566171012.63</v>
      </c>
      <c r="AL12" s="1">
        <f t="shared" si="0"/>
        <v>998005597391357.5</v>
      </c>
      <c r="AM12" s="1">
        <f t="shared" si="0"/>
        <v>1007345494573984.4</v>
      </c>
      <c r="AN12" s="1">
        <f t="shared" si="0"/>
        <v>1016843463467077.3</v>
      </c>
      <c r="AO12" s="1">
        <f t="shared" si="0"/>
        <v>1026553979480640.8</v>
      </c>
      <c r="AP12" s="1">
        <f t="shared" si="0"/>
        <v>1036534909747533</v>
      </c>
      <c r="AQ12" s="1">
        <f t="shared" si="0"/>
        <v>1046847667490242.1</v>
      </c>
      <c r="AR12" s="1">
        <f t="shared" si="0"/>
        <v>1057557248110899.4</v>
      </c>
    </row>
    <row r="13" spans="1:44" x14ac:dyDescent="0.15">
      <c r="G13" s="49"/>
      <c r="H13" s="49"/>
    </row>
    <row r="14" spans="1:44" x14ac:dyDescent="0.15">
      <c r="F14" s="49"/>
      <c r="G14" s="49"/>
      <c r="H14" s="49"/>
    </row>
    <row r="15" spans="1:44" x14ac:dyDescent="0.15">
      <c r="F15" s="49"/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D954-ED6E-441F-B866-4C5924EC97C2}">
  <sheetPr>
    <tabColor rgb="FF002060"/>
  </sheetPr>
  <dimension ref="A1:AR16"/>
  <sheetViews>
    <sheetView workbookViewId="0">
      <selection activeCell="C20" sqref="C20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建筑各项能耗拆分!$B$18*建筑各项能耗拆分!B182*B14</f>
        <v>0</v>
      </c>
      <c r="C2" s="1">
        <f>建筑各项能耗拆分!$B$18*建筑各项能耗拆分!C182*C14</f>
        <v>0</v>
      </c>
      <c r="D2" s="1">
        <f>建筑各项能耗拆分!$B$18*建筑各项能耗拆分!D182*D14</f>
        <v>0</v>
      </c>
      <c r="E2" s="1">
        <f>建筑各项能耗拆分!$B$18*建筑各项能耗拆分!E182*E14</f>
        <v>4615265491304.2061</v>
      </c>
      <c r="F2" s="1">
        <f>建筑各项能耗拆分!$B$18*建筑各项能耗拆分!F182*F14</f>
        <v>9524531800663.1973</v>
      </c>
      <c r="G2" s="1">
        <f>建筑各项能耗拆分!$B$18*建筑各项能耗拆分!G182*G14</f>
        <v>14719041073750.479</v>
      </c>
      <c r="H2" s="1">
        <f>建筑各项能耗拆分!$B$18*建筑各项能耗拆分!H182*H14</f>
        <v>20189805161733.695</v>
      </c>
      <c r="I2" s="1">
        <f>建筑各项能耗拆分!$B$18*建筑各项能耗拆分!I182*I14</f>
        <v>25927640290721.816</v>
      </c>
      <c r="J2" s="1">
        <f>建筑各项能耗拆分!$B$18*建筑各项能耗拆分!J182*J14</f>
        <v>31923199140480.965</v>
      </c>
      <c r="K2" s="1">
        <f>建筑各项能耗拆分!$B$18*建筑各项能耗拆分!K182*K14</f>
        <v>38167012469735.055</v>
      </c>
      <c r="L2" s="1">
        <f>建筑各项能耗拆分!$B$18*建筑各项能耗拆分!L182*L14</f>
        <v>44649524875014.664</v>
      </c>
      <c r="M2" s="1">
        <f>建筑各项能耗拆分!$B$18*建筑各项能耗拆分!M182*M14</f>
        <v>51361139729019.266</v>
      </c>
      <c r="N2" s="1">
        <f>建筑各项能耗拆分!$B$18*建筑各项能耗拆分!N182*N14</f>
        <v>58292263716697.492</v>
      </c>
      <c r="O2" s="1">
        <f>建筑各项能耗拆分!$B$18*建筑各项能耗拆分!O182*O14</f>
        <v>62459109114756.266</v>
      </c>
      <c r="P2" s="1">
        <f>建筑各项能耗拆分!$B$18*建筑各项能耗拆分!P182*P14</f>
        <v>66710385495444.063</v>
      </c>
      <c r="Q2" s="1">
        <f>建筑各项能耗拆分!$B$18*建筑各项能耗拆分!Q182*Q14</f>
        <v>71041528845286.25</v>
      </c>
      <c r="R2" s="1">
        <f>建筑各项能耗拆分!$B$18*建筑各项能耗拆分!R182*R14</f>
        <v>75448135088363.031</v>
      </c>
      <c r="S2" s="1">
        <f>建筑各项能耗拆分!$B$18*建筑各项能耗拆分!S182*S14</f>
        <v>79925988146908.672</v>
      </c>
      <c r="T2" s="1">
        <f>建筑各项能耗拆分!$B$18*建筑各项能耗拆分!T182*T14</f>
        <v>84471095522820.828</v>
      </c>
      <c r="U2" s="1">
        <f>建筑各项能耗拆分!$B$18*建筑各项能耗拆分!U182*U14</f>
        <v>89079725806058.672</v>
      </c>
      <c r="V2" s="1">
        <f>建筑各项能耗拆分!$B$18*建筑各项能耗拆分!V182*V14</f>
        <v>93748439596216.563</v>
      </c>
      <c r="W2" s="1">
        <f>建筑各项能耗拆分!$B$18*建筑各项能耗拆分!W182*W14</f>
        <v>98474135189639.234</v>
      </c>
      <c r="X2" s="1">
        <f>建筑各项能耗拆分!$B$18*建筑各项能耗拆分!X182*X14</f>
        <v>103254087735328.23</v>
      </c>
      <c r="Y2" s="1">
        <f>建筑各项能耗拆分!$B$18*建筑各项能耗拆分!Y182*Y14</f>
        <v>108085992981201.73</v>
      </c>
      <c r="Z2" s="1">
        <f>建筑各项能耗拆分!$B$18*建筑各项能耗拆分!Z182*Z14</f>
        <v>112968008114025.39</v>
      </c>
      <c r="AA2" s="1">
        <f>建筑各项能耗拆分!$B$18*建筑各项能耗拆分!AA182*AA14</f>
        <v>117898802002113.48</v>
      </c>
      <c r="AB2" s="1">
        <f>建筑各项能耗拆分!$B$18*建筑各项能耗拆分!AB182*AB14</f>
        <v>122877609653831.06</v>
      </c>
      <c r="AC2" s="1">
        <f>建筑各项能耗拆分!$B$18*建筑各项能耗拆分!AC182*AC14</f>
        <v>127904274299871.13</v>
      </c>
      <c r="AD2" s="1">
        <f>建筑各项能耗拆分!$B$18*建筑各项能耗拆分!AD182*AD14</f>
        <v>132979303316070.05</v>
      </c>
      <c r="AE2" s="1">
        <f>建筑各项能耗拆分!$B$18*建筑各项能耗拆分!AE182*AE14</f>
        <v>138103935986847.34</v>
      </c>
      <c r="AF2" s="1">
        <f>建筑各项能耗拆分!$B$18*建筑各项能耗拆分!AF182*AF14</f>
        <v>143280185338715.25</v>
      </c>
      <c r="AG2" s="1">
        <f>建筑各项能耗拆分!$B$18*建筑各项能耗拆分!AG182*AG14</f>
        <v>148510908296980.41</v>
      </c>
      <c r="AH2" s="1">
        <f>建筑各项能耗拆分!$B$18*建筑各项能耗拆分!AH182*AH14</f>
        <v>153799874157719.94</v>
      </c>
      <c r="AI2" s="1">
        <f>建筑各项能耗拆分!$B$18*建筑各项能耗拆分!AI182*AI14</f>
        <v>159151816174359.38</v>
      </c>
      <c r="AJ2" s="1">
        <f>建筑各项能耗拆分!$B$18*建筑各项能耗拆分!AJ182*AJ14</f>
        <v>164572522151867.91</v>
      </c>
      <c r="AK2" s="1">
        <f>建筑各项能耗拆分!$B$18*建筑各项能耗拆分!AK182*AK14</f>
        <v>170068881381414.16</v>
      </c>
      <c r="AL2" s="1">
        <f>建筑各项能耗拆分!$B$18*建筑各项能耗拆分!AL182*AL14</f>
        <v>175648985140878.91</v>
      </c>
      <c r="AM2" s="1">
        <f>建筑各项能耗拆分!$B$18*建筑各项能耗拆分!AM182*AM14</f>
        <v>181322189023317.19</v>
      </c>
      <c r="AN2" s="1">
        <f>建筑各项能耗拆分!$B$18*建筑各项能耗拆分!AN182*AN14</f>
        <v>187099197277942.22</v>
      </c>
      <c r="AO2" s="1">
        <f>建筑各项能耗拆分!$B$18*建筑各项能耗拆分!AO182*AO14</f>
        <v>192992148142360.47</v>
      </c>
      <c r="AP2" s="1">
        <f>建筑各项能耗拆分!$B$18*建筑各项能耗拆分!AP182*AP14</f>
        <v>199014702671526.34</v>
      </c>
      <c r="AQ2" s="1">
        <f>建筑各项能耗拆分!$B$18*建筑各项能耗拆分!AQ182*AQ14</f>
        <v>205182142828087.47</v>
      </c>
      <c r="AR2" s="1">
        <f>建筑各项能耗拆分!$B$18*建筑各项能耗拆分!AR182*AR14</f>
        <v>211511449622179.88</v>
      </c>
    </row>
    <row r="3" spans="1:44" x14ac:dyDescent="0.1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1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1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15">
      <c r="A6" t="s">
        <v>4</v>
      </c>
      <c r="B6" s="1">
        <f>建筑各项能耗拆分!$B$18*建筑各项能耗拆分!B182*(1-B16)</f>
        <v>500091576859815.13</v>
      </c>
      <c r="C6" s="1">
        <f>建筑各项能耗拆分!$B$18*建筑各项能耗拆分!C182*(1-C16)</f>
        <v>525908288594992</v>
      </c>
      <c r="D6" s="1">
        <f>建筑各项能耗拆分!$B$18*建筑各项能耗拆分!D182*(1-D16)</f>
        <v>558176173485047.75</v>
      </c>
      <c r="E6" s="1">
        <f>建筑各项能耗拆分!$B$18*建筑各项能耗拆分!E182*(1-E16)</f>
        <v>560754757193461</v>
      </c>
      <c r="F6" s="1">
        <f>建筑各项能耗拆分!$B$18*建筑各项能耗拆分!F182*(1-F16)</f>
        <v>561947376239128.63</v>
      </c>
      <c r="G6" s="1">
        <f>建筑各项能耗拆分!$B$18*建筑各项能耗拆分!G182*(1-G16)</f>
        <v>561776734314810</v>
      </c>
      <c r="H6" s="1">
        <f>建筑各项能耗拆分!$B$18*建筑各项能耗拆分!H182*(1-H16)</f>
        <v>560267093238110.06</v>
      </c>
      <c r="I6" s="1">
        <f>建筑各项能耗拆分!$B$18*建筑各项能耗拆分!I182*(1-I16)</f>
        <v>557444266250519</v>
      </c>
      <c r="J6" s="1">
        <f>建筑各项能耗拆分!$B$18*建筑各项能耗拆分!J182*(1-J16)</f>
        <v>553335451768336.81</v>
      </c>
      <c r="K6" s="1">
        <f>建筑各项能耗拆分!$B$18*建筑各项能耗拆分!K182*(1-K16)</f>
        <v>547969250458339</v>
      </c>
      <c r="L6" s="1">
        <f>建筑各项能耗拆分!$B$18*建筑各项能耗拆分!L182*(1-L16)</f>
        <v>541375489109552.81</v>
      </c>
      <c r="M6" s="1">
        <f>建筑各项能耗拆分!$B$18*建筑各项能耗拆分!M182*(1-M16)</f>
        <v>533585173851477.94</v>
      </c>
      <c r="N6" s="1">
        <f>建筑各项能耗拆分!$B$18*建筑各项能耗拆分!N182*(1-N16)</f>
        <v>524630373450277.38</v>
      </c>
      <c r="O6" s="1">
        <f>建筑各项能耗拆分!$B$18*建筑各项能耗拆分!O182*(1-O16)</f>
        <v>517518332665123.25</v>
      </c>
      <c r="P6" s="1">
        <f>建筑各项能耗拆分!$B$18*建筑各项能耗拆分!P182*(1-P16)</f>
        <v>509424761965209.25</v>
      </c>
      <c r="Q6" s="1">
        <f>建筑各项能耗拆分!$B$18*建筑各项能耗拆分!Q182*(1-Q16)</f>
        <v>500379464040711.88</v>
      </c>
      <c r="R6" s="1">
        <f>建筑各项能耗拆分!$B$18*建筑各项能耗拆分!R182*(1-R16)</f>
        <v>490412878074359.69</v>
      </c>
      <c r="S6" s="1">
        <f>建筑各项能耗拆分!$B$18*建筑各项能耗拆分!S182*(1-S16)</f>
        <v>479555928881452.06</v>
      </c>
      <c r="T6" s="1">
        <f>建筑各项能耗拆分!$B$18*建筑各项能耗拆分!T182*(1-T16)</f>
        <v>467839913664853.88</v>
      </c>
      <c r="U6" s="1">
        <f>建筑各项能耗拆分!$B$18*建筑各项能耗拆分!U182*(1-U16)</f>
        <v>455296376342077.69</v>
      </c>
      <c r="V6" s="1">
        <f>建筑各项能耗拆分!$B$18*建筑各项能耗拆分!V182*(1-V16)</f>
        <v>441956929525021</v>
      </c>
      <c r="W6" s="1">
        <f>建筑各项能耗拆分!$B$18*建筑各项能耗拆分!W182*(1-W16)</f>
        <v>427853139099811.81</v>
      </c>
      <c r="X6" s="1">
        <f>建筑各项能耗拆分!$B$18*建筑各项能耗拆分!X182*(1-X16)</f>
        <v>413016350941312.94</v>
      </c>
      <c r="Y6" s="1">
        <f>建筑各项能耗拆分!$B$18*建筑各项能耗拆分!Y182*(1-Y16)</f>
        <v>397477522576032.19</v>
      </c>
      <c r="Z6" s="1">
        <f>建筑各项能耗拆分!$B$18*建筑各项能耗拆分!Z182*(1-Z16)</f>
        <v>381267027384835.63</v>
      </c>
      <c r="AA6" s="1">
        <f>建筑各项能耗拆分!$B$18*建筑各项能耗拆分!AA182*(1-AA16)</f>
        <v>364414478915623.38</v>
      </c>
      <c r="AB6" s="1">
        <f>建筑各项能耗拆分!$B$18*建筑各项能耗拆分!AB182*(1-AB16)</f>
        <v>346948544904934.75</v>
      </c>
      <c r="AC6" s="1">
        <f>建筑各项能耗拆分!$B$18*建筑各项能耗拆分!AC182*(1-AC16)</f>
        <v>328896705342525.69</v>
      </c>
      <c r="AD6" s="1">
        <f>建筑各项能耗拆分!$B$18*建筑各项能耗拆分!AD182*(1-AD16)</f>
        <v>310285041070830.13</v>
      </c>
      <c r="AE6" s="1">
        <f>建筑各项能耗拆分!$B$18*建筑各项能耗拆分!AE182*(1-AE16)</f>
        <v>291138027215516</v>
      </c>
      <c r="AF6" s="1">
        <f>建筑各项能耗拆分!$B$18*建筑各项能耗拆分!AF182*(1-AF16)</f>
        <v>271478245904934.13</v>
      </c>
      <c r="AG6" s="1">
        <f>建筑各项能耗拆分!$B$18*建筑各项能耗拆分!AG182*(1-AG16)</f>
        <v>251326152502582.22</v>
      </c>
      <c r="AH6" s="1">
        <f>建筑各项能耗拆分!$B$18*建筑各项能耗拆分!AH182*(1-AH16)</f>
        <v>230699811236579.88</v>
      </c>
      <c r="AI6" s="1">
        <f>建筑各项能耗拆分!$B$18*建筑各项能耗拆分!AI182*(1-AI16)</f>
        <v>209614587156473.28</v>
      </c>
      <c r="AJ6" s="1">
        <f>建筑各项能耗拆分!$B$18*建筑各项能耗拆分!AJ182*(1-AJ16)</f>
        <v>188082882459277.53</v>
      </c>
      <c r="AK6" s="1">
        <f>建筑各项能耗拆分!$B$18*建筑各项能耗拆分!AK182*(1-AK16)</f>
        <v>166113791116730.06</v>
      </c>
      <c r="AL6" s="1">
        <f>建筑各项能耗拆分!$B$18*建筑各项能耗拆分!AL182*(1-AL16)</f>
        <v>143712806024355.38</v>
      </c>
      <c r="AM6" s="1">
        <f>建筑各项能耗拆分!$B$18*建筑各项能耗拆分!AM182*(1-AM16)</f>
        <v>120881459348878.23</v>
      </c>
      <c r="AN6" s="1">
        <f>建筑各项能耗拆分!$B$18*建筑各项能耗拆分!AN182*(1-AN16)</f>
        <v>97616972492839.5</v>
      </c>
      <c r="AO6" s="1">
        <f>建筑各项能耗拆分!$B$18*建筑各项能耗拆分!AO182*(1-AO16)</f>
        <v>73911886522606.203</v>
      </c>
      <c r="AP6" s="1">
        <f>建筑各项能耗拆分!$B$18*建筑各项能耗拆分!AP182*(1-AP16)</f>
        <v>49753675667881.625</v>
      </c>
      <c r="AQ6" s="1">
        <f>建筑各项能耗拆分!$B$18*建筑各项能耗拆分!AQ182*(1-AQ16)</f>
        <v>25124344019765.832</v>
      </c>
      <c r="AR6" s="1">
        <f>建筑各项能耗拆分!$B$18*建筑各项能耗拆分!AR182*(1-AR16)</f>
        <v>0</v>
      </c>
    </row>
    <row r="7" spans="1:44" x14ac:dyDescent="0.1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1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</row>
    <row r="9" spans="1:44" x14ac:dyDescent="0.1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1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</row>
    <row r="11" spans="1:44" x14ac:dyDescent="0.1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3" spans="1:44" s="4" customFormat="1" x14ac:dyDescent="0.15">
      <c r="A13" t="s">
        <v>1155</v>
      </c>
      <c r="B13" s="4">
        <v>2018</v>
      </c>
      <c r="C13" s="4">
        <v>2019</v>
      </c>
      <c r="D13" s="4">
        <v>2020</v>
      </c>
      <c r="E13" s="4">
        <v>2021</v>
      </c>
      <c r="F13" s="4">
        <v>2022</v>
      </c>
      <c r="G13" s="4">
        <v>2023</v>
      </c>
      <c r="H13" s="4">
        <v>2024</v>
      </c>
      <c r="I13" s="4">
        <v>2025</v>
      </c>
      <c r="J13" s="4">
        <v>2026</v>
      </c>
      <c r="K13" s="4">
        <v>2027</v>
      </c>
      <c r="L13" s="4">
        <v>2028</v>
      </c>
      <c r="M13" s="4">
        <v>2029</v>
      </c>
      <c r="N13" s="4">
        <v>2030</v>
      </c>
      <c r="O13" s="4">
        <v>2031</v>
      </c>
      <c r="P13" s="4">
        <v>2032</v>
      </c>
      <c r="Q13" s="4">
        <v>2033</v>
      </c>
      <c r="R13" s="4">
        <v>2034</v>
      </c>
      <c r="S13" s="4">
        <v>2035</v>
      </c>
      <c r="T13" s="4">
        <v>2036</v>
      </c>
      <c r="U13" s="4">
        <v>2037</v>
      </c>
      <c r="V13" s="4">
        <v>2038</v>
      </c>
      <c r="W13" s="4">
        <v>2039</v>
      </c>
      <c r="X13" s="4">
        <v>2040</v>
      </c>
      <c r="Y13" s="4">
        <v>2041</v>
      </c>
      <c r="Z13" s="4">
        <v>2042</v>
      </c>
      <c r="AA13" s="4">
        <v>2043</v>
      </c>
      <c r="AB13" s="4">
        <v>2044</v>
      </c>
      <c r="AC13" s="4">
        <v>2045</v>
      </c>
      <c r="AD13" s="4">
        <v>2046</v>
      </c>
      <c r="AE13" s="4">
        <v>2047</v>
      </c>
      <c r="AF13" s="4">
        <v>2048</v>
      </c>
      <c r="AG13" s="4">
        <v>2049</v>
      </c>
      <c r="AH13" s="4">
        <v>2050</v>
      </c>
      <c r="AI13" s="4">
        <v>2051</v>
      </c>
      <c r="AJ13" s="4">
        <v>2052</v>
      </c>
      <c r="AK13" s="4">
        <v>2053</v>
      </c>
      <c r="AL13" s="4">
        <v>2054</v>
      </c>
      <c r="AM13" s="4">
        <v>2055</v>
      </c>
      <c r="AN13" s="4">
        <v>2056</v>
      </c>
      <c r="AO13" s="4">
        <v>2057</v>
      </c>
      <c r="AP13" s="4">
        <v>2058</v>
      </c>
      <c r="AQ13" s="4">
        <v>2059</v>
      </c>
      <c r="AR13" s="4">
        <v>2060</v>
      </c>
    </row>
    <row r="14" spans="1:44" s="8" customFormat="1" x14ac:dyDescent="0.15">
      <c r="A14" t="s">
        <v>1157</v>
      </c>
      <c r="B14" s="8">
        <v>0</v>
      </c>
      <c r="C14" s="8">
        <v>0</v>
      </c>
      <c r="D14" s="8">
        <v>0</v>
      </c>
      <c r="E14" s="8">
        <v>8.0000000000000002E-3</v>
      </c>
      <c r="F14" s="8">
        <v>1.6E-2</v>
      </c>
      <c r="G14" s="8">
        <v>2.4E-2</v>
      </c>
      <c r="H14" s="8">
        <v>3.2000000000000001E-2</v>
      </c>
      <c r="I14" s="8">
        <v>0.04</v>
      </c>
      <c r="J14" s="8">
        <v>4.8000000000000001E-2</v>
      </c>
      <c r="K14" s="8">
        <v>5.6000000000000001E-2</v>
      </c>
      <c r="L14" s="8">
        <v>6.4000000000000001E-2</v>
      </c>
      <c r="M14" s="8">
        <v>7.1999999999999995E-2</v>
      </c>
      <c r="N14" s="8">
        <v>0.08</v>
      </c>
      <c r="O14" s="8">
        <v>8.4000000000000005E-2</v>
      </c>
      <c r="P14" s="8">
        <v>8.7999999999999995E-2</v>
      </c>
      <c r="Q14" s="8">
        <v>9.1999999999999998E-2</v>
      </c>
      <c r="R14" s="8">
        <v>9.6000000000000002E-2</v>
      </c>
      <c r="S14" s="8">
        <v>0.1</v>
      </c>
      <c r="T14" s="8">
        <v>0.104</v>
      </c>
      <c r="U14" s="8">
        <v>0.108</v>
      </c>
      <c r="V14" s="8">
        <v>0.112</v>
      </c>
      <c r="W14" s="8">
        <v>0.11600000000000001</v>
      </c>
      <c r="X14" s="8">
        <v>0.12</v>
      </c>
      <c r="Y14" s="8">
        <v>0.124</v>
      </c>
      <c r="Z14" s="8">
        <v>0.128</v>
      </c>
      <c r="AA14" s="8">
        <v>0.13200000000000001</v>
      </c>
      <c r="AB14" s="8">
        <v>0.13600000000000001</v>
      </c>
      <c r="AC14" s="8">
        <v>0.14000000000000001</v>
      </c>
      <c r="AD14" s="8">
        <v>0.14399999999999999</v>
      </c>
      <c r="AE14" s="8">
        <v>0.14799999999999999</v>
      </c>
      <c r="AF14" s="8">
        <v>0.152</v>
      </c>
      <c r="AG14" s="8">
        <v>0.156</v>
      </c>
      <c r="AH14" s="8">
        <v>0.16</v>
      </c>
      <c r="AI14" s="8">
        <v>0.16400000000000001</v>
      </c>
      <c r="AJ14" s="8">
        <v>0.16800000000000001</v>
      </c>
      <c r="AK14" s="8">
        <v>0.17199999999999999</v>
      </c>
      <c r="AL14" s="8">
        <v>0.17599999999999999</v>
      </c>
      <c r="AM14" s="8">
        <v>0.18</v>
      </c>
      <c r="AN14" s="8">
        <v>0.184</v>
      </c>
      <c r="AO14" s="8">
        <v>0.188</v>
      </c>
      <c r="AP14" s="8">
        <v>0.192</v>
      </c>
      <c r="AQ14" s="8">
        <v>0.19600000000000001</v>
      </c>
      <c r="AR14" s="8">
        <v>0.2</v>
      </c>
    </row>
    <row r="15" spans="1:44" s="8" customFormat="1" x14ac:dyDescent="0.15">
      <c r="A15" t="s">
        <v>1158</v>
      </c>
      <c r="B15" s="8">
        <v>0</v>
      </c>
      <c r="C15" s="8">
        <v>0</v>
      </c>
      <c r="D15" s="73">
        <v>0</v>
      </c>
      <c r="E15" s="73">
        <v>0.02</v>
      </c>
      <c r="F15" s="73">
        <v>0.04</v>
      </c>
      <c r="G15" s="73">
        <v>0.06</v>
      </c>
      <c r="H15" s="73">
        <v>0.08</v>
      </c>
      <c r="I15" s="73">
        <v>0.1</v>
      </c>
      <c r="J15" s="73">
        <v>0.12</v>
      </c>
      <c r="K15" s="73">
        <v>0.14000000000000001</v>
      </c>
      <c r="L15" s="73">
        <v>0.16</v>
      </c>
      <c r="M15" s="73">
        <v>0.18</v>
      </c>
      <c r="N15" s="73">
        <v>0.2</v>
      </c>
      <c r="O15" s="8">
        <v>0.22</v>
      </c>
      <c r="P15" s="73">
        <v>0.24</v>
      </c>
      <c r="Q15" s="8">
        <v>0.26</v>
      </c>
      <c r="R15" s="73">
        <v>0.28000000000000003</v>
      </c>
      <c r="S15" s="8">
        <v>0.3</v>
      </c>
      <c r="T15" s="73">
        <v>0.32</v>
      </c>
      <c r="U15" s="8">
        <v>0.34</v>
      </c>
      <c r="V15" s="73">
        <v>0.36</v>
      </c>
      <c r="W15" s="8">
        <v>0.38</v>
      </c>
      <c r="X15" s="73">
        <v>0.4</v>
      </c>
      <c r="Y15" s="8">
        <v>0.42</v>
      </c>
      <c r="Z15" s="73">
        <v>0.44</v>
      </c>
      <c r="AA15" s="8">
        <v>0.46</v>
      </c>
      <c r="AB15" s="73">
        <v>0.48</v>
      </c>
      <c r="AC15" s="8">
        <v>0.5</v>
      </c>
      <c r="AD15" s="73">
        <v>0.52</v>
      </c>
      <c r="AE15" s="8">
        <v>0.54</v>
      </c>
      <c r="AF15" s="73">
        <v>0.56000000000000005</v>
      </c>
      <c r="AG15" s="8">
        <v>0.57999999999999996</v>
      </c>
      <c r="AH15" s="73">
        <v>0.6</v>
      </c>
      <c r="AI15" s="8">
        <v>0.62</v>
      </c>
      <c r="AJ15" s="73">
        <v>0.64</v>
      </c>
      <c r="AK15" s="8">
        <v>0.66</v>
      </c>
      <c r="AL15" s="73">
        <v>0.68</v>
      </c>
      <c r="AM15" s="8">
        <v>0.7</v>
      </c>
      <c r="AN15" s="73">
        <v>0.72</v>
      </c>
      <c r="AO15" s="8">
        <v>0.74</v>
      </c>
      <c r="AP15" s="73">
        <v>0.76</v>
      </c>
      <c r="AQ15" s="8">
        <v>0.78</v>
      </c>
      <c r="AR15" s="73">
        <v>0.8</v>
      </c>
    </row>
    <row r="16" spans="1:44" s="8" customFormat="1" x14ac:dyDescent="0.15">
      <c r="A16" t="s">
        <v>783</v>
      </c>
      <c r="B16" s="8">
        <v>0</v>
      </c>
      <c r="C16" s="8">
        <v>0</v>
      </c>
      <c r="D16" s="8">
        <v>0</v>
      </c>
      <c r="E16" s="8">
        <v>2.8000000000000001E-2</v>
      </c>
      <c r="F16" s="8">
        <v>5.6000000000000001E-2</v>
      </c>
      <c r="G16" s="8">
        <v>8.3999999999999991E-2</v>
      </c>
      <c r="H16" s="8">
        <v>0.112</v>
      </c>
      <c r="I16" s="8">
        <v>0.14000000000000001</v>
      </c>
      <c r="J16" s="8">
        <v>0.16799999999999998</v>
      </c>
      <c r="K16" s="8">
        <v>0.19600000000000001</v>
      </c>
      <c r="L16" s="8">
        <v>0.224</v>
      </c>
      <c r="M16" s="8">
        <v>0.252</v>
      </c>
      <c r="N16" s="8">
        <v>0.28000000000000003</v>
      </c>
      <c r="O16" s="8">
        <v>0.30399999999999999</v>
      </c>
      <c r="P16" s="8">
        <v>0.32799999999999996</v>
      </c>
      <c r="Q16" s="8">
        <v>0.35199999999999998</v>
      </c>
      <c r="R16" s="8">
        <v>0.376</v>
      </c>
      <c r="S16" s="8">
        <v>0.4</v>
      </c>
      <c r="T16" s="8">
        <v>0.42399999999999999</v>
      </c>
      <c r="U16" s="8">
        <v>0.44800000000000001</v>
      </c>
      <c r="V16" s="8">
        <v>0.47199999999999998</v>
      </c>
      <c r="W16" s="8">
        <v>0.496</v>
      </c>
      <c r="X16" s="8">
        <v>0.52</v>
      </c>
      <c r="Y16" s="8">
        <v>0.54400000000000004</v>
      </c>
      <c r="Z16" s="8">
        <v>0.56800000000000006</v>
      </c>
      <c r="AA16" s="8">
        <v>0.59200000000000008</v>
      </c>
      <c r="AB16" s="8">
        <v>0.61599999999999999</v>
      </c>
      <c r="AC16" s="8">
        <v>0.64</v>
      </c>
      <c r="AD16" s="8">
        <v>0.66400000000000003</v>
      </c>
      <c r="AE16" s="8">
        <v>0.68800000000000006</v>
      </c>
      <c r="AF16" s="8">
        <v>0.71200000000000008</v>
      </c>
      <c r="AG16" s="8">
        <v>0.73599999999999999</v>
      </c>
      <c r="AH16" s="8">
        <v>0.76</v>
      </c>
      <c r="AI16" s="8">
        <v>0.78400000000000003</v>
      </c>
      <c r="AJ16" s="8">
        <v>0.80800000000000005</v>
      </c>
      <c r="AK16" s="8">
        <v>0.83200000000000007</v>
      </c>
      <c r="AL16" s="8">
        <v>0.85600000000000009</v>
      </c>
      <c r="AM16" s="8">
        <v>0.87999999999999989</v>
      </c>
      <c r="AN16" s="8">
        <v>0.90399999999999991</v>
      </c>
      <c r="AO16" s="8">
        <v>0.92799999999999994</v>
      </c>
      <c r="AP16" s="8">
        <v>0.95199999999999996</v>
      </c>
      <c r="AQ16" s="8">
        <v>0.97599999999999998</v>
      </c>
      <c r="AR16" s="8">
        <v>1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2BBD-EBAF-4014-A739-F019CBD945B5}">
  <sheetPr>
    <tabColor rgb="FF002060"/>
  </sheetPr>
  <dimension ref="A1:AR11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建筑各项能耗拆分!$B$18*建筑各项能耗拆分!B191</f>
        <v>1256372466401100.5</v>
      </c>
      <c r="C2" s="1">
        <f>建筑各项能耗拆分!$B$18*建筑各项能耗拆分!C191</f>
        <v>1272839301461582.3</v>
      </c>
      <c r="D2" s="1">
        <f>建筑各项能耗拆分!$B$18*建筑各项能耗拆分!D191</f>
        <v>1295354098777370</v>
      </c>
      <c r="E2" s="1">
        <f>建筑各项能耗拆分!$B$18*建筑各项能耗拆分!E191</f>
        <v>1305696454125141.5</v>
      </c>
      <c r="F2" s="1">
        <f>建筑各项能耗拆分!$B$18*建筑各项能耗拆分!F191</f>
        <v>1315730228210804.8</v>
      </c>
      <c r="G2" s="1">
        <f>建筑各项能耗拆分!$B$18*建筑各项能耗拆分!G191</f>
        <v>1325448549570994</v>
      </c>
      <c r="H2" s="1">
        <f>建筑各项能耗拆分!$B$18*建筑各项能耗拆分!H191</f>
        <v>1334845196901937.5</v>
      </c>
      <c r="I2" s="1">
        <f>建筑各项能耗拆分!$B$18*建筑各项能耗拆分!I191</f>
        <v>1343914698163635</v>
      </c>
      <c r="J2" s="1">
        <f>建筑各项能耗拆分!$B$18*建筑各项能耗拆分!J191</f>
        <v>1352652283921553.8</v>
      </c>
      <c r="K2" s="1">
        <f>建筑各项能耗拆分!$B$18*建筑各项能耗拆分!K191</f>
        <v>1361054028050726.5</v>
      </c>
      <c r="L2" s="1">
        <f>建筑各项能耗拆分!$B$18*建筑各项能耗拆分!L191</f>
        <v>1369116803671980</v>
      </c>
      <c r="M2" s="1">
        <f>建筑各项能耗拆分!$B$18*建筑各项能耗拆分!M191</f>
        <v>1376838378677559.5</v>
      </c>
      <c r="N2" s="1">
        <f>建筑各项能耗拆分!$B$18*建筑各项能耗拆分!N191</f>
        <v>1384217449594386.8</v>
      </c>
      <c r="O2" s="1">
        <f>建筑各项能耗拆分!$B$18*建筑各项能耗拆分!O191</f>
        <v>1391253667139897.8</v>
      </c>
      <c r="P2" s="1">
        <f>建筑各项能耗拆分!$B$18*建筑各项能耗拆分!P191</f>
        <v>1397947740640414.8</v>
      </c>
      <c r="Q2" s="1">
        <f>建筑各项能耗拆分!$B$18*建筑各项能耗拆分!Q191</f>
        <v>1404301412433446.8</v>
      </c>
      <c r="R2" s="1">
        <f>建筑各项能耗拆分!$B$18*建筑各项能耗拆分!R191</f>
        <v>1410317574680916</v>
      </c>
      <c r="S2" s="1">
        <f>建筑各项能耗拆分!$B$18*建筑各项能耗拆分!S191</f>
        <v>1416000281978556.3</v>
      </c>
      <c r="T2" s="1">
        <f>建筑各项能耗拆分!$B$18*建筑各项能耗拆分!T191</f>
        <v>1421354823570534.5</v>
      </c>
      <c r="U2" s="1">
        <f>建筑各项能耗拆分!$B$18*建筑各项能耗拆分!U191</f>
        <v>1426387794939811.3</v>
      </c>
      <c r="V2" s="1">
        <f>建筑各项能耗拆分!$B$18*建筑各项能耗拆分!V191</f>
        <v>1431107103217655.3</v>
      </c>
      <c r="W2" s="1">
        <f>建筑各项能耗拆分!$B$18*建筑各项能耗拆分!W191</f>
        <v>1435522081511080.3</v>
      </c>
      <c r="X2" s="1">
        <f>建筑各项能耗拆分!$B$18*建筑各项能耗拆分!X191</f>
        <v>1439643533314725.8</v>
      </c>
      <c r="Y2" s="1">
        <f>建筑各项能耗拆分!$B$18*建筑各项能耗拆分!Y191</f>
        <v>1443483800328540.5</v>
      </c>
      <c r="Z2" s="1">
        <f>建筑各项能耗拆分!$B$18*建筑各项能耗拆分!Z191</f>
        <v>1447056797931349.3</v>
      </c>
      <c r="AA2" s="1">
        <f>建筑各项能耗拆分!$B$18*建筑各项能耗拆分!AA191</f>
        <v>1450378105783265.8</v>
      </c>
      <c r="AB2" s="1">
        <f>建筑各项能耗拆分!$B$18*建筑各项能耗拆分!AB191</f>
        <v>1453465069236619.3</v>
      </c>
      <c r="AC2" s="1">
        <f>建筑各项能耗拆分!$B$18*建筑各项能耗拆分!AC191</f>
        <v>1456336806941987</v>
      </c>
      <c r="AD2" s="1">
        <f>建筑各项能耗拆分!$B$18*建筑各项能耗拆分!AD191</f>
        <v>1459014300274552.3</v>
      </c>
      <c r="AE2" s="1">
        <f>建筑各项能耗拆分!$B$18*建筑各项能耗拆分!AE191</f>
        <v>1461520537419797.8</v>
      </c>
      <c r="AF2" s="1">
        <f>建筑各项能耗拆分!$B$18*建筑各项能耗拆分!AF191</f>
        <v>1463880487238191.8</v>
      </c>
      <c r="AG2" s="1">
        <f>建筑各项能耗拆分!$B$18*建筑各项能耗拆分!AG191</f>
        <v>1466121234102163</v>
      </c>
      <c r="AH2" s="1">
        <f>建筑各项能耗拆分!$B$18*建筑各项能耗拆分!AH191</f>
        <v>1468272083405108.5</v>
      </c>
      <c r="AI2" s="1">
        <f>建筑各项能耗拆分!$B$18*建筑各项能耗拆分!AI191</f>
        <v>1470364562624884.3</v>
      </c>
      <c r="AJ2" s="1">
        <f>建筑各项能耗拆分!$B$18*建筑各项能耗拆分!AJ191</f>
        <v>1472432622954118.5</v>
      </c>
      <c r="AK2" s="1">
        <f>建筑各项能耗拆分!$B$18*建筑各项能耗拆分!AK191</f>
        <v>1474512593364797.5</v>
      </c>
      <c r="AL2" s="1">
        <f>建筑各项能耗拆分!$B$18*建筑各项能耗拆分!AL191</f>
        <v>1476643404038193.8</v>
      </c>
      <c r="AM2" s="1">
        <f>建筑各项能耗拆分!$B$18*建筑各项能耗拆分!AM191</f>
        <v>1478866596679515.8</v>
      </c>
      <c r="AN2" s="1">
        <f>建筑各项能耗拆分!$B$18*建筑各项能耗拆分!AN191</f>
        <v>1481226436906042.5</v>
      </c>
      <c r="AO2" s="1">
        <f>建筑各项能耗拆分!$B$18*建筑各项能耗拆分!AO191</f>
        <v>1483770016845822.3</v>
      </c>
      <c r="AP2" s="1">
        <f>建筑各项能耗拆分!$B$18*建筑各项能耗拆分!AP191</f>
        <v>1486547360655260.8</v>
      </c>
      <c r="AQ2" s="1">
        <f>建筑各项能耗拆分!$B$18*建筑各项能耗拆分!AQ191</f>
        <v>1489611557963918.5</v>
      </c>
      <c r="AR2" s="1">
        <f>建筑各项能耗拆分!$B$18*建筑各项能耗拆分!AR191</f>
        <v>1493018795073091.8</v>
      </c>
    </row>
    <row r="3" spans="1:44" x14ac:dyDescent="0.15">
      <c r="A3" t="s">
        <v>1</v>
      </c>
      <c r="B3" s="1">
        <f>建筑各项能耗拆分!$B$18*建筑各项能耗拆分!B192</f>
        <v>0</v>
      </c>
      <c r="C3" s="1">
        <f>建筑各项能耗拆分!$B$18*建筑各项能耗拆分!C192</f>
        <v>0</v>
      </c>
      <c r="D3" s="1">
        <f>建筑各项能耗拆分!$B$18*建筑各项能耗拆分!D192</f>
        <v>0</v>
      </c>
      <c r="E3" s="1">
        <f>建筑各项能耗拆分!$B$18*建筑各项能耗拆分!E192</f>
        <v>0</v>
      </c>
      <c r="F3" s="1">
        <f>建筑各项能耗拆分!$B$18*建筑各项能耗拆分!F192</f>
        <v>0</v>
      </c>
      <c r="G3" s="1">
        <f>建筑各项能耗拆分!$B$18*建筑各项能耗拆分!G192</f>
        <v>0</v>
      </c>
      <c r="H3" s="1">
        <f>建筑各项能耗拆分!$B$18*建筑各项能耗拆分!H192</f>
        <v>0</v>
      </c>
      <c r="I3" s="1">
        <f>建筑各项能耗拆分!$B$18*建筑各项能耗拆分!I192</f>
        <v>0</v>
      </c>
      <c r="J3" s="1">
        <f>建筑各项能耗拆分!$B$18*建筑各项能耗拆分!J192</f>
        <v>0</v>
      </c>
      <c r="K3" s="1">
        <f>建筑各项能耗拆分!$B$18*建筑各项能耗拆分!K192</f>
        <v>0</v>
      </c>
      <c r="L3" s="1">
        <f>建筑各项能耗拆分!$B$18*建筑各项能耗拆分!L192</f>
        <v>0</v>
      </c>
      <c r="M3" s="1">
        <f>建筑各项能耗拆分!$B$18*建筑各项能耗拆分!M192</f>
        <v>0</v>
      </c>
      <c r="N3" s="1">
        <f>建筑各项能耗拆分!$B$18*建筑各项能耗拆分!N192</f>
        <v>0</v>
      </c>
      <c r="O3" s="1">
        <f>建筑各项能耗拆分!$B$18*建筑各项能耗拆分!O192</f>
        <v>0</v>
      </c>
      <c r="P3" s="1">
        <f>建筑各项能耗拆分!$B$18*建筑各项能耗拆分!P192</f>
        <v>0</v>
      </c>
      <c r="Q3" s="1">
        <f>建筑各项能耗拆分!$B$18*建筑各项能耗拆分!Q192</f>
        <v>0</v>
      </c>
      <c r="R3" s="1">
        <f>建筑各项能耗拆分!$B$18*建筑各项能耗拆分!R192</f>
        <v>0</v>
      </c>
      <c r="S3" s="1">
        <f>建筑各项能耗拆分!$B$18*建筑各项能耗拆分!S192</f>
        <v>0</v>
      </c>
      <c r="T3" s="1">
        <f>建筑各项能耗拆分!$B$18*建筑各项能耗拆分!T192</f>
        <v>0</v>
      </c>
      <c r="U3" s="1">
        <f>建筑各项能耗拆分!$B$18*建筑各项能耗拆分!U192</f>
        <v>0</v>
      </c>
      <c r="V3" s="1">
        <f>建筑各项能耗拆分!$B$18*建筑各项能耗拆分!V192</f>
        <v>0</v>
      </c>
      <c r="W3" s="1">
        <f>建筑各项能耗拆分!$B$18*建筑各项能耗拆分!W192</f>
        <v>0</v>
      </c>
      <c r="X3" s="1">
        <f>建筑各项能耗拆分!$B$18*建筑各项能耗拆分!X192</f>
        <v>0</v>
      </c>
      <c r="Y3" s="1">
        <f>建筑各项能耗拆分!$B$18*建筑各项能耗拆分!Y192</f>
        <v>0</v>
      </c>
      <c r="Z3" s="1">
        <f>建筑各项能耗拆分!$B$18*建筑各项能耗拆分!Z192</f>
        <v>0</v>
      </c>
      <c r="AA3" s="1">
        <f>建筑各项能耗拆分!$B$18*建筑各项能耗拆分!AA192</f>
        <v>0</v>
      </c>
      <c r="AB3" s="1">
        <f>建筑各项能耗拆分!$B$18*建筑各项能耗拆分!AB192</f>
        <v>0</v>
      </c>
      <c r="AC3" s="1">
        <f>建筑各项能耗拆分!$B$18*建筑各项能耗拆分!AC192</f>
        <v>0</v>
      </c>
      <c r="AD3" s="1">
        <f>建筑各项能耗拆分!$B$18*建筑各项能耗拆分!AD192</f>
        <v>0</v>
      </c>
      <c r="AE3" s="1">
        <f>建筑各项能耗拆分!$B$18*建筑各项能耗拆分!AE192</f>
        <v>0</v>
      </c>
      <c r="AF3" s="1">
        <f>建筑各项能耗拆分!$B$18*建筑各项能耗拆分!AF192</f>
        <v>0</v>
      </c>
      <c r="AG3" s="1">
        <f>建筑各项能耗拆分!$B$18*建筑各项能耗拆分!AG192</f>
        <v>0</v>
      </c>
      <c r="AH3" s="1">
        <f>建筑各项能耗拆分!$B$18*建筑各项能耗拆分!AH192</f>
        <v>0</v>
      </c>
      <c r="AI3" s="1">
        <f>建筑各项能耗拆分!$B$18*建筑各项能耗拆分!AI192</f>
        <v>0</v>
      </c>
      <c r="AJ3" s="1">
        <f>建筑各项能耗拆分!$B$18*建筑各项能耗拆分!AJ192</f>
        <v>0</v>
      </c>
      <c r="AK3" s="1">
        <f>建筑各项能耗拆分!$B$18*建筑各项能耗拆分!AK192</f>
        <v>0</v>
      </c>
      <c r="AL3" s="1">
        <f>建筑各项能耗拆分!$B$18*建筑各项能耗拆分!AL192</f>
        <v>0</v>
      </c>
      <c r="AM3" s="1">
        <f>建筑各项能耗拆分!$B$18*建筑各项能耗拆分!AM192</f>
        <v>0</v>
      </c>
      <c r="AN3" s="1">
        <f>建筑各项能耗拆分!$B$18*建筑各项能耗拆分!AN192</f>
        <v>0</v>
      </c>
      <c r="AO3" s="1">
        <f>建筑各项能耗拆分!$B$18*建筑各项能耗拆分!AO192</f>
        <v>0</v>
      </c>
      <c r="AP3" s="1">
        <f>建筑各项能耗拆分!$B$18*建筑各项能耗拆分!AP192</f>
        <v>0</v>
      </c>
      <c r="AQ3" s="1">
        <f>建筑各项能耗拆分!$B$18*建筑各项能耗拆分!AQ192</f>
        <v>0</v>
      </c>
      <c r="AR3" s="1">
        <f>建筑各项能耗拆分!$B$18*建筑各项能耗拆分!AR192</f>
        <v>0</v>
      </c>
    </row>
    <row r="4" spans="1:44" x14ac:dyDescent="0.15">
      <c r="A4" t="s">
        <v>2</v>
      </c>
      <c r="B4" s="1">
        <f>建筑各项能耗拆分!$B$18*建筑各项能耗拆分!B193</f>
        <v>0</v>
      </c>
      <c r="C4" s="1">
        <f>建筑各项能耗拆分!$B$18*建筑各项能耗拆分!C193</f>
        <v>0</v>
      </c>
      <c r="D4" s="1">
        <f>建筑各项能耗拆分!$B$18*建筑各项能耗拆分!D193</f>
        <v>0</v>
      </c>
      <c r="E4" s="1">
        <f>建筑各项能耗拆分!$B$18*建筑各项能耗拆分!E193</f>
        <v>0</v>
      </c>
      <c r="F4" s="1">
        <f>建筑各项能耗拆分!$B$18*建筑各项能耗拆分!F193</f>
        <v>0</v>
      </c>
      <c r="G4" s="1">
        <f>建筑各项能耗拆分!$B$18*建筑各项能耗拆分!G193</f>
        <v>0</v>
      </c>
      <c r="H4" s="1">
        <f>建筑各项能耗拆分!$B$18*建筑各项能耗拆分!H193</f>
        <v>0</v>
      </c>
      <c r="I4" s="1">
        <f>建筑各项能耗拆分!$B$18*建筑各项能耗拆分!I193</f>
        <v>0</v>
      </c>
      <c r="J4" s="1">
        <f>建筑各项能耗拆分!$B$18*建筑各项能耗拆分!J193</f>
        <v>0</v>
      </c>
      <c r="K4" s="1">
        <f>建筑各项能耗拆分!$B$18*建筑各项能耗拆分!K193</f>
        <v>0</v>
      </c>
      <c r="L4" s="1">
        <f>建筑各项能耗拆分!$B$18*建筑各项能耗拆分!L193</f>
        <v>0</v>
      </c>
      <c r="M4" s="1">
        <f>建筑各项能耗拆分!$B$18*建筑各项能耗拆分!M193</f>
        <v>0</v>
      </c>
      <c r="N4" s="1">
        <f>建筑各项能耗拆分!$B$18*建筑各项能耗拆分!N193</f>
        <v>0</v>
      </c>
      <c r="O4" s="1">
        <f>建筑各项能耗拆分!$B$18*建筑各项能耗拆分!O193</f>
        <v>0</v>
      </c>
      <c r="P4" s="1">
        <f>建筑各项能耗拆分!$B$18*建筑各项能耗拆分!P193</f>
        <v>0</v>
      </c>
      <c r="Q4" s="1">
        <f>建筑各项能耗拆分!$B$18*建筑各项能耗拆分!Q193</f>
        <v>0</v>
      </c>
      <c r="R4" s="1">
        <f>建筑各项能耗拆分!$B$18*建筑各项能耗拆分!R193</f>
        <v>0</v>
      </c>
      <c r="S4" s="1">
        <f>建筑各项能耗拆分!$B$18*建筑各项能耗拆分!S193</f>
        <v>0</v>
      </c>
      <c r="T4" s="1">
        <f>建筑各项能耗拆分!$B$18*建筑各项能耗拆分!T193</f>
        <v>0</v>
      </c>
      <c r="U4" s="1">
        <f>建筑各项能耗拆分!$B$18*建筑各项能耗拆分!U193</f>
        <v>0</v>
      </c>
      <c r="V4" s="1">
        <f>建筑各项能耗拆分!$B$18*建筑各项能耗拆分!V193</f>
        <v>0</v>
      </c>
      <c r="W4" s="1">
        <f>建筑各项能耗拆分!$B$18*建筑各项能耗拆分!W193</f>
        <v>0</v>
      </c>
      <c r="X4" s="1">
        <f>建筑各项能耗拆分!$B$18*建筑各项能耗拆分!X193</f>
        <v>0</v>
      </c>
      <c r="Y4" s="1">
        <f>建筑各项能耗拆分!$B$18*建筑各项能耗拆分!Y193</f>
        <v>0</v>
      </c>
      <c r="Z4" s="1">
        <f>建筑各项能耗拆分!$B$18*建筑各项能耗拆分!Z193</f>
        <v>0</v>
      </c>
      <c r="AA4" s="1">
        <f>建筑各项能耗拆分!$B$18*建筑各项能耗拆分!AA193</f>
        <v>0</v>
      </c>
      <c r="AB4" s="1">
        <f>建筑各项能耗拆分!$B$18*建筑各项能耗拆分!AB193</f>
        <v>0</v>
      </c>
      <c r="AC4" s="1">
        <f>建筑各项能耗拆分!$B$18*建筑各项能耗拆分!AC193</f>
        <v>0</v>
      </c>
      <c r="AD4" s="1">
        <f>建筑各项能耗拆分!$B$18*建筑各项能耗拆分!AD193</f>
        <v>0</v>
      </c>
      <c r="AE4" s="1">
        <f>建筑各项能耗拆分!$B$18*建筑各项能耗拆分!AE193</f>
        <v>0</v>
      </c>
      <c r="AF4" s="1">
        <f>建筑各项能耗拆分!$B$18*建筑各项能耗拆分!AF193</f>
        <v>0</v>
      </c>
      <c r="AG4" s="1">
        <f>建筑各项能耗拆分!$B$18*建筑各项能耗拆分!AG193</f>
        <v>0</v>
      </c>
      <c r="AH4" s="1">
        <f>建筑各项能耗拆分!$B$18*建筑各项能耗拆分!AH193</f>
        <v>0</v>
      </c>
      <c r="AI4" s="1">
        <f>建筑各项能耗拆分!$B$18*建筑各项能耗拆分!AI193</f>
        <v>0</v>
      </c>
      <c r="AJ4" s="1">
        <f>建筑各项能耗拆分!$B$18*建筑各项能耗拆分!AJ193</f>
        <v>0</v>
      </c>
      <c r="AK4" s="1">
        <f>建筑各项能耗拆分!$B$18*建筑各项能耗拆分!AK193</f>
        <v>0</v>
      </c>
      <c r="AL4" s="1">
        <f>建筑各项能耗拆分!$B$18*建筑各项能耗拆分!AL193</f>
        <v>0</v>
      </c>
      <c r="AM4" s="1">
        <f>建筑各项能耗拆分!$B$18*建筑各项能耗拆分!AM193</f>
        <v>0</v>
      </c>
      <c r="AN4" s="1">
        <f>建筑各项能耗拆分!$B$18*建筑各项能耗拆分!AN193</f>
        <v>0</v>
      </c>
      <c r="AO4" s="1">
        <f>建筑各项能耗拆分!$B$18*建筑各项能耗拆分!AO193</f>
        <v>0</v>
      </c>
      <c r="AP4" s="1">
        <f>建筑各项能耗拆分!$B$18*建筑各项能耗拆分!AP193</f>
        <v>0</v>
      </c>
      <c r="AQ4" s="1">
        <f>建筑各项能耗拆分!$B$18*建筑各项能耗拆分!AQ193</f>
        <v>0</v>
      </c>
      <c r="AR4" s="1">
        <f>建筑各项能耗拆分!$B$18*建筑各项能耗拆分!AR193</f>
        <v>0</v>
      </c>
    </row>
    <row r="5" spans="1:44" x14ac:dyDescent="0.15">
      <c r="A5" t="s">
        <v>3</v>
      </c>
      <c r="B5" s="1">
        <f>建筑各项能耗拆分!$B$18*建筑各项能耗拆分!B194</f>
        <v>0</v>
      </c>
      <c r="C5" s="1">
        <f>建筑各项能耗拆分!$B$18*建筑各项能耗拆分!C194</f>
        <v>0</v>
      </c>
      <c r="D5" s="1">
        <f>建筑各项能耗拆分!$B$18*建筑各项能耗拆分!D194</f>
        <v>0</v>
      </c>
      <c r="E5" s="1">
        <f>建筑各项能耗拆分!$B$18*建筑各项能耗拆分!E194</f>
        <v>0</v>
      </c>
      <c r="F5" s="1">
        <f>建筑各项能耗拆分!$B$18*建筑各项能耗拆分!F194</f>
        <v>0</v>
      </c>
      <c r="G5" s="1">
        <f>建筑各项能耗拆分!$B$18*建筑各项能耗拆分!G194</f>
        <v>0</v>
      </c>
      <c r="H5" s="1">
        <f>建筑各项能耗拆分!$B$18*建筑各项能耗拆分!H194</f>
        <v>0</v>
      </c>
      <c r="I5" s="1">
        <f>建筑各项能耗拆分!$B$18*建筑各项能耗拆分!I194</f>
        <v>0</v>
      </c>
      <c r="J5" s="1">
        <f>建筑各项能耗拆分!$B$18*建筑各项能耗拆分!J194</f>
        <v>0</v>
      </c>
      <c r="K5" s="1">
        <f>建筑各项能耗拆分!$B$18*建筑各项能耗拆分!K194</f>
        <v>0</v>
      </c>
      <c r="L5" s="1">
        <f>建筑各项能耗拆分!$B$18*建筑各项能耗拆分!L194</f>
        <v>0</v>
      </c>
      <c r="M5" s="1">
        <f>建筑各项能耗拆分!$B$18*建筑各项能耗拆分!M194</f>
        <v>0</v>
      </c>
      <c r="N5" s="1">
        <f>建筑各项能耗拆分!$B$18*建筑各项能耗拆分!N194</f>
        <v>0</v>
      </c>
      <c r="O5" s="1">
        <f>建筑各项能耗拆分!$B$18*建筑各项能耗拆分!O194</f>
        <v>0</v>
      </c>
      <c r="P5" s="1">
        <f>建筑各项能耗拆分!$B$18*建筑各项能耗拆分!P194</f>
        <v>0</v>
      </c>
      <c r="Q5" s="1">
        <f>建筑各项能耗拆分!$B$18*建筑各项能耗拆分!Q194</f>
        <v>0</v>
      </c>
      <c r="R5" s="1">
        <f>建筑各项能耗拆分!$B$18*建筑各项能耗拆分!R194</f>
        <v>0</v>
      </c>
      <c r="S5" s="1">
        <f>建筑各项能耗拆分!$B$18*建筑各项能耗拆分!S194</f>
        <v>0</v>
      </c>
      <c r="T5" s="1">
        <f>建筑各项能耗拆分!$B$18*建筑各项能耗拆分!T194</f>
        <v>0</v>
      </c>
      <c r="U5" s="1">
        <f>建筑各项能耗拆分!$B$18*建筑各项能耗拆分!U194</f>
        <v>0</v>
      </c>
      <c r="V5" s="1">
        <f>建筑各项能耗拆分!$B$18*建筑各项能耗拆分!V194</f>
        <v>0</v>
      </c>
      <c r="W5" s="1">
        <f>建筑各项能耗拆分!$B$18*建筑各项能耗拆分!W194</f>
        <v>0</v>
      </c>
      <c r="X5" s="1">
        <f>建筑各项能耗拆分!$B$18*建筑各项能耗拆分!X194</f>
        <v>0</v>
      </c>
      <c r="Y5" s="1">
        <f>建筑各项能耗拆分!$B$18*建筑各项能耗拆分!Y194</f>
        <v>0</v>
      </c>
      <c r="Z5" s="1">
        <f>建筑各项能耗拆分!$B$18*建筑各项能耗拆分!Z194</f>
        <v>0</v>
      </c>
      <c r="AA5" s="1">
        <f>建筑各项能耗拆分!$B$18*建筑各项能耗拆分!AA194</f>
        <v>0</v>
      </c>
      <c r="AB5" s="1">
        <f>建筑各项能耗拆分!$B$18*建筑各项能耗拆分!AB194</f>
        <v>0</v>
      </c>
      <c r="AC5" s="1">
        <f>建筑各项能耗拆分!$B$18*建筑各项能耗拆分!AC194</f>
        <v>0</v>
      </c>
      <c r="AD5" s="1">
        <f>建筑各项能耗拆分!$B$18*建筑各项能耗拆分!AD194</f>
        <v>0</v>
      </c>
      <c r="AE5" s="1">
        <f>建筑各项能耗拆分!$B$18*建筑各项能耗拆分!AE194</f>
        <v>0</v>
      </c>
      <c r="AF5" s="1">
        <f>建筑各项能耗拆分!$B$18*建筑各项能耗拆分!AF194</f>
        <v>0</v>
      </c>
      <c r="AG5" s="1">
        <f>建筑各项能耗拆分!$B$18*建筑各项能耗拆分!AG194</f>
        <v>0</v>
      </c>
      <c r="AH5" s="1">
        <f>建筑各项能耗拆分!$B$18*建筑各项能耗拆分!AH194</f>
        <v>0</v>
      </c>
      <c r="AI5" s="1">
        <f>建筑各项能耗拆分!$B$18*建筑各项能耗拆分!AI194</f>
        <v>0</v>
      </c>
      <c r="AJ5" s="1">
        <f>建筑各项能耗拆分!$B$18*建筑各项能耗拆分!AJ194</f>
        <v>0</v>
      </c>
      <c r="AK5" s="1">
        <f>建筑各项能耗拆分!$B$18*建筑各项能耗拆分!AK194</f>
        <v>0</v>
      </c>
      <c r="AL5" s="1">
        <f>建筑各项能耗拆分!$B$18*建筑各项能耗拆分!AL194</f>
        <v>0</v>
      </c>
      <c r="AM5" s="1">
        <f>建筑各项能耗拆分!$B$18*建筑各项能耗拆分!AM194</f>
        <v>0</v>
      </c>
      <c r="AN5" s="1">
        <f>建筑各项能耗拆分!$B$18*建筑各项能耗拆分!AN194</f>
        <v>0</v>
      </c>
      <c r="AO5" s="1">
        <f>建筑各项能耗拆分!$B$18*建筑各项能耗拆分!AO194</f>
        <v>0</v>
      </c>
      <c r="AP5" s="1">
        <f>建筑各项能耗拆分!$B$18*建筑各项能耗拆分!AP194</f>
        <v>0</v>
      </c>
      <c r="AQ5" s="1">
        <f>建筑各项能耗拆分!$B$18*建筑各项能耗拆分!AQ194</f>
        <v>0</v>
      </c>
      <c r="AR5" s="1">
        <f>建筑各项能耗拆分!$B$18*建筑各项能耗拆分!AR194</f>
        <v>0</v>
      </c>
    </row>
    <row r="6" spans="1:44" x14ac:dyDescent="0.15">
      <c r="A6" t="s">
        <v>4</v>
      </c>
      <c r="B6" s="1">
        <f>建筑各项能耗拆分!$B$18*建筑各项能耗拆分!B195</f>
        <v>0</v>
      </c>
      <c r="C6" s="1">
        <f>建筑各项能耗拆分!$B$18*建筑各项能耗拆分!C195</f>
        <v>0</v>
      </c>
      <c r="D6" s="1">
        <f>建筑各项能耗拆分!$B$18*建筑各项能耗拆分!D195</f>
        <v>0</v>
      </c>
      <c r="E6" s="1">
        <f>建筑各项能耗拆分!$B$18*建筑各项能耗拆分!E195</f>
        <v>0</v>
      </c>
      <c r="F6" s="1">
        <f>建筑各项能耗拆分!$B$18*建筑各项能耗拆分!F195</f>
        <v>0</v>
      </c>
      <c r="G6" s="1">
        <f>建筑各项能耗拆分!$B$18*建筑各项能耗拆分!G195</f>
        <v>0</v>
      </c>
      <c r="H6" s="1">
        <f>建筑各项能耗拆分!$B$18*建筑各项能耗拆分!H195</f>
        <v>0</v>
      </c>
      <c r="I6" s="1">
        <f>建筑各项能耗拆分!$B$18*建筑各项能耗拆分!I195</f>
        <v>0</v>
      </c>
      <c r="J6" s="1">
        <f>建筑各项能耗拆分!$B$18*建筑各项能耗拆分!J195</f>
        <v>0</v>
      </c>
      <c r="K6" s="1">
        <f>建筑各项能耗拆分!$B$18*建筑各项能耗拆分!K195</f>
        <v>0</v>
      </c>
      <c r="L6" s="1">
        <f>建筑各项能耗拆分!$B$18*建筑各项能耗拆分!L195</f>
        <v>0</v>
      </c>
      <c r="M6" s="1">
        <f>建筑各项能耗拆分!$B$18*建筑各项能耗拆分!M195</f>
        <v>0</v>
      </c>
      <c r="N6" s="1">
        <f>建筑各项能耗拆分!$B$18*建筑各项能耗拆分!N195</f>
        <v>0</v>
      </c>
      <c r="O6" s="1">
        <f>建筑各项能耗拆分!$B$18*建筑各项能耗拆分!O195</f>
        <v>0</v>
      </c>
      <c r="P6" s="1">
        <f>建筑各项能耗拆分!$B$18*建筑各项能耗拆分!P195</f>
        <v>0</v>
      </c>
      <c r="Q6" s="1">
        <f>建筑各项能耗拆分!$B$18*建筑各项能耗拆分!Q195</f>
        <v>0</v>
      </c>
      <c r="R6" s="1">
        <f>建筑各项能耗拆分!$B$18*建筑各项能耗拆分!R195</f>
        <v>0</v>
      </c>
      <c r="S6" s="1">
        <f>建筑各项能耗拆分!$B$18*建筑各项能耗拆分!S195</f>
        <v>0</v>
      </c>
      <c r="T6" s="1">
        <f>建筑各项能耗拆分!$B$18*建筑各项能耗拆分!T195</f>
        <v>0</v>
      </c>
      <c r="U6" s="1">
        <f>建筑各项能耗拆分!$B$18*建筑各项能耗拆分!U195</f>
        <v>0</v>
      </c>
      <c r="V6" s="1">
        <f>建筑各项能耗拆分!$B$18*建筑各项能耗拆分!V195</f>
        <v>0</v>
      </c>
      <c r="W6" s="1">
        <f>建筑各项能耗拆分!$B$18*建筑各项能耗拆分!W195</f>
        <v>0</v>
      </c>
      <c r="X6" s="1">
        <f>建筑各项能耗拆分!$B$18*建筑各项能耗拆分!X195</f>
        <v>0</v>
      </c>
      <c r="Y6" s="1">
        <f>建筑各项能耗拆分!$B$18*建筑各项能耗拆分!Y195</f>
        <v>0</v>
      </c>
      <c r="Z6" s="1">
        <f>建筑各项能耗拆分!$B$18*建筑各项能耗拆分!Z195</f>
        <v>0</v>
      </c>
      <c r="AA6" s="1">
        <f>建筑各项能耗拆分!$B$18*建筑各项能耗拆分!AA195</f>
        <v>0</v>
      </c>
      <c r="AB6" s="1">
        <f>建筑各项能耗拆分!$B$18*建筑各项能耗拆分!AB195</f>
        <v>0</v>
      </c>
      <c r="AC6" s="1">
        <f>建筑各项能耗拆分!$B$18*建筑各项能耗拆分!AC195</f>
        <v>0</v>
      </c>
      <c r="AD6" s="1">
        <f>建筑各项能耗拆分!$B$18*建筑各项能耗拆分!AD195</f>
        <v>0</v>
      </c>
      <c r="AE6" s="1">
        <f>建筑各项能耗拆分!$B$18*建筑各项能耗拆分!AE195</f>
        <v>0</v>
      </c>
      <c r="AF6" s="1">
        <f>建筑各项能耗拆分!$B$18*建筑各项能耗拆分!AF195</f>
        <v>0</v>
      </c>
      <c r="AG6" s="1">
        <f>建筑各项能耗拆分!$B$18*建筑各项能耗拆分!AG195</f>
        <v>0</v>
      </c>
      <c r="AH6" s="1">
        <f>建筑各项能耗拆分!$B$18*建筑各项能耗拆分!AH195</f>
        <v>0</v>
      </c>
      <c r="AI6" s="1">
        <f>建筑各项能耗拆分!$B$18*建筑各项能耗拆分!AI195</f>
        <v>0</v>
      </c>
      <c r="AJ6" s="1">
        <f>建筑各项能耗拆分!$B$18*建筑各项能耗拆分!AJ195</f>
        <v>0</v>
      </c>
      <c r="AK6" s="1">
        <f>建筑各项能耗拆分!$B$18*建筑各项能耗拆分!AK195</f>
        <v>0</v>
      </c>
      <c r="AL6" s="1">
        <f>建筑各项能耗拆分!$B$18*建筑各项能耗拆分!AL195</f>
        <v>0</v>
      </c>
      <c r="AM6" s="1">
        <f>建筑各项能耗拆分!$B$18*建筑各项能耗拆分!AM195</f>
        <v>0</v>
      </c>
      <c r="AN6" s="1">
        <f>建筑各项能耗拆分!$B$18*建筑各项能耗拆分!AN195</f>
        <v>0</v>
      </c>
      <c r="AO6" s="1">
        <f>建筑各项能耗拆分!$B$18*建筑各项能耗拆分!AO195</f>
        <v>0</v>
      </c>
      <c r="AP6" s="1">
        <f>建筑各项能耗拆分!$B$18*建筑各项能耗拆分!AP195</f>
        <v>0</v>
      </c>
      <c r="AQ6" s="1">
        <f>建筑各项能耗拆分!$B$18*建筑各项能耗拆分!AQ195</f>
        <v>0</v>
      </c>
      <c r="AR6" s="1">
        <f>建筑各项能耗拆分!$B$18*建筑各项能耗拆分!AR195</f>
        <v>0</v>
      </c>
    </row>
    <row r="7" spans="1:44" x14ac:dyDescent="0.15">
      <c r="A7" t="s">
        <v>5</v>
      </c>
      <c r="B7" s="1">
        <f>建筑各项能耗拆分!$B$18*建筑各项能耗拆分!B196</f>
        <v>0</v>
      </c>
      <c r="C7" s="1">
        <f>建筑各项能耗拆分!$B$18*建筑各项能耗拆分!C196</f>
        <v>0</v>
      </c>
      <c r="D7" s="1">
        <f>建筑各项能耗拆分!$B$18*建筑各项能耗拆分!D196</f>
        <v>0</v>
      </c>
      <c r="E7" s="1">
        <f>建筑各项能耗拆分!$B$18*建筑各项能耗拆分!E196</f>
        <v>0</v>
      </c>
      <c r="F7" s="1">
        <f>建筑各项能耗拆分!$B$18*建筑各项能耗拆分!F196</f>
        <v>0</v>
      </c>
      <c r="G7" s="1">
        <f>建筑各项能耗拆分!$B$18*建筑各项能耗拆分!G196</f>
        <v>0</v>
      </c>
      <c r="H7" s="1">
        <f>建筑各项能耗拆分!$B$18*建筑各项能耗拆分!H196</f>
        <v>0</v>
      </c>
      <c r="I7" s="1">
        <f>建筑各项能耗拆分!$B$18*建筑各项能耗拆分!I196</f>
        <v>0</v>
      </c>
      <c r="J7" s="1">
        <f>建筑各项能耗拆分!$B$18*建筑各项能耗拆分!J196</f>
        <v>0</v>
      </c>
      <c r="K7" s="1">
        <f>建筑各项能耗拆分!$B$18*建筑各项能耗拆分!K196</f>
        <v>0</v>
      </c>
      <c r="L7" s="1">
        <f>建筑各项能耗拆分!$B$18*建筑各项能耗拆分!L196</f>
        <v>0</v>
      </c>
      <c r="M7" s="1">
        <f>建筑各项能耗拆分!$B$18*建筑各项能耗拆分!M196</f>
        <v>0</v>
      </c>
      <c r="N7" s="1">
        <f>建筑各项能耗拆分!$B$18*建筑各项能耗拆分!N196</f>
        <v>0</v>
      </c>
      <c r="O7" s="1">
        <f>建筑各项能耗拆分!$B$18*建筑各项能耗拆分!O196</f>
        <v>0</v>
      </c>
      <c r="P7" s="1">
        <f>建筑各项能耗拆分!$B$18*建筑各项能耗拆分!P196</f>
        <v>0</v>
      </c>
      <c r="Q7" s="1">
        <f>建筑各项能耗拆分!$B$18*建筑各项能耗拆分!Q196</f>
        <v>0</v>
      </c>
      <c r="R7" s="1">
        <f>建筑各项能耗拆分!$B$18*建筑各项能耗拆分!R196</f>
        <v>0</v>
      </c>
      <c r="S7" s="1">
        <f>建筑各项能耗拆分!$B$18*建筑各项能耗拆分!S196</f>
        <v>0</v>
      </c>
      <c r="T7" s="1">
        <f>建筑各项能耗拆分!$B$18*建筑各项能耗拆分!T196</f>
        <v>0</v>
      </c>
      <c r="U7" s="1">
        <f>建筑各项能耗拆分!$B$18*建筑各项能耗拆分!U196</f>
        <v>0</v>
      </c>
      <c r="V7" s="1">
        <f>建筑各项能耗拆分!$B$18*建筑各项能耗拆分!V196</f>
        <v>0</v>
      </c>
      <c r="W7" s="1">
        <f>建筑各项能耗拆分!$B$18*建筑各项能耗拆分!W196</f>
        <v>0</v>
      </c>
      <c r="X7" s="1">
        <f>建筑各项能耗拆分!$B$18*建筑各项能耗拆分!X196</f>
        <v>0</v>
      </c>
      <c r="Y7" s="1">
        <f>建筑各项能耗拆分!$B$18*建筑各项能耗拆分!Y196</f>
        <v>0</v>
      </c>
      <c r="Z7" s="1">
        <f>建筑各项能耗拆分!$B$18*建筑各项能耗拆分!Z196</f>
        <v>0</v>
      </c>
      <c r="AA7" s="1">
        <f>建筑各项能耗拆分!$B$18*建筑各项能耗拆分!AA196</f>
        <v>0</v>
      </c>
      <c r="AB7" s="1">
        <f>建筑各项能耗拆分!$B$18*建筑各项能耗拆分!AB196</f>
        <v>0</v>
      </c>
      <c r="AC7" s="1">
        <f>建筑各项能耗拆分!$B$18*建筑各项能耗拆分!AC196</f>
        <v>0</v>
      </c>
      <c r="AD7" s="1">
        <f>建筑各项能耗拆分!$B$18*建筑各项能耗拆分!AD196</f>
        <v>0</v>
      </c>
      <c r="AE7" s="1">
        <f>建筑各项能耗拆分!$B$18*建筑各项能耗拆分!AE196</f>
        <v>0</v>
      </c>
      <c r="AF7" s="1">
        <f>建筑各项能耗拆分!$B$18*建筑各项能耗拆分!AF196</f>
        <v>0</v>
      </c>
      <c r="AG7" s="1">
        <f>建筑各项能耗拆分!$B$18*建筑各项能耗拆分!AG196</f>
        <v>0</v>
      </c>
      <c r="AH7" s="1">
        <f>建筑各项能耗拆分!$B$18*建筑各项能耗拆分!AH196</f>
        <v>0</v>
      </c>
      <c r="AI7" s="1">
        <f>建筑各项能耗拆分!$B$18*建筑各项能耗拆分!AI196</f>
        <v>0</v>
      </c>
      <c r="AJ7" s="1">
        <f>建筑各项能耗拆分!$B$18*建筑各项能耗拆分!AJ196</f>
        <v>0</v>
      </c>
      <c r="AK7" s="1">
        <f>建筑各项能耗拆分!$B$18*建筑各项能耗拆分!AK196</f>
        <v>0</v>
      </c>
      <c r="AL7" s="1">
        <f>建筑各项能耗拆分!$B$18*建筑各项能耗拆分!AL196</f>
        <v>0</v>
      </c>
      <c r="AM7" s="1">
        <f>建筑各项能耗拆分!$B$18*建筑各项能耗拆分!AM196</f>
        <v>0</v>
      </c>
      <c r="AN7" s="1">
        <f>建筑各项能耗拆分!$B$18*建筑各项能耗拆分!AN196</f>
        <v>0</v>
      </c>
      <c r="AO7" s="1">
        <f>建筑各项能耗拆分!$B$18*建筑各项能耗拆分!AO196</f>
        <v>0</v>
      </c>
      <c r="AP7" s="1">
        <f>建筑各项能耗拆分!$B$18*建筑各项能耗拆分!AP196</f>
        <v>0</v>
      </c>
      <c r="AQ7" s="1">
        <f>建筑各项能耗拆分!$B$18*建筑各项能耗拆分!AQ196</f>
        <v>0</v>
      </c>
      <c r="AR7" s="1">
        <f>建筑各项能耗拆分!$B$18*建筑各项能耗拆分!AR196</f>
        <v>0</v>
      </c>
    </row>
    <row r="8" spans="1:44" x14ac:dyDescent="0.15">
      <c r="A8" t="s">
        <v>6</v>
      </c>
      <c r="B8" s="1">
        <f>建筑各项能耗拆分!$B$18*建筑各项能耗拆分!B197</f>
        <v>0</v>
      </c>
      <c r="C8" s="1">
        <f>建筑各项能耗拆分!$B$18*建筑各项能耗拆分!C197</f>
        <v>0</v>
      </c>
      <c r="D8" s="1">
        <f>建筑各项能耗拆分!$B$18*建筑各项能耗拆分!D197</f>
        <v>0</v>
      </c>
      <c r="E8" s="1">
        <f>建筑各项能耗拆分!$B$18*建筑各项能耗拆分!E197</f>
        <v>0</v>
      </c>
      <c r="F8" s="1">
        <f>建筑各项能耗拆分!$B$18*建筑各项能耗拆分!F197</f>
        <v>0</v>
      </c>
      <c r="G8" s="1">
        <f>建筑各项能耗拆分!$B$18*建筑各项能耗拆分!G197</f>
        <v>0</v>
      </c>
      <c r="H8" s="1">
        <f>建筑各项能耗拆分!$B$18*建筑各项能耗拆分!H197</f>
        <v>0</v>
      </c>
      <c r="I8" s="1">
        <f>建筑各项能耗拆分!$B$18*建筑各项能耗拆分!I197</f>
        <v>0</v>
      </c>
      <c r="J8" s="1">
        <f>建筑各项能耗拆分!$B$18*建筑各项能耗拆分!J197</f>
        <v>0</v>
      </c>
      <c r="K8" s="1">
        <f>建筑各项能耗拆分!$B$18*建筑各项能耗拆分!K197</f>
        <v>0</v>
      </c>
      <c r="L8" s="1">
        <f>建筑各项能耗拆分!$B$18*建筑各项能耗拆分!L197</f>
        <v>0</v>
      </c>
      <c r="M8" s="1">
        <f>建筑各项能耗拆分!$B$18*建筑各项能耗拆分!M197</f>
        <v>0</v>
      </c>
      <c r="N8" s="1">
        <f>建筑各项能耗拆分!$B$18*建筑各项能耗拆分!N197</f>
        <v>0</v>
      </c>
      <c r="O8" s="1">
        <f>建筑各项能耗拆分!$B$18*建筑各项能耗拆分!O197</f>
        <v>0</v>
      </c>
      <c r="P8" s="1">
        <f>建筑各项能耗拆分!$B$18*建筑各项能耗拆分!P197</f>
        <v>0</v>
      </c>
      <c r="Q8" s="1">
        <f>建筑各项能耗拆分!$B$18*建筑各项能耗拆分!Q197</f>
        <v>0</v>
      </c>
      <c r="R8" s="1">
        <f>建筑各项能耗拆分!$B$18*建筑各项能耗拆分!R197</f>
        <v>0</v>
      </c>
      <c r="S8" s="1">
        <f>建筑各项能耗拆分!$B$18*建筑各项能耗拆分!S197</f>
        <v>0</v>
      </c>
      <c r="T8" s="1">
        <f>建筑各项能耗拆分!$B$18*建筑各项能耗拆分!T197</f>
        <v>0</v>
      </c>
      <c r="U8" s="1">
        <f>建筑各项能耗拆分!$B$18*建筑各项能耗拆分!U197</f>
        <v>0</v>
      </c>
      <c r="V8" s="1">
        <f>建筑各项能耗拆分!$B$18*建筑各项能耗拆分!V197</f>
        <v>0</v>
      </c>
      <c r="W8" s="1">
        <f>建筑各项能耗拆分!$B$18*建筑各项能耗拆分!W197</f>
        <v>0</v>
      </c>
      <c r="X8" s="1">
        <f>建筑各项能耗拆分!$B$18*建筑各项能耗拆分!X197</f>
        <v>0</v>
      </c>
      <c r="Y8" s="1">
        <f>建筑各项能耗拆分!$B$18*建筑各项能耗拆分!Y197</f>
        <v>0</v>
      </c>
      <c r="Z8" s="1">
        <f>建筑各项能耗拆分!$B$18*建筑各项能耗拆分!Z197</f>
        <v>0</v>
      </c>
      <c r="AA8" s="1">
        <f>建筑各项能耗拆分!$B$18*建筑各项能耗拆分!AA197</f>
        <v>0</v>
      </c>
      <c r="AB8" s="1">
        <f>建筑各项能耗拆分!$B$18*建筑各项能耗拆分!AB197</f>
        <v>0</v>
      </c>
      <c r="AC8" s="1">
        <f>建筑各项能耗拆分!$B$18*建筑各项能耗拆分!AC197</f>
        <v>0</v>
      </c>
      <c r="AD8" s="1">
        <f>建筑各项能耗拆分!$B$18*建筑各项能耗拆分!AD197</f>
        <v>0</v>
      </c>
      <c r="AE8" s="1">
        <f>建筑各项能耗拆分!$B$18*建筑各项能耗拆分!AE197</f>
        <v>0</v>
      </c>
      <c r="AF8" s="1">
        <f>建筑各项能耗拆分!$B$18*建筑各项能耗拆分!AF197</f>
        <v>0</v>
      </c>
      <c r="AG8" s="1">
        <f>建筑各项能耗拆分!$B$18*建筑各项能耗拆分!AG197</f>
        <v>0</v>
      </c>
      <c r="AH8" s="1">
        <f>建筑各项能耗拆分!$B$18*建筑各项能耗拆分!AH197</f>
        <v>0</v>
      </c>
      <c r="AI8" s="1">
        <f>建筑各项能耗拆分!$B$18*建筑各项能耗拆分!AI197</f>
        <v>0</v>
      </c>
      <c r="AJ8" s="1">
        <f>建筑各项能耗拆分!$B$18*建筑各项能耗拆分!AJ197</f>
        <v>0</v>
      </c>
      <c r="AK8" s="1">
        <f>建筑各项能耗拆分!$B$18*建筑各项能耗拆分!AK197</f>
        <v>0</v>
      </c>
      <c r="AL8" s="1">
        <f>建筑各项能耗拆分!$B$18*建筑各项能耗拆分!AL197</f>
        <v>0</v>
      </c>
      <c r="AM8" s="1">
        <f>建筑各项能耗拆分!$B$18*建筑各项能耗拆分!AM197</f>
        <v>0</v>
      </c>
      <c r="AN8" s="1">
        <f>建筑各项能耗拆分!$B$18*建筑各项能耗拆分!AN197</f>
        <v>0</v>
      </c>
      <c r="AO8" s="1">
        <f>建筑各项能耗拆分!$B$18*建筑各项能耗拆分!AO197</f>
        <v>0</v>
      </c>
      <c r="AP8" s="1">
        <f>建筑各项能耗拆分!$B$18*建筑各项能耗拆分!AP197</f>
        <v>0</v>
      </c>
      <c r="AQ8" s="1">
        <f>建筑各项能耗拆分!$B$18*建筑各项能耗拆分!AQ197</f>
        <v>0</v>
      </c>
      <c r="AR8" s="1">
        <f>建筑各项能耗拆分!$B$18*建筑各项能耗拆分!AR197</f>
        <v>0</v>
      </c>
    </row>
    <row r="9" spans="1:44" x14ac:dyDescent="0.15">
      <c r="A9" t="s">
        <v>7</v>
      </c>
      <c r="B9" s="1">
        <f>建筑各项能耗拆分!$B$18*建筑各项能耗拆分!B198</f>
        <v>0</v>
      </c>
      <c r="C9" s="1">
        <f>建筑各项能耗拆分!$B$18*建筑各项能耗拆分!C198</f>
        <v>0</v>
      </c>
      <c r="D9" s="1">
        <f>建筑各项能耗拆分!$B$18*建筑各项能耗拆分!D198</f>
        <v>0</v>
      </c>
      <c r="E9" s="1">
        <f>建筑各项能耗拆分!$B$18*建筑各项能耗拆分!E198</f>
        <v>0</v>
      </c>
      <c r="F9" s="1">
        <f>建筑各项能耗拆分!$B$18*建筑各项能耗拆分!F198</f>
        <v>0</v>
      </c>
      <c r="G9" s="1">
        <f>建筑各项能耗拆分!$B$18*建筑各项能耗拆分!G198</f>
        <v>0</v>
      </c>
      <c r="H9" s="1">
        <f>建筑各项能耗拆分!$B$18*建筑各项能耗拆分!H198</f>
        <v>0</v>
      </c>
      <c r="I9" s="1">
        <f>建筑各项能耗拆分!$B$18*建筑各项能耗拆分!I198</f>
        <v>0</v>
      </c>
      <c r="J9" s="1">
        <f>建筑各项能耗拆分!$B$18*建筑各项能耗拆分!J198</f>
        <v>0</v>
      </c>
      <c r="K9" s="1">
        <f>建筑各项能耗拆分!$B$18*建筑各项能耗拆分!K198</f>
        <v>0</v>
      </c>
      <c r="L9" s="1">
        <f>建筑各项能耗拆分!$B$18*建筑各项能耗拆分!L198</f>
        <v>0</v>
      </c>
      <c r="M9" s="1">
        <f>建筑各项能耗拆分!$B$18*建筑各项能耗拆分!M198</f>
        <v>0</v>
      </c>
      <c r="N9" s="1">
        <f>建筑各项能耗拆分!$B$18*建筑各项能耗拆分!N198</f>
        <v>0</v>
      </c>
      <c r="O9" s="1">
        <f>建筑各项能耗拆分!$B$18*建筑各项能耗拆分!O198</f>
        <v>0</v>
      </c>
      <c r="P9" s="1">
        <f>建筑各项能耗拆分!$B$18*建筑各项能耗拆分!P198</f>
        <v>0</v>
      </c>
      <c r="Q9" s="1">
        <f>建筑各项能耗拆分!$B$18*建筑各项能耗拆分!Q198</f>
        <v>0</v>
      </c>
      <c r="R9" s="1">
        <f>建筑各项能耗拆分!$B$18*建筑各项能耗拆分!R198</f>
        <v>0</v>
      </c>
      <c r="S9" s="1">
        <f>建筑各项能耗拆分!$B$18*建筑各项能耗拆分!S198</f>
        <v>0</v>
      </c>
      <c r="T9" s="1">
        <f>建筑各项能耗拆分!$B$18*建筑各项能耗拆分!T198</f>
        <v>0</v>
      </c>
      <c r="U9" s="1">
        <f>建筑各项能耗拆分!$B$18*建筑各项能耗拆分!U198</f>
        <v>0</v>
      </c>
      <c r="V9" s="1">
        <f>建筑各项能耗拆分!$B$18*建筑各项能耗拆分!V198</f>
        <v>0</v>
      </c>
      <c r="W9" s="1">
        <f>建筑各项能耗拆分!$B$18*建筑各项能耗拆分!W198</f>
        <v>0</v>
      </c>
      <c r="X9" s="1">
        <f>建筑各项能耗拆分!$B$18*建筑各项能耗拆分!X198</f>
        <v>0</v>
      </c>
      <c r="Y9" s="1">
        <f>建筑各项能耗拆分!$B$18*建筑各项能耗拆分!Y198</f>
        <v>0</v>
      </c>
      <c r="Z9" s="1">
        <f>建筑各项能耗拆分!$B$18*建筑各项能耗拆分!Z198</f>
        <v>0</v>
      </c>
      <c r="AA9" s="1">
        <f>建筑各项能耗拆分!$B$18*建筑各项能耗拆分!AA198</f>
        <v>0</v>
      </c>
      <c r="AB9" s="1">
        <f>建筑各项能耗拆分!$B$18*建筑各项能耗拆分!AB198</f>
        <v>0</v>
      </c>
      <c r="AC9" s="1">
        <f>建筑各项能耗拆分!$B$18*建筑各项能耗拆分!AC198</f>
        <v>0</v>
      </c>
      <c r="AD9" s="1">
        <f>建筑各项能耗拆分!$B$18*建筑各项能耗拆分!AD198</f>
        <v>0</v>
      </c>
      <c r="AE9" s="1">
        <f>建筑各项能耗拆分!$B$18*建筑各项能耗拆分!AE198</f>
        <v>0</v>
      </c>
      <c r="AF9" s="1">
        <f>建筑各项能耗拆分!$B$18*建筑各项能耗拆分!AF198</f>
        <v>0</v>
      </c>
      <c r="AG9" s="1">
        <f>建筑各项能耗拆分!$B$18*建筑各项能耗拆分!AG198</f>
        <v>0</v>
      </c>
      <c r="AH9" s="1">
        <f>建筑各项能耗拆分!$B$18*建筑各项能耗拆分!AH198</f>
        <v>0</v>
      </c>
      <c r="AI9" s="1">
        <f>建筑各项能耗拆分!$B$18*建筑各项能耗拆分!AI198</f>
        <v>0</v>
      </c>
      <c r="AJ9" s="1">
        <f>建筑各项能耗拆分!$B$18*建筑各项能耗拆分!AJ198</f>
        <v>0</v>
      </c>
      <c r="AK9" s="1">
        <f>建筑各项能耗拆分!$B$18*建筑各项能耗拆分!AK198</f>
        <v>0</v>
      </c>
      <c r="AL9" s="1">
        <f>建筑各项能耗拆分!$B$18*建筑各项能耗拆分!AL198</f>
        <v>0</v>
      </c>
      <c r="AM9" s="1">
        <f>建筑各项能耗拆分!$B$18*建筑各项能耗拆分!AM198</f>
        <v>0</v>
      </c>
      <c r="AN9" s="1">
        <f>建筑各项能耗拆分!$B$18*建筑各项能耗拆分!AN198</f>
        <v>0</v>
      </c>
      <c r="AO9" s="1">
        <f>建筑各项能耗拆分!$B$18*建筑各项能耗拆分!AO198</f>
        <v>0</v>
      </c>
      <c r="AP9" s="1">
        <f>建筑各项能耗拆分!$B$18*建筑各项能耗拆分!AP198</f>
        <v>0</v>
      </c>
      <c r="AQ9" s="1">
        <f>建筑各项能耗拆分!$B$18*建筑各项能耗拆分!AQ198</f>
        <v>0</v>
      </c>
      <c r="AR9" s="1">
        <f>建筑各项能耗拆分!$B$18*建筑各项能耗拆分!AR198</f>
        <v>0</v>
      </c>
    </row>
    <row r="10" spans="1:44" x14ac:dyDescent="0.15">
      <c r="A10" t="s">
        <v>8</v>
      </c>
      <c r="B10" s="1">
        <f>建筑各项能耗拆分!$B$18*建筑各项能耗拆分!B199</f>
        <v>0</v>
      </c>
      <c r="C10" s="1">
        <f>建筑各项能耗拆分!$B$18*建筑各项能耗拆分!C199</f>
        <v>0</v>
      </c>
      <c r="D10" s="1">
        <f>建筑各项能耗拆分!$B$18*建筑各项能耗拆分!D199</f>
        <v>0</v>
      </c>
      <c r="E10" s="1">
        <f>建筑各项能耗拆分!$B$18*建筑各项能耗拆分!E199</f>
        <v>0</v>
      </c>
      <c r="F10" s="1">
        <f>建筑各项能耗拆分!$B$18*建筑各项能耗拆分!F199</f>
        <v>0</v>
      </c>
      <c r="G10" s="1">
        <f>建筑各项能耗拆分!$B$18*建筑各项能耗拆分!G199</f>
        <v>0</v>
      </c>
      <c r="H10" s="1">
        <f>建筑各项能耗拆分!$B$18*建筑各项能耗拆分!H199</f>
        <v>0</v>
      </c>
      <c r="I10" s="1">
        <f>建筑各项能耗拆分!$B$18*建筑各项能耗拆分!I199</f>
        <v>0</v>
      </c>
      <c r="J10" s="1">
        <f>建筑各项能耗拆分!$B$18*建筑各项能耗拆分!J199</f>
        <v>0</v>
      </c>
      <c r="K10" s="1">
        <f>建筑各项能耗拆分!$B$18*建筑各项能耗拆分!K199</f>
        <v>0</v>
      </c>
      <c r="L10" s="1">
        <f>建筑各项能耗拆分!$B$18*建筑各项能耗拆分!L199</f>
        <v>0</v>
      </c>
      <c r="M10" s="1">
        <f>建筑各项能耗拆分!$B$18*建筑各项能耗拆分!M199</f>
        <v>0</v>
      </c>
      <c r="N10" s="1">
        <f>建筑各项能耗拆分!$B$18*建筑各项能耗拆分!N199</f>
        <v>0</v>
      </c>
      <c r="O10" s="1">
        <f>建筑各项能耗拆分!$B$18*建筑各项能耗拆分!O199</f>
        <v>0</v>
      </c>
      <c r="P10" s="1">
        <f>建筑各项能耗拆分!$B$18*建筑各项能耗拆分!P199</f>
        <v>0</v>
      </c>
      <c r="Q10" s="1">
        <f>建筑各项能耗拆分!$B$18*建筑各项能耗拆分!Q199</f>
        <v>0</v>
      </c>
      <c r="R10" s="1">
        <f>建筑各项能耗拆分!$B$18*建筑各项能耗拆分!R199</f>
        <v>0</v>
      </c>
      <c r="S10" s="1">
        <f>建筑各项能耗拆分!$B$18*建筑各项能耗拆分!S199</f>
        <v>0</v>
      </c>
      <c r="T10" s="1">
        <f>建筑各项能耗拆分!$B$18*建筑各项能耗拆分!T199</f>
        <v>0</v>
      </c>
      <c r="U10" s="1">
        <f>建筑各项能耗拆分!$B$18*建筑各项能耗拆分!U199</f>
        <v>0</v>
      </c>
      <c r="V10" s="1">
        <f>建筑各项能耗拆分!$B$18*建筑各项能耗拆分!V199</f>
        <v>0</v>
      </c>
      <c r="W10" s="1">
        <f>建筑各项能耗拆分!$B$18*建筑各项能耗拆分!W199</f>
        <v>0</v>
      </c>
      <c r="X10" s="1">
        <f>建筑各项能耗拆分!$B$18*建筑各项能耗拆分!X199</f>
        <v>0</v>
      </c>
      <c r="Y10" s="1">
        <f>建筑各项能耗拆分!$B$18*建筑各项能耗拆分!Y199</f>
        <v>0</v>
      </c>
      <c r="Z10" s="1">
        <f>建筑各项能耗拆分!$B$18*建筑各项能耗拆分!Z199</f>
        <v>0</v>
      </c>
      <c r="AA10" s="1">
        <f>建筑各项能耗拆分!$B$18*建筑各项能耗拆分!AA199</f>
        <v>0</v>
      </c>
      <c r="AB10" s="1">
        <f>建筑各项能耗拆分!$B$18*建筑各项能耗拆分!AB199</f>
        <v>0</v>
      </c>
      <c r="AC10" s="1">
        <f>建筑各项能耗拆分!$B$18*建筑各项能耗拆分!AC199</f>
        <v>0</v>
      </c>
      <c r="AD10" s="1">
        <f>建筑各项能耗拆分!$B$18*建筑各项能耗拆分!AD199</f>
        <v>0</v>
      </c>
      <c r="AE10" s="1">
        <f>建筑各项能耗拆分!$B$18*建筑各项能耗拆分!AE199</f>
        <v>0</v>
      </c>
      <c r="AF10" s="1">
        <f>建筑各项能耗拆分!$B$18*建筑各项能耗拆分!AF199</f>
        <v>0</v>
      </c>
      <c r="AG10" s="1">
        <f>建筑各项能耗拆分!$B$18*建筑各项能耗拆分!AG199</f>
        <v>0</v>
      </c>
      <c r="AH10" s="1">
        <f>建筑各项能耗拆分!$B$18*建筑各项能耗拆分!AH199</f>
        <v>0</v>
      </c>
      <c r="AI10" s="1">
        <f>建筑各项能耗拆分!$B$18*建筑各项能耗拆分!AI199</f>
        <v>0</v>
      </c>
      <c r="AJ10" s="1">
        <f>建筑各项能耗拆分!$B$18*建筑各项能耗拆分!AJ199</f>
        <v>0</v>
      </c>
      <c r="AK10" s="1">
        <f>建筑各项能耗拆分!$B$18*建筑各项能耗拆分!AK199</f>
        <v>0</v>
      </c>
      <c r="AL10" s="1">
        <f>建筑各项能耗拆分!$B$18*建筑各项能耗拆分!AL199</f>
        <v>0</v>
      </c>
      <c r="AM10" s="1">
        <f>建筑各项能耗拆分!$B$18*建筑各项能耗拆分!AM199</f>
        <v>0</v>
      </c>
      <c r="AN10" s="1">
        <f>建筑各项能耗拆分!$B$18*建筑各项能耗拆分!AN199</f>
        <v>0</v>
      </c>
      <c r="AO10" s="1">
        <f>建筑各项能耗拆分!$B$18*建筑各项能耗拆分!AO199</f>
        <v>0</v>
      </c>
      <c r="AP10" s="1">
        <f>建筑各项能耗拆分!$B$18*建筑各项能耗拆分!AP199</f>
        <v>0</v>
      </c>
      <c r="AQ10" s="1">
        <f>建筑各项能耗拆分!$B$18*建筑各项能耗拆分!AQ199</f>
        <v>0</v>
      </c>
      <c r="AR10" s="1">
        <f>建筑各项能耗拆分!$B$18*建筑各项能耗拆分!AR199</f>
        <v>0</v>
      </c>
    </row>
    <row r="11" spans="1:44" x14ac:dyDescent="0.15">
      <c r="A11" t="s">
        <v>9</v>
      </c>
      <c r="B11" s="1">
        <f>建筑各项能耗拆分!$B$18*建筑各项能耗拆分!B200</f>
        <v>0</v>
      </c>
      <c r="C11" s="1">
        <f>建筑各项能耗拆分!$B$18*建筑各项能耗拆分!C200</f>
        <v>0</v>
      </c>
      <c r="D11" s="1">
        <f>建筑各项能耗拆分!$B$18*建筑各项能耗拆分!D200</f>
        <v>0</v>
      </c>
      <c r="E11" s="1">
        <f>建筑各项能耗拆分!$B$18*建筑各项能耗拆分!E200</f>
        <v>0</v>
      </c>
      <c r="F11" s="1">
        <f>建筑各项能耗拆分!$B$18*建筑各项能耗拆分!F200</f>
        <v>0</v>
      </c>
      <c r="G11" s="1">
        <f>建筑各项能耗拆分!$B$18*建筑各项能耗拆分!G200</f>
        <v>0</v>
      </c>
      <c r="H11" s="1">
        <f>建筑各项能耗拆分!$B$18*建筑各项能耗拆分!H200</f>
        <v>0</v>
      </c>
      <c r="I11" s="1">
        <f>建筑各项能耗拆分!$B$18*建筑各项能耗拆分!I200</f>
        <v>0</v>
      </c>
      <c r="J11" s="1">
        <f>建筑各项能耗拆分!$B$18*建筑各项能耗拆分!J200</f>
        <v>0</v>
      </c>
      <c r="K11" s="1">
        <f>建筑各项能耗拆分!$B$18*建筑各项能耗拆分!K200</f>
        <v>0</v>
      </c>
      <c r="L11" s="1">
        <f>建筑各项能耗拆分!$B$18*建筑各项能耗拆分!L200</f>
        <v>0</v>
      </c>
      <c r="M11" s="1">
        <f>建筑各项能耗拆分!$B$18*建筑各项能耗拆分!M200</f>
        <v>0</v>
      </c>
      <c r="N11" s="1">
        <f>建筑各项能耗拆分!$B$18*建筑各项能耗拆分!N200</f>
        <v>0</v>
      </c>
      <c r="O11" s="1">
        <f>建筑各项能耗拆分!$B$18*建筑各项能耗拆分!O200</f>
        <v>0</v>
      </c>
      <c r="P11" s="1">
        <f>建筑各项能耗拆分!$B$18*建筑各项能耗拆分!P200</f>
        <v>0</v>
      </c>
      <c r="Q11" s="1">
        <f>建筑各项能耗拆分!$B$18*建筑各项能耗拆分!Q200</f>
        <v>0</v>
      </c>
      <c r="R11" s="1">
        <f>建筑各项能耗拆分!$B$18*建筑各项能耗拆分!R200</f>
        <v>0</v>
      </c>
      <c r="S11" s="1">
        <f>建筑各项能耗拆分!$B$18*建筑各项能耗拆分!S200</f>
        <v>0</v>
      </c>
      <c r="T11" s="1">
        <f>建筑各项能耗拆分!$B$18*建筑各项能耗拆分!T200</f>
        <v>0</v>
      </c>
      <c r="U11" s="1">
        <f>建筑各项能耗拆分!$B$18*建筑各项能耗拆分!U200</f>
        <v>0</v>
      </c>
      <c r="V11" s="1">
        <f>建筑各项能耗拆分!$B$18*建筑各项能耗拆分!V200</f>
        <v>0</v>
      </c>
      <c r="W11" s="1">
        <f>建筑各项能耗拆分!$B$18*建筑各项能耗拆分!W200</f>
        <v>0</v>
      </c>
      <c r="X11" s="1">
        <f>建筑各项能耗拆分!$B$18*建筑各项能耗拆分!X200</f>
        <v>0</v>
      </c>
      <c r="Y11" s="1">
        <f>建筑各项能耗拆分!$B$18*建筑各项能耗拆分!Y200</f>
        <v>0</v>
      </c>
      <c r="Z11" s="1">
        <f>建筑各项能耗拆分!$B$18*建筑各项能耗拆分!Z200</f>
        <v>0</v>
      </c>
      <c r="AA11" s="1">
        <f>建筑各项能耗拆分!$B$18*建筑各项能耗拆分!AA200</f>
        <v>0</v>
      </c>
      <c r="AB11" s="1">
        <f>建筑各项能耗拆分!$B$18*建筑各项能耗拆分!AB200</f>
        <v>0</v>
      </c>
      <c r="AC11" s="1">
        <f>建筑各项能耗拆分!$B$18*建筑各项能耗拆分!AC200</f>
        <v>0</v>
      </c>
      <c r="AD11" s="1">
        <f>建筑各项能耗拆分!$B$18*建筑各项能耗拆分!AD200</f>
        <v>0</v>
      </c>
      <c r="AE11" s="1">
        <f>建筑各项能耗拆分!$B$18*建筑各项能耗拆分!AE200</f>
        <v>0</v>
      </c>
      <c r="AF11" s="1">
        <f>建筑各项能耗拆分!$B$18*建筑各项能耗拆分!AF200</f>
        <v>0</v>
      </c>
      <c r="AG11" s="1">
        <f>建筑各项能耗拆分!$B$18*建筑各项能耗拆分!AG200</f>
        <v>0</v>
      </c>
      <c r="AH11" s="1">
        <f>建筑各项能耗拆分!$B$18*建筑各项能耗拆分!AH200</f>
        <v>0</v>
      </c>
      <c r="AI11" s="1">
        <f>建筑各项能耗拆分!$B$18*建筑各项能耗拆分!AI200</f>
        <v>0</v>
      </c>
      <c r="AJ11" s="1">
        <f>建筑各项能耗拆分!$B$18*建筑各项能耗拆分!AJ200</f>
        <v>0</v>
      </c>
      <c r="AK11" s="1">
        <f>建筑各项能耗拆分!$B$18*建筑各项能耗拆分!AK200</f>
        <v>0</v>
      </c>
      <c r="AL11" s="1">
        <f>建筑各项能耗拆分!$B$18*建筑各项能耗拆分!AL200</f>
        <v>0</v>
      </c>
      <c r="AM11" s="1">
        <f>建筑各项能耗拆分!$B$18*建筑各项能耗拆分!AM200</f>
        <v>0</v>
      </c>
      <c r="AN11" s="1">
        <f>建筑各项能耗拆分!$B$18*建筑各项能耗拆分!AN200</f>
        <v>0</v>
      </c>
      <c r="AO11" s="1">
        <f>建筑各项能耗拆分!$B$18*建筑各项能耗拆分!AO200</f>
        <v>0</v>
      </c>
      <c r="AP11" s="1">
        <f>建筑各项能耗拆分!$B$18*建筑各项能耗拆分!AP200</f>
        <v>0</v>
      </c>
      <c r="AQ11" s="1">
        <f>建筑各项能耗拆分!$B$18*建筑各项能耗拆分!AQ200</f>
        <v>0</v>
      </c>
      <c r="AR11" s="1">
        <f>建筑各项能耗拆分!$B$18*建筑各项能耗拆分!AR200</f>
        <v>0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0555-E1A7-4E50-9DDB-62185F167FD6}">
  <sheetPr>
    <tabColor rgb="FF002060"/>
  </sheetPr>
  <dimension ref="A1:AR11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建筑各项能耗拆分!$B$18*建筑各项能耗拆分!B217</f>
        <v>1960636617117288.3</v>
      </c>
      <c r="C2" s="1">
        <f>建筑各项能耗拆分!$B$18*建筑各项能耗拆分!C217</f>
        <v>1986333996398524.8</v>
      </c>
      <c r="D2" s="1">
        <f>建筑各项能耗拆分!$B$18*建筑各项能耗拆分!D217</f>
        <v>2021469545150844</v>
      </c>
      <c r="E2" s="1">
        <f>建筑各项能耗拆分!$B$18*建筑各项能耗拆分!E217</f>
        <v>2037609345364840.5</v>
      </c>
      <c r="F2" s="1">
        <f>建筑各项能耗拆分!$B$18*建筑各项能耗拆分!F217</f>
        <v>2053267587969111</v>
      </c>
      <c r="G2" s="1">
        <f>建筑各项能耗拆分!$B$18*建筑各项能耗拆分!G217</f>
        <v>2068433549676534.5</v>
      </c>
      <c r="H2" s="1">
        <f>建筑各项能耗拆分!$B$18*建筑各项能耗拆分!H217</f>
        <v>2083097521808906.5</v>
      </c>
      <c r="I2" s="1">
        <f>建筑各项能耗拆分!$B$18*建筑各项能耗拆分!I217</f>
        <v>2097250964954323.5</v>
      </c>
      <c r="J2" s="1">
        <f>建筑各项能耗拆分!$B$18*建筑各项能耗拆分!J217</f>
        <v>2110886436154397.8</v>
      </c>
      <c r="K2" s="1">
        <f>建筑各项能耗拆分!$B$18*建筑各项能耗拆分!K217</f>
        <v>2123997808480545.8</v>
      </c>
      <c r="L2" s="1">
        <f>建筑各项能耗拆分!$B$18*建筑各项能耗拆分!L217</f>
        <v>2136580202270114.3</v>
      </c>
      <c r="M2" s="1">
        <f>建筑各项能耗拆分!$B$18*建筑各项能耗拆分!M217</f>
        <v>2148630134199237</v>
      </c>
      <c r="N2" s="1">
        <f>建筑各项能耗拆分!$B$18*建筑各项能耗拆分!N217</f>
        <v>2160145570128265.5</v>
      </c>
      <c r="O2" s="1">
        <f>建筑各项能耗拆分!$B$18*建筑各项能耗拆分!O217</f>
        <v>2171125964983024.5</v>
      </c>
      <c r="P2" s="1">
        <f>建筑各项能耗拆分!$B$18*建筑各项能耗拆分!P217</f>
        <v>2181572425705284</v>
      </c>
      <c r="Q2" s="1">
        <f>建筑各项能耗拆分!$B$18*建筑各项能耗拆分!Q217</f>
        <v>2191487671306175</v>
      </c>
      <c r="R2" s="1">
        <f>建筑各项能耗拆分!$B$18*建筑各项能耗拆分!R217</f>
        <v>2200876215159492.5</v>
      </c>
      <c r="S2" s="1">
        <f>建筑各项能耗拆分!$B$18*建筑各项能耗拆分!S217</f>
        <v>2209744384679338.5</v>
      </c>
      <c r="T2" s="1">
        <f>建筑各项能耗拆分!$B$18*建筑各项能耗拆分!T217</f>
        <v>2218100434014917.8</v>
      </c>
      <c r="U2" s="1">
        <f>建筑各项能耗拆分!$B$18*建筑各项能耗拆分!U217</f>
        <v>2225954655771124.3</v>
      </c>
      <c r="V2" s="1">
        <f>建筑各项能耗拆分!$B$18*建筑各项能耗拆分!V217</f>
        <v>2233319389450389.5</v>
      </c>
      <c r="W2" s="1">
        <f>建筑各项能耗拆分!$B$18*建筑各项能耗拆分!W217</f>
        <v>2240209199866773</v>
      </c>
      <c r="X2" s="1">
        <f>建筑各项能耗拆分!$B$18*建筑各项能耗拆分!X217</f>
        <v>2246640946453084.5</v>
      </c>
      <c r="Y2" s="1">
        <f>建筑各项能耗拆分!$B$18*建筑各项能耗拆分!Y217</f>
        <v>2252633889094020.5</v>
      </c>
      <c r="Z2" s="1">
        <f>建筑各项能耗拆分!$B$18*建筑各项能耗拆分!Z217</f>
        <v>2258209743484562.5</v>
      </c>
      <c r="AA2" s="1">
        <f>建筑各项能耗拆分!$B$18*建筑各项能耗拆分!AA217</f>
        <v>2263392822519906.5</v>
      </c>
      <c r="AB2" s="1">
        <f>建筑各项能耗拆分!$B$18*建筑各项能耗拆分!AB217</f>
        <v>2268210194552649</v>
      </c>
      <c r="AC2" s="1">
        <f>建筑各项能耗拆分!$B$18*建筑各项能耗拆分!AC217</f>
        <v>2272691695262409.5</v>
      </c>
      <c r="AD2" s="1">
        <f>建筑各项能耗拆分!$B$18*建筑各项能耗拆分!AD217</f>
        <v>2276870067210461</v>
      </c>
      <c r="AE2" s="1">
        <f>建筑各项能耗拆分!$B$18*建筑各项能耗拆分!AE217</f>
        <v>2280781184693179.5</v>
      </c>
      <c r="AF2" s="1">
        <f>建筑各项能耗拆分!$B$18*建筑各项能耗拆分!AF217</f>
        <v>2284464012956487</v>
      </c>
      <c r="AG2" s="1">
        <f>建筑各项能耗拆分!$B$18*建筑各项能耗拆分!AG217</f>
        <v>2287960818616178.5</v>
      </c>
      <c r="AH2" s="1">
        <f>建筑各项能耗拆分!$B$18*建筑各项能耗拆分!AH217</f>
        <v>2291317334310395</v>
      </c>
      <c r="AI2" s="1">
        <f>建筑各项能耗拆分!$B$18*建筑各项能耗拆分!AI217</f>
        <v>2294582760359249</v>
      </c>
      <c r="AJ2" s="1">
        <f>建筑各项能耗拆分!$B$18*建筑各项能耗拆分!AJ217</f>
        <v>2297810079419749.5</v>
      </c>
      <c r="AK2" s="1">
        <f>建筑各项能耗拆分!$B$18*建筑各项能耗拆分!AK217</f>
        <v>2301055984801120.5</v>
      </c>
      <c r="AL2" s="1">
        <f>建筑各项能耗拆分!$B$18*建筑各项能耗拆分!AL217</f>
        <v>2304381229139188.5</v>
      </c>
      <c r="AM2" s="1">
        <f>建筑各项能耗拆分!$B$18*建筑各项能耗拆分!AM217</f>
        <v>2307850640492947</v>
      </c>
      <c r="AN2" s="1">
        <f>建筑各项能耗拆分!$B$18*建筑各项能耗拆分!AN217</f>
        <v>2311533297732268</v>
      </c>
      <c r="AO2" s="1">
        <f>建筑各项能耗拆分!$B$18*建筑各项能耗拆分!AO217</f>
        <v>2315502690648671</v>
      </c>
      <c r="AP2" s="1">
        <f>建筑各项能耗拆分!$B$18*建筑各项能耗拆分!AP217</f>
        <v>2319836884621185.5</v>
      </c>
      <c r="AQ2" s="1">
        <f>建筑各项能耗拆分!$B$18*建筑各项能耗拆分!AQ217</f>
        <v>2324618728864108</v>
      </c>
      <c r="AR2" s="1">
        <f>建筑各项能耗拆分!$B$18*建筑各项能耗拆分!AR217</f>
        <v>2329935905114064</v>
      </c>
    </row>
    <row r="3" spans="1:44" x14ac:dyDescent="0.15">
      <c r="A3" t="s">
        <v>1</v>
      </c>
      <c r="B3" s="1">
        <f>建筑各项能耗拆分!$B$18*建筑各项能耗拆分!B218</f>
        <v>0</v>
      </c>
      <c r="C3" s="1">
        <f>建筑各项能耗拆分!$B$18*建筑各项能耗拆分!C218</f>
        <v>0</v>
      </c>
      <c r="D3" s="1">
        <f>建筑各项能耗拆分!$B$18*建筑各项能耗拆分!D218</f>
        <v>0</v>
      </c>
      <c r="E3" s="1">
        <f>建筑各项能耗拆分!$B$18*建筑各项能耗拆分!E218</f>
        <v>0</v>
      </c>
      <c r="F3" s="1">
        <f>建筑各项能耗拆分!$B$18*建筑各项能耗拆分!F218</f>
        <v>0</v>
      </c>
      <c r="G3" s="1">
        <f>建筑各项能耗拆分!$B$18*建筑各项能耗拆分!G218</f>
        <v>0</v>
      </c>
      <c r="H3" s="1">
        <f>建筑各项能耗拆分!$B$18*建筑各项能耗拆分!H218</f>
        <v>0</v>
      </c>
      <c r="I3" s="1">
        <f>建筑各项能耗拆分!$B$18*建筑各项能耗拆分!I218</f>
        <v>0</v>
      </c>
      <c r="J3" s="1">
        <f>建筑各项能耗拆分!$B$18*建筑各项能耗拆分!J218</f>
        <v>0</v>
      </c>
      <c r="K3" s="1">
        <f>建筑各项能耗拆分!$B$18*建筑各项能耗拆分!K218</f>
        <v>0</v>
      </c>
      <c r="L3" s="1">
        <f>建筑各项能耗拆分!$B$18*建筑各项能耗拆分!L218</f>
        <v>0</v>
      </c>
      <c r="M3" s="1">
        <f>建筑各项能耗拆分!$B$18*建筑各项能耗拆分!M218</f>
        <v>0</v>
      </c>
      <c r="N3" s="1">
        <f>建筑各项能耗拆分!$B$18*建筑各项能耗拆分!N218</f>
        <v>0</v>
      </c>
      <c r="O3" s="1">
        <f>建筑各项能耗拆分!$B$18*建筑各项能耗拆分!O218</f>
        <v>0</v>
      </c>
      <c r="P3" s="1">
        <f>建筑各项能耗拆分!$B$18*建筑各项能耗拆分!P218</f>
        <v>0</v>
      </c>
      <c r="Q3" s="1">
        <f>建筑各项能耗拆分!$B$18*建筑各项能耗拆分!Q218</f>
        <v>0</v>
      </c>
      <c r="R3" s="1">
        <f>建筑各项能耗拆分!$B$18*建筑各项能耗拆分!R218</f>
        <v>0</v>
      </c>
      <c r="S3" s="1">
        <f>建筑各项能耗拆分!$B$18*建筑各项能耗拆分!S218</f>
        <v>0</v>
      </c>
      <c r="T3" s="1">
        <f>建筑各项能耗拆分!$B$18*建筑各项能耗拆分!T218</f>
        <v>0</v>
      </c>
      <c r="U3" s="1">
        <f>建筑各项能耗拆分!$B$18*建筑各项能耗拆分!U218</f>
        <v>0</v>
      </c>
      <c r="V3" s="1">
        <f>建筑各项能耗拆分!$B$18*建筑各项能耗拆分!V218</f>
        <v>0</v>
      </c>
      <c r="W3" s="1">
        <f>建筑各项能耗拆分!$B$18*建筑各项能耗拆分!W218</f>
        <v>0</v>
      </c>
      <c r="X3" s="1">
        <f>建筑各项能耗拆分!$B$18*建筑各项能耗拆分!X218</f>
        <v>0</v>
      </c>
      <c r="Y3" s="1">
        <f>建筑各项能耗拆分!$B$18*建筑各项能耗拆分!Y218</f>
        <v>0</v>
      </c>
      <c r="Z3" s="1">
        <f>建筑各项能耗拆分!$B$18*建筑各项能耗拆分!Z218</f>
        <v>0</v>
      </c>
      <c r="AA3" s="1">
        <f>建筑各项能耗拆分!$B$18*建筑各项能耗拆分!AA218</f>
        <v>0</v>
      </c>
      <c r="AB3" s="1">
        <f>建筑各项能耗拆分!$B$18*建筑各项能耗拆分!AB218</f>
        <v>0</v>
      </c>
      <c r="AC3" s="1">
        <f>建筑各项能耗拆分!$B$18*建筑各项能耗拆分!AC218</f>
        <v>0</v>
      </c>
      <c r="AD3" s="1">
        <f>建筑各项能耗拆分!$B$18*建筑各项能耗拆分!AD218</f>
        <v>0</v>
      </c>
      <c r="AE3" s="1">
        <f>建筑各项能耗拆分!$B$18*建筑各项能耗拆分!AE218</f>
        <v>0</v>
      </c>
      <c r="AF3" s="1">
        <f>建筑各项能耗拆分!$B$18*建筑各项能耗拆分!AF218</f>
        <v>0</v>
      </c>
      <c r="AG3" s="1">
        <f>建筑各项能耗拆分!$B$18*建筑各项能耗拆分!AG218</f>
        <v>0</v>
      </c>
      <c r="AH3" s="1">
        <f>建筑各项能耗拆分!$B$18*建筑各项能耗拆分!AH218</f>
        <v>0</v>
      </c>
      <c r="AI3" s="1">
        <f>建筑各项能耗拆分!$B$18*建筑各项能耗拆分!AI218</f>
        <v>0</v>
      </c>
      <c r="AJ3" s="1">
        <f>建筑各项能耗拆分!$B$18*建筑各项能耗拆分!AJ218</f>
        <v>0</v>
      </c>
      <c r="AK3" s="1">
        <f>建筑各项能耗拆分!$B$18*建筑各项能耗拆分!AK218</f>
        <v>0</v>
      </c>
      <c r="AL3" s="1">
        <f>建筑各项能耗拆分!$B$18*建筑各项能耗拆分!AL218</f>
        <v>0</v>
      </c>
      <c r="AM3" s="1">
        <f>建筑各项能耗拆分!$B$18*建筑各项能耗拆分!AM218</f>
        <v>0</v>
      </c>
      <c r="AN3" s="1">
        <f>建筑各项能耗拆分!$B$18*建筑各项能耗拆分!AN218</f>
        <v>0</v>
      </c>
      <c r="AO3" s="1">
        <f>建筑各项能耗拆分!$B$18*建筑各项能耗拆分!AO218</f>
        <v>0</v>
      </c>
      <c r="AP3" s="1">
        <f>建筑各项能耗拆分!$B$18*建筑各项能耗拆分!AP218</f>
        <v>0</v>
      </c>
      <c r="AQ3" s="1">
        <f>建筑各项能耗拆分!$B$18*建筑各项能耗拆分!AQ218</f>
        <v>0</v>
      </c>
      <c r="AR3" s="1">
        <f>建筑各项能耗拆分!$B$18*建筑各项能耗拆分!AR218</f>
        <v>0</v>
      </c>
    </row>
    <row r="4" spans="1:44" x14ac:dyDescent="0.15">
      <c r="A4" t="s">
        <v>2</v>
      </c>
      <c r="B4" s="1">
        <f>建筑各项能耗拆分!$B$18*建筑各项能耗拆分!B219</f>
        <v>0</v>
      </c>
      <c r="C4" s="1">
        <f>建筑各项能耗拆分!$B$18*建筑各项能耗拆分!C219</f>
        <v>0</v>
      </c>
      <c r="D4" s="1">
        <f>建筑各项能耗拆分!$B$18*建筑各项能耗拆分!D219</f>
        <v>0</v>
      </c>
      <c r="E4" s="1">
        <f>建筑各项能耗拆分!$B$18*建筑各项能耗拆分!E219</f>
        <v>0</v>
      </c>
      <c r="F4" s="1">
        <f>建筑各项能耗拆分!$B$18*建筑各项能耗拆分!F219</f>
        <v>0</v>
      </c>
      <c r="G4" s="1">
        <f>建筑各项能耗拆分!$B$18*建筑各项能耗拆分!G219</f>
        <v>0</v>
      </c>
      <c r="H4" s="1">
        <f>建筑各项能耗拆分!$B$18*建筑各项能耗拆分!H219</f>
        <v>0</v>
      </c>
      <c r="I4" s="1">
        <f>建筑各项能耗拆分!$B$18*建筑各项能耗拆分!I219</f>
        <v>0</v>
      </c>
      <c r="J4" s="1">
        <f>建筑各项能耗拆分!$B$18*建筑各项能耗拆分!J219</f>
        <v>0</v>
      </c>
      <c r="K4" s="1">
        <f>建筑各项能耗拆分!$B$18*建筑各项能耗拆分!K219</f>
        <v>0</v>
      </c>
      <c r="L4" s="1">
        <f>建筑各项能耗拆分!$B$18*建筑各项能耗拆分!L219</f>
        <v>0</v>
      </c>
      <c r="M4" s="1">
        <f>建筑各项能耗拆分!$B$18*建筑各项能耗拆分!M219</f>
        <v>0</v>
      </c>
      <c r="N4" s="1">
        <f>建筑各项能耗拆分!$B$18*建筑各项能耗拆分!N219</f>
        <v>0</v>
      </c>
      <c r="O4" s="1">
        <f>建筑各项能耗拆分!$B$18*建筑各项能耗拆分!O219</f>
        <v>0</v>
      </c>
      <c r="P4" s="1">
        <f>建筑各项能耗拆分!$B$18*建筑各项能耗拆分!P219</f>
        <v>0</v>
      </c>
      <c r="Q4" s="1">
        <f>建筑各项能耗拆分!$B$18*建筑各项能耗拆分!Q219</f>
        <v>0</v>
      </c>
      <c r="R4" s="1">
        <f>建筑各项能耗拆分!$B$18*建筑各项能耗拆分!R219</f>
        <v>0</v>
      </c>
      <c r="S4" s="1">
        <f>建筑各项能耗拆分!$B$18*建筑各项能耗拆分!S219</f>
        <v>0</v>
      </c>
      <c r="T4" s="1">
        <f>建筑各项能耗拆分!$B$18*建筑各项能耗拆分!T219</f>
        <v>0</v>
      </c>
      <c r="U4" s="1">
        <f>建筑各项能耗拆分!$B$18*建筑各项能耗拆分!U219</f>
        <v>0</v>
      </c>
      <c r="V4" s="1">
        <f>建筑各项能耗拆分!$B$18*建筑各项能耗拆分!V219</f>
        <v>0</v>
      </c>
      <c r="W4" s="1">
        <f>建筑各项能耗拆分!$B$18*建筑各项能耗拆分!W219</f>
        <v>0</v>
      </c>
      <c r="X4" s="1">
        <f>建筑各项能耗拆分!$B$18*建筑各项能耗拆分!X219</f>
        <v>0</v>
      </c>
      <c r="Y4" s="1">
        <f>建筑各项能耗拆分!$B$18*建筑各项能耗拆分!Y219</f>
        <v>0</v>
      </c>
      <c r="Z4" s="1">
        <f>建筑各项能耗拆分!$B$18*建筑各项能耗拆分!Z219</f>
        <v>0</v>
      </c>
      <c r="AA4" s="1">
        <f>建筑各项能耗拆分!$B$18*建筑各项能耗拆分!AA219</f>
        <v>0</v>
      </c>
      <c r="AB4" s="1">
        <f>建筑各项能耗拆分!$B$18*建筑各项能耗拆分!AB219</f>
        <v>0</v>
      </c>
      <c r="AC4" s="1">
        <f>建筑各项能耗拆分!$B$18*建筑各项能耗拆分!AC219</f>
        <v>0</v>
      </c>
      <c r="AD4" s="1">
        <f>建筑各项能耗拆分!$B$18*建筑各项能耗拆分!AD219</f>
        <v>0</v>
      </c>
      <c r="AE4" s="1">
        <f>建筑各项能耗拆分!$B$18*建筑各项能耗拆分!AE219</f>
        <v>0</v>
      </c>
      <c r="AF4" s="1">
        <f>建筑各项能耗拆分!$B$18*建筑各项能耗拆分!AF219</f>
        <v>0</v>
      </c>
      <c r="AG4" s="1">
        <f>建筑各项能耗拆分!$B$18*建筑各项能耗拆分!AG219</f>
        <v>0</v>
      </c>
      <c r="AH4" s="1">
        <f>建筑各项能耗拆分!$B$18*建筑各项能耗拆分!AH219</f>
        <v>0</v>
      </c>
      <c r="AI4" s="1">
        <f>建筑各项能耗拆分!$B$18*建筑各项能耗拆分!AI219</f>
        <v>0</v>
      </c>
      <c r="AJ4" s="1">
        <f>建筑各项能耗拆分!$B$18*建筑各项能耗拆分!AJ219</f>
        <v>0</v>
      </c>
      <c r="AK4" s="1">
        <f>建筑各项能耗拆分!$B$18*建筑各项能耗拆分!AK219</f>
        <v>0</v>
      </c>
      <c r="AL4" s="1">
        <f>建筑各项能耗拆分!$B$18*建筑各项能耗拆分!AL219</f>
        <v>0</v>
      </c>
      <c r="AM4" s="1">
        <f>建筑各项能耗拆分!$B$18*建筑各项能耗拆分!AM219</f>
        <v>0</v>
      </c>
      <c r="AN4" s="1">
        <f>建筑各项能耗拆分!$B$18*建筑各项能耗拆分!AN219</f>
        <v>0</v>
      </c>
      <c r="AO4" s="1">
        <f>建筑各项能耗拆分!$B$18*建筑各项能耗拆分!AO219</f>
        <v>0</v>
      </c>
      <c r="AP4" s="1">
        <f>建筑各项能耗拆分!$B$18*建筑各项能耗拆分!AP219</f>
        <v>0</v>
      </c>
      <c r="AQ4" s="1">
        <f>建筑各项能耗拆分!$B$18*建筑各项能耗拆分!AQ219</f>
        <v>0</v>
      </c>
      <c r="AR4" s="1">
        <f>建筑各项能耗拆分!$B$18*建筑各项能耗拆分!AR219</f>
        <v>0</v>
      </c>
    </row>
    <row r="5" spans="1:44" x14ac:dyDescent="0.15">
      <c r="A5" t="s">
        <v>3</v>
      </c>
      <c r="B5" s="1">
        <f>建筑各项能耗拆分!$B$18*建筑各项能耗拆分!B220</f>
        <v>0</v>
      </c>
      <c r="C5" s="1">
        <f>建筑各项能耗拆分!$B$18*建筑各项能耗拆分!C220</f>
        <v>0</v>
      </c>
      <c r="D5" s="1">
        <f>建筑各项能耗拆分!$B$18*建筑各项能耗拆分!D220</f>
        <v>0</v>
      </c>
      <c r="E5" s="1">
        <f>建筑各项能耗拆分!$B$18*建筑各项能耗拆分!E220</f>
        <v>0</v>
      </c>
      <c r="F5" s="1">
        <f>建筑各项能耗拆分!$B$18*建筑各项能耗拆分!F220</f>
        <v>0</v>
      </c>
      <c r="G5" s="1">
        <f>建筑各项能耗拆分!$B$18*建筑各项能耗拆分!G220</f>
        <v>0</v>
      </c>
      <c r="H5" s="1">
        <f>建筑各项能耗拆分!$B$18*建筑各项能耗拆分!H220</f>
        <v>0</v>
      </c>
      <c r="I5" s="1">
        <f>建筑各项能耗拆分!$B$18*建筑各项能耗拆分!I220</f>
        <v>0</v>
      </c>
      <c r="J5" s="1">
        <f>建筑各项能耗拆分!$B$18*建筑各项能耗拆分!J220</f>
        <v>0</v>
      </c>
      <c r="K5" s="1">
        <f>建筑各项能耗拆分!$B$18*建筑各项能耗拆分!K220</f>
        <v>0</v>
      </c>
      <c r="L5" s="1">
        <f>建筑各项能耗拆分!$B$18*建筑各项能耗拆分!L220</f>
        <v>0</v>
      </c>
      <c r="M5" s="1">
        <f>建筑各项能耗拆分!$B$18*建筑各项能耗拆分!M220</f>
        <v>0</v>
      </c>
      <c r="N5" s="1">
        <f>建筑各项能耗拆分!$B$18*建筑各项能耗拆分!N220</f>
        <v>0</v>
      </c>
      <c r="O5" s="1">
        <f>建筑各项能耗拆分!$B$18*建筑各项能耗拆分!O220</f>
        <v>0</v>
      </c>
      <c r="P5" s="1">
        <f>建筑各项能耗拆分!$B$18*建筑各项能耗拆分!P220</f>
        <v>0</v>
      </c>
      <c r="Q5" s="1">
        <f>建筑各项能耗拆分!$B$18*建筑各项能耗拆分!Q220</f>
        <v>0</v>
      </c>
      <c r="R5" s="1">
        <f>建筑各项能耗拆分!$B$18*建筑各项能耗拆分!R220</f>
        <v>0</v>
      </c>
      <c r="S5" s="1">
        <f>建筑各项能耗拆分!$B$18*建筑各项能耗拆分!S220</f>
        <v>0</v>
      </c>
      <c r="T5" s="1">
        <f>建筑各项能耗拆分!$B$18*建筑各项能耗拆分!T220</f>
        <v>0</v>
      </c>
      <c r="U5" s="1">
        <f>建筑各项能耗拆分!$B$18*建筑各项能耗拆分!U220</f>
        <v>0</v>
      </c>
      <c r="V5" s="1">
        <f>建筑各项能耗拆分!$B$18*建筑各项能耗拆分!V220</f>
        <v>0</v>
      </c>
      <c r="W5" s="1">
        <f>建筑各项能耗拆分!$B$18*建筑各项能耗拆分!W220</f>
        <v>0</v>
      </c>
      <c r="X5" s="1">
        <f>建筑各项能耗拆分!$B$18*建筑各项能耗拆分!X220</f>
        <v>0</v>
      </c>
      <c r="Y5" s="1">
        <f>建筑各项能耗拆分!$B$18*建筑各项能耗拆分!Y220</f>
        <v>0</v>
      </c>
      <c r="Z5" s="1">
        <f>建筑各项能耗拆分!$B$18*建筑各项能耗拆分!Z220</f>
        <v>0</v>
      </c>
      <c r="AA5" s="1">
        <f>建筑各项能耗拆分!$B$18*建筑各项能耗拆分!AA220</f>
        <v>0</v>
      </c>
      <c r="AB5" s="1">
        <f>建筑各项能耗拆分!$B$18*建筑各项能耗拆分!AB220</f>
        <v>0</v>
      </c>
      <c r="AC5" s="1">
        <f>建筑各项能耗拆分!$B$18*建筑各项能耗拆分!AC220</f>
        <v>0</v>
      </c>
      <c r="AD5" s="1">
        <f>建筑各项能耗拆分!$B$18*建筑各项能耗拆分!AD220</f>
        <v>0</v>
      </c>
      <c r="AE5" s="1">
        <f>建筑各项能耗拆分!$B$18*建筑各项能耗拆分!AE220</f>
        <v>0</v>
      </c>
      <c r="AF5" s="1">
        <f>建筑各项能耗拆分!$B$18*建筑各项能耗拆分!AF220</f>
        <v>0</v>
      </c>
      <c r="AG5" s="1">
        <f>建筑各项能耗拆分!$B$18*建筑各项能耗拆分!AG220</f>
        <v>0</v>
      </c>
      <c r="AH5" s="1">
        <f>建筑各项能耗拆分!$B$18*建筑各项能耗拆分!AH220</f>
        <v>0</v>
      </c>
      <c r="AI5" s="1">
        <f>建筑各项能耗拆分!$B$18*建筑各项能耗拆分!AI220</f>
        <v>0</v>
      </c>
      <c r="AJ5" s="1">
        <f>建筑各项能耗拆分!$B$18*建筑各项能耗拆分!AJ220</f>
        <v>0</v>
      </c>
      <c r="AK5" s="1">
        <f>建筑各项能耗拆分!$B$18*建筑各项能耗拆分!AK220</f>
        <v>0</v>
      </c>
      <c r="AL5" s="1">
        <f>建筑各项能耗拆分!$B$18*建筑各项能耗拆分!AL220</f>
        <v>0</v>
      </c>
      <c r="AM5" s="1">
        <f>建筑各项能耗拆分!$B$18*建筑各项能耗拆分!AM220</f>
        <v>0</v>
      </c>
      <c r="AN5" s="1">
        <f>建筑各项能耗拆分!$B$18*建筑各项能耗拆分!AN220</f>
        <v>0</v>
      </c>
      <c r="AO5" s="1">
        <f>建筑各项能耗拆分!$B$18*建筑各项能耗拆分!AO220</f>
        <v>0</v>
      </c>
      <c r="AP5" s="1">
        <f>建筑各项能耗拆分!$B$18*建筑各项能耗拆分!AP220</f>
        <v>0</v>
      </c>
      <c r="AQ5" s="1">
        <f>建筑各项能耗拆分!$B$18*建筑各项能耗拆分!AQ220</f>
        <v>0</v>
      </c>
      <c r="AR5" s="1">
        <f>建筑各项能耗拆分!$B$18*建筑各项能耗拆分!AR220</f>
        <v>0</v>
      </c>
    </row>
    <row r="6" spans="1:44" x14ac:dyDescent="0.15">
      <c r="A6" t="s">
        <v>4</v>
      </c>
      <c r="B6" s="1">
        <f>建筑各项能耗拆分!$B$18*建筑各项能耗拆分!B221</f>
        <v>0</v>
      </c>
      <c r="C6" s="1">
        <f>建筑各项能耗拆分!$B$18*建筑各项能耗拆分!C221</f>
        <v>0</v>
      </c>
      <c r="D6" s="1">
        <f>建筑各项能耗拆分!$B$18*建筑各项能耗拆分!D221</f>
        <v>0</v>
      </c>
      <c r="E6" s="1">
        <f>建筑各项能耗拆分!$B$18*建筑各项能耗拆分!E221</f>
        <v>0</v>
      </c>
      <c r="F6" s="1">
        <f>建筑各项能耗拆分!$B$18*建筑各项能耗拆分!F221</f>
        <v>0</v>
      </c>
      <c r="G6" s="1">
        <f>建筑各项能耗拆分!$B$18*建筑各项能耗拆分!G221</f>
        <v>0</v>
      </c>
      <c r="H6" s="1">
        <f>建筑各项能耗拆分!$B$18*建筑各项能耗拆分!H221</f>
        <v>0</v>
      </c>
      <c r="I6" s="1">
        <f>建筑各项能耗拆分!$B$18*建筑各项能耗拆分!I221</f>
        <v>0</v>
      </c>
      <c r="J6" s="1">
        <f>建筑各项能耗拆分!$B$18*建筑各项能耗拆分!J221</f>
        <v>0</v>
      </c>
      <c r="K6" s="1">
        <f>建筑各项能耗拆分!$B$18*建筑各项能耗拆分!K221</f>
        <v>0</v>
      </c>
      <c r="L6" s="1">
        <f>建筑各项能耗拆分!$B$18*建筑各项能耗拆分!L221</f>
        <v>0</v>
      </c>
      <c r="M6" s="1">
        <f>建筑各项能耗拆分!$B$18*建筑各项能耗拆分!M221</f>
        <v>0</v>
      </c>
      <c r="N6" s="1">
        <f>建筑各项能耗拆分!$B$18*建筑各项能耗拆分!N221</f>
        <v>0</v>
      </c>
      <c r="O6" s="1">
        <f>建筑各项能耗拆分!$B$18*建筑各项能耗拆分!O221</f>
        <v>0</v>
      </c>
      <c r="P6" s="1">
        <f>建筑各项能耗拆分!$B$18*建筑各项能耗拆分!P221</f>
        <v>0</v>
      </c>
      <c r="Q6" s="1">
        <f>建筑各项能耗拆分!$B$18*建筑各项能耗拆分!Q221</f>
        <v>0</v>
      </c>
      <c r="R6" s="1">
        <f>建筑各项能耗拆分!$B$18*建筑各项能耗拆分!R221</f>
        <v>0</v>
      </c>
      <c r="S6" s="1">
        <f>建筑各项能耗拆分!$B$18*建筑各项能耗拆分!S221</f>
        <v>0</v>
      </c>
      <c r="T6" s="1">
        <f>建筑各项能耗拆分!$B$18*建筑各项能耗拆分!T221</f>
        <v>0</v>
      </c>
      <c r="U6" s="1">
        <f>建筑各项能耗拆分!$B$18*建筑各项能耗拆分!U221</f>
        <v>0</v>
      </c>
      <c r="V6" s="1">
        <f>建筑各项能耗拆分!$B$18*建筑各项能耗拆分!V221</f>
        <v>0</v>
      </c>
      <c r="W6" s="1">
        <f>建筑各项能耗拆分!$B$18*建筑各项能耗拆分!W221</f>
        <v>0</v>
      </c>
      <c r="X6" s="1">
        <f>建筑各项能耗拆分!$B$18*建筑各项能耗拆分!X221</f>
        <v>0</v>
      </c>
      <c r="Y6" s="1">
        <f>建筑各项能耗拆分!$B$18*建筑各项能耗拆分!Y221</f>
        <v>0</v>
      </c>
      <c r="Z6" s="1">
        <f>建筑各项能耗拆分!$B$18*建筑各项能耗拆分!Z221</f>
        <v>0</v>
      </c>
      <c r="AA6" s="1">
        <f>建筑各项能耗拆分!$B$18*建筑各项能耗拆分!AA221</f>
        <v>0</v>
      </c>
      <c r="AB6" s="1">
        <f>建筑各项能耗拆分!$B$18*建筑各项能耗拆分!AB221</f>
        <v>0</v>
      </c>
      <c r="AC6" s="1">
        <f>建筑各项能耗拆分!$B$18*建筑各项能耗拆分!AC221</f>
        <v>0</v>
      </c>
      <c r="AD6" s="1">
        <f>建筑各项能耗拆分!$B$18*建筑各项能耗拆分!AD221</f>
        <v>0</v>
      </c>
      <c r="AE6" s="1">
        <f>建筑各项能耗拆分!$B$18*建筑各项能耗拆分!AE221</f>
        <v>0</v>
      </c>
      <c r="AF6" s="1">
        <f>建筑各项能耗拆分!$B$18*建筑各项能耗拆分!AF221</f>
        <v>0</v>
      </c>
      <c r="AG6" s="1">
        <f>建筑各项能耗拆分!$B$18*建筑各项能耗拆分!AG221</f>
        <v>0</v>
      </c>
      <c r="AH6" s="1">
        <f>建筑各项能耗拆分!$B$18*建筑各项能耗拆分!AH221</f>
        <v>0</v>
      </c>
      <c r="AI6" s="1">
        <f>建筑各项能耗拆分!$B$18*建筑各项能耗拆分!AI221</f>
        <v>0</v>
      </c>
      <c r="AJ6" s="1">
        <f>建筑各项能耗拆分!$B$18*建筑各项能耗拆分!AJ221</f>
        <v>0</v>
      </c>
      <c r="AK6" s="1">
        <f>建筑各项能耗拆分!$B$18*建筑各项能耗拆分!AK221</f>
        <v>0</v>
      </c>
      <c r="AL6" s="1">
        <f>建筑各项能耗拆分!$B$18*建筑各项能耗拆分!AL221</f>
        <v>0</v>
      </c>
      <c r="AM6" s="1">
        <f>建筑各项能耗拆分!$B$18*建筑各项能耗拆分!AM221</f>
        <v>0</v>
      </c>
      <c r="AN6" s="1">
        <f>建筑各项能耗拆分!$B$18*建筑各项能耗拆分!AN221</f>
        <v>0</v>
      </c>
      <c r="AO6" s="1">
        <f>建筑各项能耗拆分!$B$18*建筑各项能耗拆分!AO221</f>
        <v>0</v>
      </c>
      <c r="AP6" s="1">
        <f>建筑各项能耗拆分!$B$18*建筑各项能耗拆分!AP221</f>
        <v>0</v>
      </c>
      <c r="AQ6" s="1">
        <f>建筑各项能耗拆分!$B$18*建筑各项能耗拆分!AQ221</f>
        <v>0</v>
      </c>
      <c r="AR6" s="1">
        <f>建筑各项能耗拆分!$B$18*建筑各项能耗拆分!AR221</f>
        <v>0</v>
      </c>
    </row>
    <row r="7" spans="1:44" x14ac:dyDescent="0.15">
      <c r="A7" t="s">
        <v>5</v>
      </c>
      <c r="B7" s="1">
        <f>建筑各项能耗拆分!$B$18*建筑各项能耗拆分!B222</f>
        <v>0</v>
      </c>
      <c r="C7" s="1">
        <f>建筑各项能耗拆分!$B$18*建筑各项能耗拆分!C222</f>
        <v>0</v>
      </c>
      <c r="D7" s="1">
        <f>建筑各项能耗拆分!$B$18*建筑各项能耗拆分!D222</f>
        <v>0</v>
      </c>
      <c r="E7" s="1">
        <f>建筑各项能耗拆分!$B$18*建筑各项能耗拆分!E222</f>
        <v>0</v>
      </c>
      <c r="F7" s="1">
        <f>建筑各项能耗拆分!$B$18*建筑各项能耗拆分!F222</f>
        <v>0</v>
      </c>
      <c r="G7" s="1">
        <f>建筑各项能耗拆分!$B$18*建筑各项能耗拆分!G222</f>
        <v>0</v>
      </c>
      <c r="H7" s="1">
        <f>建筑各项能耗拆分!$B$18*建筑各项能耗拆分!H222</f>
        <v>0</v>
      </c>
      <c r="I7" s="1">
        <f>建筑各项能耗拆分!$B$18*建筑各项能耗拆分!I222</f>
        <v>0</v>
      </c>
      <c r="J7" s="1">
        <f>建筑各项能耗拆分!$B$18*建筑各项能耗拆分!J222</f>
        <v>0</v>
      </c>
      <c r="K7" s="1">
        <f>建筑各项能耗拆分!$B$18*建筑各项能耗拆分!K222</f>
        <v>0</v>
      </c>
      <c r="L7" s="1">
        <f>建筑各项能耗拆分!$B$18*建筑各项能耗拆分!L222</f>
        <v>0</v>
      </c>
      <c r="M7" s="1">
        <f>建筑各项能耗拆分!$B$18*建筑各项能耗拆分!M222</f>
        <v>0</v>
      </c>
      <c r="N7" s="1">
        <f>建筑各项能耗拆分!$B$18*建筑各项能耗拆分!N222</f>
        <v>0</v>
      </c>
      <c r="O7" s="1">
        <f>建筑各项能耗拆分!$B$18*建筑各项能耗拆分!O222</f>
        <v>0</v>
      </c>
      <c r="P7" s="1">
        <f>建筑各项能耗拆分!$B$18*建筑各项能耗拆分!P222</f>
        <v>0</v>
      </c>
      <c r="Q7" s="1">
        <f>建筑各项能耗拆分!$B$18*建筑各项能耗拆分!Q222</f>
        <v>0</v>
      </c>
      <c r="R7" s="1">
        <f>建筑各项能耗拆分!$B$18*建筑各项能耗拆分!R222</f>
        <v>0</v>
      </c>
      <c r="S7" s="1">
        <f>建筑各项能耗拆分!$B$18*建筑各项能耗拆分!S222</f>
        <v>0</v>
      </c>
      <c r="T7" s="1">
        <f>建筑各项能耗拆分!$B$18*建筑各项能耗拆分!T222</f>
        <v>0</v>
      </c>
      <c r="U7" s="1">
        <f>建筑各项能耗拆分!$B$18*建筑各项能耗拆分!U222</f>
        <v>0</v>
      </c>
      <c r="V7" s="1">
        <f>建筑各项能耗拆分!$B$18*建筑各项能耗拆分!V222</f>
        <v>0</v>
      </c>
      <c r="W7" s="1">
        <f>建筑各项能耗拆分!$B$18*建筑各项能耗拆分!W222</f>
        <v>0</v>
      </c>
      <c r="X7" s="1">
        <f>建筑各项能耗拆分!$B$18*建筑各项能耗拆分!X222</f>
        <v>0</v>
      </c>
      <c r="Y7" s="1">
        <f>建筑各项能耗拆分!$B$18*建筑各项能耗拆分!Y222</f>
        <v>0</v>
      </c>
      <c r="Z7" s="1">
        <f>建筑各项能耗拆分!$B$18*建筑各项能耗拆分!Z222</f>
        <v>0</v>
      </c>
      <c r="AA7" s="1">
        <f>建筑各项能耗拆分!$B$18*建筑各项能耗拆分!AA222</f>
        <v>0</v>
      </c>
      <c r="AB7" s="1">
        <f>建筑各项能耗拆分!$B$18*建筑各项能耗拆分!AB222</f>
        <v>0</v>
      </c>
      <c r="AC7" s="1">
        <f>建筑各项能耗拆分!$B$18*建筑各项能耗拆分!AC222</f>
        <v>0</v>
      </c>
      <c r="AD7" s="1">
        <f>建筑各项能耗拆分!$B$18*建筑各项能耗拆分!AD222</f>
        <v>0</v>
      </c>
      <c r="AE7" s="1">
        <f>建筑各项能耗拆分!$B$18*建筑各项能耗拆分!AE222</f>
        <v>0</v>
      </c>
      <c r="AF7" s="1">
        <f>建筑各项能耗拆分!$B$18*建筑各项能耗拆分!AF222</f>
        <v>0</v>
      </c>
      <c r="AG7" s="1">
        <f>建筑各项能耗拆分!$B$18*建筑各项能耗拆分!AG222</f>
        <v>0</v>
      </c>
      <c r="AH7" s="1">
        <f>建筑各项能耗拆分!$B$18*建筑各项能耗拆分!AH222</f>
        <v>0</v>
      </c>
      <c r="AI7" s="1">
        <f>建筑各项能耗拆分!$B$18*建筑各项能耗拆分!AI222</f>
        <v>0</v>
      </c>
      <c r="AJ7" s="1">
        <f>建筑各项能耗拆分!$B$18*建筑各项能耗拆分!AJ222</f>
        <v>0</v>
      </c>
      <c r="AK7" s="1">
        <f>建筑各项能耗拆分!$B$18*建筑各项能耗拆分!AK222</f>
        <v>0</v>
      </c>
      <c r="AL7" s="1">
        <f>建筑各项能耗拆分!$B$18*建筑各项能耗拆分!AL222</f>
        <v>0</v>
      </c>
      <c r="AM7" s="1">
        <f>建筑各项能耗拆分!$B$18*建筑各项能耗拆分!AM222</f>
        <v>0</v>
      </c>
      <c r="AN7" s="1">
        <f>建筑各项能耗拆分!$B$18*建筑各项能耗拆分!AN222</f>
        <v>0</v>
      </c>
      <c r="AO7" s="1">
        <f>建筑各项能耗拆分!$B$18*建筑各项能耗拆分!AO222</f>
        <v>0</v>
      </c>
      <c r="AP7" s="1">
        <f>建筑各项能耗拆分!$B$18*建筑各项能耗拆分!AP222</f>
        <v>0</v>
      </c>
      <c r="AQ7" s="1">
        <f>建筑各项能耗拆分!$B$18*建筑各项能耗拆分!AQ222</f>
        <v>0</v>
      </c>
      <c r="AR7" s="1">
        <f>建筑各项能耗拆分!$B$18*建筑各项能耗拆分!AR222</f>
        <v>0</v>
      </c>
    </row>
    <row r="8" spans="1:44" x14ac:dyDescent="0.15">
      <c r="A8" t="s">
        <v>6</v>
      </c>
      <c r="B8" s="1">
        <f>建筑各项能耗拆分!$B$18*建筑各项能耗拆分!B223</f>
        <v>0</v>
      </c>
      <c r="C8" s="1">
        <f>建筑各项能耗拆分!$B$18*建筑各项能耗拆分!C223</f>
        <v>0</v>
      </c>
      <c r="D8" s="1">
        <f>建筑各项能耗拆分!$B$18*建筑各项能耗拆分!D223</f>
        <v>0</v>
      </c>
      <c r="E8" s="1">
        <f>建筑各项能耗拆分!$B$18*建筑各项能耗拆分!E223</f>
        <v>0</v>
      </c>
      <c r="F8" s="1">
        <f>建筑各项能耗拆分!$B$18*建筑各项能耗拆分!F223</f>
        <v>0</v>
      </c>
      <c r="G8" s="1">
        <f>建筑各项能耗拆分!$B$18*建筑各项能耗拆分!G223</f>
        <v>0</v>
      </c>
      <c r="H8" s="1">
        <f>建筑各项能耗拆分!$B$18*建筑各项能耗拆分!H223</f>
        <v>0</v>
      </c>
      <c r="I8" s="1">
        <f>建筑各项能耗拆分!$B$18*建筑各项能耗拆分!I223</f>
        <v>0</v>
      </c>
      <c r="J8" s="1">
        <f>建筑各项能耗拆分!$B$18*建筑各项能耗拆分!J223</f>
        <v>0</v>
      </c>
      <c r="K8" s="1">
        <f>建筑各项能耗拆分!$B$18*建筑各项能耗拆分!K223</f>
        <v>0</v>
      </c>
      <c r="L8" s="1">
        <f>建筑各项能耗拆分!$B$18*建筑各项能耗拆分!L223</f>
        <v>0</v>
      </c>
      <c r="M8" s="1">
        <f>建筑各项能耗拆分!$B$18*建筑各项能耗拆分!M223</f>
        <v>0</v>
      </c>
      <c r="N8" s="1">
        <f>建筑各项能耗拆分!$B$18*建筑各项能耗拆分!N223</f>
        <v>0</v>
      </c>
      <c r="O8" s="1">
        <f>建筑各项能耗拆分!$B$18*建筑各项能耗拆分!O223</f>
        <v>0</v>
      </c>
      <c r="P8" s="1">
        <f>建筑各项能耗拆分!$B$18*建筑各项能耗拆分!P223</f>
        <v>0</v>
      </c>
      <c r="Q8" s="1">
        <f>建筑各项能耗拆分!$B$18*建筑各项能耗拆分!Q223</f>
        <v>0</v>
      </c>
      <c r="R8" s="1">
        <f>建筑各项能耗拆分!$B$18*建筑各项能耗拆分!R223</f>
        <v>0</v>
      </c>
      <c r="S8" s="1">
        <f>建筑各项能耗拆分!$B$18*建筑各项能耗拆分!S223</f>
        <v>0</v>
      </c>
      <c r="T8" s="1">
        <f>建筑各项能耗拆分!$B$18*建筑各项能耗拆分!T223</f>
        <v>0</v>
      </c>
      <c r="U8" s="1">
        <f>建筑各项能耗拆分!$B$18*建筑各项能耗拆分!U223</f>
        <v>0</v>
      </c>
      <c r="V8" s="1">
        <f>建筑各项能耗拆分!$B$18*建筑各项能耗拆分!V223</f>
        <v>0</v>
      </c>
      <c r="W8" s="1">
        <f>建筑各项能耗拆分!$B$18*建筑各项能耗拆分!W223</f>
        <v>0</v>
      </c>
      <c r="X8" s="1">
        <f>建筑各项能耗拆分!$B$18*建筑各项能耗拆分!X223</f>
        <v>0</v>
      </c>
      <c r="Y8" s="1">
        <f>建筑各项能耗拆分!$B$18*建筑各项能耗拆分!Y223</f>
        <v>0</v>
      </c>
      <c r="Z8" s="1">
        <f>建筑各项能耗拆分!$B$18*建筑各项能耗拆分!Z223</f>
        <v>0</v>
      </c>
      <c r="AA8" s="1">
        <f>建筑各项能耗拆分!$B$18*建筑各项能耗拆分!AA223</f>
        <v>0</v>
      </c>
      <c r="AB8" s="1">
        <f>建筑各项能耗拆分!$B$18*建筑各项能耗拆分!AB223</f>
        <v>0</v>
      </c>
      <c r="AC8" s="1">
        <f>建筑各项能耗拆分!$B$18*建筑各项能耗拆分!AC223</f>
        <v>0</v>
      </c>
      <c r="AD8" s="1">
        <f>建筑各项能耗拆分!$B$18*建筑各项能耗拆分!AD223</f>
        <v>0</v>
      </c>
      <c r="AE8" s="1">
        <f>建筑各项能耗拆分!$B$18*建筑各项能耗拆分!AE223</f>
        <v>0</v>
      </c>
      <c r="AF8" s="1">
        <f>建筑各项能耗拆分!$B$18*建筑各项能耗拆分!AF223</f>
        <v>0</v>
      </c>
      <c r="AG8" s="1">
        <f>建筑各项能耗拆分!$B$18*建筑各项能耗拆分!AG223</f>
        <v>0</v>
      </c>
      <c r="AH8" s="1">
        <f>建筑各项能耗拆分!$B$18*建筑各项能耗拆分!AH223</f>
        <v>0</v>
      </c>
      <c r="AI8" s="1">
        <f>建筑各项能耗拆分!$B$18*建筑各项能耗拆分!AI223</f>
        <v>0</v>
      </c>
      <c r="AJ8" s="1">
        <f>建筑各项能耗拆分!$B$18*建筑各项能耗拆分!AJ223</f>
        <v>0</v>
      </c>
      <c r="AK8" s="1">
        <f>建筑各项能耗拆分!$B$18*建筑各项能耗拆分!AK223</f>
        <v>0</v>
      </c>
      <c r="AL8" s="1">
        <f>建筑各项能耗拆分!$B$18*建筑各项能耗拆分!AL223</f>
        <v>0</v>
      </c>
      <c r="AM8" s="1">
        <f>建筑各项能耗拆分!$B$18*建筑各项能耗拆分!AM223</f>
        <v>0</v>
      </c>
      <c r="AN8" s="1">
        <f>建筑各项能耗拆分!$B$18*建筑各项能耗拆分!AN223</f>
        <v>0</v>
      </c>
      <c r="AO8" s="1">
        <f>建筑各项能耗拆分!$B$18*建筑各项能耗拆分!AO223</f>
        <v>0</v>
      </c>
      <c r="AP8" s="1">
        <f>建筑各项能耗拆分!$B$18*建筑各项能耗拆分!AP223</f>
        <v>0</v>
      </c>
      <c r="AQ8" s="1">
        <f>建筑各项能耗拆分!$B$18*建筑各项能耗拆分!AQ223</f>
        <v>0</v>
      </c>
      <c r="AR8" s="1">
        <f>建筑各项能耗拆分!$B$18*建筑各项能耗拆分!AR223</f>
        <v>0</v>
      </c>
    </row>
    <row r="9" spans="1:44" x14ac:dyDescent="0.15">
      <c r="A9" t="s">
        <v>7</v>
      </c>
      <c r="B9" s="1">
        <f>建筑各项能耗拆分!$B$18*建筑各项能耗拆分!B224</f>
        <v>0</v>
      </c>
      <c r="C9" s="1">
        <f>建筑各项能耗拆分!$B$18*建筑各项能耗拆分!C224</f>
        <v>0</v>
      </c>
      <c r="D9" s="1">
        <f>建筑各项能耗拆分!$B$18*建筑各项能耗拆分!D224</f>
        <v>0</v>
      </c>
      <c r="E9" s="1">
        <f>建筑各项能耗拆分!$B$18*建筑各项能耗拆分!E224</f>
        <v>0</v>
      </c>
      <c r="F9" s="1">
        <f>建筑各项能耗拆分!$B$18*建筑各项能耗拆分!F224</f>
        <v>0</v>
      </c>
      <c r="G9" s="1">
        <f>建筑各项能耗拆分!$B$18*建筑各项能耗拆分!G224</f>
        <v>0</v>
      </c>
      <c r="H9" s="1">
        <f>建筑各项能耗拆分!$B$18*建筑各项能耗拆分!H224</f>
        <v>0</v>
      </c>
      <c r="I9" s="1">
        <f>建筑各项能耗拆分!$B$18*建筑各项能耗拆分!I224</f>
        <v>0</v>
      </c>
      <c r="J9" s="1">
        <f>建筑各项能耗拆分!$B$18*建筑各项能耗拆分!J224</f>
        <v>0</v>
      </c>
      <c r="K9" s="1">
        <f>建筑各项能耗拆分!$B$18*建筑各项能耗拆分!K224</f>
        <v>0</v>
      </c>
      <c r="L9" s="1">
        <f>建筑各项能耗拆分!$B$18*建筑各项能耗拆分!L224</f>
        <v>0</v>
      </c>
      <c r="M9" s="1">
        <f>建筑各项能耗拆分!$B$18*建筑各项能耗拆分!M224</f>
        <v>0</v>
      </c>
      <c r="N9" s="1">
        <f>建筑各项能耗拆分!$B$18*建筑各项能耗拆分!N224</f>
        <v>0</v>
      </c>
      <c r="O9" s="1">
        <f>建筑各项能耗拆分!$B$18*建筑各项能耗拆分!O224</f>
        <v>0</v>
      </c>
      <c r="P9" s="1">
        <f>建筑各项能耗拆分!$B$18*建筑各项能耗拆分!P224</f>
        <v>0</v>
      </c>
      <c r="Q9" s="1">
        <f>建筑各项能耗拆分!$B$18*建筑各项能耗拆分!Q224</f>
        <v>0</v>
      </c>
      <c r="R9" s="1">
        <f>建筑各项能耗拆分!$B$18*建筑各项能耗拆分!R224</f>
        <v>0</v>
      </c>
      <c r="S9" s="1">
        <f>建筑各项能耗拆分!$B$18*建筑各项能耗拆分!S224</f>
        <v>0</v>
      </c>
      <c r="T9" s="1">
        <f>建筑各项能耗拆分!$B$18*建筑各项能耗拆分!T224</f>
        <v>0</v>
      </c>
      <c r="U9" s="1">
        <f>建筑各项能耗拆分!$B$18*建筑各项能耗拆分!U224</f>
        <v>0</v>
      </c>
      <c r="V9" s="1">
        <f>建筑各项能耗拆分!$B$18*建筑各项能耗拆分!V224</f>
        <v>0</v>
      </c>
      <c r="W9" s="1">
        <f>建筑各项能耗拆分!$B$18*建筑各项能耗拆分!W224</f>
        <v>0</v>
      </c>
      <c r="X9" s="1">
        <f>建筑各项能耗拆分!$B$18*建筑各项能耗拆分!X224</f>
        <v>0</v>
      </c>
      <c r="Y9" s="1">
        <f>建筑各项能耗拆分!$B$18*建筑各项能耗拆分!Y224</f>
        <v>0</v>
      </c>
      <c r="Z9" s="1">
        <f>建筑各项能耗拆分!$B$18*建筑各项能耗拆分!Z224</f>
        <v>0</v>
      </c>
      <c r="AA9" s="1">
        <f>建筑各项能耗拆分!$B$18*建筑各项能耗拆分!AA224</f>
        <v>0</v>
      </c>
      <c r="AB9" s="1">
        <f>建筑各项能耗拆分!$B$18*建筑各项能耗拆分!AB224</f>
        <v>0</v>
      </c>
      <c r="AC9" s="1">
        <f>建筑各项能耗拆分!$B$18*建筑各项能耗拆分!AC224</f>
        <v>0</v>
      </c>
      <c r="AD9" s="1">
        <f>建筑各项能耗拆分!$B$18*建筑各项能耗拆分!AD224</f>
        <v>0</v>
      </c>
      <c r="AE9" s="1">
        <f>建筑各项能耗拆分!$B$18*建筑各项能耗拆分!AE224</f>
        <v>0</v>
      </c>
      <c r="AF9" s="1">
        <f>建筑各项能耗拆分!$B$18*建筑各项能耗拆分!AF224</f>
        <v>0</v>
      </c>
      <c r="AG9" s="1">
        <f>建筑各项能耗拆分!$B$18*建筑各项能耗拆分!AG224</f>
        <v>0</v>
      </c>
      <c r="AH9" s="1">
        <f>建筑各项能耗拆分!$B$18*建筑各项能耗拆分!AH224</f>
        <v>0</v>
      </c>
      <c r="AI9" s="1">
        <f>建筑各项能耗拆分!$B$18*建筑各项能耗拆分!AI224</f>
        <v>0</v>
      </c>
      <c r="AJ9" s="1">
        <f>建筑各项能耗拆分!$B$18*建筑各项能耗拆分!AJ224</f>
        <v>0</v>
      </c>
      <c r="AK9" s="1">
        <f>建筑各项能耗拆分!$B$18*建筑各项能耗拆分!AK224</f>
        <v>0</v>
      </c>
      <c r="AL9" s="1">
        <f>建筑各项能耗拆分!$B$18*建筑各项能耗拆分!AL224</f>
        <v>0</v>
      </c>
      <c r="AM9" s="1">
        <f>建筑各项能耗拆分!$B$18*建筑各项能耗拆分!AM224</f>
        <v>0</v>
      </c>
      <c r="AN9" s="1">
        <f>建筑各项能耗拆分!$B$18*建筑各项能耗拆分!AN224</f>
        <v>0</v>
      </c>
      <c r="AO9" s="1">
        <f>建筑各项能耗拆分!$B$18*建筑各项能耗拆分!AO224</f>
        <v>0</v>
      </c>
      <c r="AP9" s="1">
        <f>建筑各项能耗拆分!$B$18*建筑各项能耗拆分!AP224</f>
        <v>0</v>
      </c>
      <c r="AQ9" s="1">
        <f>建筑各项能耗拆分!$B$18*建筑各项能耗拆分!AQ224</f>
        <v>0</v>
      </c>
      <c r="AR9" s="1">
        <f>建筑各项能耗拆分!$B$18*建筑各项能耗拆分!AR224</f>
        <v>0</v>
      </c>
    </row>
    <row r="10" spans="1:44" x14ac:dyDescent="0.15">
      <c r="A10" t="s">
        <v>8</v>
      </c>
      <c r="B10" s="1">
        <f>建筑各项能耗拆分!$B$18*建筑各项能耗拆分!B225</f>
        <v>0</v>
      </c>
      <c r="C10" s="1">
        <f>建筑各项能耗拆分!$B$18*建筑各项能耗拆分!C225</f>
        <v>0</v>
      </c>
      <c r="D10" s="1">
        <f>建筑各项能耗拆分!$B$18*建筑各项能耗拆分!D225</f>
        <v>0</v>
      </c>
      <c r="E10" s="1">
        <f>建筑各项能耗拆分!$B$18*建筑各项能耗拆分!E225</f>
        <v>0</v>
      </c>
      <c r="F10" s="1">
        <f>建筑各项能耗拆分!$B$18*建筑各项能耗拆分!F225</f>
        <v>0</v>
      </c>
      <c r="G10" s="1">
        <f>建筑各项能耗拆分!$B$18*建筑各项能耗拆分!G225</f>
        <v>0</v>
      </c>
      <c r="H10" s="1">
        <f>建筑各项能耗拆分!$B$18*建筑各项能耗拆分!H225</f>
        <v>0</v>
      </c>
      <c r="I10" s="1">
        <f>建筑各项能耗拆分!$B$18*建筑各项能耗拆分!I225</f>
        <v>0</v>
      </c>
      <c r="J10" s="1">
        <f>建筑各项能耗拆分!$B$18*建筑各项能耗拆分!J225</f>
        <v>0</v>
      </c>
      <c r="K10" s="1">
        <f>建筑各项能耗拆分!$B$18*建筑各项能耗拆分!K225</f>
        <v>0</v>
      </c>
      <c r="L10" s="1">
        <f>建筑各项能耗拆分!$B$18*建筑各项能耗拆分!L225</f>
        <v>0</v>
      </c>
      <c r="M10" s="1">
        <f>建筑各项能耗拆分!$B$18*建筑各项能耗拆分!M225</f>
        <v>0</v>
      </c>
      <c r="N10" s="1">
        <f>建筑各项能耗拆分!$B$18*建筑各项能耗拆分!N225</f>
        <v>0</v>
      </c>
      <c r="O10" s="1">
        <f>建筑各项能耗拆分!$B$18*建筑各项能耗拆分!O225</f>
        <v>0</v>
      </c>
      <c r="P10" s="1">
        <f>建筑各项能耗拆分!$B$18*建筑各项能耗拆分!P225</f>
        <v>0</v>
      </c>
      <c r="Q10" s="1">
        <f>建筑各项能耗拆分!$B$18*建筑各项能耗拆分!Q225</f>
        <v>0</v>
      </c>
      <c r="R10" s="1">
        <f>建筑各项能耗拆分!$B$18*建筑各项能耗拆分!R225</f>
        <v>0</v>
      </c>
      <c r="S10" s="1">
        <f>建筑各项能耗拆分!$B$18*建筑各项能耗拆分!S225</f>
        <v>0</v>
      </c>
      <c r="T10" s="1">
        <f>建筑各项能耗拆分!$B$18*建筑各项能耗拆分!T225</f>
        <v>0</v>
      </c>
      <c r="U10" s="1">
        <f>建筑各项能耗拆分!$B$18*建筑各项能耗拆分!U225</f>
        <v>0</v>
      </c>
      <c r="V10" s="1">
        <f>建筑各项能耗拆分!$B$18*建筑各项能耗拆分!V225</f>
        <v>0</v>
      </c>
      <c r="W10" s="1">
        <f>建筑各项能耗拆分!$B$18*建筑各项能耗拆分!W225</f>
        <v>0</v>
      </c>
      <c r="X10" s="1">
        <f>建筑各项能耗拆分!$B$18*建筑各项能耗拆分!X225</f>
        <v>0</v>
      </c>
      <c r="Y10" s="1">
        <f>建筑各项能耗拆分!$B$18*建筑各项能耗拆分!Y225</f>
        <v>0</v>
      </c>
      <c r="Z10" s="1">
        <f>建筑各项能耗拆分!$B$18*建筑各项能耗拆分!Z225</f>
        <v>0</v>
      </c>
      <c r="AA10" s="1">
        <f>建筑各项能耗拆分!$B$18*建筑各项能耗拆分!AA225</f>
        <v>0</v>
      </c>
      <c r="AB10" s="1">
        <f>建筑各项能耗拆分!$B$18*建筑各项能耗拆分!AB225</f>
        <v>0</v>
      </c>
      <c r="AC10" s="1">
        <f>建筑各项能耗拆分!$B$18*建筑各项能耗拆分!AC225</f>
        <v>0</v>
      </c>
      <c r="AD10" s="1">
        <f>建筑各项能耗拆分!$B$18*建筑各项能耗拆分!AD225</f>
        <v>0</v>
      </c>
      <c r="AE10" s="1">
        <f>建筑各项能耗拆分!$B$18*建筑各项能耗拆分!AE225</f>
        <v>0</v>
      </c>
      <c r="AF10" s="1">
        <f>建筑各项能耗拆分!$B$18*建筑各项能耗拆分!AF225</f>
        <v>0</v>
      </c>
      <c r="AG10" s="1">
        <f>建筑各项能耗拆分!$B$18*建筑各项能耗拆分!AG225</f>
        <v>0</v>
      </c>
      <c r="AH10" s="1">
        <f>建筑各项能耗拆分!$B$18*建筑各项能耗拆分!AH225</f>
        <v>0</v>
      </c>
      <c r="AI10" s="1">
        <f>建筑各项能耗拆分!$B$18*建筑各项能耗拆分!AI225</f>
        <v>0</v>
      </c>
      <c r="AJ10" s="1">
        <f>建筑各项能耗拆分!$B$18*建筑各项能耗拆分!AJ225</f>
        <v>0</v>
      </c>
      <c r="AK10" s="1">
        <f>建筑各项能耗拆分!$B$18*建筑各项能耗拆分!AK225</f>
        <v>0</v>
      </c>
      <c r="AL10" s="1">
        <f>建筑各项能耗拆分!$B$18*建筑各项能耗拆分!AL225</f>
        <v>0</v>
      </c>
      <c r="AM10" s="1">
        <f>建筑各项能耗拆分!$B$18*建筑各项能耗拆分!AM225</f>
        <v>0</v>
      </c>
      <c r="AN10" s="1">
        <f>建筑各项能耗拆分!$B$18*建筑各项能耗拆分!AN225</f>
        <v>0</v>
      </c>
      <c r="AO10" s="1">
        <f>建筑各项能耗拆分!$B$18*建筑各项能耗拆分!AO225</f>
        <v>0</v>
      </c>
      <c r="AP10" s="1">
        <f>建筑各项能耗拆分!$B$18*建筑各项能耗拆分!AP225</f>
        <v>0</v>
      </c>
      <c r="AQ10" s="1">
        <f>建筑各项能耗拆分!$B$18*建筑各项能耗拆分!AQ225</f>
        <v>0</v>
      </c>
      <c r="AR10" s="1">
        <f>建筑各项能耗拆分!$B$18*建筑各项能耗拆分!AR225</f>
        <v>0</v>
      </c>
    </row>
    <row r="11" spans="1:44" x14ac:dyDescent="0.15">
      <c r="A11" t="s">
        <v>9</v>
      </c>
      <c r="B11" s="1">
        <f>建筑各项能耗拆分!$B$18*建筑各项能耗拆分!B226</f>
        <v>0</v>
      </c>
      <c r="C11" s="1">
        <f>建筑各项能耗拆分!$B$18*建筑各项能耗拆分!C226</f>
        <v>0</v>
      </c>
      <c r="D11" s="1">
        <f>建筑各项能耗拆分!$B$18*建筑各项能耗拆分!D226</f>
        <v>0</v>
      </c>
      <c r="E11" s="1">
        <f>建筑各项能耗拆分!$B$18*建筑各项能耗拆分!E226</f>
        <v>0</v>
      </c>
      <c r="F11" s="1">
        <f>建筑各项能耗拆分!$B$18*建筑各项能耗拆分!F226</f>
        <v>0</v>
      </c>
      <c r="G11" s="1">
        <f>建筑各项能耗拆分!$B$18*建筑各项能耗拆分!G226</f>
        <v>0</v>
      </c>
      <c r="H11" s="1">
        <f>建筑各项能耗拆分!$B$18*建筑各项能耗拆分!H226</f>
        <v>0</v>
      </c>
      <c r="I11" s="1">
        <f>建筑各项能耗拆分!$B$18*建筑各项能耗拆分!I226</f>
        <v>0</v>
      </c>
      <c r="J11" s="1">
        <f>建筑各项能耗拆分!$B$18*建筑各项能耗拆分!J226</f>
        <v>0</v>
      </c>
      <c r="K11" s="1">
        <f>建筑各项能耗拆分!$B$18*建筑各项能耗拆分!K226</f>
        <v>0</v>
      </c>
      <c r="L11" s="1">
        <f>建筑各项能耗拆分!$B$18*建筑各项能耗拆分!L226</f>
        <v>0</v>
      </c>
      <c r="M11" s="1">
        <f>建筑各项能耗拆分!$B$18*建筑各项能耗拆分!M226</f>
        <v>0</v>
      </c>
      <c r="N11" s="1">
        <f>建筑各项能耗拆分!$B$18*建筑各项能耗拆分!N226</f>
        <v>0</v>
      </c>
      <c r="O11" s="1">
        <f>建筑各项能耗拆分!$B$18*建筑各项能耗拆分!O226</f>
        <v>0</v>
      </c>
      <c r="P11" s="1">
        <f>建筑各项能耗拆分!$B$18*建筑各项能耗拆分!P226</f>
        <v>0</v>
      </c>
      <c r="Q11" s="1">
        <f>建筑各项能耗拆分!$B$18*建筑各项能耗拆分!Q226</f>
        <v>0</v>
      </c>
      <c r="R11" s="1">
        <f>建筑各项能耗拆分!$B$18*建筑各项能耗拆分!R226</f>
        <v>0</v>
      </c>
      <c r="S11" s="1">
        <f>建筑各项能耗拆分!$B$18*建筑各项能耗拆分!S226</f>
        <v>0</v>
      </c>
      <c r="T11" s="1">
        <f>建筑各项能耗拆分!$B$18*建筑各项能耗拆分!T226</f>
        <v>0</v>
      </c>
      <c r="U11" s="1">
        <f>建筑各项能耗拆分!$B$18*建筑各项能耗拆分!U226</f>
        <v>0</v>
      </c>
      <c r="V11" s="1">
        <f>建筑各项能耗拆分!$B$18*建筑各项能耗拆分!V226</f>
        <v>0</v>
      </c>
      <c r="W11" s="1">
        <f>建筑各项能耗拆分!$B$18*建筑各项能耗拆分!W226</f>
        <v>0</v>
      </c>
      <c r="X11" s="1">
        <f>建筑各项能耗拆分!$B$18*建筑各项能耗拆分!X226</f>
        <v>0</v>
      </c>
      <c r="Y11" s="1">
        <f>建筑各项能耗拆分!$B$18*建筑各项能耗拆分!Y226</f>
        <v>0</v>
      </c>
      <c r="Z11" s="1">
        <f>建筑各项能耗拆分!$B$18*建筑各项能耗拆分!Z226</f>
        <v>0</v>
      </c>
      <c r="AA11" s="1">
        <f>建筑各项能耗拆分!$B$18*建筑各项能耗拆分!AA226</f>
        <v>0</v>
      </c>
      <c r="AB11" s="1">
        <f>建筑各项能耗拆分!$B$18*建筑各项能耗拆分!AB226</f>
        <v>0</v>
      </c>
      <c r="AC11" s="1">
        <f>建筑各项能耗拆分!$B$18*建筑各项能耗拆分!AC226</f>
        <v>0</v>
      </c>
      <c r="AD11" s="1">
        <f>建筑各项能耗拆分!$B$18*建筑各项能耗拆分!AD226</f>
        <v>0</v>
      </c>
      <c r="AE11" s="1">
        <f>建筑各项能耗拆分!$B$18*建筑各项能耗拆分!AE226</f>
        <v>0</v>
      </c>
      <c r="AF11" s="1">
        <f>建筑各项能耗拆分!$B$18*建筑各项能耗拆分!AF226</f>
        <v>0</v>
      </c>
      <c r="AG11" s="1">
        <f>建筑各项能耗拆分!$B$18*建筑各项能耗拆分!AG226</f>
        <v>0</v>
      </c>
      <c r="AH11" s="1">
        <f>建筑各项能耗拆分!$B$18*建筑各项能耗拆分!AH226</f>
        <v>0</v>
      </c>
      <c r="AI11" s="1">
        <f>建筑各项能耗拆分!$B$18*建筑各项能耗拆分!AI226</f>
        <v>0</v>
      </c>
      <c r="AJ11" s="1">
        <f>建筑各项能耗拆分!$B$18*建筑各项能耗拆分!AJ226</f>
        <v>0</v>
      </c>
      <c r="AK11" s="1">
        <f>建筑各项能耗拆分!$B$18*建筑各项能耗拆分!AK226</f>
        <v>0</v>
      </c>
      <c r="AL11" s="1">
        <f>建筑各项能耗拆分!$B$18*建筑各项能耗拆分!AL226</f>
        <v>0</v>
      </c>
      <c r="AM11" s="1">
        <f>建筑各项能耗拆分!$B$18*建筑各项能耗拆分!AM226</f>
        <v>0</v>
      </c>
      <c r="AN11" s="1">
        <f>建筑各项能耗拆分!$B$18*建筑各项能耗拆分!AN226</f>
        <v>0</v>
      </c>
      <c r="AO11" s="1">
        <f>建筑各项能耗拆分!$B$18*建筑各项能耗拆分!AO226</f>
        <v>0</v>
      </c>
      <c r="AP11" s="1">
        <f>建筑各项能耗拆分!$B$18*建筑各项能耗拆分!AP226</f>
        <v>0</v>
      </c>
      <c r="AQ11" s="1">
        <f>建筑各项能耗拆分!$B$18*建筑各项能耗拆分!AQ226</f>
        <v>0</v>
      </c>
      <c r="AR11" s="1">
        <f>建筑各项能耗拆分!$B$18*建筑各项能耗拆分!AR226</f>
        <v>0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F99B-1F92-4F97-B449-125567335D25}">
  <sheetPr>
    <tabColor rgb="FF002060"/>
  </sheetPr>
  <dimension ref="A1:AR12"/>
  <sheetViews>
    <sheetView workbookViewId="0">
      <selection activeCell="A22" sqref="A22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建筑各项能耗拆分!$B$18*建筑各项能耗拆分!B230</f>
        <v>1260719775973422.3</v>
      </c>
      <c r="C2" s="1">
        <f>建筑各项能耗拆分!$B$18*建筑各项能耗拆分!C230</f>
        <v>1277243589701933.5</v>
      </c>
      <c r="D2" s="1">
        <f>建筑各项能耗拆分!$B$18*建筑各项能耗拆分!D230</f>
        <v>1299836292890786</v>
      </c>
      <c r="E2" s="1">
        <f>建筑各项能耗拆分!$B$18*建筑各项能耗拆分!E230</f>
        <v>1310214434935262.8</v>
      </c>
      <c r="F2" s="1">
        <f>建筑各项能耗拆分!$B$18*建筑各项能耗拆分!F230</f>
        <v>1320282927962399</v>
      </c>
      <c r="G2" s="1">
        <f>建筑各项能耗拆分!$B$18*建筑各项能耗拆分!G230</f>
        <v>1330034876732139.3</v>
      </c>
      <c r="H2" s="1">
        <f>建筑各项能耗拆分!$B$18*建筑各项能耗拆分!H230</f>
        <v>1339464038413708.8</v>
      </c>
      <c r="I2" s="1">
        <f>建筑各项能耗拆分!$B$18*建筑各项能耗拆分!I230</f>
        <v>1348564922032713</v>
      </c>
      <c r="J2" s="1">
        <f>建筑各项能耗拆分!$B$18*建筑各项能耗拆分!J230</f>
        <v>1357332741651386</v>
      </c>
      <c r="K2" s="1">
        <f>建筑各项能耗拆分!$B$18*建筑各项能耗拆分!K230</f>
        <v>1365763557559552.3</v>
      </c>
      <c r="L2" s="1">
        <f>建筑各项能耗拆分!$B$18*建筑各项能耗拆分!L230</f>
        <v>1373854232058388</v>
      </c>
      <c r="M2" s="1">
        <f>建筑各项能耗拆分!$B$18*建筑各项能耗拆分!M230</f>
        <v>1381602525316581.8</v>
      </c>
      <c r="N2" s="1">
        <f>建筑各项能耗拆分!$B$18*建筑各项能耗拆分!N230</f>
        <v>1389007129350768.8</v>
      </c>
      <c r="O2" s="1">
        <f>建筑各项能耗拆分!$B$18*建筑各项能耗拆分!O230</f>
        <v>1396067693669793.3</v>
      </c>
      <c r="P2" s="1">
        <f>建筑各项能耗拆分!$B$18*建筑各项能耗拆分!P230</f>
        <v>1402784930054395.3</v>
      </c>
      <c r="Q2" s="1">
        <f>建筑各项能耗拆分!$B$18*建筑各项能耗拆分!Q230</f>
        <v>1409160586870932.5</v>
      </c>
      <c r="R2" s="1">
        <f>建筑各项能耗拆分!$B$18*建筑各项能耗拆分!R230</f>
        <v>1415197566288808.3</v>
      </c>
      <c r="S2" s="1">
        <f>建筑各项能耗拆分!$B$18*建筑各项能耗拆分!S230</f>
        <v>1420899936933499</v>
      </c>
      <c r="T2" s="1">
        <f>建筑各项能耗拆分!$B$18*建筑各项能耗拆分!T230</f>
        <v>1426273006351055.3</v>
      </c>
      <c r="U2" s="1">
        <f>建筑各项能耗拆分!$B$18*建筑各项能耗拆分!U230</f>
        <v>1431323392846177</v>
      </c>
      <c r="V2" s="1">
        <f>建筑各项能耗拆分!$B$18*建筑各项能耗拆分!V230</f>
        <v>1436059030910450</v>
      </c>
      <c r="W2" s="1">
        <f>建筑各项能耗拆分!$B$18*建筑各项能耗拆分!W230</f>
        <v>1440489285945374.3</v>
      </c>
      <c r="X2" s="1">
        <f>建筑各项能耗拆分!$B$18*建筑各项能耗拆分!X230</f>
        <v>1444624998827925</v>
      </c>
      <c r="Y2" s="1">
        <f>建筑各项能耗拆分!$B$18*建筑各项能耗拆分!Y230</f>
        <v>1448478553962895.3</v>
      </c>
      <c r="Z2" s="1">
        <f>建筑各项能耗拆分!$B$18*建筑各项能耗拆分!Z230</f>
        <v>1452063914879208.3</v>
      </c>
      <c r="AA2" s="1">
        <f>建筑各项能耗拆分!$B$18*建筑各项能耗拆分!AA230</f>
        <v>1455396715145837.5</v>
      </c>
      <c r="AB2" s="1">
        <f>建筑各项能耗拆分!$B$18*建筑各项能耗拆分!AB230</f>
        <v>1458494360133631.5</v>
      </c>
      <c r="AC2" s="1">
        <f>建筑各项能耗拆分!$B$18*建筑各项能耗拆分!AC230</f>
        <v>1461376034647668.3</v>
      </c>
      <c r="AD2" s="1">
        <f>建筑各项能耗拆分!$B$18*建筑各项能耗拆分!AD230</f>
        <v>1464062792663045.3</v>
      </c>
      <c r="AE2" s="1">
        <f>建筑各项能耗拆分!$B$18*建筑各项能耗拆分!AE230</f>
        <v>1466577701909139.5</v>
      </c>
      <c r="AF2" s="1">
        <f>建筑各项能耗拆分!$B$18*建筑各项能耗拆分!AF230</f>
        <v>1468945817643860</v>
      </c>
      <c r="AG2" s="1">
        <f>建筑各项能耗拆分!$B$18*建筑各项能耗拆分!AG230</f>
        <v>1471194317957187.5</v>
      </c>
      <c r="AH2" s="1">
        <f>建筑各项能耗拆分!$B$18*建筑各项能耗拆分!AH230</f>
        <v>1473352609645264.5</v>
      </c>
      <c r="AI2" s="1">
        <f>建筑各项能耗拆分!$B$18*建筑各项能耗拆分!AI230</f>
        <v>1475452329277565.5</v>
      </c>
      <c r="AJ2" s="1">
        <f>建筑各项能耗拆分!$B$18*建筑各项能耗拆分!AJ230</f>
        <v>1477527545524893.8</v>
      </c>
      <c r="AK2" s="1">
        <f>建筑各项能耗拆分!$B$18*建筑各项能耗拆分!AK230</f>
        <v>1479614713065021.5</v>
      </c>
      <c r="AL2" s="1">
        <f>建筑各项能耗拆分!$B$18*建筑各项能耗拆分!AL230</f>
        <v>1481752896785730.5</v>
      </c>
      <c r="AM2" s="1">
        <f>建筑各项能耗拆分!$B$18*建筑各项能耗拆分!AM230</f>
        <v>1483983782135153.8</v>
      </c>
      <c r="AN2" s="1">
        <f>建筑各项能耗拆分!$B$18*建筑各项能耗拆分!AN230</f>
        <v>1486351787898797</v>
      </c>
      <c r="AO2" s="1">
        <f>建筑各项能耗拆分!$B$18*建筑各项能耗拆分!AO230</f>
        <v>1488904169153246.8</v>
      </c>
      <c r="AP2" s="1">
        <f>建筑各项能耗拆分!$B$18*建筑各项能耗拆分!AP230</f>
        <v>1491691123148877.3</v>
      </c>
      <c r="AQ2" s="1">
        <f>建筑各项能耗拆分!$B$18*建筑各项能耗拆分!AQ230</f>
        <v>1494765923216388.8</v>
      </c>
      <c r="AR2" s="1">
        <f>建筑各项能耗拆分!$B$18*建筑各项能耗拆分!AR230</f>
        <v>1498184950073344.3</v>
      </c>
    </row>
    <row r="3" spans="1:44" x14ac:dyDescent="0.15">
      <c r="A3" t="s">
        <v>1</v>
      </c>
      <c r="B3" s="1">
        <f>建筑各项能耗拆分!$B$18*建筑各项能耗拆分!B231</f>
        <v>0</v>
      </c>
      <c r="C3" s="1">
        <f>建筑各项能耗拆分!$B$18*建筑各项能耗拆分!C231</f>
        <v>0</v>
      </c>
      <c r="D3" s="1">
        <f>建筑各项能耗拆分!$B$18*建筑各项能耗拆分!D231</f>
        <v>0</v>
      </c>
      <c r="E3" s="1">
        <f>建筑各项能耗拆分!$B$18*建筑各项能耗拆分!E231</f>
        <v>0</v>
      </c>
      <c r="F3" s="1">
        <f>建筑各项能耗拆分!$B$18*建筑各项能耗拆分!F231</f>
        <v>0</v>
      </c>
      <c r="G3" s="1">
        <f>建筑各项能耗拆分!$B$18*建筑各项能耗拆分!G231</f>
        <v>0</v>
      </c>
      <c r="H3" s="1">
        <f>建筑各项能耗拆分!$B$18*建筑各项能耗拆分!H231</f>
        <v>0</v>
      </c>
      <c r="I3" s="1">
        <f>建筑各项能耗拆分!$B$18*建筑各项能耗拆分!I231</f>
        <v>0</v>
      </c>
      <c r="J3" s="1">
        <f>建筑各项能耗拆分!$B$18*建筑各项能耗拆分!J231</f>
        <v>0</v>
      </c>
      <c r="K3" s="1">
        <f>建筑各项能耗拆分!$B$18*建筑各项能耗拆分!K231</f>
        <v>0</v>
      </c>
      <c r="L3" s="1">
        <f>建筑各项能耗拆分!$B$18*建筑各项能耗拆分!L231</f>
        <v>0</v>
      </c>
      <c r="M3" s="1">
        <f>建筑各项能耗拆分!$B$18*建筑各项能耗拆分!M231</f>
        <v>0</v>
      </c>
      <c r="N3" s="1">
        <f>建筑各项能耗拆分!$B$18*建筑各项能耗拆分!N231</f>
        <v>0</v>
      </c>
      <c r="O3" s="1">
        <f>建筑各项能耗拆分!$B$18*建筑各项能耗拆分!O231</f>
        <v>0</v>
      </c>
      <c r="P3" s="1">
        <f>建筑各项能耗拆分!$B$18*建筑各项能耗拆分!P231</f>
        <v>0</v>
      </c>
      <c r="Q3" s="1">
        <f>建筑各项能耗拆分!$B$18*建筑各项能耗拆分!Q231</f>
        <v>0</v>
      </c>
      <c r="R3" s="1">
        <f>建筑各项能耗拆分!$B$18*建筑各项能耗拆分!R231</f>
        <v>0</v>
      </c>
      <c r="S3" s="1">
        <f>建筑各项能耗拆分!$B$18*建筑各项能耗拆分!S231</f>
        <v>0</v>
      </c>
      <c r="T3" s="1">
        <f>建筑各项能耗拆分!$B$18*建筑各项能耗拆分!T231</f>
        <v>0</v>
      </c>
      <c r="U3" s="1">
        <f>建筑各项能耗拆分!$B$18*建筑各项能耗拆分!U231</f>
        <v>0</v>
      </c>
      <c r="V3" s="1">
        <f>建筑各项能耗拆分!$B$18*建筑各项能耗拆分!V231</f>
        <v>0</v>
      </c>
      <c r="W3" s="1">
        <f>建筑各项能耗拆分!$B$18*建筑各项能耗拆分!W231</f>
        <v>0</v>
      </c>
      <c r="X3" s="1">
        <f>建筑各项能耗拆分!$B$18*建筑各项能耗拆分!X231</f>
        <v>0</v>
      </c>
      <c r="Y3" s="1">
        <f>建筑各项能耗拆分!$B$18*建筑各项能耗拆分!Y231</f>
        <v>0</v>
      </c>
      <c r="Z3" s="1">
        <f>建筑各项能耗拆分!$B$18*建筑各项能耗拆分!Z231</f>
        <v>0</v>
      </c>
      <c r="AA3" s="1">
        <f>建筑各项能耗拆分!$B$18*建筑各项能耗拆分!AA231</f>
        <v>0</v>
      </c>
      <c r="AB3" s="1">
        <f>建筑各项能耗拆分!$B$18*建筑各项能耗拆分!AB231</f>
        <v>0</v>
      </c>
      <c r="AC3" s="1">
        <f>建筑各项能耗拆分!$B$18*建筑各项能耗拆分!AC231</f>
        <v>0</v>
      </c>
      <c r="AD3" s="1">
        <f>建筑各项能耗拆分!$B$18*建筑各项能耗拆分!AD231</f>
        <v>0</v>
      </c>
      <c r="AE3" s="1">
        <f>建筑各项能耗拆分!$B$18*建筑各项能耗拆分!AE231</f>
        <v>0</v>
      </c>
      <c r="AF3" s="1">
        <f>建筑各项能耗拆分!$B$18*建筑各项能耗拆分!AF231</f>
        <v>0</v>
      </c>
      <c r="AG3" s="1">
        <f>建筑各项能耗拆分!$B$18*建筑各项能耗拆分!AG231</f>
        <v>0</v>
      </c>
      <c r="AH3" s="1">
        <f>建筑各项能耗拆分!$B$18*建筑各项能耗拆分!AH231</f>
        <v>0</v>
      </c>
      <c r="AI3" s="1">
        <f>建筑各项能耗拆分!$B$18*建筑各项能耗拆分!AI231</f>
        <v>0</v>
      </c>
      <c r="AJ3" s="1">
        <f>建筑各项能耗拆分!$B$18*建筑各项能耗拆分!AJ231</f>
        <v>0</v>
      </c>
      <c r="AK3" s="1">
        <f>建筑各项能耗拆分!$B$18*建筑各项能耗拆分!AK231</f>
        <v>0</v>
      </c>
      <c r="AL3" s="1">
        <f>建筑各项能耗拆分!$B$18*建筑各项能耗拆分!AL231</f>
        <v>0</v>
      </c>
      <c r="AM3" s="1">
        <f>建筑各项能耗拆分!$B$18*建筑各项能耗拆分!AM231</f>
        <v>0</v>
      </c>
      <c r="AN3" s="1">
        <f>建筑各项能耗拆分!$B$18*建筑各项能耗拆分!AN231</f>
        <v>0</v>
      </c>
      <c r="AO3" s="1">
        <f>建筑各项能耗拆分!$B$18*建筑各项能耗拆分!AO231</f>
        <v>0</v>
      </c>
      <c r="AP3" s="1">
        <f>建筑各项能耗拆分!$B$18*建筑各项能耗拆分!AP231</f>
        <v>0</v>
      </c>
      <c r="AQ3" s="1">
        <f>建筑各项能耗拆分!$B$18*建筑各项能耗拆分!AQ231</f>
        <v>0</v>
      </c>
      <c r="AR3" s="1">
        <f>建筑各项能耗拆分!$B$18*建筑各项能耗拆分!AR231</f>
        <v>0</v>
      </c>
    </row>
    <row r="4" spans="1:44" x14ac:dyDescent="0.15">
      <c r="A4" t="s">
        <v>2</v>
      </c>
      <c r="B4" s="1">
        <f>建筑各项能耗拆分!$B$18*建筑各项能耗拆分!B232</f>
        <v>1073481585832935.8</v>
      </c>
      <c r="C4" s="1">
        <f>建筑各项能耗拆分!$B$18*建筑各项能耗拆分!C232</f>
        <v>1087551334006430.1</v>
      </c>
      <c r="D4" s="1">
        <f>建筑各项能耗拆分!$B$18*建筑各项能耗拆分!D232</f>
        <v>1106788639004439.4</v>
      </c>
      <c r="E4" s="1">
        <f>建筑各项能耗拆分!$B$18*建筑各项能耗拆分!E232</f>
        <v>1115625451587396</v>
      </c>
      <c r="F4" s="1">
        <f>建筑各项能耗拆分!$B$18*建筑各项能耗拆分!F232</f>
        <v>1124198603264478.6</v>
      </c>
      <c r="G4" s="1">
        <f>建筑各项能耗拆分!$B$18*建筑各项能耗拆分!G232</f>
        <v>1132502222855295</v>
      </c>
      <c r="H4" s="1">
        <f>建筑各项能耗拆分!$B$18*建筑各项能耗拆分!H232</f>
        <v>1140530994694929.8</v>
      </c>
      <c r="I4" s="1">
        <f>建筑各项能耗拆分!$B$18*建筑各项能耗拆分!I232</f>
        <v>1148280243311472.3</v>
      </c>
      <c r="J4" s="1">
        <f>建筑各项能耗拆分!$B$18*建筑各项能耗拆分!J232</f>
        <v>1155745893559786.3</v>
      </c>
      <c r="K4" s="1">
        <f>建筑各项能耗拆分!$B$18*建筑各项能耗拆分!K232</f>
        <v>1162924590843229.8</v>
      </c>
      <c r="L4" s="1">
        <f>建筑各项能耗拆分!$B$18*建筑各项能耗拆分!L232</f>
        <v>1169813663464274.8</v>
      </c>
      <c r="M4" s="1">
        <f>建筑各项能耗拆分!$B$18*建筑各项能耗拆分!M232</f>
        <v>1176411204244407.5</v>
      </c>
      <c r="N4" s="1">
        <f>建筑各项能耗拆分!$B$18*建筑各项能耗拆分!N232</f>
        <v>1182716099457895</v>
      </c>
      <c r="O4" s="1">
        <f>建筑各项能耗拆分!$B$18*建筑各项能耗拆分!O232</f>
        <v>1188728050667441</v>
      </c>
      <c r="P4" s="1">
        <f>建筑各项能耗拆分!$B$18*建筑各项能耗拆分!P232</f>
        <v>1194447663942317.5</v>
      </c>
      <c r="Q4" s="1">
        <f>建筑各项能耗拆分!$B$18*建筑各项能耗拆分!Q232</f>
        <v>1199876427986935</v>
      </c>
      <c r="R4" s="1">
        <f>建筑各项能耗拆分!$B$18*建筑各项能耗拆分!R232</f>
        <v>1205016813949500.8</v>
      </c>
      <c r="S4" s="1">
        <f>建筑各项能耗拆分!$B$18*建筑各项能耗拆分!S232</f>
        <v>1209872286195855.5</v>
      </c>
      <c r="T4" s="1">
        <f>建筑各项能耗拆分!$B$18*建筑各项能耗拆分!T232</f>
        <v>1214447364011776.3</v>
      </c>
      <c r="U4" s="1">
        <f>建筑各项能耗拆分!$B$18*建筑各项能耗拆分!U232</f>
        <v>1218747682771880.3</v>
      </c>
      <c r="V4" s="1">
        <f>建筑各项能耗拆分!$B$18*建筑各项能耗拆分!V232</f>
        <v>1222779998561676.8</v>
      </c>
      <c r="W4" s="1">
        <f>建筑各项能耗拆分!$B$18*建筑各项能耗拆分!W232</f>
        <v>1226552285862289</v>
      </c>
      <c r="X4" s="1">
        <f>建筑各项能耗拆分!$B$18*建筑各项能耗拆分!X232</f>
        <v>1230073775497273.5</v>
      </c>
      <c r="Y4" s="1">
        <f>建筑各项能耗拆分!$B$18*建筑各项能耗拆分!Y232</f>
        <v>1233355012578041.8</v>
      </c>
      <c r="Z4" s="1">
        <f>建筑各项能耗拆分!$B$18*建筑各项能耗拆分!Z232</f>
        <v>1236407886813520</v>
      </c>
      <c r="AA4" s="1">
        <f>建筑各项能耗拆分!$B$18*建筑各项能耗拆分!AA232</f>
        <v>1239245709923515.5</v>
      </c>
      <c r="AB4" s="1">
        <f>建筑各项能耗拆分!$B$18*建筑各项能耗拆分!AB232</f>
        <v>1241883302287193</v>
      </c>
      <c r="AC4" s="1">
        <f>建筑各项能耗拆分!$B$18*建筑各项能耗拆分!AC232</f>
        <v>1244336999441895.3</v>
      </c>
      <c r="AD4" s="1">
        <f>建筑各项能耗拆分!$B$18*建筑各项能耗拆分!AD232</f>
        <v>1246624728491651</v>
      </c>
      <c r="AE4" s="1">
        <f>建筑各项能耗拆分!$B$18*建筑各项能耗拆分!AE232</f>
        <v>1248766131218231.3</v>
      </c>
      <c r="AF4" s="1">
        <f>建筑各项能耗拆分!$B$18*建筑各项能耗拆分!AF232</f>
        <v>1250782541750366.5</v>
      </c>
      <c r="AG4" s="1">
        <f>建筑各项能耗拆分!$B$18*建筑各项能耗拆分!AG232</f>
        <v>1252697101772424.3</v>
      </c>
      <c r="AH4" s="1">
        <f>建筑各项能耗拆分!$B$18*建筑各项能耗拆分!AH232</f>
        <v>1254534850674410</v>
      </c>
      <c r="AI4" s="1">
        <f>建筑各项能耗拆分!$B$18*建筑各项能耗拆分!AI232</f>
        <v>1256322726460642.3</v>
      </c>
      <c r="AJ4" s="1">
        <f>建筑各项能耗拆分!$B$18*建筑各项能耗拆分!AJ232</f>
        <v>1258089738028624</v>
      </c>
      <c r="AK4" s="1">
        <f>建筑各项能耗拆分!$B$18*建筑各项能耗拆分!AK232</f>
        <v>1259866925920473.5</v>
      </c>
      <c r="AL4" s="1">
        <f>建筑各项能耗拆分!$B$18*建筑各项能耗拆分!AL232</f>
        <v>1261687553228026.3</v>
      </c>
      <c r="AM4" s="1">
        <f>建筑各项能耗拆分!$B$18*建筑各项能耗拆分!AM232</f>
        <v>1263587114405974.3</v>
      </c>
      <c r="AN4" s="1">
        <f>建筑各项能耗拆分!$B$18*建筑各项能耗拆分!AN232</f>
        <v>1265603431299595</v>
      </c>
      <c r="AO4" s="1">
        <f>建筑各项能耗拆分!$B$18*建筑各项能耗拆分!AO232</f>
        <v>1267776740808095.3</v>
      </c>
      <c r="AP4" s="1">
        <f>建筑各项能耗拆分!$B$18*建筑各项能耗拆分!AP232</f>
        <v>1270149785041943.8</v>
      </c>
      <c r="AQ4" s="1">
        <f>建筑各项能耗拆分!$B$18*建筑各项能耗拆分!AQ232</f>
        <v>1272767925342029.8</v>
      </c>
      <c r="AR4" s="1">
        <f>建筑各项能耗拆分!$B$18*建筑各项能耗拆分!AR232</f>
        <v>1275679168936647.3</v>
      </c>
    </row>
    <row r="5" spans="1:44" x14ac:dyDescent="0.15">
      <c r="A5" t="s">
        <v>3</v>
      </c>
      <c r="B5" s="1">
        <f>建筑各项能耗拆分!$B$18*建筑各项能耗拆分!B233</f>
        <v>0</v>
      </c>
      <c r="C5" s="1">
        <f>建筑各项能耗拆分!$B$18*建筑各项能耗拆分!C233</f>
        <v>0</v>
      </c>
      <c r="D5" s="1">
        <f>建筑各项能耗拆分!$B$18*建筑各项能耗拆分!D233</f>
        <v>0</v>
      </c>
      <c r="E5" s="1">
        <f>建筑各项能耗拆分!$B$18*建筑各项能耗拆分!E233</f>
        <v>0</v>
      </c>
      <c r="F5" s="1">
        <f>建筑各项能耗拆分!$B$18*建筑各项能耗拆分!F233</f>
        <v>0</v>
      </c>
      <c r="G5" s="1">
        <f>建筑各项能耗拆分!$B$18*建筑各项能耗拆分!G233</f>
        <v>0</v>
      </c>
      <c r="H5" s="1">
        <f>建筑各项能耗拆分!$B$18*建筑各项能耗拆分!H233</f>
        <v>0</v>
      </c>
      <c r="I5" s="1">
        <f>建筑各项能耗拆分!$B$18*建筑各项能耗拆分!I233</f>
        <v>0</v>
      </c>
      <c r="J5" s="1">
        <f>建筑各项能耗拆分!$B$18*建筑各项能耗拆分!J233</f>
        <v>0</v>
      </c>
      <c r="K5" s="1">
        <f>建筑各项能耗拆分!$B$18*建筑各项能耗拆分!K233</f>
        <v>0</v>
      </c>
      <c r="L5" s="1">
        <f>建筑各项能耗拆分!$B$18*建筑各项能耗拆分!L233</f>
        <v>0</v>
      </c>
      <c r="M5" s="1">
        <f>建筑各项能耗拆分!$B$18*建筑各项能耗拆分!M233</f>
        <v>0</v>
      </c>
      <c r="N5" s="1">
        <f>建筑各项能耗拆分!$B$18*建筑各项能耗拆分!N233</f>
        <v>0</v>
      </c>
      <c r="O5" s="1">
        <f>建筑各项能耗拆分!$B$18*建筑各项能耗拆分!O233</f>
        <v>0</v>
      </c>
      <c r="P5" s="1">
        <f>建筑各项能耗拆分!$B$18*建筑各项能耗拆分!P233</f>
        <v>0</v>
      </c>
      <c r="Q5" s="1">
        <f>建筑各项能耗拆分!$B$18*建筑各项能耗拆分!Q233</f>
        <v>0</v>
      </c>
      <c r="R5" s="1">
        <f>建筑各项能耗拆分!$B$18*建筑各项能耗拆分!R233</f>
        <v>0</v>
      </c>
      <c r="S5" s="1">
        <f>建筑各项能耗拆分!$B$18*建筑各项能耗拆分!S233</f>
        <v>0</v>
      </c>
      <c r="T5" s="1">
        <f>建筑各项能耗拆分!$B$18*建筑各项能耗拆分!T233</f>
        <v>0</v>
      </c>
      <c r="U5" s="1">
        <f>建筑各项能耗拆分!$B$18*建筑各项能耗拆分!U233</f>
        <v>0</v>
      </c>
      <c r="V5" s="1">
        <f>建筑各项能耗拆分!$B$18*建筑各项能耗拆分!V233</f>
        <v>0</v>
      </c>
      <c r="W5" s="1">
        <f>建筑各项能耗拆分!$B$18*建筑各项能耗拆分!W233</f>
        <v>0</v>
      </c>
      <c r="X5" s="1">
        <f>建筑各项能耗拆分!$B$18*建筑各项能耗拆分!X233</f>
        <v>0</v>
      </c>
      <c r="Y5" s="1">
        <f>建筑各项能耗拆分!$B$18*建筑各项能耗拆分!Y233</f>
        <v>0</v>
      </c>
      <c r="Z5" s="1">
        <f>建筑各项能耗拆分!$B$18*建筑各项能耗拆分!Z233</f>
        <v>0</v>
      </c>
      <c r="AA5" s="1">
        <f>建筑各项能耗拆分!$B$18*建筑各项能耗拆分!AA233</f>
        <v>0</v>
      </c>
      <c r="AB5" s="1">
        <f>建筑各项能耗拆分!$B$18*建筑各项能耗拆分!AB233</f>
        <v>0</v>
      </c>
      <c r="AC5" s="1">
        <f>建筑各项能耗拆分!$B$18*建筑各项能耗拆分!AC233</f>
        <v>0</v>
      </c>
      <c r="AD5" s="1">
        <f>建筑各项能耗拆分!$B$18*建筑各项能耗拆分!AD233</f>
        <v>0</v>
      </c>
      <c r="AE5" s="1">
        <f>建筑各项能耗拆分!$B$18*建筑各项能耗拆分!AE233</f>
        <v>0</v>
      </c>
      <c r="AF5" s="1">
        <f>建筑各项能耗拆分!$B$18*建筑各项能耗拆分!AF233</f>
        <v>0</v>
      </c>
      <c r="AG5" s="1">
        <f>建筑各项能耗拆分!$B$18*建筑各项能耗拆分!AG233</f>
        <v>0</v>
      </c>
      <c r="AH5" s="1">
        <f>建筑各项能耗拆分!$B$18*建筑各项能耗拆分!AH233</f>
        <v>0</v>
      </c>
      <c r="AI5" s="1">
        <f>建筑各项能耗拆分!$B$18*建筑各项能耗拆分!AI233</f>
        <v>0</v>
      </c>
      <c r="AJ5" s="1">
        <f>建筑各项能耗拆分!$B$18*建筑各项能耗拆分!AJ233</f>
        <v>0</v>
      </c>
      <c r="AK5" s="1">
        <f>建筑各项能耗拆分!$B$18*建筑各项能耗拆分!AK233</f>
        <v>0</v>
      </c>
      <c r="AL5" s="1">
        <f>建筑各项能耗拆分!$B$18*建筑各项能耗拆分!AL233</f>
        <v>0</v>
      </c>
      <c r="AM5" s="1">
        <f>建筑各项能耗拆分!$B$18*建筑各项能耗拆分!AM233</f>
        <v>0</v>
      </c>
      <c r="AN5" s="1">
        <f>建筑各项能耗拆分!$B$18*建筑各项能耗拆分!AN233</f>
        <v>0</v>
      </c>
      <c r="AO5" s="1">
        <f>建筑各项能耗拆分!$B$18*建筑各项能耗拆分!AO233</f>
        <v>0</v>
      </c>
      <c r="AP5" s="1">
        <f>建筑各项能耗拆分!$B$18*建筑各项能耗拆分!AP233</f>
        <v>0</v>
      </c>
      <c r="AQ5" s="1">
        <f>建筑各项能耗拆分!$B$18*建筑各项能耗拆分!AQ233</f>
        <v>0</v>
      </c>
      <c r="AR5" s="1">
        <f>建筑各项能耗拆分!$B$18*建筑各项能耗拆分!AR233</f>
        <v>0</v>
      </c>
    </row>
    <row r="6" spans="1:44" x14ac:dyDescent="0.15">
      <c r="A6" t="s">
        <v>4</v>
      </c>
      <c r="B6" s="1">
        <f>建筑各项能耗拆分!$B$18*建筑各项能耗拆分!B234</f>
        <v>0</v>
      </c>
      <c r="C6" s="1">
        <f>建筑各项能耗拆分!$B$18*建筑各项能耗拆分!C234</f>
        <v>0</v>
      </c>
      <c r="D6" s="1">
        <f>建筑各项能耗拆分!$B$18*建筑各项能耗拆分!D234</f>
        <v>0</v>
      </c>
      <c r="E6" s="1">
        <f>建筑各项能耗拆分!$B$18*建筑各项能耗拆分!E234</f>
        <v>0</v>
      </c>
      <c r="F6" s="1">
        <f>建筑各项能耗拆分!$B$18*建筑各项能耗拆分!F234</f>
        <v>0</v>
      </c>
      <c r="G6" s="1">
        <f>建筑各项能耗拆分!$B$18*建筑各项能耗拆分!G234</f>
        <v>0</v>
      </c>
      <c r="H6" s="1">
        <f>建筑各项能耗拆分!$B$18*建筑各项能耗拆分!H234</f>
        <v>0</v>
      </c>
      <c r="I6" s="1">
        <f>建筑各项能耗拆分!$B$18*建筑各项能耗拆分!I234</f>
        <v>0</v>
      </c>
      <c r="J6" s="1">
        <f>建筑各项能耗拆分!$B$18*建筑各项能耗拆分!J234</f>
        <v>0</v>
      </c>
      <c r="K6" s="1">
        <f>建筑各项能耗拆分!$B$18*建筑各项能耗拆分!K234</f>
        <v>0</v>
      </c>
      <c r="L6" s="1">
        <f>建筑各项能耗拆分!$B$18*建筑各项能耗拆分!L234</f>
        <v>0</v>
      </c>
      <c r="M6" s="1">
        <f>建筑各项能耗拆分!$B$18*建筑各项能耗拆分!M234</f>
        <v>0</v>
      </c>
      <c r="N6" s="1">
        <f>建筑各项能耗拆分!$B$18*建筑各项能耗拆分!N234</f>
        <v>0</v>
      </c>
      <c r="O6" s="1">
        <f>建筑各项能耗拆分!$B$18*建筑各项能耗拆分!O234</f>
        <v>0</v>
      </c>
      <c r="P6" s="1">
        <f>建筑各项能耗拆分!$B$18*建筑各项能耗拆分!P234</f>
        <v>0</v>
      </c>
      <c r="Q6" s="1">
        <f>建筑各项能耗拆分!$B$18*建筑各项能耗拆分!Q234</f>
        <v>0</v>
      </c>
      <c r="R6" s="1">
        <f>建筑各项能耗拆分!$B$18*建筑各项能耗拆分!R234</f>
        <v>0</v>
      </c>
      <c r="S6" s="1">
        <f>建筑各项能耗拆分!$B$18*建筑各项能耗拆分!S234</f>
        <v>0</v>
      </c>
      <c r="T6" s="1">
        <f>建筑各项能耗拆分!$B$18*建筑各项能耗拆分!T234</f>
        <v>0</v>
      </c>
      <c r="U6" s="1">
        <f>建筑各项能耗拆分!$B$18*建筑各项能耗拆分!U234</f>
        <v>0</v>
      </c>
      <c r="V6" s="1">
        <f>建筑各项能耗拆分!$B$18*建筑各项能耗拆分!V234</f>
        <v>0</v>
      </c>
      <c r="W6" s="1">
        <f>建筑各项能耗拆分!$B$18*建筑各项能耗拆分!W234</f>
        <v>0</v>
      </c>
      <c r="X6" s="1">
        <f>建筑各项能耗拆分!$B$18*建筑各项能耗拆分!X234</f>
        <v>0</v>
      </c>
      <c r="Y6" s="1">
        <f>建筑各项能耗拆分!$B$18*建筑各项能耗拆分!Y234</f>
        <v>0</v>
      </c>
      <c r="Z6" s="1">
        <f>建筑各项能耗拆分!$B$18*建筑各项能耗拆分!Z234</f>
        <v>0</v>
      </c>
      <c r="AA6" s="1">
        <f>建筑各项能耗拆分!$B$18*建筑各项能耗拆分!AA234</f>
        <v>0</v>
      </c>
      <c r="AB6" s="1">
        <f>建筑各项能耗拆分!$B$18*建筑各项能耗拆分!AB234</f>
        <v>0</v>
      </c>
      <c r="AC6" s="1">
        <f>建筑各项能耗拆分!$B$18*建筑各项能耗拆分!AC234</f>
        <v>0</v>
      </c>
      <c r="AD6" s="1">
        <f>建筑各项能耗拆分!$B$18*建筑各项能耗拆分!AD234</f>
        <v>0</v>
      </c>
      <c r="AE6" s="1">
        <f>建筑各项能耗拆分!$B$18*建筑各项能耗拆分!AE234</f>
        <v>0</v>
      </c>
      <c r="AF6" s="1">
        <f>建筑各项能耗拆分!$B$18*建筑各项能耗拆分!AF234</f>
        <v>0</v>
      </c>
      <c r="AG6" s="1">
        <f>建筑各项能耗拆分!$B$18*建筑各项能耗拆分!AG234</f>
        <v>0</v>
      </c>
      <c r="AH6" s="1">
        <f>建筑各项能耗拆分!$B$18*建筑各项能耗拆分!AH234</f>
        <v>0</v>
      </c>
      <c r="AI6" s="1">
        <f>建筑各项能耗拆分!$B$18*建筑各项能耗拆分!AI234</f>
        <v>0</v>
      </c>
      <c r="AJ6" s="1">
        <f>建筑各项能耗拆分!$B$18*建筑各项能耗拆分!AJ234</f>
        <v>0</v>
      </c>
      <c r="AK6" s="1">
        <f>建筑各项能耗拆分!$B$18*建筑各项能耗拆分!AK234</f>
        <v>0</v>
      </c>
      <c r="AL6" s="1">
        <f>建筑各项能耗拆分!$B$18*建筑各项能耗拆分!AL234</f>
        <v>0</v>
      </c>
      <c r="AM6" s="1">
        <f>建筑各项能耗拆分!$B$18*建筑各项能耗拆分!AM234</f>
        <v>0</v>
      </c>
      <c r="AN6" s="1">
        <f>建筑各项能耗拆分!$B$18*建筑各项能耗拆分!AN234</f>
        <v>0</v>
      </c>
      <c r="AO6" s="1">
        <f>建筑各项能耗拆分!$B$18*建筑各项能耗拆分!AO234</f>
        <v>0</v>
      </c>
      <c r="AP6" s="1">
        <f>建筑各项能耗拆分!$B$18*建筑各项能耗拆分!AP234</f>
        <v>0</v>
      </c>
      <c r="AQ6" s="1">
        <f>建筑各项能耗拆分!$B$18*建筑各项能耗拆分!AQ234</f>
        <v>0</v>
      </c>
      <c r="AR6" s="1">
        <f>建筑各项能耗拆分!$B$18*建筑各项能耗拆分!AR234</f>
        <v>0</v>
      </c>
    </row>
    <row r="7" spans="1:44" x14ac:dyDescent="0.15">
      <c r="A7" t="s">
        <v>5</v>
      </c>
      <c r="B7" s="1">
        <f>建筑各项能耗拆分!$B$18*建筑各项能耗拆分!B235</f>
        <v>0</v>
      </c>
      <c r="C7" s="1">
        <f>建筑各项能耗拆分!$B$18*建筑各项能耗拆分!C235</f>
        <v>0</v>
      </c>
      <c r="D7" s="1">
        <f>建筑各项能耗拆分!$B$18*建筑各项能耗拆分!D235</f>
        <v>0</v>
      </c>
      <c r="E7" s="1">
        <f>建筑各项能耗拆分!$B$18*建筑各项能耗拆分!E235</f>
        <v>0</v>
      </c>
      <c r="F7" s="1">
        <f>建筑各项能耗拆分!$B$18*建筑各项能耗拆分!F235</f>
        <v>0</v>
      </c>
      <c r="G7" s="1">
        <f>建筑各项能耗拆分!$B$18*建筑各项能耗拆分!G235</f>
        <v>0</v>
      </c>
      <c r="H7" s="1">
        <f>建筑各项能耗拆分!$B$18*建筑各项能耗拆分!H235</f>
        <v>0</v>
      </c>
      <c r="I7" s="1">
        <f>建筑各项能耗拆分!$B$18*建筑各项能耗拆分!I235</f>
        <v>0</v>
      </c>
      <c r="J7" s="1">
        <f>建筑各项能耗拆分!$B$18*建筑各项能耗拆分!J235</f>
        <v>0</v>
      </c>
      <c r="K7" s="1">
        <f>建筑各项能耗拆分!$B$18*建筑各项能耗拆分!K235</f>
        <v>0</v>
      </c>
      <c r="L7" s="1">
        <f>建筑各项能耗拆分!$B$18*建筑各项能耗拆分!L235</f>
        <v>0</v>
      </c>
      <c r="M7" s="1">
        <f>建筑各项能耗拆分!$B$18*建筑各项能耗拆分!M235</f>
        <v>0</v>
      </c>
      <c r="N7" s="1">
        <f>建筑各项能耗拆分!$B$18*建筑各项能耗拆分!N235</f>
        <v>0</v>
      </c>
      <c r="O7" s="1">
        <f>建筑各项能耗拆分!$B$18*建筑各项能耗拆分!O235</f>
        <v>0</v>
      </c>
      <c r="P7" s="1">
        <f>建筑各项能耗拆分!$B$18*建筑各项能耗拆分!P235</f>
        <v>0</v>
      </c>
      <c r="Q7" s="1">
        <f>建筑各项能耗拆分!$B$18*建筑各项能耗拆分!Q235</f>
        <v>0</v>
      </c>
      <c r="R7" s="1">
        <f>建筑各项能耗拆分!$B$18*建筑各项能耗拆分!R235</f>
        <v>0</v>
      </c>
      <c r="S7" s="1">
        <f>建筑各项能耗拆分!$B$18*建筑各项能耗拆分!S235</f>
        <v>0</v>
      </c>
      <c r="T7" s="1">
        <f>建筑各项能耗拆分!$B$18*建筑各项能耗拆分!T235</f>
        <v>0</v>
      </c>
      <c r="U7" s="1">
        <f>建筑各项能耗拆分!$B$18*建筑各项能耗拆分!U235</f>
        <v>0</v>
      </c>
      <c r="V7" s="1">
        <f>建筑各项能耗拆分!$B$18*建筑各项能耗拆分!V235</f>
        <v>0</v>
      </c>
      <c r="W7" s="1">
        <f>建筑各项能耗拆分!$B$18*建筑各项能耗拆分!W235</f>
        <v>0</v>
      </c>
      <c r="X7" s="1">
        <f>建筑各项能耗拆分!$B$18*建筑各项能耗拆分!X235</f>
        <v>0</v>
      </c>
      <c r="Y7" s="1">
        <f>建筑各项能耗拆分!$B$18*建筑各项能耗拆分!Y235</f>
        <v>0</v>
      </c>
      <c r="Z7" s="1">
        <f>建筑各项能耗拆分!$B$18*建筑各项能耗拆分!Z235</f>
        <v>0</v>
      </c>
      <c r="AA7" s="1">
        <f>建筑各项能耗拆分!$B$18*建筑各项能耗拆分!AA235</f>
        <v>0</v>
      </c>
      <c r="AB7" s="1">
        <f>建筑各项能耗拆分!$B$18*建筑各项能耗拆分!AB235</f>
        <v>0</v>
      </c>
      <c r="AC7" s="1">
        <f>建筑各项能耗拆分!$B$18*建筑各项能耗拆分!AC235</f>
        <v>0</v>
      </c>
      <c r="AD7" s="1">
        <f>建筑各项能耗拆分!$B$18*建筑各项能耗拆分!AD235</f>
        <v>0</v>
      </c>
      <c r="AE7" s="1">
        <f>建筑各项能耗拆分!$B$18*建筑各项能耗拆分!AE235</f>
        <v>0</v>
      </c>
      <c r="AF7" s="1">
        <f>建筑各项能耗拆分!$B$18*建筑各项能耗拆分!AF235</f>
        <v>0</v>
      </c>
      <c r="AG7" s="1">
        <f>建筑各项能耗拆分!$B$18*建筑各项能耗拆分!AG235</f>
        <v>0</v>
      </c>
      <c r="AH7" s="1">
        <f>建筑各项能耗拆分!$B$18*建筑各项能耗拆分!AH235</f>
        <v>0</v>
      </c>
      <c r="AI7" s="1">
        <f>建筑各项能耗拆分!$B$18*建筑各项能耗拆分!AI235</f>
        <v>0</v>
      </c>
      <c r="AJ7" s="1">
        <f>建筑各项能耗拆分!$B$18*建筑各项能耗拆分!AJ235</f>
        <v>0</v>
      </c>
      <c r="AK7" s="1">
        <f>建筑各项能耗拆分!$B$18*建筑各项能耗拆分!AK235</f>
        <v>0</v>
      </c>
      <c r="AL7" s="1">
        <f>建筑各项能耗拆分!$B$18*建筑各项能耗拆分!AL235</f>
        <v>0</v>
      </c>
      <c r="AM7" s="1">
        <f>建筑各项能耗拆分!$B$18*建筑各项能耗拆分!AM235</f>
        <v>0</v>
      </c>
      <c r="AN7" s="1">
        <f>建筑各项能耗拆分!$B$18*建筑各项能耗拆分!AN235</f>
        <v>0</v>
      </c>
      <c r="AO7" s="1">
        <f>建筑各项能耗拆分!$B$18*建筑各项能耗拆分!AO235</f>
        <v>0</v>
      </c>
      <c r="AP7" s="1">
        <f>建筑各项能耗拆分!$B$18*建筑各项能耗拆分!AP235</f>
        <v>0</v>
      </c>
      <c r="AQ7" s="1">
        <f>建筑各项能耗拆分!$B$18*建筑各项能耗拆分!AQ235</f>
        <v>0</v>
      </c>
      <c r="AR7" s="1">
        <f>建筑各项能耗拆分!$B$18*建筑各项能耗拆分!AR235</f>
        <v>0</v>
      </c>
    </row>
    <row r="8" spans="1:44" x14ac:dyDescent="0.15">
      <c r="A8" t="s">
        <v>6</v>
      </c>
      <c r="B8" s="1">
        <f>建筑各项能耗拆分!$B$18*建筑各项能耗拆分!B236</f>
        <v>0</v>
      </c>
      <c r="C8" s="1">
        <f>建筑各项能耗拆分!$B$18*建筑各项能耗拆分!C236</f>
        <v>0</v>
      </c>
      <c r="D8" s="1">
        <f>建筑各项能耗拆分!$B$18*建筑各项能耗拆分!D236</f>
        <v>0</v>
      </c>
      <c r="E8" s="1">
        <f>建筑各项能耗拆分!$B$18*建筑各项能耗拆分!E236</f>
        <v>0</v>
      </c>
      <c r="F8" s="1">
        <f>建筑各项能耗拆分!$B$18*建筑各项能耗拆分!F236</f>
        <v>0</v>
      </c>
      <c r="G8" s="1">
        <f>建筑各项能耗拆分!$B$18*建筑各项能耗拆分!G236</f>
        <v>0</v>
      </c>
      <c r="H8" s="1">
        <f>建筑各项能耗拆分!$B$18*建筑各项能耗拆分!H236</f>
        <v>0</v>
      </c>
      <c r="I8" s="1">
        <f>建筑各项能耗拆分!$B$18*建筑各项能耗拆分!I236</f>
        <v>0</v>
      </c>
      <c r="J8" s="1">
        <f>建筑各项能耗拆分!$B$18*建筑各项能耗拆分!J236</f>
        <v>0</v>
      </c>
      <c r="K8" s="1">
        <f>建筑各项能耗拆分!$B$18*建筑各项能耗拆分!K236</f>
        <v>0</v>
      </c>
      <c r="L8" s="1">
        <f>建筑各项能耗拆分!$B$18*建筑各项能耗拆分!L236</f>
        <v>0</v>
      </c>
      <c r="M8" s="1">
        <f>建筑各项能耗拆分!$B$18*建筑各项能耗拆分!M236</f>
        <v>0</v>
      </c>
      <c r="N8" s="1">
        <f>建筑各项能耗拆分!$B$18*建筑各项能耗拆分!N236</f>
        <v>0</v>
      </c>
      <c r="O8" s="1">
        <f>建筑各项能耗拆分!$B$18*建筑各项能耗拆分!O236</f>
        <v>0</v>
      </c>
      <c r="P8" s="1">
        <f>建筑各项能耗拆分!$B$18*建筑各项能耗拆分!P236</f>
        <v>0</v>
      </c>
      <c r="Q8" s="1">
        <f>建筑各项能耗拆分!$B$18*建筑各项能耗拆分!Q236</f>
        <v>0</v>
      </c>
      <c r="R8" s="1">
        <f>建筑各项能耗拆分!$B$18*建筑各项能耗拆分!R236</f>
        <v>0</v>
      </c>
      <c r="S8" s="1">
        <f>建筑各项能耗拆分!$B$18*建筑各项能耗拆分!S236</f>
        <v>0</v>
      </c>
      <c r="T8" s="1">
        <f>建筑各项能耗拆分!$B$18*建筑各项能耗拆分!T236</f>
        <v>0</v>
      </c>
      <c r="U8" s="1">
        <f>建筑各项能耗拆分!$B$18*建筑各项能耗拆分!U236</f>
        <v>0</v>
      </c>
      <c r="V8" s="1">
        <f>建筑各项能耗拆分!$B$18*建筑各项能耗拆分!V236</f>
        <v>0</v>
      </c>
      <c r="W8" s="1">
        <f>建筑各项能耗拆分!$B$18*建筑各项能耗拆分!W236</f>
        <v>0</v>
      </c>
      <c r="X8" s="1">
        <f>建筑各项能耗拆分!$B$18*建筑各项能耗拆分!X236</f>
        <v>0</v>
      </c>
      <c r="Y8" s="1">
        <f>建筑各项能耗拆分!$B$18*建筑各项能耗拆分!Y236</f>
        <v>0</v>
      </c>
      <c r="Z8" s="1">
        <f>建筑各项能耗拆分!$B$18*建筑各项能耗拆分!Z236</f>
        <v>0</v>
      </c>
      <c r="AA8" s="1">
        <f>建筑各项能耗拆分!$B$18*建筑各项能耗拆分!AA236</f>
        <v>0</v>
      </c>
      <c r="AB8" s="1">
        <f>建筑各项能耗拆分!$B$18*建筑各项能耗拆分!AB236</f>
        <v>0</v>
      </c>
      <c r="AC8" s="1">
        <f>建筑各项能耗拆分!$B$18*建筑各项能耗拆分!AC236</f>
        <v>0</v>
      </c>
      <c r="AD8" s="1">
        <f>建筑各项能耗拆分!$B$18*建筑各项能耗拆分!AD236</f>
        <v>0</v>
      </c>
      <c r="AE8" s="1">
        <f>建筑各项能耗拆分!$B$18*建筑各项能耗拆分!AE236</f>
        <v>0</v>
      </c>
      <c r="AF8" s="1">
        <f>建筑各项能耗拆分!$B$18*建筑各项能耗拆分!AF236</f>
        <v>0</v>
      </c>
      <c r="AG8" s="1">
        <f>建筑各项能耗拆分!$B$18*建筑各项能耗拆分!AG236</f>
        <v>0</v>
      </c>
      <c r="AH8" s="1">
        <f>建筑各项能耗拆分!$B$18*建筑各项能耗拆分!AH236</f>
        <v>0</v>
      </c>
      <c r="AI8" s="1">
        <f>建筑各项能耗拆分!$B$18*建筑各项能耗拆分!AI236</f>
        <v>0</v>
      </c>
      <c r="AJ8" s="1">
        <f>建筑各项能耗拆分!$B$18*建筑各项能耗拆分!AJ236</f>
        <v>0</v>
      </c>
      <c r="AK8" s="1">
        <f>建筑各项能耗拆分!$B$18*建筑各项能耗拆分!AK236</f>
        <v>0</v>
      </c>
      <c r="AL8" s="1">
        <f>建筑各项能耗拆分!$B$18*建筑各项能耗拆分!AL236</f>
        <v>0</v>
      </c>
      <c r="AM8" s="1">
        <f>建筑各项能耗拆分!$B$18*建筑各项能耗拆分!AM236</f>
        <v>0</v>
      </c>
      <c r="AN8" s="1">
        <f>建筑各项能耗拆分!$B$18*建筑各项能耗拆分!AN236</f>
        <v>0</v>
      </c>
      <c r="AO8" s="1">
        <f>建筑各项能耗拆分!$B$18*建筑各项能耗拆分!AO236</f>
        <v>0</v>
      </c>
      <c r="AP8" s="1">
        <f>建筑各项能耗拆分!$B$18*建筑各项能耗拆分!AP236</f>
        <v>0</v>
      </c>
      <c r="AQ8" s="1">
        <f>建筑各项能耗拆分!$B$18*建筑各项能耗拆分!AQ236</f>
        <v>0</v>
      </c>
      <c r="AR8" s="1">
        <f>建筑各项能耗拆分!$B$18*建筑各项能耗拆分!AR236</f>
        <v>0</v>
      </c>
    </row>
    <row r="9" spans="1:44" x14ac:dyDescent="0.15">
      <c r="A9" t="s">
        <v>7</v>
      </c>
      <c r="B9" s="1">
        <f>建筑各项能耗拆分!$B$18*建筑各项能耗拆分!B237</f>
        <v>0</v>
      </c>
      <c r="C9" s="1">
        <f>建筑各项能耗拆分!$B$18*建筑各项能耗拆分!C237</f>
        <v>0</v>
      </c>
      <c r="D9" s="1">
        <f>建筑各项能耗拆分!$B$18*建筑各项能耗拆分!D237</f>
        <v>0</v>
      </c>
      <c r="E9" s="1">
        <f>建筑各项能耗拆分!$B$18*建筑各项能耗拆分!E237</f>
        <v>0</v>
      </c>
      <c r="F9" s="1">
        <f>建筑各项能耗拆分!$B$18*建筑各项能耗拆分!F237</f>
        <v>0</v>
      </c>
      <c r="G9" s="1">
        <f>建筑各项能耗拆分!$B$18*建筑各项能耗拆分!G237</f>
        <v>0</v>
      </c>
      <c r="H9" s="1">
        <f>建筑各项能耗拆分!$B$18*建筑各项能耗拆分!H237</f>
        <v>0</v>
      </c>
      <c r="I9" s="1">
        <f>建筑各项能耗拆分!$B$18*建筑各项能耗拆分!I237</f>
        <v>0</v>
      </c>
      <c r="J9" s="1">
        <f>建筑各项能耗拆分!$B$18*建筑各项能耗拆分!J237</f>
        <v>0</v>
      </c>
      <c r="K9" s="1">
        <f>建筑各项能耗拆分!$B$18*建筑各项能耗拆分!K237</f>
        <v>0</v>
      </c>
      <c r="L9" s="1">
        <f>建筑各项能耗拆分!$B$18*建筑各项能耗拆分!L237</f>
        <v>0</v>
      </c>
      <c r="M9" s="1">
        <f>建筑各项能耗拆分!$B$18*建筑各项能耗拆分!M237</f>
        <v>0</v>
      </c>
      <c r="N9" s="1">
        <f>建筑各项能耗拆分!$B$18*建筑各项能耗拆分!N237</f>
        <v>0</v>
      </c>
      <c r="O9" s="1">
        <f>建筑各项能耗拆分!$B$18*建筑各项能耗拆分!O237</f>
        <v>0</v>
      </c>
      <c r="P9" s="1">
        <f>建筑各项能耗拆分!$B$18*建筑各项能耗拆分!P237</f>
        <v>0</v>
      </c>
      <c r="Q9" s="1">
        <f>建筑各项能耗拆分!$B$18*建筑各项能耗拆分!Q237</f>
        <v>0</v>
      </c>
      <c r="R9" s="1">
        <f>建筑各项能耗拆分!$B$18*建筑各项能耗拆分!R237</f>
        <v>0</v>
      </c>
      <c r="S9" s="1">
        <f>建筑各项能耗拆分!$B$18*建筑各项能耗拆分!S237</f>
        <v>0</v>
      </c>
      <c r="T9" s="1">
        <f>建筑各项能耗拆分!$B$18*建筑各项能耗拆分!T237</f>
        <v>0</v>
      </c>
      <c r="U9" s="1">
        <f>建筑各项能耗拆分!$B$18*建筑各项能耗拆分!U237</f>
        <v>0</v>
      </c>
      <c r="V9" s="1">
        <f>建筑各项能耗拆分!$B$18*建筑各项能耗拆分!V237</f>
        <v>0</v>
      </c>
      <c r="W9" s="1">
        <f>建筑各项能耗拆分!$B$18*建筑各项能耗拆分!W237</f>
        <v>0</v>
      </c>
      <c r="X9" s="1">
        <f>建筑各项能耗拆分!$B$18*建筑各项能耗拆分!X237</f>
        <v>0</v>
      </c>
      <c r="Y9" s="1">
        <f>建筑各项能耗拆分!$B$18*建筑各项能耗拆分!Y237</f>
        <v>0</v>
      </c>
      <c r="Z9" s="1">
        <f>建筑各项能耗拆分!$B$18*建筑各项能耗拆分!Z237</f>
        <v>0</v>
      </c>
      <c r="AA9" s="1">
        <f>建筑各项能耗拆分!$B$18*建筑各项能耗拆分!AA237</f>
        <v>0</v>
      </c>
      <c r="AB9" s="1">
        <f>建筑各项能耗拆分!$B$18*建筑各项能耗拆分!AB237</f>
        <v>0</v>
      </c>
      <c r="AC9" s="1">
        <f>建筑各项能耗拆分!$B$18*建筑各项能耗拆分!AC237</f>
        <v>0</v>
      </c>
      <c r="AD9" s="1">
        <f>建筑各项能耗拆分!$B$18*建筑各项能耗拆分!AD237</f>
        <v>0</v>
      </c>
      <c r="AE9" s="1">
        <f>建筑各项能耗拆分!$B$18*建筑各项能耗拆分!AE237</f>
        <v>0</v>
      </c>
      <c r="AF9" s="1">
        <f>建筑各项能耗拆分!$B$18*建筑各项能耗拆分!AF237</f>
        <v>0</v>
      </c>
      <c r="AG9" s="1">
        <f>建筑各项能耗拆分!$B$18*建筑各项能耗拆分!AG237</f>
        <v>0</v>
      </c>
      <c r="AH9" s="1">
        <f>建筑各项能耗拆分!$B$18*建筑各项能耗拆分!AH237</f>
        <v>0</v>
      </c>
      <c r="AI9" s="1">
        <f>建筑各项能耗拆分!$B$18*建筑各项能耗拆分!AI237</f>
        <v>0</v>
      </c>
      <c r="AJ9" s="1">
        <f>建筑各项能耗拆分!$B$18*建筑各项能耗拆分!AJ237</f>
        <v>0</v>
      </c>
      <c r="AK9" s="1">
        <f>建筑各项能耗拆分!$B$18*建筑各项能耗拆分!AK237</f>
        <v>0</v>
      </c>
      <c r="AL9" s="1">
        <f>建筑各项能耗拆分!$B$18*建筑各项能耗拆分!AL237</f>
        <v>0</v>
      </c>
      <c r="AM9" s="1">
        <f>建筑各项能耗拆分!$B$18*建筑各项能耗拆分!AM237</f>
        <v>0</v>
      </c>
      <c r="AN9" s="1">
        <f>建筑各项能耗拆分!$B$18*建筑各项能耗拆分!AN237</f>
        <v>0</v>
      </c>
      <c r="AO9" s="1">
        <f>建筑各项能耗拆分!$B$18*建筑各项能耗拆分!AO237</f>
        <v>0</v>
      </c>
      <c r="AP9" s="1">
        <f>建筑各项能耗拆分!$B$18*建筑各项能耗拆分!AP237</f>
        <v>0</v>
      </c>
      <c r="AQ9" s="1">
        <f>建筑各项能耗拆分!$B$18*建筑各项能耗拆分!AQ237</f>
        <v>0</v>
      </c>
      <c r="AR9" s="1">
        <f>建筑各项能耗拆分!$B$18*建筑各项能耗拆分!AR237</f>
        <v>0</v>
      </c>
    </row>
    <row r="10" spans="1:44" x14ac:dyDescent="0.15">
      <c r="A10" t="s">
        <v>8</v>
      </c>
      <c r="B10" s="1">
        <f>建筑各项能耗拆分!$B$18*建筑各项能耗拆分!B238</f>
        <v>0</v>
      </c>
      <c r="C10" s="1">
        <f>建筑各项能耗拆分!$B$18*建筑各项能耗拆分!C238</f>
        <v>0</v>
      </c>
      <c r="D10" s="1">
        <f>建筑各项能耗拆分!$B$18*建筑各项能耗拆分!D238</f>
        <v>0</v>
      </c>
      <c r="E10" s="1">
        <f>建筑各项能耗拆分!$B$18*建筑各项能耗拆分!E238</f>
        <v>0</v>
      </c>
      <c r="F10" s="1">
        <f>建筑各项能耗拆分!$B$18*建筑各项能耗拆分!F238</f>
        <v>0</v>
      </c>
      <c r="G10" s="1">
        <f>建筑各项能耗拆分!$B$18*建筑各项能耗拆分!G238</f>
        <v>0</v>
      </c>
      <c r="H10" s="1">
        <f>建筑各项能耗拆分!$B$18*建筑各项能耗拆分!H238</f>
        <v>0</v>
      </c>
      <c r="I10" s="1">
        <f>建筑各项能耗拆分!$B$18*建筑各项能耗拆分!I238</f>
        <v>0</v>
      </c>
      <c r="J10" s="1">
        <f>建筑各项能耗拆分!$B$18*建筑各项能耗拆分!J238</f>
        <v>0</v>
      </c>
      <c r="K10" s="1">
        <f>建筑各项能耗拆分!$B$18*建筑各项能耗拆分!K238</f>
        <v>0</v>
      </c>
      <c r="L10" s="1">
        <f>建筑各项能耗拆分!$B$18*建筑各项能耗拆分!L238</f>
        <v>0</v>
      </c>
      <c r="M10" s="1">
        <f>建筑各项能耗拆分!$B$18*建筑各项能耗拆分!M238</f>
        <v>0</v>
      </c>
      <c r="N10" s="1">
        <f>建筑各项能耗拆分!$B$18*建筑各项能耗拆分!N238</f>
        <v>0</v>
      </c>
      <c r="O10" s="1">
        <f>建筑各项能耗拆分!$B$18*建筑各项能耗拆分!O238</f>
        <v>0</v>
      </c>
      <c r="P10" s="1">
        <f>建筑各项能耗拆分!$B$18*建筑各项能耗拆分!P238</f>
        <v>0</v>
      </c>
      <c r="Q10" s="1">
        <f>建筑各项能耗拆分!$B$18*建筑各项能耗拆分!Q238</f>
        <v>0</v>
      </c>
      <c r="R10" s="1">
        <f>建筑各项能耗拆分!$B$18*建筑各项能耗拆分!R238</f>
        <v>0</v>
      </c>
      <c r="S10" s="1">
        <f>建筑各项能耗拆分!$B$18*建筑各项能耗拆分!S238</f>
        <v>0</v>
      </c>
      <c r="T10" s="1">
        <f>建筑各项能耗拆分!$B$18*建筑各项能耗拆分!T238</f>
        <v>0</v>
      </c>
      <c r="U10" s="1">
        <f>建筑各项能耗拆分!$B$18*建筑各项能耗拆分!U238</f>
        <v>0</v>
      </c>
      <c r="V10" s="1">
        <f>建筑各项能耗拆分!$B$18*建筑各项能耗拆分!V238</f>
        <v>0</v>
      </c>
      <c r="W10" s="1">
        <f>建筑各项能耗拆分!$B$18*建筑各项能耗拆分!W238</f>
        <v>0</v>
      </c>
      <c r="X10" s="1">
        <f>建筑各项能耗拆分!$B$18*建筑各项能耗拆分!X238</f>
        <v>0</v>
      </c>
      <c r="Y10" s="1">
        <f>建筑各项能耗拆分!$B$18*建筑各项能耗拆分!Y238</f>
        <v>0</v>
      </c>
      <c r="Z10" s="1">
        <f>建筑各项能耗拆分!$B$18*建筑各项能耗拆分!Z238</f>
        <v>0</v>
      </c>
      <c r="AA10" s="1">
        <f>建筑各项能耗拆分!$B$18*建筑各项能耗拆分!AA238</f>
        <v>0</v>
      </c>
      <c r="AB10" s="1">
        <f>建筑各项能耗拆分!$B$18*建筑各项能耗拆分!AB238</f>
        <v>0</v>
      </c>
      <c r="AC10" s="1">
        <f>建筑各项能耗拆分!$B$18*建筑各项能耗拆分!AC238</f>
        <v>0</v>
      </c>
      <c r="AD10" s="1">
        <f>建筑各项能耗拆分!$B$18*建筑各项能耗拆分!AD238</f>
        <v>0</v>
      </c>
      <c r="AE10" s="1">
        <f>建筑各项能耗拆分!$B$18*建筑各项能耗拆分!AE238</f>
        <v>0</v>
      </c>
      <c r="AF10" s="1">
        <f>建筑各项能耗拆分!$B$18*建筑各项能耗拆分!AF238</f>
        <v>0</v>
      </c>
      <c r="AG10" s="1">
        <f>建筑各项能耗拆分!$B$18*建筑各项能耗拆分!AG238</f>
        <v>0</v>
      </c>
      <c r="AH10" s="1">
        <f>建筑各项能耗拆分!$B$18*建筑各项能耗拆分!AH238</f>
        <v>0</v>
      </c>
      <c r="AI10" s="1">
        <f>建筑各项能耗拆分!$B$18*建筑各项能耗拆分!AI238</f>
        <v>0</v>
      </c>
      <c r="AJ10" s="1">
        <f>建筑各项能耗拆分!$B$18*建筑各项能耗拆分!AJ238</f>
        <v>0</v>
      </c>
      <c r="AK10" s="1">
        <f>建筑各项能耗拆分!$B$18*建筑各项能耗拆分!AK238</f>
        <v>0</v>
      </c>
      <c r="AL10" s="1">
        <f>建筑各项能耗拆分!$B$18*建筑各项能耗拆分!AL238</f>
        <v>0</v>
      </c>
      <c r="AM10" s="1">
        <f>建筑各项能耗拆分!$B$18*建筑各项能耗拆分!AM238</f>
        <v>0</v>
      </c>
      <c r="AN10" s="1">
        <f>建筑各项能耗拆分!$B$18*建筑各项能耗拆分!AN238</f>
        <v>0</v>
      </c>
      <c r="AO10" s="1">
        <f>建筑各项能耗拆分!$B$18*建筑各项能耗拆分!AO238</f>
        <v>0</v>
      </c>
      <c r="AP10" s="1">
        <f>建筑各项能耗拆分!$B$18*建筑各项能耗拆分!AP238</f>
        <v>0</v>
      </c>
      <c r="AQ10" s="1">
        <f>建筑各项能耗拆分!$B$18*建筑各项能耗拆分!AQ238</f>
        <v>0</v>
      </c>
      <c r="AR10" s="1">
        <f>建筑各项能耗拆分!$B$18*建筑各项能耗拆分!AR238</f>
        <v>0</v>
      </c>
    </row>
    <row r="11" spans="1:44" x14ac:dyDescent="0.15">
      <c r="A11" t="s">
        <v>9</v>
      </c>
      <c r="B11" s="1">
        <f>建筑各项能耗拆分!$B$18*建筑各项能耗拆分!B239</f>
        <v>0</v>
      </c>
      <c r="C11" s="1">
        <f>建筑各项能耗拆分!$B$18*建筑各项能耗拆分!C239</f>
        <v>0</v>
      </c>
      <c r="D11" s="1">
        <f>建筑各项能耗拆分!$B$18*建筑各项能耗拆分!D239</f>
        <v>0</v>
      </c>
      <c r="E11" s="1">
        <f>建筑各项能耗拆分!$B$18*建筑各项能耗拆分!E239</f>
        <v>0</v>
      </c>
      <c r="F11" s="1">
        <f>建筑各项能耗拆分!$B$18*建筑各项能耗拆分!F239</f>
        <v>0</v>
      </c>
      <c r="G11" s="1">
        <f>建筑各项能耗拆分!$B$18*建筑各项能耗拆分!G239</f>
        <v>0</v>
      </c>
      <c r="H11" s="1">
        <f>建筑各项能耗拆分!$B$18*建筑各项能耗拆分!H239</f>
        <v>0</v>
      </c>
      <c r="I11" s="1">
        <f>建筑各项能耗拆分!$B$18*建筑各项能耗拆分!I239</f>
        <v>0</v>
      </c>
      <c r="J11" s="1">
        <f>建筑各项能耗拆分!$B$18*建筑各项能耗拆分!J239</f>
        <v>0</v>
      </c>
      <c r="K11" s="1">
        <f>建筑各项能耗拆分!$B$18*建筑各项能耗拆分!K239</f>
        <v>0</v>
      </c>
      <c r="L11" s="1">
        <f>建筑各项能耗拆分!$B$18*建筑各项能耗拆分!L239</f>
        <v>0</v>
      </c>
      <c r="M11" s="1">
        <f>建筑各项能耗拆分!$B$18*建筑各项能耗拆分!M239</f>
        <v>0</v>
      </c>
      <c r="N11" s="1">
        <f>建筑各项能耗拆分!$B$18*建筑各项能耗拆分!N239</f>
        <v>0</v>
      </c>
      <c r="O11" s="1">
        <f>建筑各项能耗拆分!$B$18*建筑各项能耗拆分!O239</f>
        <v>0</v>
      </c>
      <c r="P11" s="1">
        <f>建筑各项能耗拆分!$B$18*建筑各项能耗拆分!P239</f>
        <v>0</v>
      </c>
      <c r="Q11" s="1">
        <f>建筑各项能耗拆分!$B$18*建筑各项能耗拆分!Q239</f>
        <v>0</v>
      </c>
      <c r="R11" s="1">
        <f>建筑各项能耗拆分!$B$18*建筑各项能耗拆分!R239</f>
        <v>0</v>
      </c>
      <c r="S11" s="1">
        <f>建筑各项能耗拆分!$B$18*建筑各项能耗拆分!S239</f>
        <v>0</v>
      </c>
      <c r="T11" s="1">
        <f>建筑各项能耗拆分!$B$18*建筑各项能耗拆分!T239</f>
        <v>0</v>
      </c>
      <c r="U11" s="1">
        <f>建筑各项能耗拆分!$B$18*建筑各项能耗拆分!U239</f>
        <v>0</v>
      </c>
      <c r="V11" s="1">
        <f>建筑各项能耗拆分!$B$18*建筑各项能耗拆分!V239</f>
        <v>0</v>
      </c>
      <c r="W11" s="1">
        <f>建筑各项能耗拆分!$B$18*建筑各项能耗拆分!W239</f>
        <v>0</v>
      </c>
      <c r="X11" s="1">
        <f>建筑各项能耗拆分!$B$18*建筑各项能耗拆分!X239</f>
        <v>0</v>
      </c>
      <c r="Y11" s="1">
        <f>建筑各项能耗拆分!$B$18*建筑各项能耗拆分!Y239</f>
        <v>0</v>
      </c>
      <c r="Z11" s="1">
        <f>建筑各项能耗拆分!$B$18*建筑各项能耗拆分!Z239</f>
        <v>0</v>
      </c>
      <c r="AA11" s="1">
        <f>建筑各项能耗拆分!$B$18*建筑各项能耗拆分!AA239</f>
        <v>0</v>
      </c>
      <c r="AB11" s="1">
        <f>建筑各项能耗拆分!$B$18*建筑各项能耗拆分!AB239</f>
        <v>0</v>
      </c>
      <c r="AC11" s="1">
        <f>建筑各项能耗拆分!$B$18*建筑各项能耗拆分!AC239</f>
        <v>0</v>
      </c>
      <c r="AD11" s="1">
        <f>建筑各项能耗拆分!$B$18*建筑各项能耗拆分!AD239</f>
        <v>0</v>
      </c>
      <c r="AE11" s="1">
        <f>建筑各项能耗拆分!$B$18*建筑各项能耗拆分!AE239</f>
        <v>0</v>
      </c>
      <c r="AF11" s="1">
        <f>建筑各项能耗拆分!$B$18*建筑各项能耗拆分!AF239</f>
        <v>0</v>
      </c>
      <c r="AG11" s="1">
        <f>建筑各项能耗拆分!$B$18*建筑各项能耗拆分!AG239</f>
        <v>0</v>
      </c>
      <c r="AH11" s="1">
        <f>建筑各项能耗拆分!$B$18*建筑各项能耗拆分!AH239</f>
        <v>0</v>
      </c>
      <c r="AI11" s="1">
        <f>建筑各项能耗拆分!$B$18*建筑各项能耗拆分!AI239</f>
        <v>0</v>
      </c>
      <c r="AJ11" s="1">
        <f>建筑各项能耗拆分!$B$18*建筑各项能耗拆分!AJ239</f>
        <v>0</v>
      </c>
      <c r="AK11" s="1">
        <f>建筑各项能耗拆分!$B$18*建筑各项能耗拆分!AK239</f>
        <v>0</v>
      </c>
      <c r="AL11" s="1">
        <f>建筑各项能耗拆分!$B$18*建筑各项能耗拆分!AL239</f>
        <v>0</v>
      </c>
      <c r="AM11" s="1">
        <f>建筑各项能耗拆分!$B$18*建筑各项能耗拆分!AM239</f>
        <v>0</v>
      </c>
      <c r="AN11" s="1">
        <f>建筑各项能耗拆分!$B$18*建筑各项能耗拆分!AN239</f>
        <v>0</v>
      </c>
      <c r="AO11" s="1">
        <f>建筑各项能耗拆分!$B$18*建筑各项能耗拆分!AO239</f>
        <v>0</v>
      </c>
      <c r="AP11" s="1">
        <f>建筑各项能耗拆分!$B$18*建筑各项能耗拆分!AP239</f>
        <v>0</v>
      </c>
      <c r="AQ11" s="1">
        <f>建筑各项能耗拆分!$B$18*建筑各项能耗拆分!AQ239</f>
        <v>0</v>
      </c>
      <c r="AR11" s="1">
        <f>建筑各项能耗拆分!$B$18*建筑各项能耗拆分!AR239</f>
        <v>0</v>
      </c>
    </row>
    <row r="12" spans="1:44" x14ac:dyDescent="0.15">
      <c r="A12" t="s">
        <v>1160</v>
      </c>
      <c r="B12" s="1">
        <f>SUM(B2:B11)</f>
        <v>2334201361806358</v>
      </c>
      <c r="C12" s="1">
        <f t="shared" ref="C12:AR12" si="0">SUM(C2:C11)</f>
        <v>2364794923708363.5</v>
      </c>
      <c r="D12" s="1">
        <f t="shared" si="0"/>
        <v>2406624931895225.5</v>
      </c>
      <c r="E12" s="1">
        <f t="shared" si="0"/>
        <v>2425839886522659</v>
      </c>
      <c r="F12" s="1">
        <f t="shared" si="0"/>
        <v>2444481531226877.5</v>
      </c>
      <c r="G12" s="1">
        <f t="shared" si="0"/>
        <v>2462537099587434</v>
      </c>
      <c r="H12" s="1">
        <f t="shared" si="0"/>
        <v>2479995033108638.5</v>
      </c>
      <c r="I12" s="1">
        <f t="shared" si="0"/>
        <v>2496845165344185</v>
      </c>
      <c r="J12" s="1">
        <f t="shared" si="0"/>
        <v>2513078635211172</v>
      </c>
      <c r="K12" s="1">
        <f t="shared" si="0"/>
        <v>2528688148402782</v>
      </c>
      <c r="L12" s="1">
        <f t="shared" si="0"/>
        <v>2543667895522663</v>
      </c>
      <c r="M12" s="1">
        <f t="shared" si="0"/>
        <v>2558013729560989</v>
      </c>
      <c r="N12" s="1">
        <f t="shared" si="0"/>
        <v>2571723228808664</v>
      </c>
      <c r="O12" s="1">
        <f t="shared" si="0"/>
        <v>2584795744337234</v>
      </c>
      <c r="P12" s="1">
        <f t="shared" si="0"/>
        <v>2597232593996713</v>
      </c>
      <c r="Q12" s="1">
        <f t="shared" si="0"/>
        <v>2609037014857867.5</v>
      </c>
      <c r="R12" s="1">
        <f t="shared" si="0"/>
        <v>2620214380238309</v>
      </c>
      <c r="S12" s="1">
        <f t="shared" si="0"/>
        <v>2630772223129354.5</v>
      </c>
      <c r="T12" s="1">
        <f t="shared" si="0"/>
        <v>2640720370362831.5</v>
      </c>
      <c r="U12" s="1">
        <f t="shared" si="0"/>
        <v>2650071075618057</v>
      </c>
      <c r="V12" s="1">
        <f t="shared" si="0"/>
        <v>2658839029472127</v>
      </c>
      <c r="W12" s="1">
        <f t="shared" si="0"/>
        <v>2667041571807663</v>
      </c>
      <c r="X12" s="1">
        <f t="shared" si="0"/>
        <v>2674698774325198.5</v>
      </c>
      <c r="Y12" s="1">
        <f t="shared" si="0"/>
        <v>2681833566540937</v>
      </c>
      <c r="Z12" s="1">
        <f t="shared" si="0"/>
        <v>2688471801692728</v>
      </c>
      <c r="AA12" s="1">
        <f t="shared" si="0"/>
        <v>2694642425069353</v>
      </c>
      <c r="AB12" s="1">
        <f t="shared" si="0"/>
        <v>2700377662420824.5</v>
      </c>
      <c r="AC12" s="1">
        <f t="shared" si="0"/>
        <v>2705713034089563.5</v>
      </c>
      <c r="AD12" s="1">
        <f t="shared" si="0"/>
        <v>2710687521154696</v>
      </c>
      <c r="AE12" s="1">
        <f t="shared" si="0"/>
        <v>2715343833127371</v>
      </c>
      <c r="AF12" s="1">
        <f t="shared" si="0"/>
        <v>2719728359394226.5</v>
      </c>
      <c r="AG12" s="1">
        <f t="shared" si="0"/>
        <v>2723891419729612</v>
      </c>
      <c r="AH12" s="1">
        <f t="shared" si="0"/>
        <v>2727887460319674.5</v>
      </c>
      <c r="AI12" s="1">
        <f t="shared" si="0"/>
        <v>2731775055738208</v>
      </c>
      <c r="AJ12" s="1">
        <f t="shared" si="0"/>
        <v>2735617283553518</v>
      </c>
      <c r="AK12" s="1">
        <f t="shared" si="0"/>
        <v>2739481638985495</v>
      </c>
      <c r="AL12" s="1">
        <f t="shared" si="0"/>
        <v>2743440450013757</v>
      </c>
      <c r="AM12" s="1">
        <f t="shared" si="0"/>
        <v>2747570896541128</v>
      </c>
      <c r="AN12" s="1">
        <f t="shared" si="0"/>
        <v>2751955219198392</v>
      </c>
      <c r="AO12" s="1">
        <f t="shared" si="0"/>
        <v>2756680909961342</v>
      </c>
      <c r="AP12" s="1">
        <f t="shared" si="0"/>
        <v>2761840908190821</v>
      </c>
      <c r="AQ12" s="1">
        <f t="shared" si="0"/>
        <v>2767533848558418.5</v>
      </c>
      <c r="AR12" s="1">
        <f t="shared" si="0"/>
        <v>2773864119009991.5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D49C-DBAF-48F2-8986-77F1023817D6}">
  <sheetPr>
    <tabColor rgb="FF002060"/>
  </sheetPr>
  <dimension ref="A1:AR12"/>
  <sheetViews>
    <sheetView workbookViewId="0">
      <selection activeCell="B2" sqref="B2:AR11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建筑各项能耗拆分!$B$18*建筑各项能耗拆分!B178</f>
        <v>0</v>
      </c>
      <c r="C2" s="1">
        <f>建筑各项能耗拆分!$B$18*建筑各项能耗拆分!C178</f>
        <v>0</v>
      </c>
      <c r="D2" s="1">
        <f>建筑各项能耗拆分!$B$18*建筑各项能耗拆分!D178</f>
        <v>0</v>
      </c>
      <c r="E2" s="1">
        <f>建筑各项能耗拆分!$B$18*建筑各项能耗拆分!E178</f>
        <v>0</v>
      </c>
      <c r="F2" s="1">
        <f>建筑各项能耗拆分!$B$18*建筑各项能耗拆分!F178</f>
        <v>0</v>
      </c>
      <c r="G2" s="1">
        <f>建筑各项能耗拆分!$B$18*建筑各项能耗拆分!G178</f>
        <v>0</v>
      </c>
      <c r="H2" s="1">
        <f>建筑各项能耗拆分!$B$18*建筑各项能耗拆分!H178</f>
        <v>0</v>
      </c>
      <c r="I2" s="1">
        <f>建筑各项能耗拆分!$B$18*建筑各项能耗拆分!I178</f>
        <v>0</v>
      </c>
      <c r="J2" s="1">
        <f>建筑各项能耗拆分!$B$18*建筑各项能耗拆分!J178</f>
        <v>0</v>
      </c>
      <c r="K2" s="1">
        <f>建筑各项能耗拆分!$B$18*建筑各项能耗拆分!K178</f>
        <v>0</v>
      </c>
      <c r="L2" s="1">
        <f>建筑各项能耗拆分!$B$18*建筑各项能耗拆分!L178</f>
        <v>0</v>
      </c>
      <c r="M2" s="1">
        <f>建筑各项能耗拆分!$B$18*建筑各项能耗拆分!M178</f>
        <v>0</v>
      </c>
      <c r="N2" s="1">
        <f>建筑各项能耗拆分!$B$18*建筑各项能耗拆分!N178</f>
        <v>0</v>
      </c>
      <c r="O2" s="1">
        <f>建筑各项能耗拆分!$B$18*建筑各项能耗拆分!O178</f>
        <v>0</v>
      </c>
      <c r="P2" s="1">
        <f>建筑各项能耗拆分!$B$18*建筑各项能耗拆分!P178</f>
        <v>0</v>
      </c>
      <c r="Q2" s="1">
        <f>建筑各项能耗拆分!$B$18*建筑各项能耗拆分!Q178</f>
        <v>0</v>
      </c>
      <c r="R2" s="1">
        <f>建筑各项能耗拆分!$B$18*建筑各项能耗拆分!R178</f>
        <v>0</v>
      </c>
      <c r="S2" s="1">
        <f>建筑各项能耗拆分!$B$18*建筑各项能耗拆分!S178</f>
        <v>0</v>
      </c>
      <c r="T2" s="1">
        <f>建筑各项能耗拆分!$B$18*建筑各项能耗拆分!T178</f>
        <v>0</v>
      </c>
      <c r="U2" s="1">
        <f>建筑各项能耗拆分!$B$18*建筑各项能耗拆分!U178</f>
        <v>0</v>
      </c>
      <c r="V2" s="1">
        <f>建筑各项能耗拆分!$B$18*建筑各项能耗拆分!V178</f>
        <v>0</v>
      </c>
      <c r="W2" s="1">
        <f>建筑各项能耗拆分!$B$18*建筑各项能耗拆分!W178</f>
        <v>0</v>
      </c>
      <c r="X2" s="1">
        <f>建筑各项能耗拆分!$B$18*建筑各项能耗拆分!X178</f>
        <v>0</v>
      </c>
      <c r="Y2" s="1">
        <f>建筑各项能耗拆分!$B$18*建筑各项能耗拆分!Y178</f>
        <v>0</v>
      </c>
      <c r="Z2" s="1">
        <f>建筑各项能耗拆分!$B$18*建筑各项能耗拆分!Z178</f>
        <v>0</v>
      </c>
      <c r="AA2" s="1">
        <f>建筑各项能耗拆分!$B$18*建筑各项能耗拆分!AA178</f>
        <v>0</v>
      </c>
      <c r="AB2" s="1">
        <f>建筑各项能耗拆分!$B$18*建筑各项能耗拆分!AB178</f>
        <v>0</v>
      </c>
      <c r="AC2" s="1">
        <f>建筑各项能耗拆分!$B$18*建筑各项能耗拆分!AC178</f>
        <v>0</v>
      </c>
      <c r="AD2" s="1">
        <f>建筑各项能耗拆分!$B$18*建筑各项能耗拆分!AD178</f>
        <v>0</v>
      </c>
      <c r="AE2" s="1">
        <f>建筑各项能耗拆分!$B$18*建筑各项能耗拆分!AE178</f>
        <v>0</v>
      </c>
      <c r="AF2" s="1">
        <f>建筑各项能耗拆分!$B$18*建筑各项能耗拆分!AF178</f>
        <v>0</v>
      </c>
      <c r="AG2" s="1">
        <f>建筑各项能耗拆分!$B$18*建筑各项能耗拆分!AG178</f>
        <v>0</v>
      </c>
      <c r="AH2" s="1">
        <f>建筑各项能耗拆分!$B$18*建筑各项能耗拆分!AH178</f>
        <v>0</v>
      </c>
      <c r="AI2" s="1">
        <f>建筑各项能耗拆分!$B$18*建筑各项能耗拆分!AI178</f>
        <v>0</v>
      </c>
      <c r="AJ2" s="1">
        <f>建筑各项能耗拆分!$B$18*建筑各项能耗拆分!AJ178</f>
        <v>0</v>
      </c>
      <c r="AK2" s="1">
        <f>建筑各项能耗拆分!$B$18*建筑各项能耗拆分!AK178</f>
        <v>0</v>
      </c>
      <c r="AL2" s="1">
        <f>建筑各项能耗拆分!$B$18*建筑各项能耗拆分!AL178</f>
        <v>0</v>
      </c>
      <c r="AM2" s="1">
        <f>建筑各项能耗拆分!$B$18*建筑各项能耗拆分!AM178</f>
        <v>0</v>
      </c>
      <c r="AN2" s="1">
        <f>建筑各项能耗拆分!$B$18*建筑各项能耗拆分!AN178</f>
        <v>0</v>
      </c>
      <c r="AO2" s="1">
        <f>建筑各项能耗拆分!$B$18*建筑各项能耗拆分!AO178</f>
        <v>0</v>
      </c>
      <c r="AP2" s="1">
        <f>建筑各项能耗拆分!$B$18*建筑各项能耗拆分!AP178</f>
        <v>0</v>
      </c>
      <c r="AQ2" s="1">
        <f>建筑各项能耗拆分!$B$18*建筑各项能耗拆分!AQ178</f>
        <v>0</v>
      </c>
      <c r="AR2" s="1">
        <f>建筑各项能耗拆分!$B$18*建筑各项能耗拆分!AR178</f>
        <v>0</v>
      </c>
    </row>
    <row r="3" spans="1:44" x14ac:dyDescent="0.15">
      <c r="A3" t="s">
        <v>1</v>
      </c>
      <c r="B3" s="1">
        <f>建筑各项能耗拆分!$B$18*建筑各项能耗拆分!B179</f>
        <v>428607634629117.94</v>
      </c>
      <c r="C3" s="1">
        <f>建筑各项能耗拆分!$B$18*建筑各项能耗拆分!C179</f>
        <v>450734061593149.31</v>
      </c>
      <c r="D3" s="1">
        <f>建筑各项能耗拆分!$B$18*建筑各项能耗拆分!D179</f>
        <v>478389520027491.81</v>
      </c>
      <c r="E3" s="1">
        <f>建筑各项能耗拆分!$B$18*建筑各项能耗拆分!E179</f>
        <v>494443947105261.5</v>
      </c>
      <c r="F3" s="1">
        <f>建筑各项能耗拆分!$B$18*建筑各项能耗拆分!F179</f>
        <v>510192437111424.19</v>
      </c>
      <c r="G3" s="1">
        <f>建筑各项能耗拆分!$B$18*建筑各项能耗拆分!G179</f>
        <v>525628177463240.56</v>
      </c>
      <c r="H3" s="1">
        <f>建筑各项能耗拆分!$B$18*建筑各项能耗拆分!H179</f>
        <v>540745000166437.88</v>
      </c>
      <c r="I3" s="1">
        <f>建筑各项能耗拆分!$B$18*建筑各项能耗拆分!I179</f>
        <v>555537480070175.94</v>
      </c>
      <c r="J3" s="1">
        <f>建筑各项能耗拆分!$B$18*建筑各项能耗拆分!J179</f>
        <v>570000888608552.25</v>
      </c>
      <c r="K3" s="1">
        <f>建筑各项能耗拆分!$B$18*建筑各项能耗拆分!K179</f>
        <v>584131333299024.88</v>
      </c>
      <c r="L3" s="1">
        <f>建筑各项能耗拆分!$B$18*建筑各项能耗拆分!L179</f>
        <v>597925714056220.5</v>
      </c>
      <c r="M3" s="1">
        <f>建筑各项能耗拆分!$B$18*建筑各项能耗拆分!M179</f>
        <v>611381817899008.88</v>
      </c>
      <c r="N3" s="1">
        <f>建筑各项能耗拆分!$B$18*建筑各项能耗拆分!N179</f>
        <v>624498352523594.13</v>
      </c>
      <c r="O3" s="1">
        <f>建筑各项能耗拆分!$B$18*建筑各项能耗拆分!O179</f>
        <v>637274971640365.88</v>
      </c>
      <c r="P3" s="1">
        <f>建筑各项能耗拆分!$B$18*建筑各项能耗拆分!P179</f>
        <v>649712378497527.13</v>
      </c>
      <c r="Q3" s="1">
        <f>建筑各项能耗拆分!$B$18*建筑各项能耗拆分!Q179</f>
        <v>661812300502735.38</v>
      </c>
      <c r="R3" s="1">
        <f>建筑各项能耗拆分!$B$18*建筑各项能耗拆分!R179</f>
        <v>673577605035374.88</v>
      </c>
      <c r="S3" s="1">
        <f>建筑各项能耗拆分!$B$18*建筑各项能耗拆分!S179</f>
        <v>685012311947903.13</v>
      </c>
      <c r="T3" s="1">
        <f>建筑各项能耗拆分!$B$18*建筑各项能耗拆分!T179</f>
        <v>696121665161681.75</v>
      </c>
      <c r="U3" s="1">
        <f>建筑各项能耗拆分!$B$18*建筑各项能耗拆分!U179</f>
        <v>706912203643880.38</v>
      </c>
      <c r="V3" s="1">
        <f>建筑各项能耗拆分!$B$18*建筑各项能耗拆分!V179</f>
        <v>717391766770646.75</v>
      </c>
      <c r="W3" s="1">
        <f>建筑各项能耗拆分!$B$18*建筑各项能耗拆分!W179</f>
        <v>727569607674879.25</v>
      </c>
      <c r="X3" s="1">
        <f>建筑各项能耗拆分!$B$18*建筑各项能耗拆分!X179</f>
        <v>737456437277554.88</v>
      </c>
      <c r="Y3" s="1">
        <f>建筑各项能耗拆分!$B$18*建筑各项能耗拆分!Y179</f>
        <v>747064491524288.63</v>
      </c>
      <c r="Z3" s="1">
        <f>建筑各项能耗拆分!$B$18*建筑各项能耗拆分!Z179</f>
        <v>756407566554932.75</v>
      </c>
      <c r="AA3" s="1">
        <f>建筑各项能耗拆分!$B$18*建筑各项能耗拆分!AA179</f>
        <v>765501108529630.75</v>
      </c>
      <c r="AB3" s="1">
        <f>建筑各项能耗拆分!$B$18*建筑各项能耗拆分!AB179</f>
        <v>774362314170768.13</v>
      </c>
      <c r="AC3" s="1">
        <f>建筑各项能耗拆分!$B$18*建筑各项能耗拆分!AC179</f>
        <v>783010138303827.88</v>
      </c>
      <c r="AD3" s="1">
        <f>建筑各项能耗拆分!$B$18*建筑各项能耗拆分!AD179</f>
        <v>791465382517467</v>
      </c>
      <c r="AE3" s="1">
        <f>建筑各项能耗拆分!$B$18*建筑各项能耗拆分!AE179</f>
        <v>799750838014561.5</v>
      </c>
      <c r="AF3" s="1">
        <f>建筑各项能耗拆分!$B$18*建筑各项能耗拆分!AF179</f>
        <v>807891259700839.25</v>
      </c>
      <c r="AG3" s="1">
        <f>建筑各项能耗拆分!$B$18*建筑各项能耗拆分!AG179</f>
        <v>815913499866457</v>
      </c>
      <c r="AH3" s="1">
        <f>建筑各项能耗拆分!$B$18*建筑各项能耗拆分!AH179</f>
        <v>823846612790916.88</v>
      </c>
      <c r="AI3" s="1">
        <f>建筑各项能耗拆分!$B$18*建筑各项能耗拆分!AI179</f>
        <v>831721855797441.75</v>
      </c>
      <c r="AJ3" s="1">
        <f>建筑各项能耗拆分!$B$18*建筑各项能耗拆分!AJ179</f>
        <v>839572889155548.25</v>
      </c>
      <c r="AK3" s="1">
        <f>建筑各项能耗拆分!$B$18*建筑各项能耗拆分!AK179</f>
        <v>847435730539245.75</v>
      </c>
      <c r="AL3" s="1">
        <f>建筑各项能耗拆分!$B$18*建筑各项能耗拆分!AL179</f>
        <v>855348976542423.5</v>
      </c>
      <c r="AM3" s="1">
        <f>建筑各项能耗拆分!$B$18*建筑各项能耗拆分!AM179</f>
        <v>863353812905118.25</v>
      </c>
      <c r="AN3" s="1">
        <f>建筑各项能耗拆分!$B$18*建筑各项能耗拆分!AN179</f>
        <v>871494125938606.38</v>
      </c>
      <c r="AO3" s="1">
        <f>建筑各项能耗拆分!$B$18*建筑各项能耗拆分!AO179</f>
        <v>879816604244951.13</v>
      </c>
      <c r="AP3" s="1">
        <f>建筑各项能耗拆分!$B$18*建筑各项能耗拆分!AP179</f>
        <v>888370843330425.75</v>
      </c>
      <c r="AQ3" s="1">
        <f>建筑各项能耗拆分!$B$18*建筑各项能耗拆分!AQ179</f>
        <v>897209477906838.25</v>
      </c>
      <c r="AR3" s="1">
        <f>建筑各项能耗拆分!$B$18*建筑各项能耗拆分!AR179</f>
        <v>906388212822776.13</v>
      </c>
    </row>
    <row r="4" spans="1:44" x14ac:dyDescent="0.15">
      <c r="A4" t="s">
        <v>2</v>
      </c>
      <c r="B4" s="1">
        <f>建筑各项能耗拆分!$B$18*建筑各项能耗拆分!B180</f>
        <v>0</v>
      </c>
      <c r="C4" s="1">
        <f>建筑各项能耗拆分!$B$18*建筑各项能耗拆分!C180</f>
        <v>0</v>
      </c>
      <c r="D4" s="1">
        <f>建筑各项能耗拆分!$B$18*建筑各项能耗拆分!D180</f>
        <v>0</v>
      </c>
      <c r="E4" s="1">
        <f>建筑各项能耗拆分!$B$18*建筑各项能耗拆分!E180</f>
        <v>0</v>
      </c>
      <c r="F4" s="1">
        <f>建筑各项能耗拆分!$B$18*建筑各项能耗拆分!F180</f>
        <v>0</v>
      </c>
      <c r="G4" s="1">
        <f>建筑各项能耗拆分!$B$18*建筑各项能耗拆分!G180</f>
        <v>0</v>
      </c>
      <c r="H4" s="1">
        <f>建筑各项能耗拆分!$B$18*建筑各项能耗拆分!H180</f>
        <v>0</v>
      </c>
      <c r="I4" s="1">
        <f>建筑各项能耗拆分!$B$18*建筑各项能耗拆分!I180</f>
        <v>0</v>
      </c>
      <c r="J4" s="1">
        <f>建筑各项能耗拆分!$B$18*建筑各项能耗拆分!J180</f>
        <v>0</v>
      </c>
      <c r="K4" s="1">
        <f>建筑各项能耗拆分!$B$18*建筑各项能耗拆分!K180</f>
        <v>0</v>
      </c>
      <c r="L4" s="1">
        <f>建筑各项能耗拆分!$B$18*建筑各项能耗拆分!L180</f>
        <v>0</v>
      </c>
      <c r="M4" s="1">
        <f>建筑各项能耗拆分!$B$18*建筑各项能耗拆分!M180</f>
        <v>0</v>
      </c>
      <c r="N4" s="1">
        <f>建筑各项能耗拆分!$B$18*建筑各项能耗拆分!N180</f>
        <v>0</v>
      </c>
      <c r="O4" s="1">
        <f>建筑各项能耗拆分!$B$18*建筑各项能耗拆分!O180</f>
        <v>0</v>
      </c>
      <c r="P4" s="1">
        <f>建筑各项能耗拆分!$B$18*建筑各项能耗拆分!P180</f>
        <v>0</v>
      </c>
      <c r="Q4" s="1">
        <f>建筑各项能耗拆分!$B$18*建筑各项能耗拆分!Q180</f>
        <v>0</v>
      </c>
      <c r="R4" s="1">
        <f>建筑各项能耗拆分!$B$18*建筑各项能耗拆分!R180</f>
        <v>0</v>
      </c>
      <c r="S4" s="1">
        <f>建筑各项能耗拆分!$B$18*建筑各项能耗拆分!S180</f>
        <v>0</v>
      </c>
      <c r="T4" s="1">
        <f>建筑各项能耗拆分!$B$18*建筑各项能耗拆分!T180</f>
        <v>0</v>
      </c>
      <c r="U4" s="1">
        <f>建筑各项能耗拆分!$B$18*建筑各项能耗拆分!U180</f>
        <v>0</v>
      </c>
      <c r="V4" s="1">
        <f>建筑各项能耗拆分!$B$18*建筑各项能耗拆分!V180</f>
        <v>0</v>
      </c>
      <c r="W4" s="1">
        <f>建筑各项能耗拆分!$B$18*建筑各项能耗拆分!W180</f>
        <v>0</v>
      </c>
      <c r="X4" s="1">
        <f>建筑各项能耗拆分!$B$18*建筑各项能耗拆分!X180</f>
        <v>0</v>
      </c>
      <c r="Y4" s="1">
        <f>建筑各项能耗拆分!$B$18*建筑各项能耗拆分!Y180</f>
        <v>0</v>
      </c>
      <c r="Z4" s="1">
        <f>建筑各项能耗拆分!$B$18*建筑各项能耗拆分!Z180</f>
        <v>0</v>
      </c>
      <c r="AA4" s="1">
        <f>建筑各项能耗拆分!$B$18*建筑各项能耗拆分!AA180</f>
        <v>0</v>
      </c>
      <c r="AB4" s="1">
        <f>建筑各项能耗拆分!$B$18*建筑各项能耗拆分!AB180</f>
        <v>0</v>
      </c>
      <c r="AC4" s="1">
        <f>建筑各项能耗拆分!$B$18*建筑各项能耗拆分!AC180</f>
        <v>0</v>
      </c>
      <c r="AD4" s="1">
        <f>建筑各项能耗拆分!$B$18*建筑各项能耗拆分!AD180</f>
        <v>0</v>
      </c>
      <c r="AE4" s="1">
        <f>建筑各项能耗拆分!$B$18*建筑各项能耗拆分!AE180</f>
        <v>0</v>
      </c>
      <c r="AF4" s="1">
        <f>建筑各项能耗拆分!$B$18*建筑各项能耗拆分!AF180</f>
        <v>0</v>
      </c>
      <c r="AG4" s="1">
        <f>建筑各项能耗拆分!$B$18*建筑各项能耗拆分!AG180</f>
        <v>0</v>
      </c>
      <c r="AH4" s="1">
        <f>建筑各项能耗拆分!$B$18*建筑各项能耗拆分!AH180</f>
        <v>0</v>
      </c>
      <c r="AI4" s="1">
        <f>建筑各项能耗拆分!$B$18*建筑各项能耗拆分!AI180</f>
        <v>0</v>
      </c>
      <c r="AJ4" s="1">
        <f>建筑各项能耗拆分!$B$18*建筑各项能耗拆分!AJ180</f>
        <v>0</v>
      </c>
      <c r="AK4" s="1">
        <f>建筑各项能耗拆分!$B$18*建筑各项能耗拆分!AK180</f>
        <v>0</v>
      </c>
      <c r="AL4" s="1">
        <f>建筑各项能耗拆分!$B$18*建筑各项能耗拆分!AL180</f>
        <v>0</v>
      </c>
      <c r="AM4" s="1">
        <f>建筑各项能耗拆分!$B$18*建筑各项能耗拆分!AM180</f>
        <v>0</v>
      </c>
      <c r="AN4" s="1">
        <f>建筑各项能耗拆分!$B$18*建筑各项能耗拆分!AN180</f>
        <v>0</v>
      </c>
      <c r="AO4" s="1">
        <f>建筑各项能耗拆分!$B$18*建筑各项能耗拆分!AO180</f>
        <v>0</v>
      </c>
      <c r="AP4" s="1">
        <f>建筑各项能耗拆分!$B$18*建筑各项能耗拆分!AP180</f>
        <v>0</v>
      </c>
      <c r="AQ4" s="1">
        <f>建筑各项能耗拆分!$B$18*建筑各项能耗拆分!AQ180</f>
        <v>0</v>
      </c>
      <c r="AR4" s="1">
        <f>建筑各项能耗拆分!$B$18*建筑各项能耗拆分!AR180</f>
        <v>0</v>
      </c>
    </row>
    <row r="5" spans="1:44" x14ac:dyDescent="0.15">
      <c r="A5" t="s">
        <v>3</v>
      </c>
      <c r="B5" s="1">
        <f>建筑各项能耗拆分!$B$18*建筑各项能耗拆分!B181</f>
        <v>192011114156586.94</v>
      </c>
      <c r="C5" s="1">
        <f>建筑各项能耗拆分!$B$18*建筑各项能耗拆分!C181</f>
        <v>201923489836372.28</v>
      </c>
      <c r="D5" s="1">
        <f>建筑各项能耗拆分!$B$18*建筑各项能耗拆分!D181</f>
        <v>214312805745512.06</v>
      </c>
      <c r="E5" s="1">
        <f>建筑各项能耗拆分!$B$18*建筑各项能耗拆分!E181</f>
        <v>221504997814175.69</v>
      </c>
      <c r="F5" s="1">
        <f>建筑各项能耗拆分!$B$18*建筑各项能耗拆分!F181</f>
        <v>228560133719498.06</v>
      </c>
      <c r="G5" s="1">
        <f>建筑各项能耗拆分!$B$18*建筑各项能耗拆分!G181</f>
        <v>235475161505572.59</v>
      </c>
      <c r="H5" s="1">
        <f>建筑各项能耗拆分!$B$18*建筑各项能耗拆分!H181</f>
        <v>242247317984446.75</v>
      </c>
      <c r="I5" s="1">
        <f>建筑各项能耗拆分!$B$18*建筑各项能耗拆分!I181</f>
        <v>248874172753175.84</v>
      </c>
      <c r="J5" s="1">
        <f>建筑各项能耗拆分!$B$18*建筑各项能耗拆分!J181</f>
        <v>255353607470568.63</v>
      </c>
      <c r="K5" s="1">
        <f>建筑各项能耗拆分!$B$18*建筑各项能耗拆分!K181</f>
        <v>261683878350819.03</v>
      </c>
      <c r="L5" s="1">
        <f>建筑各项能耗拆分!$B$18*建筑各项能耗拆分!L181</f>
        <v>267863596592612.06</v>
      </c>
      <c r="M5" s="1">
        <f>建筑各项能耗拆分!$B$18*建筑各项能耗拆分!M181</f>
        <v>273891770806765.38</v>
      </c>
      <c r="N5" s="1">
        <f>建筑各项能耗拆分!$B$18*建筑各项能耗拆分!N181</f>
        <v>279767822056574.28</v>
      </c>
      <c r="O5" s="1">
        <f>建筑各项能耗拆分!$B$18*建筑各项能耗拆分!O181</f>
        <v>285491595208418.75</v>
      </c>
      <c r="P5" s="1">
        <f>建筑各项能耗拆分!$B$18*建筑各项能耗拆分!P181</f>
        <v>291063405309115.56</v>
      </c>
      <c r="Q5" s="1">
        <f>建筑各项能耗拆分!$B$18*建筑各项能耗拆分!Q181</f>
        <v>296484026216716.25</v>
      </c>
      <c r="R5" s="1">
        <f>建筑各项能耗拆分!$B$18*建筑各项能耗拆分!R181</f>
        <v>301754742483024.56</v>
      </c>
      <c r="S5" s="1">
        <f>建筑各项能耗拆分!$B$18*建筑各项能耗拆分!S181</f>
        <v>306877354954051.75</v>
      </c>
      <c r="T5" s="1">
        <f>建筑各项能耗拆分!$B$18*建筑各项能耗拆分!T181</f>
        <v>311854212844095.06</v>
      </c>
      <c r="U5" s="1">
        <f>建筑各项能耗拆分!$B$18*建筑各项能耗拆分!U181</f>
        <v>316688245532545.19</v>
      </c>
      <c r="V5" s="1">
        <f>建筑各项能耗拆分!$B$18*建筑各项能耗拆分!V181</f>
        <v>321382964966523.31</v>
      </c>
      <c r="W5" s="1">
        <f>建筑各项能耗拆分!$B$18*建筑各项能耗拆分!W181</f>
        <v>325942516439331.75</v>
      </c>
      <c r="X5" s="1">
        <f>建筑各项能耗拆分!$B$18*建筑各项能耗拆分!X181</f>
        <v>330371698315965.38</v>
      </c>
      <c r="Y5" s="1">
        <f>建筑各项能耗拆分!$B$18*建筑各项能耗拆分!Y181</f>
        <v>334675992154288.31</v>
      </c>
      <c r="Z5" s="1">
        <f>建筑各项能耗拆分!$B$18*建筑各项能耗拆分!Z181</f>
        <v>338861578460596</v>
      </c>
      <c r="AA5" s="1">
        <f>建筑各项能耗拆分!$B$18*建筑各项能耗拆分!AA181</f>
        <v>342935376930617.13</v>
      </c>
      <c r="AB5" s="1">
        <f>建筑各项能耗拆分!$B$18*建筑各项能耗拆分!AB181</f>
        <v>346905091491109.5</v>
      </c>
      <c r="AC5" s="1">
        <f>建筑各项能耗拆分!$B$18*建筑各项能耗拆分!AC181</f>
        <v>350779213678073.88</v>
      </c>
      <c r="AD5" s="1">
        <f>建筑各项能耗拆分!$B$18*建筑各项能耗拆分!AD181</f>
        <v>354567062355411.94</v>
      </c>
      <c r="AE5" s="1">
        <f>建筑各项能耗拆分!$B$18*建筑各项能耗拆分!AE181</f>
        <v>358278847710492.19</v>
      </c>
      <c r="AF5" s="1">
        <f>建筑各项能耗拆分!$B$18*建筑各项能耗拆分!AF181</f>
        <v>361925659646166.56</v>
      </c>
      <c r="AG5" s="1">
        <f>建筑各项能耗拆分!$B$18*建筑各项能耗拆分!AG181</f>
        <v>365519527668524.31</v>
      </c>
      <c r="AH5" s="1">
        <f>建筑各项能耗拆分!$B$18*建筑各项能耗拆分!AH181</f>
        <v>369073467748648.31</v>
      </c>
      <c r="AI5" s="1">
        <f>建筑各项能耗拆分!$B$18*建筑各项能耗拆分!AI181</f>
        <v>372601482794962.63</v>
      </c>
      <c r="AJ5" s="1">
        <f>建筑各项能耗拆分!$B$18*建筑各项能耗拆分!AJ181</f>
        <v>376118652207203.75</v>
      </c>
      <c r="AK5" s="1">
        <f>建筑各项能耗拆分!$B$18*建筑各项能耗拆分!AK181</f>
        <v>379641111474236.31</v>
      </c>
      <c r="AL5" s="1">
        <f>建筑各项能耗拆分!$B$18*建筑各项能耗拆分!AL181</f>
        <v>383186151410307.75</v>
      </c>
      <c r="AM5" s="1">
        <f>建筑各项能耗拆分!$B$18*建筑各项能耗拆分!AM181</f>
        <v>386772222736293.81</v>
      </c>
      <c r="AN5" s="1">
        <f>建筑各项能耗拆分!$B$18*建筑各项能耗拆分!AN181</f>
        <v>390418985996812.81</v>
      </c>
      <c r="AO5" s="1">
        <f>建筑各项能耗拆分!$B$18*建筑各项能耗拆分!AO181</f>
        <v>394147357129371.06</v>
      </c>
      <c r="AP5" s="1">
        <f>建筑各项能耗拆分!$B$18*建筑各项能耗拆分!AP181</f>
        <v>397979554329929.88</v>
      </c>
      <c r="AQ5" s="1">
        <f>建筑各项能耗拆分!$B$18*建筑各项能耗拆分!AQ181</f>
        <v>401939157322322.63</v>
      </c>
      <c r="AR5" s="1">
        <f>建筑各项能耗拆分!$B$18*建筑各项能耗拆分!AR181</f>
        <v>406051121215085.06</v>
      </c>
    </row>
    <row r="6" spans="1:44" x14ac:dyDescent="0.1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</row>
    <row r="7" spans="1:44" x14ac:dyDescent="0.15">
      <c r="A7" t="s">
        <v>5</v>
      </c>
      <c r="B7" s="1">
        <f>建筑各项能耗拆分!$B$18*建筑各项能耗拆分!B183</f>
        <v>6450925366809.6318</v>
      </c>
      <c r="C7" s="1">
        <f>建筑各项能耗拆分!$B$18*建筑各项能耗拆分!C183</f>
        <v>6783947733764.5322</v>
      </c>
      <c r="D7" s="1">
        <f>建筑各项能耗拆分!$B$18*建筑各项能耗拆分!D183</f>
        <v>7200186932348.1641</v>
      </c>
      <c r="E7" s="1">
        <f>建筑各项能耗拆分!$B$18*建筑各项能耗拆分!E183</f>
        <v>7441820311033.0703</v>
      </c>
      <c r="F7" s="1">
        <f>建筑各项能耗拆分!$B$18*建筑各项能耗拆分!F183</f>
        <v>7678849065216.6318</v>
      </c>
      <c r="G7" s="1">
        <f>建筑各项能耗拆分!$B$18*建筑各项能耗拆分!G183</f>
        <v>7911170659481.2393</v>
      </c>
      <c r="H7" s="1">
        <f>建筑各项能耗拆分!$B$18*建筑各项能耗拆分!H183</f>
        <v>8138692260037.8955</v>
      </c>
      <c r="I7" s="1">
        <f>建筑各项能耗拆分!$B$18*建筑各项能耗拆分!I183</f>
        <v>8361332213550.665</v>
      </c>
      <c r="J7" s="1">
        <f>建筑各项能耗拆分!$B$18*建筑各项能耗拆分!J183</f>
        <v>8579019350905.2734</v>
      </c>
      <c r="K7" s="1">
        <f>建筑各项能耗拆分!$B$18*建筑各项能耗拆分!K183</f>
        <v>8791695086784.1934</v>
      </c>
      <c r="L7" s="1">
        <f>建筑各项能耗拆分!$B$18*建筑各项能耗拆分!L183</f>
        <v>8999312762150.6758</v>
      </c>
      <c r="M7" s="1">
        <f>建筑各项能耗拆分!$B$18*建筑各项能耗拆分!M183</f>
        <v>9201839069674.293</v>
      </c>
      <c r="N7" s="1">
        <f>建筑各项能耗拆分!$B$18*建筑各项能耗拆分!N183</f>
        <v>9399254559035.7754</v>
      </c>
      <c r="O7" s="1">
        <f>建筑各项能耗拆分!$B$18*建筑各项能耗拆分!O183</f>
        <v>9591554018269.0859</v>
      </c>
      <c r="P7" s="1">
        <f>建筑各项能耗拆分!$B$18*建筑各项能耗拆分!P183</f>
        <v>9778748031883.9395</v>
      </c>
      <c r="Q7" s="1">
        <f>建筑各项能耗拆分!$B$18*建筑各项能耗拆分!Q183</f>
        <v>9960862598898.9648</v>
      </c>
      <c r="R7" s="1">
        <f>建筑各项能耗拆分!$B$18*建筑各项能耗拆分!R183</f>
        <v>10137940875919.205</v>
      </c>
      <c r="S7" s="1">
        <f>建筑各项能耗拆分!$B$18*建筑各项能耗拆分!S183</f>
        <v>10310043365292.479</v>
      </c>
      <c r="T7" s="1">
        <f>建筑各项能耗拆分!$B$18*建筑各项能耗拆分!T183</f>
        <v>10477248992690.195</v>
      </c>
      <c r="U7" s="1">
        <f>建筑各项能耗拆分!$B$18*建筑各项能耗拆分!U183</f>
        <v>10639656175372.754</v>
      </c>
      <c r="V7" s="1">
        <f>建筑各项能耗拆分!$B$18*建筑各项能耗拆分!V183</f>
        <v>10797382902910.021</v>
      </c>
      <c r="W7" s="1">
        <f>建筑各项能耗拆分!$B$18*建筑各项能耗拆分!W183</f>
        <v>10950568443165.926</v>
      </c>
      <c r="X7" s="1">
        <f>建筑各项能耗拆分!$B$18*建筑各项能耗拆分!X183</f>
        <v>11099374005009.016</v>
      </c>
      <c r="Y7" s="1">
        <f>建筑各项能耗拆分!$B$18*建筑各项能耗拆分!Y183</f>
        <v>11243983750282.385</v>
      </c>
      <c r="Z7" s="1">
        <f>建筑各项能耗拆分!$B$18*建筑各项能耗拆分!Z183</f>
        <v>11384605323137.338</v>
      </c>
      <c r="AA7" s="1">
        <f>建筑各项能耗拆分!$B$18*建筑各项能耗拆分!AA183</f>
        <v>11521471201995.256</v>
      </c>
      <c r="AB7" s="1">
        <f>建筑各项能耗拆分!$B$18*建筑各项能耗拆分!AB183</f>
        <v>11654840212793.195</v>
      </c>
      <c r="AC7" s="1">
        <f>建筑各项能耗拆分!$B$18*建筑各项能耗拆分!AC183</f>
        <v>11784997642480.459</v>
      </c>
      <c r="AD7" s="1">
        <f>建筑各项能耗拆分!$B$18*建筑各项能耗拆分!AD183</f>
        <v>11912256573431.449</v>
      </c>
      <c r="AE7" s="1">
        <f>建筑各项能耗拆分!$B$18*建筑各项能耗拆分!AE183</f>
        <v>12036960033480.709</v>
      </c>
      <c r="AF7" s="1">
        <f>建筑各项能耗拆分!$B$18*建筑各项能耗拆分!AF183</f>
        <v>12159480605933.826</v>
      </c>
      <c r="AG7" s="1">
        <f>建筑各项能耗拆分!$B$18*建筑各项能耗拆分!AG183</f>
        <v>12280222441593.855</v>
      </c>
      <c r="AH7" s="1">
        <f>建筑各项能耗拆分!$B$18*建筑各项能耗拆分!AH183</f>
        <v>12399622833158.154</v>
      </c>
      <c r="AI7" s="1">
        <f>建筑各项能耗拆分!$B$18*建筑各项能耗拆分!AI183</f>
        <v>12518152231087.664</v>
      </c>
      <c r="AJ7" s="1">
        <f>建筑各项能耗拆分!$B$18*建筑各项能耗拆分!AJ183</f>
        <v>12636317252318.104</v>
      </c>
      <c r="AK7" s="1">
        <f>建筑各项能耗拆分!$B$18*建筑各项能耗拆分!AK183</f>
        <v>12754659994815.412</v>
      </c>
      <c r="AL7" s="1">
        <f>建筑各项能耗拆分!$B$18*建筑各项能耗拆分!AL183</f>
        <v>12873761371578.98</v>
      </c>
      <c r="AM7" s="1">
        <f>建筑各项能耗拆分!$B$18*建筑各项能耗拆分!AM183</f>
        <v>12994241264556.041</v>
      </c>
      <c r="AN7" s="1">
        <f>建筑各项能耗拆分!$B$18*建筑各项能耗拆分!AN183</f>
        <v>13116760201688.225</v>
      </c>
      <c r="AO7" s="1">
        <f>建筑各项能耗拆分!$B$18*建筑各项能耗拆分!AO183</f>
        <v>13242020887881.041</v>
      </c>
      <c r="AP7" s="1">
        <f>建筑各项能耗拆分!$B$18*建筑各项能耗拆分!AP183</f>
        <v>13370769779528.744</v>
      </c>
      <c r="AQ7" s="1">
        <f>建筑各项能耗拆分!$B$18*建筑各项能耗拆分!AQ183</f>
        <v>13503799075766.73</v>
      </c>
      <c r="AR7" s="1">
        <f>建筑各项能耗拆分!$B$18*建筑各项能耗拆分!AR183</f>
        <v>13641947184014.223</v>
      </c>
    </row>
    <row r="8" spans="1:44" x14ac:dyDescent="0.15">
      <c r="A8" t="s">
        <v>6</v>
      </c>
      <c r="B8" s="1">
        <f>建筑各项能耗拆分!$B$18*建筑各项能耗拆分!B184</f>
        <v>1764950681800.9961</v>
      </c>
      <c r="C8" s="1">
        <f>建筑各项能耗拆分!$B$18*建筑各项能耗拆分!C184</f>
        <v>1856064439935.0049</v>
      </c>
      <c r="D8" s="1">
        <f>建筑各项能耗拆分!$B$18*建筑各项能耗拆分!D184</f>
        <v>1969946032971.6028</v>
      </c>
      <c r="E8" s="1">
        <f>建筑各项能耗拆分!$B$18*建筑各项能耗拆分!E184</f>
        <v>2036056082647.5796</v>
      </c>
      <c r="F8" s="1">
        <f>建筑各项能耗拆分!$B$18*建筑各项能耗拆分!F184</f>
        <v>2100906323119.2986</v>
      </c>
      <c r="G8" s="1">
        <f>建筑各项能耗拆分!$B$18*建筑各项能耗拆分!G184</f>
        <v>2164468701054.1096</v>
      </c>
      <c r="H8" s="1">
        <f>建筑各项能耗拆分!$B$18*建筑各项能耗拆分!H184</f>
        <v>2226717817451.1143</v>
      </c>
      <c r="I8" s="1">
        <f>建筑各项能耗拆分!$B$18*建筑各项能耗拆分!I184</f>
        <v>2287631332242.3799</v>
      </c>
      <c r="J8" s="1">
        <f>建筑各项能耗拆分!$B$18*建筑各项能耗拆分!J184</f>
        <v>2347189773806.4521</v>
      </c>
      <c r="K8" s="1">
        <f>建筑各项能耗拆分!$B$18*建筑各项能耗拆分!K184</f>
        <v>2405377113404.7808</v>
      </c>
      <c r="L8" s="1">
        <f>建筑各项能耗拆分!$B$18*建筑各项能耗拆分!L184</f>
        <v>2462180585287.6431</v>
      </c>
      <c r="M8" s="1">
        <f>建筑各项能耗拆分!$B$18*建筑各项能耗拆分!M184</f>
        <v>2517591076685.5972</v>
      </c>
      <c r="N8" s="1">
        <f>建筑各项能耗拆分!$B$18*建筑各项能耗拆分!N184</f>
        <v>2571603266059.1255</v>
      </c>
      <c r="O8" s="1">
        <f>建筑各项能耗拆分!$B$18*建筑各项能耗拆分!O184</f>
        <v>2624215727432.501</v>
      </c>
      <c r="P8" s="1">
        <f>建筑各项能耗拆分!$B$18*建筑各项能耗拆分!P184</f>
        <v>2675431356690.6631</v>
      </c>
      <c r="Q8" s="1">
        <f>建筑各项能耗拆分!$B$18*建筑各项能耗拆分!Q184</f>
        <v>2725257267074.4365</v>
      </c>
      <c r="R8" s="1">
        <f>建筑各项能耗拆分!$B$18*建筑各项能耗拆分!R184</f>
        <v>2773705266080.4424</v>
      </c>
      <c r="S8" s="1">
        <f>建筑各项能耗拆分!$B$18*建筑各项能耗拆分!S184</f>
        <v>2820791906940.0371</v>
      </c>
      <c r="T8" s="1">
        <f>建筑各项能耗拆分!$B$18*建筑各项能耗拆分!T184</f>
        <v>2866538783441.6504</v>
      </c>
      <c r="U8" s="1">
        <f>建筑各项能耗拆分!$B$18*建筑各项能耗拆分!U184</f>
        <v>2910972822204.4829</v>
      </c>
      <c r="V8" s="1">
        <f>建筑各项能耗拆分!$B$18*建筑各项能耗拆分!V184</f>
        <v>2954126304763.3452</v>
      </c>
      <c r="W8" s="1">
        <f>建筑各项能耗拆分!$B$18*建筑各项能耗拆分!W184</f>
        <v>2996037334320.0894</v>
      </c>
      <c r="X8" s="1">
        <f>建筑各项能耗拆分!$B$18*建筑各项能耗拆分!X184</f>
        <v>3036750017058.9126</v>
      </c>
      <c r="Y8" s="1">
        <f>建筑各项能耗拆分!$B$18*建筑各项能耗拆分!Y184</f>
        <v>3076314739017.7905</v>
      </c>
      <c r="Z8" s="1">
        <f>建筑各项能耗拆分!$B$18*建筑各项能耗拆分!Z184</f>
        <v>3114788310912.333</v>
      </c>
      <c r="AA8" s="1">
        <f>建筑各项能耗拆分!$B$18*建筑各项能耗拆分!AA184</f>
        <v>3152234338027.8262</v>
      </c>
      <c r="AB8" s="1">
        <f>建筑各项能耗拆分!$B$18*建筑各项能耗拆分!AB184</f>
        <v>3188723634237.9546</v>
      </c>
      <c r="AC8" s="1">
        <f>建筑各项能耗拆分!$B$18*建筑各项能耗拆分!AC184</f>
        <v>3224334253057.0664</v>
      </c>
      <c r="AD8" s="1">
        <f>建筑各项能耗拆分!$B$18*建筑各项能耗拆分!AD184</f>
        <v>3259151852730.8789</v>
      </c>
      <c r="AE8" s="1">
        <f>建筑各项能耗拆分!$B$18*建筑各项能耗拆分!AE184</f>
        <v>3293270284478.5605</v>
      </c>
      <c r="AF8" s="1">
        <f>建筑各项能耗拆分!$B$18*建筑各项能耗拆分!AF184</f>
        <v>3326791485793.083</v>
      </c>
      <c r="AG8" s="1">
        <f>建筑各项能耗拆分!$B$18*建筑各项能耗拆分!AG184</f>
        <v>3359826030924.6226</v>
      </c>
      <c r="AH8" s="1">
        <f>建筑各项能耗拆分!$B$18*建筑各项能耗拆分!AH184</f>
        <v>3392493561630.0557</v>
      </c>
      <c r="AI8" s="1">
        <f>建筑各项能耗拆分!$B$18*建筑各项能耗拆分!AI184</f>
        <v>3424922791514.731</v>
      </c>
      <c r="AJ8" s="1">
        <f>建筑各项能耗拆分!$B$18*建筑各项能耗拆分!AJ184</f>
        <v>3457252329205.3579</v>
      </c>
      <c r="AK8" s="1">
        <f>建筑各项能耗拆分!$B$18*建筑各项能耗拆分!AK184</f>
        <v>3489630490814.7705</v>
      </c>
      <c r="AL8" s="1">
        <f>建筑各项能耗拆分!$B$18*建筑各项能耗拆分!AL184</f>
        <v>3522216212113.5835</v>
      </c>
      <c r="AM8" s="1">
        <f>建筑各项能耗拆分!$B$18*建筑各项能耗拆分!AM184</f>
        <v>3555179090640.6279</v>
      </c>
      <c r="AN8" s="1">
        <f>建筑各项能耗拆分!$B$18*建筑各项能耗拆分!AN184</f>
        <v>3588699844537.0449</v>
      </c>
      <c r="AO8" s="1">
        <f>建筑各项能耗拆分!$B$18*建筑各项能耗拆分!AO184</f>
        <v>3622970731414.1953</v>
      </c>
      <c r="AP8" s="1">
        <f>建筑各项能耗拆分!$B$18*建筑各项能耗拆分!AP184</f>
        <v>3658195979138.1694</v>
      </c>
      <c r="AQ8" s="1">
        <f>建筑各项能耗拆分!$B$18*建筑各项能耗拆分!AQ184</f>
        <v>3694592330629.499</v>
      </c>
      <c r="AR8" s="1">
        <f>建筑各项能耗拆分!$B$18*建筑各项能耗拆分!AR184</f>
        <v>3732389171234.0146</v>
      </c>
    </row>
    <row r="9" spans="1:44" x14ac:dyDescent="0.15">
      <c r="A9" t="s">
        <v>7</v>
      </c>
      <c r="B9" s="1">
        <f>建筑各项能耗拆分!$B$18*建筑各项能耗拆分!B185</f>
        <v>0</v>
      </c>
      <c r="C9" s="1">
        <f>建筑各项能耗拆分!$B$18*建筑各项能耗拆分!C185</f>
        <v>0</v>
      </c>
      <c r="D9" s="1">
        <f>建筑各项能耗拆分!$B$18*建筑各项能耗拆分!D185</f>
        <v>0</v>
      </c>
      <c r="E9" s="1">
        <f>建筑各项能耗拆分!$B$18*建筑各项能耗拆分!E185</f>
        <v>0</v>
      </c>
      <c r="F9" s="1">
        <f>建筑各项能耗拆分!$B$18*建筑各项能耗拆分!F185</f>
        <v>0</v>
      </c>
      <c r="G9" s="1">
        <f>建筑各项能耗拆分!$B$18*建筑各项能耗拆分!G185</f>
        <v>0</v>
      </c>
      <c r="H9" s="1">
        <f>建筑各项能耗拆分!$B$18*建筑各项能耗拆分!H185</f>
        <v>0</v>
      </c>
      <c r="I9" s="1">
        <f>建筑各项能耗拆分!$B$18*建筑各项能耗拆分!I185</f>
        <v>0</v>
      </c>
      <c r="J9" s="1">
        <f>建筑各项能耗拆分!$B$18*建筑各项能耗拆分!J185</f>
        <v>0</v>
      </c>
      <c r="K9" s="1">
        <f>建筑各项能耗拆分!$B$18*建筑各项能耗拆分!K185</f>
        <v>0</v>
      </c>
      <c r="L9" s="1">
        <f>建筑各项能耗拆分!$B$18*建筑各项能耗拆分!L185</f>
        <v>0</v>
      </c>
      <c r="M9" s="1">
        <f>建筑各项能耗拆分!$B$18*建筑各项能耗拆分!M185</f>
        <v>0</v>
      </c>
      <c r="N9" s="1">
        <f>建筑各项能耗拆分!$B$18*建筑各项能耗拆分!N185</f>
        <v>0</v>
      </c>
      <c r="O9" s="1">
        <f>建筑各项能耗拆分!$B$18*建筑各项能耗拆分!O185</f>
        <v>0</v>
      </c>
      <c r="P9" s="1">
        <f>建筑各项能耗拆分!$B$18*建筑各项能耗拆分!P185</f>
        <v>0</v>
      </c>
      <c r="Q9" s="1">
        <f>建筑各项能耗拆分!$B$18*建筑各项能耗拆分!Q185</f>
        <v>0</v>
      </c>
      <c r="R9" s="1">
        <f>建筑各项能耗拆分!$B$18*建筑各项能耗拆分!R185</f>
        <v>0</v>
      </c>
      <c r="S9" s="1">
        <f>建筑各项能耗拆分!$B$18*建筑各项能耗拆分!S185</f>
        <v>0</v>
      </c>
      <c r="T9" s="1">
        <f>建筑各项能耗拆分!$B$18*建筑各项能耗拆分!T185</f>
        <v>0</v>
      </c>
      <c r="U9" s="1">
        <f>建筑各项能耗拆分!$B$18*建筑各项能耗拆分!U185</f>
        <v>0</v>
      </c>
      <c r="V9" s="1">
        <f>建筑各项能耗拆分!$B$18*建筑各项能耗拆分!V185</f>
        <v>0</v>
      </c>
      <c r="W9" s="1">
        <f>建筑各项能耗拆分!$B$18*建筑各项能耗拆分!W185</f>
        <v>0</v>
      </c>
      <c r="X9" s="1">
        <f>建筑各项能耗拆分!$B$18*建筑各项能耗拆分!X185</f>
        <v>0</v>
      </c>
      <c r="Y9" s="1">
        <f>建筑各项能耗拆分!$B$18*建筑各项能耗拆分!Y185</f>
        <v>0</v>
      </c>
      <c r="Z9" s="1">
        <f>建筑各项能耗拆分!$B$18*建筑各项能耗拆分!Z185</f>
        <v>0</v>
      </c>
      <c r="AA9" s="1">
        <f>建筑各项能耗拆分!$B$18*建筑各项能耗拆分!AA185</f>
        <v>0</v>
      </c>
      <c r="AB9" s="1">
        <f>建筑各项能耗拆分!$B$18*建筑各项能耗拆分!AB185</f>
        <v>0</v>
      </c>
      <c r="AC9" s="1">
        <f>建筑各项能耗拆分!$B$18*建筑各项能耗拆分!AC185</f>
        <v>0</v>
      </c>
      <c r="AD9" s="1">
        <f>建筑各项能耗拆分!$B$18*建筑各项能耗拆分!AD185</f>
        <v>0</v>
      </c>
      <c r="AE9" s="1">
        <f>建筑各项能耗拆分!$B$18*建筑各项能耗拆分!AE185</f>
        <v>0</v>
      </c>
      <c r="AF9" s="1">
        <f>建筑各项能耗拆分!$B$18*建筑各项能耗拆分!AF185</f>
        <v>0</v>
      </c>
      <c r="AG9" s="1">
        <f>建筑各项能耗拆分!$B$18*建筑各项能耗拆分!AG185</f>
        <v>0</v>
      </c>
      <c r="AH9" s="1">
        <f>建筑各项能耗拆分!$B$18*建筑各项能耗拆分!AH185</f>
        <v>0</v>
      </c>
      <c r="AI9" s="1">
        <f>建筑各项能耗拆分!$B$18*建筑各项能耗拆分!AI185</f>
        <v>0</v>
      </c>
      <c r="AJ9" s="1">
        <f>建筑各项能耗拆分!$B$18*建筑各项能耗拆分!AJ185</f>
        <v>0</v>
      </c>
      <c r="AK9" s="1">
        <f>建筑各项能耗拆分!$B$18*建筑各项能耗拆分!AK185</f>
        <v>0</v>
      </c>
      <c r="AL9" s="1">
        <f>建筑各项能耗拆分!$B$18*建筑各项能耗拆分!AL185</f>
        <v>0</v>
      </c>
      <c r="AM9" s="1">
        <f>建筑各项能耗拆分!$B$18*建筑各项能耗拆分!AM185</f>
        <v>0</v>
      </c>
      <c r="AN9" s="1">
        <f>建筑各项能耗拆分!$B$18*建筑各项能耗拆分!AN185</f>
        <v>0</v>
      </c>
      <c r="AO9" s="1">
        <f>建筑各项能耗拆分!$B$18*建筑各项能耗拆分!AO185</f>
        <v>0</v>
      </c>
      <c r="AP9" s="1">
        <f>建筑各项能耗拆分!$B$18*建筑各项能耗拆分!AP185</f>
        <v>0</v>
      </c>
      <c r="AQ9" s="1">
        <f>建筑各项能耗拆分!$B$18*建筑各项能耗拆分!AQ185</f>
        <v>0</v>
      </c>
      <c r="AR9" s="1">
        <f>建筑各项能耗拆分!$B$18*建筑各项能耗拆分!AR185</f>
        <v>0</v>
      </c>
    </row>
    <row r="10" spans="1:44" x14ac:dyDescent="0.15">
      <c r="A10" t="s">
        <v>8</v>
      </c>
      <c r="B10" s="1">
        <f>建筑各项能耗拆分!$B$18*建筑各项能耗拆分!B186</f>
        <v>0</v>
      </c>
      <c r="C10" s="1">
        <f>建筑各项能耗拆分!$B$18*建筑各项能耗拆分!C186</f>
        <v>0</v>
      </c>
      <c r="D10" s="1">
        <f>建筑各项能耗拆分!$B$18*建筑各项能耗拆分!D186</f>
        <v>0</v>
      </c>
      <c r="E10" s="1">
        <f>建筑各项能耗拆分!$B$18*建筑各项能耗拆分!E186</f>
        <v>0</v>
      </c>
      <c r="F10" s="1">
        <f>建筑各项能耗拆分!$B$18*建筑各项能耗拆分!F186</f>
        <v>0</v>
      </c>
      <c r="G10" s="1">
        <f>建筑各项能耗拆分!$B$18*建筑各项能耗拆分!G186</f>
        <v>0</v>
      </c>
      <c r="H10" s="1">
        <f>建筑各项能耗拆分!$B$18*建筑各项能耗拆分!H186</f>
        <v>0</v>
      </c>
      <c r="I10" s="1">
        <f>建筑各项能耗拆分!$B$18*建筑各项能耗拆分!I186</f>
        <v>0</v>
      </c>
      <c r="J10" s="1">
        <f>建筑各项能耗拆分!$B$18*建筑各项能耗拆分!J186</f>
        <v>0</v>
      </c>
      <c r="K10" s="1">
        <f>建筑各项能耗拆分!$B$18*建筑各项能耗拆分!K186</f>
        <v>0</v>
      </c>
      <c r="L10" s="1">
        <f>建筑各项能耗拆分!$B$18*建筑各项能耗拆分!L186</f>
        <v>0</v>
      </c>
      <c r="M10" s="1">
        <f>建筑各项能耗拆分!$B$18*建筑各项能耗拆分!M186</f>
        <v>0</v>
      </c>
      <c r="N10" s="1">
        <f>建筑各项能耗拆分!$B$18*建筑各项能耗拆分!N186</f>
        <v>0</v>
      </c>
      <c r="O10" s="1">
        <f>建筑各项能耗拆分!$B$18*建筑各项能耗拆分!O186</f>
        <v>0</v>
      </c>
      <c r="P10" s="1">
        <f>建筑各项能耗拆分!$B$18*建筑各项能耗拆分!P186</f>
        <v>0</v>
      </c>
      <c r="Q10" s="1">
        <f>建筑各项能耗拆分!$B$18*建筑各项能耗拆分!Q186</f>
        <v>0</v>
      </c>
      <c r="R10" s="1">
        <f>建筑各项能耗拆分!$B$18*建筑各项能耗拆分!R186</f>
        <v>0</v>
      </c>
      <c r="S10" s="1">
        <f>建筑各项能耗拆分!$B$18*建筑各项能耗拆分!S186</f>
        <v>0</v>
      </c>
      <c r="T10" s="1">
        <f>建筑各项能耗拆分!$B$18*建筑各项能耗拆分!T186</f>
        <v>0</v>
      </c>
      <c r="U10" s="1">
        <f>建筑各项能耗拆分!$B$18*建筑各项能耗拆分!U186</f>
        <v>0</v>
      </c>
      <c r="V10" s="1">
        <f>建筑各项能耗拆分!$B$18*建筑各项能耗拆分!V186</f>
        <v>0</v>
      </c>
      <c r="W10" s="1">
        <f>建筑各项能耗拆分!$B$18*建筑各项能耗拆分!W186</f>
        <v>0</v>
      </c>
      <c r="X10" s="1">
        <f>建筑各项能耗拆分!$B$18*建筑各项能耗拆分!X186</f>
        <v>0</v>
      </c>
      <c r="Y10" s="1">
        <f>建筑各项能耗拆分!$B$18*建筑各项能耗拆分!Y186</f>
        <v>0</v>
      </c>
      <c r="Z10" s="1">
        <f>建筑各项能耗拆分!$B$18*建筑各项能耗拆分!Z186</f>
        <v>0</v>
      </c>
      <c r="AA10" s="1">
        <f>建筑各项能耗拆分!$B$18*建筑各项能耗拆分!AA186</f>
        <v>0</v>
      </c>
      <c r="AB10" s="1">
        <f>建筑各项能耗拆分!$B$18*建筑各项能耗拆分!AB186</f>
        <v>0</v>
      </c>
      <c r="AC10" s="1">
        <f>建筑各项能耗拆分!$B$18*建筑各项能耗拆分!AC186</f>
        <v>0</v>
      </c>
      <c r="AD10" s="1">
        <f>建筑各项能耗拆分!$B$18*建筑各项能耗拆分!AD186</f>
        <v>0</v>
      </c>
      <c r="AE10" s="1">
        <f>建筑各项能耗拆分!$B$18*建筑各项能耗拆分!AE186</f>
        <v>0</v>
      </c>
      <c r="AF10" s="1">
        <f>建筑各项能耗拆分!$B$18*建筑各项能耗拆分!AF186</f>
        <v>0</v>
      </c>
      <c r="AG10" s="1">
        <f>建筑各项能耗拆分!$B$18*建筑各项能耗拆分!AG186</f>
        <v>0</v>
      </c>
      <c r="AH10" s="1">
        <f>建筑各项能耗拆分!$B$18*建筑各项能耗拆分!AH186</f>
        <v>0</v>
      </c>
      <c r="AI10" s="1">
        <f>建筑各项能耗拆分!$B$18*建筑各项能耗拆分!AI186</f>
        <v>0</v>
      </c>
      <c r="AJ10" s="1">
        <f>建筑各项能耗拆分!$B$18*建筑各项能耗拆分!AJ186</f>
        <v>0</v>
      </c>
      <c r="AK10" s="1">
        <f>建筑各项能耗拆分!$B$18*建筑各项能耗拆分!AK186</f>
        <v>0</v>
      </c>
      <c r="AL10" s="1">
        <f>建筑各项能耗拆分!$B$18*建筑各项能耗拆分!AL186</f>
        <v>0</v>
      </c>
      <c r="AM10" s="1">
        <f>建筑各项能耗拆分!$B$18*建筑各项能耗拆分!AM186</f>
        <v>0</v>
      </c>
      <c r="AN10" s="1">
        <f>建筑各项能耗拆分!$B$18*建筑各项能耗拆分!AN186</f>
        <v>0</v>
      </c>
      <c r="AO10" s="1">
        <f>建筑各项能耗拆分!$B$18*建筑各项能耗拆分!AO186</f>
        <v>0</v>
      </c>
      <c r="AP10" s="1">
        <f>建筑各项能耗拆分!$B$18*建筑各项能耗拆分!AP186</f>
        <v>0</v>
      </c>
      <c r="AQ10" s="1">
        <f>建筑各项能耗拆分!$B$18*建筑各项能耗拆分!AQ186</f>
        <v>0</v>
      </c>
      <c r="AR10" s="1">
        <f>建筑各项能耗拆分!$B$18*建筑各项能耗拆分!AR186</f>
        <v>0</v>
      </c>
    </row>
    <row r="11" spans="1:44" x14ac:dyDescent="0.15">
      <c r="A11" t="s">
        <v>9</v>
      </c>
      <c r="B11" s="1">
        <f>建筑各项能耗拆分!$B$18*建筑各项能耗拆分!B187</f>
        <v>0</v>
      </c>
      <c r="C11" s="1">
        <f>建筑各项能耗拆分!$B$18*建筑各项能耗拆分!C187</f>
        <v>0</v>
      </c>
      <c r="D11" s="1">
        <f>建筑各项能耗拆分!$B$18*建筑各项能耗拆分!D187</f>
        <v>0</v>
      </c>
      <c r="E11" s="1">
        <f>建筑各项能耗拆分!$B$18*建筑各项能耗拆分!E187</f>
        <v>0</v>
      </c>
      <c r="F11" s="1">
        <f>建筑各项能耗拆分!$B$18*建筑各项能耗拆分!F187</f>
        <v>0</v>
      </c>
      <c r="G11" s="1">
        <f>建筑各项能耗拆分!$B$18*建筑各项能耗拆分!G187</f>
        <v>0</v>
      </c>
      <c r="H11" s="1">
        <f>建筑各项能耗拆分!$B$18*建筑各项能耗拆分!H187</f>
        <v>0</v>
      </c>
      <c r="I11" s="1">
        <f>建筑各项能耗拆分!$B$18*建筑各项能耗拆分!I187</f>
        <v>0</v>
      </c>
      <c r="J11" s="1">
        <f>建筑各项能耗拆分!$B$18*建筑各项能耗拆分!J187</f>
        <v>0</v>
      </c>
      <c r="K11" s="1">
        <f>建筑各项能耗拆分!$B$18*建筑各项能耗拆分!K187</f>
        <v>0</v>
      </c>
      <c r="L11" s="1">
        <f>建筑各项能耗拆分!$B$18*建筑各项能耗拆分!L187</f>
        <v>0</v>
      </c>
      <c r="M11" s="1">
        <f>建筑各项能耗拆分!$B$18*建筑各项能耗拆分!M187</f>
        <v>0</v>
      </c>
      <c r="N11" s="1">
        <f>建筑各项能耗拆分!$B$18*建筑各项能耗拆分!N187</f>
        <v>0</v>
      </c>
      <c r="O11" s="1">
        <f>建筑各项能耗拆分!$B$18*建筑各项能耗拆分!O187</f>
        <v>0</v>
      </c>
      <c r="P11" s="1">
        <f>建筑各项能耗拆分!$B$18*建筑各项能耗拆分!P187</f>
        <v>0</v>
      </c>
      <c r="Q11" s="1">
        <f>建筑各项能耗拆分!$B$18*建筑各项能耗拆分!Q187</f>
        <v>0</v>
      </c>
      <c r="R11" s="1">
        <f>建筑各项能耗拆分!$B$18*建筑各项能耗拆分!R187</f>
        <v>0</v>
      </c>
      <c r="S11" s="1">
        <f>建筑各项能耗拆分!$B$18*建筑各项能耗拆分!S187</f>
        <v>0</v>
      </c>
      <c r="T11" s="1">
        <f>建筑各项能耗拆分!$B$18*建筑各项能耗拆分!T187</f>
        <v>0</v>
      </c>
      <c r="U11" s="1">
        <f>建筑各项能耗拆分!$B$18*建筑各项能耗拆分!U187</f>
        <v>0</v>
      </c>
      <c r="V11" s="1">
        <f>建筑各项能耗拆分!$B$18*建筑各项能耗拆分!V187</f>
        <v>0</v>
      </c>
      <c r="W11" s="1">
        <f>建筑各项能耗拆分!$B$18*建筑各项能耗拆分!W187</f>
        <v>0</v>
      </c>
      <c r="X11" s="1">
        <f>建筑各项能耗拆分!$B$18*建筑各项能耗拆分!X187</f>
        <v>0</v>
      </c>
      <c r="Y11" s="1">
        <f>建筑各项能耗拆分!$B$18*建筑各项能耗拆分!Y187</f>
        <v>0</v>
      </c>
      <c r="Z11" s="1">
        <f>建筑各项能耗拆分!$B$18*建筑各项能耗拆分!Z187</f>
        <v>0</v>
      </c>
      <c r="AA11" s="1">
        <f>建筑各项能耗拆分!$B$18*建筑各项能耗拆分!AA187</f>
        <v>0</v>
      </c>
      <c r="AB11" s="1">
        <f>建筑各项能耗拆分!$B$18*建筑各项能耗拆分!AB187</f>
        <v>0</v>
      </c>
      <c r="AC11" s="1">
        <f>建筑各项能耗拆分!$B$18*建筑各项能耗拆分!AC187</f>
        <v>0</v>
      </c>
      <c r="AD11" s="1">
        <f>建筑各项能耗拆分!$B$18*建筑各项能耗拆分!AD187</f>
        <v>0</v>
      </c>
      <c r="AE11" s="1">
        <f>建筑各项能耗拆分!$B$18*建筑各项能耗拆分!AE187</f>
        <v>0</v>
      </c>
      <c r="AF11" s="1">
        <f>建筑各项能耗拆分!$B$18*建筑各项能耗拆分!AF187</f>
        <v>0</v>
      </c>
      <c r="AG11" s="1">
        <f>建筑各项能耗拆分!$B$18*建筑各项能耗拆分!AG187</f>
        <v>0</v>
      </c>
      <c r="AH11" s="1">
        <f>建筑各项能耗拆分!$B$18*建筑各项能耗拆分!AH187</f>
        <v>0</v>
      </c>
      <c r="AI11" s="1">
        <f>建筑各项能耗拆分!$B$18*建筑各项能耗拆分!AI187</f>
        <v>0</v>
      </c>
      <c r="AJ11" s="1">
        <f>建筑各项能耗拆分!$B$18*建筑各项能耗拆分!AJ187</f>
        <v>0</v>
      </c>
      <c r="AK11" s="1">
        <f>建筑各项能耗拆分!$B$18*建筑各项能耗拆分!AK187</f>
        <v>0</v>
      </c>
      <c r="AL11" s="1">
        <f>建筑各项能耗拆分!$B$18*建筑各项能耗拆分!AL187</f>
        <v>0</v>
      </c>
      <c r="AM11" s="1">
        <f>建筑各项能耗拆分!$B$18*建筑各项能耗拆分!AM187</f>
        <v>0</v>
      </c>
      <c r="AN11" s="1">
        <f>建筑各项能耗拆分!$B$18*建筑各项能耗拆分!AN187</f>
        <v>0</v>
      </c>
      <c r="AO11" s="1">
        <f>建筑各项能耗拆分!$B$18*建筑各项能耗拆分!AO187</f>
        <v>0</v>
      </c>
      <c r="AP11" s="1">
        <f>建筑各项能耗拆分!$B$18*建筑各项能耗拆分!AP187</f>
        <v>0</v>
      </c>
      <c r="AQ11" s="1">
        <f>建筑各项能耗拆分!$B$18*建筑各项能耗拆分!AQ187</f>
        <v>0</v>
      </c>
      <c r="AR11" s="1">
        <f>建筑各项能耗拆分!$B$18*建筑各项能耗拆分!AR187</f>
        <v>0</v>
      </c>
    </row>
    <row r="12" spans="1:44" x14ac:dyDescent="0.15">
      <c r="A12" t="s">
        <v>911</v>
      </c>
      <c r="B12" s="1">
        <f>SUM(B2:B11)</f>
        <v>628834624834315.5</v>
      </c>
      <c r="C12" s="1">
        <f t="shared" ref="C12:AR12" si="0">SUM(C2:C11)</f>
        <v>661297563603221.13</v>
      </c>
      <c r="D12" s="1">
        <f t="shared" si="0"/>
        <v>701872458738323.63</v>
      </c>
      <c r="E12" s="1">
        <f t="shared" si="0"/>
        <v>725426821313118</v>
      </c>
      <c r="F12" s="1">
        <f t="shared" si="0"/>
        <v>748532326219258.13</v>
      </c>
      <c r="G12" s="1">
        <f t="shared" si="0"/>
        <v>771178978329348.5</v>
      </c>
      <c r="H12" s="1">
        <f t="shared" si="0"/>
        <v>793357728228373.63</v>
      </c>
      <c r="I12" s="1">
        <f t="shared" si="0"/>
        <v>815060616369144.75</v>
      </c>
      <c r="J12" s="1">
        <f t="shared" si="0"/>
        <v>836280705203832.63</v>
      </c>
      <c r="K12" s="1">
        <f t="shared" si="0"/>
        <v>857012283850032.88</v>
      </c>
      <c r="L12" s="1">
        <f t="shared" si="0"/>
        <v>877250803996270.75</v>
      </c>
      <c r="M12" s="1">
        <f t="shared" si="0"/>
        <v>896993018852134.13</v>
      </c>
      <c r="N12" s="1">
        <f t="shared" si="0"/>
        <v>916237032405263.25</v>
      </c>
      <c r="O12" s="1">
        <f t="shared" si="0"/>
        <v>934982336594486.25</v>
      </c>
      <c r="P12" s="1">
        <f t="shared" si="0"/>
        <v>953229963195217.38</v>
      </c>
      <c r="Q12" s="1">
        <f t="shared" si="0"/>
        <v>970982446585425</v>
      </c>
      <c r="R12" s="1">
        <f t="shared" si="0"/>
        <v>988243993660399.25</v>
      </c>
      <c r="S12" s="1">
        <f t="shared" si="0"/>
        <v>1005020502174187.4</v>
      </c>
      <c r="T12" s="1">
        <f t="shared" si="0"/>
        <v>1021319665781908.6</v>
      </c>
      <c r="U12" s="1">
        <f t="shared" si="0"/>
        <v>1037151078174002.8</v>
      </c>
      <c r="V12" s="1">
        <f t="shared" si="0"/>
        <v>1052526240944843.4</v>
      </c>
      <c r="W12" s="1">
        <f t="shared" si="0"/>
        <v>1067458729891697</v>
      </c>
      <c r="X12" s="1">
        <f t="shared" si="0"/>
        <v>1081964259615588.1</v>
      </c>
      <c r="Y12" s="1">
        <f t="shared" si="0"/>
        <v>1096060782167877.1</v>
      </c>
      <c r="Z12" s="1">
        <f t="shared" si="0"/>
        <v>1109768538649578.5</v>
      </c>
      <c r="AA12" s="1">
        <f t="shared" si="0"/>
        <v>1123110191000271</v>
      </c>
      <c r="AB12" s="1">
        <f t="shared" si="0"/>
        <v>1136110969508908.8</v>
      </c>
      <c r="AC12" s="1">
        <f t="shared" si="0"/>
        <v>1148798683877439.3</v>
      </c>
      <c r="AD12" s="1">
        <f t="shared" si="0"/>
        <v>1161203853299041.5</v>
      </c>
      <c r="AE12" s="1">
        <f t="shared" si="0"/>
        <v>1173359916043013</v>
      </c>
      <c r="AF12" s="1">
        <f t="shared" si="0"/>
        <v>1185303191438732.5</v>
      </c>
      <c r="AG12" s="1">
        <f t="shared" si="0"/>
        <v>1197073076007499.5</v>
      </c>
      <c r="AH12" s="1">
        <f t="shared" si="0"/>
        <v>1208712196934353.5</v>
      </c>
      <c r="AI12" s="1">
        <f t="shared" si="0"/>
        <v>1220266413615007</v>
      </c>
      <c r="AJ12" s="1">
        <f t="shared" si="0"/>
        <v>1231785110944275.3</v>
      </c>
      <c r="AK12" s="1">
        <f t="shared" si="0"/>
        <v>1243321132499112.3</v>
      </c>
      <c r="AL12" s="1">
        <f t="shared" si="0"/>
        <v>1254931105536423.8</v>
      </c>
      <c r="AM12" s="1">
        <f t="shared" si="0"/>
        <v>1266675455996608.8</v>
      </c>
      <c r="AN12" s="1">
        <f t="shared" si="0"/>
        <v>1278618571981644.5</v>
      </c>
      <c r="AO12" s="1">
        <f t="shared" si="0"/>
        <v>1290828952993617.5</v>
      </c>
      <c r="AP12" s="1">
        <f t="shared" si="0"/>
        <v>1303379363419022.5</v>
      </c>
      <c r="AQ12" s="1">
        <f t="shared" si="0"/>
        <v>1316347026635557.3</v>
      </c>
      <c r="AR12" s="1">
        <f t="shared" si="0"/>
        <v>1329813670393109.5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3F72-F192-4364-9378-731FF30F4182}">
  <sheetPr>
    <tabColor rgb="FF002060"/>
  </sheetPr>
  <dimension ref="A1:AR12"/>
  <sheetViews>
    <sheetView workbookViewId="0">
      <selection activeCell="B2" sqref="B2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建筑各项能耗拆分!$B$18*建筑各项能耗拆分!B243</f>
        <v>81149778683346.703</v>
      </c>
      <c r="C2" s="1">
        <f>建筑各项能耗拆分!$B$18*建筑各项能耗拆分!C243</f>
        <v>82213380486561.219</v>
      </c>
      <c r="D2" s="1">
        <f>建筑各项能耗拆分!$B$18*建筑各项能耗拆分!D243</f>
        <v>83667623450441.406</v>
      </c>
      <c r="E2" s="1">
        <f>建筑各项能耗拆分!$B$18*建筑各项能耗拆分!E243</f>
        <v>84335641788936.469</v>
      </c>
      <c r="F2" s="1">
        <f>建筑各项能耗拆分!$B$18*建筑各项能耗拆分!F243</f>
        <v>84983728696430.266</v>
      </c>
      <c r="G2" s="1">
        <f>建筑各项能耗拆分!$B$18*建筑各项能耗拆分!G243</f>
        <v>85611440341379.063</v>
      </c>
      <c r="H2" s="1">
        <f>建筑各项能耗拆分!$B$18*建筑各项能耗拆分!H243</f>
        <v>86218374886399.641</v>
      </c>
      <c r="I2" s="1">
        <f>建筑各项能耗拆分!$B$18*建筑各项能耗拆分!I243</f>
        <v>86804178889461.984</v>
      </c>
      <c r="J2" s="1">
        <f>建筑各项能耗拆分!$B$18*建筑各项能耗拆分!J243</f>
        <v>87368544290204.156</v>
      </c>
      <c r="K2" s="1">
        <f>建筑各项能耗拆分!$B$18*建筑各项能耗拆分!K243</f>
        <v>87911217498086.125</v>
      </c>
      <c r="L2" s="1">
        <f>建筑各项能耗拆分!$B$18*建筑各项能耗拆分!L243</f>
        <v>88431996546287.031</v>
      </c>
      <c r="M2" s="1">
        <f>建筑各项能耗拆分!$B$18*建筑各项能耗拆分!M243</f>
        <v>88930737261756.984</v>
      </c>
      <c r="N2" s="1">
        <f>建筑各项能耗拆分!$B$18*建筑各项能耗拆分!N243</f>
        <v>89407355452463.266</v>
      </c>
      <c r="O2" s="1">
        <f>建筑各项能耗拆分!$B$18*建筑各项能耗拆分!O243</f>
        <v>89861828558055.656</v>
      </c>
      <c r="P2" s="1">
        <f>建筑各项能耗拆分!$B$18*建筑各项能耗拆分!P243</f>
        <v>90294202394305.875</v>
      </c>
      <c r="Q2" s="1">
        <f>建筑各项能耗拆分!$B$18*建筑各项能耗拆分!Q243</f>
        <v>90704589499738.172</v>
      </c>
      <c r="R2" s="1">
        <f>建筑各项能耗拆分!$B$18*建筑各项能耗拆分!R243</f>
        <v>91093176680658.922</v>
      </c>
      <c r="S2" s="1">
        <f>建筑各项能耗拆分!$B$18*建筑各项能耗拆分!S243</f>
        <v>91460225825604.516</v>
      </c>
      <c r="T2" s="1">
        <f>建筑各项能耗拆分!$B$18*建筑各项能耗拆分!T243</f>
        <v>91806078569723.078</v>
      </c>
      <c r="U2" s="1">
        <f>建筑各项能耗拆分!$B$18*建筑各项能耗拆分!U243</f>
        <v>92131160918834.375</v>
      </c>
      <c r="V2" s="1">
        <f>建筑各项能耗拆分!$B$18*建筑各项能耗拆分!V243</f>
        <v>92435983598833.547</v>
      </c>
      <c r="W2" s="1">
        <f>建筑各项能耗拆分!$B$18*建筑各项能耗拆分!W243</f>
        <v>92721149440162.031</v>
      </c>
      <c r="X2" s="1">
        <f>建筑各项能耗拆分!$B$18*建筑各项能耗拆分!X243</f>
        <v>92987356246395.188</v>
      </c>
      <c r="Y2" s="1">
        <f>建筑各项能耗拆分!$B$18*建筑各项能耗拆分!Y243</f>
        <v>93235401174623.125</v>
      </c>
      <c r="Z2" s="1">
        <f>建筑各项能耗拆分!$B$18*建筑各项能耗拆分!Z243</f>
        <v>93466183026707.641</v>
      </c>
      <c r="AA2" s="1">
        <f>建筑各项能耗拆分!$B$18*建筑各项能耗拆分!AA243</f>
        <v>93680708101341.234</v>
      </c>
      <c r="AB2" s="1">
        <f>建筑各项能耗拆分!$B$18*建筑各项能耗拆分!AB243</f>
        <v>93880096744233.75</v>
      </c>
      <c r="AC2" s="1">
        <f>建筑各项能耗拆分!$B$18*建筑各项能耗拆分!AC243</f>
        <v>94065583839390.141</v>
      </c>
      <c r="AD2" s="1">
        <f>建筑各项能耗拆分!$B$18*建筑各项能耗拆分!AD243</f>
        <v>94238524585207.516</v>
      </c>
      <c r="AE2" s="1">
        <f>建筑各项能耗拆分!$B$18*建筑各项能耗拆分!AE243</f>
        <v>94400403801048.031</v>
      </c>
      <c r="AF2" s="1">
        <f>建筑各项能耗拆分!$B$18*建筑各项能耗拆分!AF243</f>
        <v>94552834239145</v>
      </c>
      <c r="AG2" s="1">
        <f>建筑各项能耗拆分!$B$18*建筑各项能耗拆分!AG243</f>
        <v>94697565293795.969</v>
      </c>
      <c r="AH2" s="1">
        <f>建筑各项能耗拆分!$B$18*建筑各项能耗拆分!AH243</f>
        <v>94836489816246.906</v>
      </c>
      <c r="AI2" s="1">
        <f>建筑各项能耗拆分!$B$18*建筑各项能耗拆分!AI243</f>
        <v>94971644183383.5</v>
      </c>
      <c r="AJ2" s="1">
        <f>建筑各项能耗拆分!$B$18*建筑各项能耗拆分!AJ243</f>
        <v>95105221321142.563</v>
      </c>
      <c r="AK2" s="1">
        <f>建筑各项能耗拆分!$B$18*建筑各项能耗拆分!AK243</f>
        <v>95239567737518.609</v>
      </c>
      <c r="AL2" s="1">
        <f>建筑各项能耗拆分!$B$18*建筑各项能耗拆分!AL243</f>
        <v>95377197954024.016</v>
      </c>
      <c r="AM2" s="1">
        <f>建筑各项能耗拆分!$B$18*建筑各项能耗拆分!AM243</f>
        <v>95520795171917.938</v>
      </c>
      <c r="AN2" s="1">
        <f>建筑各项能耗拆分!$B$18*建筑各项能耗拆分!AN243</f>
        <v>95673218531416.797</v>
      </c>
      <c r="AO2" s="1">
        <f>建筑各项能耗拆分!$B$18*建筑各项能耗拆分!AO243</f>
        <v>95837509738599.797</v>
      </c>
      <c r="AP2" s="1">
        <f>建筑各项能耗拆分!$B$18*建筑各项能耗拆分!AP243</f>
        <v>96016899880847.234</v>
      </c>
      <c r="AQ2" s="1">
        <f>建筑各项能耗拆分!$B$18*建筑各项能耗拆分!AQ243</f>
        <v>96214818046112.344</v>
      </c>
      <c r="AR2" s="1">
        <f>建筑各项能耗拆分!$B$18*建筑各项能耗拆分!AR243</f>
        <v>96434893338054.344</v>
      </c>
    </row>
    <row r="3" spans="1:44" x14ac:dyDescent="0.15">
      <c r="A3" t="s">
        <v>1</v>
      </c>
      <c r="B3" s="1">
        <f>建筑各项能耗拆分!$B$18*建筑各项能耗拆分!B244</f>
        <v>66626378943659.977</v>
      </c>
      <c r="C3" s="1">
        <f>建筑各项能耗拆分!$B$18*建筑各项能耗拆分!C244</f>
        <v>67499627619576.242</v>
      </c>
      <c r="D3" s="1">
        <f>建筑各项能耗拆分!$B$18*建筑各项能耗拆分!D244</f>
        <v>68693604292830.133</v>
      </c>
      <c r="E3" s="1">
        <f>建筑各项能耗拆分!$B$18*建筑各项能耗拆分!E244</f>
        <v>69242067192963.961</v>
      </c>
      <c r="F3" s="1">
        <f>建筑各项能耗拆分!$B$18*建筑各项能耗拆分!F244</f>
        <v>69774165796160.367</v>
      </c>
      <c r="G3" s="1">
        <f>建筑各项能耗拆分!$B$18*建筑各项能耗拆分!G244</f>
        <v>70289535703537.453</v>
      </c>
      <c r="H3" s="1">
        <f>建筑各项能耗拆分!$B$18*建筑各项能耗拆分!H244</f>
        <v>70787846994666.547</v>
      </c>
      <c r="I3" s="1">
        <f>建筑各项能耗拆分!$B$18*建筑各项能耗拆分!I244</f>
        <v>71268809483141.625</v>
      </c>
      <c r="J3" s="1">
        <f>建筑各项能耗拆分!$B$18*建筑各项能耗拆分!J244</f>
        <v>71732170242254.266</v>
      </c>
      <c r="K3" s="1">
        <f>建筑各项能耗拆分!$B$18*建筑各项能耗拆分!K244</f>
        <v>72177721066637.922</v>
      </c>
      <c r="L3" s="1">
        <f>建筑各项能耗拆分!$B$18*建筑各项能耗拆分!L244</f>
        <v>72605296135532.984</v>
      </c>
      <c r="M3" s="1">
        <f>建筑各项能耗拆分!$B$18*建筑各项能耗拆分!M244</f>
        <v>73014777078582.719</v>
      </c>
      <c r="N3" s="1">
        <f>建筑各项能耗拆分!$B$18*建筑各项能耗拆分!N244</f>
        <v>73406094771627.219</v>
      </c>
      <c r="O3" s="1">
        <f>建筑各项能耗拆分!$B$18*建筑各项能耗拆分!O244</f>
        <v>73779230691948.766</v>
      </c>
      <c r="P3" s="1">
        <f>建筑各项能耗拆分!$B$18*建筑各项能耗拆分!P244</f>
        <v>74134222455656.969</v>
      </c>
      <c r="Q3" s="1">
        <f>建筑各项能耗拆分!$B$18*建筑各项能耗拆分!Q244</f>
        <v>74471162460223.297</v>
      </c>
      <c r="R3" s="1">
        <f>建筑各项能耗拆分!$B$18*建筑各项能耗拆分!R244</f>
        <v>74790204079174.578</v>
      </c>
      <c r="S3" s="1">
        <f>建筑各项能耗拆分!$B$18*建筑各项能耗拆分!S244</f>
        <v>75091562330778.906</v>
      </c>
      <c r="T3" s="1">
        <f>建筑各项能耗拆分!$B$18*建筑各项能耗拆分!T244</f>
        <v>75375517707641.531</v>
      </c>
      <c r="U3" s="1">
        <f>建筑各项能耗拆分!$B$18*建筑各项能耗拆分!U244</f>
        <v>75642419973195.453</v>
      </c>
      <c r="V3" s="1">
        <f>建筑各项能耗拆分!$B$18*建筑各项能耗拆分!V244</f>
        <v>75892688448572.25</v>
      </c>
      <c r="W3" s="1">
        <f>建筑各项能耗拆分!$B$18*建筑各项能耗拆分!W244</f>
        <v>76126818075472.125</v>
      </c>
      <c r="X3" s="1">
        <f>建筑各项能耗拆分!$B$18*建筑各项能耗拆分!X244</f>
        <v>76345381771359.484</v>
      </c>
      <c r="Y3" s="1">
        <f>建筑各项能耗拆分!$B$18*建筑各项能耗拆分!Y244</f>
        <v>76549034025885.688</v>
      </c>
      <c r="Z3" s="1">
        <f>建筑各项能耗拆分!$B$18*建筑各项能耗拆分!Z244</f>
        <v>76738512782079.25</v>
      </c>
      <c r="AA3" s="1">
        <f>建筑各项能耗拆分!$B$18*建筑各项能耗拆分!AA244</f>
        <v>76914644241059.922</v>
      </c>
      <c r="AB3" s="1">
        <f>建筑各项能耗拆分!$B$18*建筑各项能耗拆分!AB244</f>
        <v>77078348239936.547</v>
      </c>
      <c r="AC3" s="1">
        <f>建筑各项能耗拆分!$B$18*建筑各项能耗拆分!AC244</f>
        <v>77230638655160.875</v>
      </c>
      <c r="AD3" s="1">
        <f>建筑各项能耗拆分!$B$18*建筑各项能耗拆分!AD244</f>
        <v>77372628144874.547</v>
      </c>
      <c r="AE3" s="1">
        <f>建筑各项能耗拆分!$B$18*建筑各项能耗拆分!AE244</f>
        <v>77505535789882.188</v>
      </c>
      <c r="AF3" s="1">
        <f>建筑各项能耗拆分!$B$18*建筑各项能耗拆分!AF244</f>
        <v>77630685707675.875</v>
      </c>
      <c r="AG3" s="1">
        <f>建筑各项能耗拆分!$B$18*建筑各项能耗拆分!AG244</f>
        <v>77749514202941.625</v>
      </c>
      <c r="AH3" s="1">
        <f>建筑各项能耗拆分!$B$18*建筑各项能耗拆分!AH244</f>
        <v>77863575362781.641</v>
      </c>
      <c r="AI3" s="1">
        <f>建筑各项能耗拆分!$B$18*建筑各项能耗拆分!AI244</f>
        <v>77974541113111.906</v>
      </c>
      <c r="AJ3" s="1">
        <f>建筑各项能耗拆分!$B$18*建筑各项能耗拆分!AJ244</f>
        <v>78084211911269.875</v>
      </c>
      <c r="AK3" s="1">
        <f>建筑各项能耗拆分!$B$18*建筑各项能耗拆分!AK244</f>
        <v>78194514310024.672</v>
      </c>
      <c r="AL3" s="1">
        <f>建筑各项能耗拆分!$B$18*建筑各项能耗拆分!AL244</f>
        <v>78307512806234.594</v>
      </c>
      <c r="AM3" s="1">
        <f>建筑各项能耗拆分!$B$18*建筑各项能耗拆分!AM244</f>
        <v>78425410387840.938</v>
      </c>
      <c r="AN3" s="1">
        <f>建筑各项能耗拆分!$B$18*建筑各项能耗拆分!AN244</f>
        <v>78550554493895.281</v>
      </c>
      <c r="AO3" s="1">
        <f>建筑各项能耗拆分!$B$18*建筑各项能耗拆分!AO244</f>
        <v>78685442455445.969</v>
      </c>
      <c r="AP3" s="1">
        <f>建筑各项能耗拆分!$B$18*建筑各项能耗拆分!AP244</f>
        <v>78832727091215.281</v>
      </c>
      <c r="AQ3" s="1">
        <f>建筑各项能耗拆分!$B$18*建筑各项能耗拆分!AQ244</f>
        <v>78995223784277.641</v>
      </c>
      <c r="AR3" s="1">
        <f>建筑各项能耗拆分!$B$18*建筑各项能耗拆分!AR244</f>
        <v>79175912136543.859</v>
      </c>
    </row>
    <row r="4" spans="1:44" x14ac:dyDescent="0.15">
      <c r="A4" t="s">
        <v>2</v>
      </c>
      <c r="B4" s="1">
        <f>建筑各项能耗拆分!$B$18*建筑各项能耗拆分!B245</f>
        <v>0</v>
      </c>
      <c r="C4" s="1">
        <f>建筑各项能耗拆分!$B$18*建筑各项能耗拆分!C245</f>
        <v>0</v>
      </c>
      <c r="D4" s="1">
        <f>建筑各项能耗拆分!$B$18*建筑各项能耗拆分!D245</f>
        <v>0</v>
      </c>
      <c r="E4" s="1">
        <f>建筑各项能耗拆分!$B$18*建筑各项能耗拆分!E245</f>
        <v>0</v>
      </c>
      <c r="F4" s="1">
        <f>建筑各项能耗拆分!$B$18*建筑各项能耗拆分!F245</f>
        <v>0</v>
      </c>
      <c r="G4" s="1">
        <f>建筑各项能耗拆分!$B$18*建筑各项能耗拆分!G245</f>
        <v>0</v>
      </c>
      <c r="H4" s="1">
        <f>建筑各项能耗拆分!$B$18*建筑各项能耗拆分!H245</f>
        <v>0</v>
      </c>
      <c r="I4" s="1">
        <f>建筑各项能耗拆分!$B$18*建筑各项能耗拆分!I245</f>
        <v>0</v>
      </c>
      <c r="J4" s="1">
        <f>建筑各项能耗拆分!$B$18*建筑各项能耗拆分!J245</f>
        <v>0</v>
      </c>
      <c r="K4" s="1">
        <f>建筑各项能耗拆分!$B$18*建筑各项能耗拆分!K245</f>
        <v>0</v>
      </c>
      <c r="L4" s="1">
        <f>建筑各项能耗拆分!$B$18*建筑各项能耗拆分!L245</f>
        <v>0</v>
      </c>
      <c r="M4" s="1">
        <f>建筑各项能耗拆分!$B$18*建筑各项能耗拆分!M245</f>
        <v>0</v>
      </c>
      <c r="N4" s="1">
        <f>建筑各项能耗拆分!$B$18*建筑各项能耗拆分!N245</f>
        <v>0</v>
      </c>
      <c r="O4" s="1">
        <f>建筑各项能耗拆分!$B$18*建筑各项能耗拆分!O245</f>
        <v>0</v>
      </c>
      <c r="P4" s="1">
        <f>建筑各项能耗拆分!$B$18*建筑各项能耗拆分!P245</f>
        <v>0</v>
      </c>
      <c r="Q4" s="1">
        <f>建筑各项能耗拆分!$B$18*建筑各项能耗拆分!Q245</f>
        <v>0</v>
      </c>
      <c r="R4" s="1">
        <f>建筑各项能耗拆分!$B$18*建筑各项能耗拆分!R245</f>
        <v>0</v>
      </c>
      <c r="S4" s="1">
        <f>建筑各项能耗拆分!$B$18*建筑各项能耗拆分!S245</f>
        <v>0</v>
      </c>
      <c r="T4" s="1">
        <f>建筑各项能耗拆分!$B$18*建筑各项能耗拆分!T245</f>
        <v>0</v>
      </c>
      <c r="U4" s="1">
        <f>建筑各项能耗拆分!$B$18*建筑各项能耗拆分!U245</f>
        <v>0</v>
      </c>
      <c r="V4" s="1">
        <f>建筑各项能耗拆分!$B$18*建筑各项能耗拆分!V245</f>
        <v>0</v>
      </c>
      <c r="W4" s="1">
        <f>建筑各项能耗拆分!$B$18*建筑各项能耗拆分!W245</f>
        <v>0</v>
      </c>
      <c r="X4" s="1">
        <f>建筑各项能耗拆分!$B$18*建筑各项能耗拆分!X245</f>
        <v>0</v>
      </c>
      <c r="Y4" s="1">
        <f>建筑各项能耗拆分!$B$18*建筑各项能耗拆分!Y245</f>
        <v>0</v>
      </c>
      <c r="Z4" s="1">
        <f>建筑各项能耗拆分!$B$18*建筑各项能耗拆分!Z245</f>
        <v>0</v>
      </c>
      <c r="AA4" s="1">
        <f>建筑各项能耗拆分!$B$18*建筑各项能耗拆分!AA245</f>
        <v>0</v>
      </c>
      <c r="AB4" s="1">
        <f>建筑各项能耗拆分!$B$18*建筑各项能耗拆分!AB245</f>
        <v>0</v>
      </c>
      <c r="AC4" s="1">
        <f>建筑各项能耗拆分!$B$18*建筑各项能耗拆分!AC245</f>
        <v>0</v>
      </c>
      <c r="AD4" s="1">
        <f>建筑各项能耗拆分!$B$18*建筑各项能耗拆分!AD245</f>
        <v>0</v>
      </c>
      <c r="AE4" s="1">
        <f>建筑各项能耗拆分!$B$18*建筑各项能耗拆分!AE245</f>
        <v>0</v>
      </c>
      <c r="AF4" s="1">
        <f>建筑各项能耗拆分!$B$18*建筑各项能耗拆分!AF245</f>
        <v>0</v>
      </c>
      <c r="AG4" s="1">
        <f>建筑各项能耗拆分!$B$18*建筑各项能耗拆分!AG245</f>
        <v>0</v>
      </c>
      <c r="AH4" s="1">
        <f>建筑各项能耗拆分!$B$18*建筑各项能耗拆分!AH245</f>
        <v>0</v>
      </c>
      <c r="AI4" s="1">
        <f>建筑各项能耗拆分!$B$18*建筑各项能耗拆分!AI245</f>
        <v>0</v>
      </c>
      <c r="AJ4" s="1">
        <f>建筑各项能耗拆分!$B$18*建筑各项能耗拆分!AJ245</f>
        <v>0</v>
      </c>
      <c r="AK4" s="1">
        <f>建筑各项能耗拆分!$B$18*建筑各项能耗拆分!AK245</f>
        <v>0</v>
      </c>
      <c r="AL4" s="1">
        <f>建筑各项能耗拆分!$B$18*建筑各项能耗拆分!AL245</f>
        <v>0</v>
      </c>
      <c r="AM4" s="1">
        <f>建筑各项能耗拆分!$B$18*建筑各项能耗拆分!AM245</f>
        <v>0</v>
      </c>
      <c r="AN4" s="1">
        <f>建筑各项能耗拆分!$B$18*建筑各项能耗拆分!AN245</f>
        <v>0</v>
      </c>
      <c r="AO4" s="1">
        <f>建筑各项能耗拆分!$B$18*建筑各项能耗拆分!AO245</f>
        <v>0</v>
      </c>
      <c r="AP4" s="1">
        <f>建筑各项能耗拆分!$B$18*建筑各项能耗拆分!AP245</f>
        <v>0</v>
      </c>
      <c r="AQ4" s="1">
        <f>建筑各项能耗拆分!$B$18*建筑各项能耗拆分!AQ245</f>
        <v>0</v>
      </c>
      <c r="AR4" s="1">
        <f>建筑各项能耗拆分!$B$18*建筑各项能耗拆分!AR245</f>
        <v>0</v>
      </c>
    </row>
    <row r="5" spans="1:44" x14ac:dyDescent="0.15">
      <c r="A5" t="s">
        <v>3</v>
      </c>
      <c r="B5" s="1">
        <f>建筑各项能耗拆分!$B$18*建筑各项能耗拆分!B246</f>
        <v>29847824022689.508</v>
      </c>
      <c r="C5" s="1">
        <f>建筑各项能耗拆分!$B$18*建筑各项能耗拆分!C246</f>
        <v>30239029026173.723</v>
      </c>
      <c r="D5" s="1">
        <f>建筑各项能耗拆分!$B$18*建筑各项能耗拆分!D246</f>
        <v>30773916351516.949</v>
      </c>
      <c r="E5" s="1">
        <f>建筑各项能耗拆分!$B$18*建筑各项能耗拆分!E246</f>
        <v>31019621196740.656</v>
      </c>
      <c r="F5" s="1">
        <f>建筑各项能耗拆分!$B$18*建筑各项能耗拆分!F246</f>
        <v>31257995031890.176</v>
      </c>
      <c r="G5" s="1">
        <f>建筑各项能耗拆分!$B$18*建筑各项能耗拆分!G246</f>
        <v>31488874610607.617</v>
      </c>
      <c r="H5" s="1">
        <f>建筑各项能耗拆分!$B$18*建筑各项能耗拆分!H246</f>
        <v>31712112132471.402</v>
      </c>
      <c r="I5" s="1">
        <f>建筑各项能耗拆分!$B$18*建筑各项能耗拆分!I246</f>
        <v>31927577597428.734</v>
      </c>
      <c r="J5" s="1">
        <f>建筑各项能耗拆分!$B$18*建筑各项能耗拆分!J246</f>
        <v>32135157697327.441</v>
      </c>
      <c r="K5" s="1">
        <f>建筑各项能耗拆分!$B$18*建筑各项能耗拆分!K246</f>
        <v>32334759158643.73</v>
      </c>
      <c r="L5" s="1">
        <f>建筑各项能耗拆分!$B$18*建筑各项能耗拆分!L246</f>
        <v>32526307695652.797</v>
      </c>
      <c r="M5" s="1">
        <f>建筑各项能耗拆分!$B$18*建筑各项能耗拆分!M246</f>
        <v>32709750279844.988</v>
      </c>
      <c r="N5" s="1">
        <f>建筑各项能耗拆分!$B$18*建筑各项能耗拆分!N246</f>
        <v>32885055944420.18</v>
      </c>
      <c r="O5" s="1">
        <f>建筑各项能耗拆分!$B$18*建筑各项能耗拆分!O246</f>
        <v>33052216391421.508</v>
      </c>
      <c r="P5" s="1">
        <f>建筑各项能耗拆分!$B$18*建筑各项能耗拆分!P246</f>
        <v>33211248472417.926</v>
      </c>
      <c r="Q5" s="1">
        <f>建筑各项能耗拆分!$B$18*建筑各项能耗拆分!Q246</f>
        <v>33362193580375.902</v>
      </c>
      <c r="R5" s="1">
        <f>建筑各项能耗拆分!$B$18*建筑各项能耗拆分!R246</f>
        <v>33505120424808.273</v>
      </c>
      <c r="S5" s="1">
        <f>建筑各项能耗拆分!$B$18*建筑各项能耗拆分!S246</f>
        <v>33640125331337.531</v>
      </c>
      <c r="T5" s="1">
        <f>建筑各项能耗拆分!$B$18*建筑各项能耗拆分!T246</f>
        <v>33767333957309.211</v>
      </c>
      <c r="U5" s="1">
        <f>建筑各项能耗拆分!$B$18*建筑各项能耗拆分!U246</f>
        <v>33886902992574.465</v>
      </c>
      <c r="V5" s="1">
        <f>建筑各项能耗拆分!$B$18*建筑各项能耗拆分!V246</f>
        <v>33999020288004.707</v>
      </c>
      <c r="W5" s="1">
        <f>建筑各项能耗拆分!$B$18*建筑各项能耗拆分!W246</f>
        <v>34103907571585.203</v>
      </c>
      <c r="X5" s="1">
        <f>建筑各项能耗拆分!$B$18*建筑各项能耗拆分!X246</f>
        <v>34201821503514.637</v>
      </c>
      <c r="Y5" s="1">
        <f>建筑各项能耗拆分!$B$18*建筑各项能耗拆分!Y246</f>
        <v>34293055287359.66</v>
      </c>
      <c r="Z5" s="1">
        <f>建筑各项能耗拆分!$B$18*建筑各项能耗拆分!Z246</f>
        <v>34377939512805.645</v>
      </c>
      <c r="AA5" s="1">
        <f>建筑各项能耗拆分!$B$18*建筑各项能耗拆分!AA246</f>
        <v>34456844308111.418</v>
      </c>
      <c r="AB5" s="1">
        <f>建筑各项能耗拆分!$B$18*建筑各项能耗拆分!AB246</f>
        <v>34530181749343.398</v>
      </c>
      <c r="AC5" s="1">
        <f>建筑各项能耗拆分!$B$18*建筑各项能耗拆分!AC246</f>
        <v>34598406041073.281</v>
      </c>
      <c r="AD5" s="1">
        <f>建筑各项能耗拆分!$B$18*建筑各项能耗拆分!AD246</f>
        <v>34662015640893.039</v>
      </c>
      <c r="AE5" s="1">
        <f>建筑各项能耗拆分!$B$18*建筑各项能耗拆分!AE246</f>
        <v>34721556682479.77</v>
      </c>
      <c r="AF5" s="1">
        <f>建筑各项能耗拆分!$B$18*建筑各项能耗拆分!AF246</f>
        <v>34777622354695.258</v>
      </c>
      <c r="AG5" s="1">
        <f>建筑各项能耗拆分!$B$18*建筑各项能耗拆分!AG246</f>
        <v>34830856104927.605</v>
      </c>
      <c r="AH5" s="1">
        <f>建筑各项能耗拆分!$B$18*建筑各项能耗拆分!AH246</f>
        <v>34881954145684.219</v>
      </c>
      <c r="AI5" s="1">
        <f>建筑各项能耗拆分!$B$18*建筑各项能耗拆分!AI246</f>
        <v>34931665479857.203</v>
      </c>
      <c r="AJ5" s="1">
        <f>建筑各项能耗拆分!$B$18*建筑各项能耗拆分!AJ246</f>
        <v>34980796690884.223</v>
      </c>
      <c r="AK5" s="1">
        <f>建筑各项能耗拆分!$B$18*建筑各项能耗拆分!AK246</f>
        <v>35030210851454.117</v>
      </c>
      <c r="AL5" s="1">
        <f>建筑各项能耗拆分!$B$18*建筑各项能耗拆分!AL246</f>
        <v>35080832831564.352</v>
      </c>
      <c r="AM5" s="1">
        <f>建筑各项能耗拆分!$B$18*建筑各项能耗拆分!AM246</f>
        <v>35133649543567.602</v>
      </c>
      <c r="AN5" s="1">
        <f>建筑各项能耗拆分!$B$18*建筑各项能耗拆分!AN246</f>
        <v>35189712612193.109</v>
      </c>
      <c r="AO5" s="1">
        <f>建筑各项能耗拆分!$B$18*建筑各项能耗拆分!AO246</f>
        <v>35250140811998.898</v>
      </c>
      <c r="AP5" s="1">
        <f>建筑各项能耗拆分!$B$18*建筑各项能耗拆分!AP246</f>
        <v>35316122574168.586</v>
      </c>
      <c r="AQ5" s="1">
        <f>建筑各项能耗拆分!$B$18*建筑各项能耗拆分!AQ246</f>
        <v>35388919156778.844</v>
      </c>
      <c r="AR5" s="1">
        <f>建筑各项能耗拆分!$B$18*建筑各项能耗拆分!AR246</f>
        <v>35469865385988.641</v>
      </c>
    </row>
    <row r="6" spans="1:44" x14ac:dyDescent="0.15">
      <c r="A6" t="s">
        <v>4</v>
      </c>
      <c r="B6" s="1">
        <f>建筑各项能耗拆分!$B$18*建筑各项能耗拆分!B247</f>
        <v>0</v>
      </c>
      <c r="C6" s="1">
        <f>建筑各项能耗拆分!$B$18*建筑各项能耗拆分!C247</f>
        <v>0</v>
      </c>
      <c r="D6" s="1">
        <f>建筑各项能耗拆分!$B$18*建筑各项能耗拆分!D247</f>
        <v>0</v>
      </c>
      <c r="E6" s="1">
        <f>建筑各项能耗拆分!$B$18*建筑各项能耗拆分!E247</f>
        <v>0</v>
      </c>
      <c r="F6" s="1">
        <f>建筑各项能耗拆分!$B$18*建筑各项能耗拆分!F247</f>
        <v>0</v>
      </c>
      <c r="G6" s="1">
        <f>建筑各项能耗拆分!$B$18*建筑各项能耗拆分!G247</f>
        <v>0</v>
      </c>
      <c r="H6" s="1">
        <f>建筑各项能耗拆分!$B$18*建筑各项能耗拆分!H247</f>
        <v>0</v>
      </c>
      <c r="I6" s="1">
        <f>建筑各项能耗拆分!$B$18*建筑各项能耗拆分!I247</f>
        <v>0</v>
      </c>
      <c r="J6" s="1">
        <f>建筑各项能耗拆分!$B$18*建筑各项能耗拆分!J247</f>
        <v>0</v>
      </c>
      <c r="K6" s="1">
        <f>建筑各项能耗拆分!$B$18*建筑各项能耗拆分!K247</f>
        <v>0</v>
      </c>
      <c r="L6" s="1">
        <f>建筑各项能耗拆分!$B$18*建筑各项能耗拆分!L247</f>
        <v>0</v>
      </c>
      <c r="M6" s="1">
        <f>建筑各项能耗拆分!$B$18*建筑各项能耗拆分!M247</f>
        <v>0</v>
      </c>
      <c r="N6" s="1">
        <f>建筑各项能耗拆分!$B$18*建筑各项能耗拆分!N247</f>
        <v>0</v>
      </c>
      <c r="O6" s="1">
        <f>建筑各项能耗拆分!$B$18*建筑各项能耗拆分!O247</f>
        <v>0</v>
      </c>
      <c r="P6" s="1">
        <f>建筑各项能耗拆分!$B$18*建筑各项能耗拆分!P247</f>
        <v>0</v>
      </c>
      <c r="Q6" s="1">
        <f>建筑各项能耗拆分!$B$18*建筑各项能耗拆分!Q247</f>
        <v>0</v>
      </c>
      <c r="R6" s="1">
        <f>建筑各项能耗拆分!$B$18*建筑各项能耗拆分!R247</f>
        <v>0</v>
      </c>
      <c r="S6" s="1">
        <f>建筑各项能耗拆分!$B$18*建筑各项能耗拆分!S247</f>
        <v>0</v>
      </c>
      <c r="T6" s="1">
        <f>建筑各项能耗拆分!$B$18*建筑各项能耗拆分!T247</f>
        <v>0</v>
      </c>
      <c r="U6" s="1">
        <f>建筑各项能耗拆分!$B$18*建筑各项能耗拆分!U247</f>
        <v>0</v>
      </c>
      <c r="V6" s="1">
        <f>建筑各项能耗拆分!$B$18*建筑各项能耗拆分!V247</f>
        <v>0</v>
      </c>
      <c r="W6" s="1">
        <f>建筑各项能耗拆分!$B$18*建筑各项能耗拆分!W247</f>
        <v>0</v>
      </c>
      <c r="X6" s="1">
        <f>建筑各项能耗拆分!$B$18*建筑各项能耗拆分!X247</f>
        <v>0</v>
      </c>
      <c r="Y6" s="1">
        <f>建筑各项能耗拆分!$B$18*建筑各项能耗拆分!Y247</f>
        <v>0</v>
      </c>
      <c r="Z6" s="1">
        <f>建筑各项能耗拆分!$B$18*建筑各项能耗拆分!Z247</f>
        <v>0</v>
      </c>
      <c r="AA6" s="1">
        <f>建筑各项能耗拆分!$B$18*建筑各项能耗拆分!AA247</f>
        <v>0</v>
      </c>
      <c r="AB6" s="1">
        <f>建筑各项能耗拆分!$B$18*建筑各项能耗拆分!AB247</f>
        <v>0</v>
      </c>
      <c r="AC6" s="1">
        <f>建筑各项能耗拆分!$B$18*建筑各项能耗拆分!AC247</f>
        <v>0</v>
      </c>
      <c r="AD6" s="1">
        <f>建筑各项能耗拆分!$B$18*建筑各项能耗拆分!AD247</f>
        <v>0</v>
      </c>
      <c r="AE6" s="1">
        <f>建筑各项能耗拆分!$B$18*建筑各项能耗拆分!AE247</f>
        <v>0</v>
      </c>
      <c r="AF6" s="1">
        <f>建筑各项能耗拆分!$B$18*建筑各项能耗拆分!AF247</f>
        <v>0</v>
      </c>
      <c r="AG6" s="1">
        <f>建筑各项能耗拆分!$B$18*建筑各项能耗拆分!AG247</f>
        <v>0</v>
      </c>
      <c r="AH6" s="1">
        <f>建筑各项能耗拆分!$B$18*建筑各项能耗拆分!AH247</f>
        <v>0</v>
      </c>
      <c r="AI6" s="1">
        <f>建筑各项能耗拆分!$B$18*建筑各项能耗拆分!AI247</f>
        <v>0</v>
      </c>
      <c r="AJ6" s="1">
        <f>建筑各项能耗拆分!$B$18*建筑各项能耗拆分!AJ247</f>
        <v>0</v>
      </c>
      <c r="AK6" s="1">
        <f>建筑各项能耗拆分!$B$18*建筑各项能耗拆分!AK247</f>
        <v>0</v>
      </c>
      <c r="AL6" s="1">
        <f>建筑各项能耗拆分!$B$18*建筑各项能耗拆分!AL247</f>
        <v>0</v>
      </c>
      <c r="AM6" s="1">
        <f>建筑各项能耗拆分!$B$18*建筑各项能耗拆分!AM247</f>
        <v>0</v>
      </c>
      <c r="AN6" s="1">
        <f>建筑各项能耗拆分!$B$18*建筑各项能耗拆分!AN247</f>
        <v>0</v>
      </c>
      <c r="AO6" s="1">
        <f>建筑各项能耗拆分!$B$18*建筑各项能耗拆分!AO247</f>
        <v>0</v>
      </c>
      <c r="AP6" s="1">
        <f>建筑各项能耗拆分!$B$18*建筑各项能耗拆分!AP247</f>
        <v>0</v>
      </c>
      <c r="AQ6" s="1">
        <f>建筑各项能耗拆分!$B$18*建筑各项能耗拆分!AQ247</f>
        <v>0</v>
      </c>
      <c r="AR6" s="1">
        <f>建筑各项能耗拆分!$B$18*建筑各项能耗拆分!AR247</f>
        <v>0</v>
      </c>
    </row>
    <row r="7" spans="1:44" x14ac:dyDescent="0.15">
      <c r="A7" t="s">
        <v>5</v>
      </c>
      <c r="B7" s="1">
        <f>建筑各项能耗拆分!$B$18*建筑各项能耗拆分!B248</f>
        <v>0</v>
      </c>
      <c r="C7" s="1">
        <f>建筑各项能耗拆分!$B$18*建筑各项能耗拆分!C248</f>
        <v>0</v>
      </c>
      <c r="D7" s="1">
        <f>建筑各项能耗拆分!$B$18*建筑各项能耗拆分!D248</f>
        <v>0</v>
      </c>
      <c r="E7" s="1">
        <f>建筑各项能耗拆分!$B$18*建筑各项能耗拆分!E248</f>
        <v>0</v>
      </c>
      <c r="F7" s="1">
        <f>建筑各项能耗拆分!$B$18*建筑各项能耗拆分!F248</f>
        <v>0</v>
      </c>
      <c r="G7" s="1">
        <f>建筑各项能耗拆分!$B$18*建筑各项能耗拆分!G248</f>
        <v>0</v>
      </c>
      <c r="H7" s="1">
        <f>建筑各项能耗拆分!$B$18*建筑各项能耗拆分!H248</f>
        <v>0</v>
      </c>
      <c r="I7" s="1">
        <f>建筑各项能耗拆分!$B$18*建筑各项能耗拆分!I248</f>
        <v>0</v>
      </c>
      <c r="J7" s="1">
        <f>建筑各项能耗拆分!$B$18*建筑各项能耗拆分!J248</f>
        <v>0</v>
      </c>
      <c r="K7" s="1">
        <f>建筑各项能耗拆分!$B$18*建筑各项能耗拆分!K248</f>
        <v>0</v>
      </c>
      <c r="L7" s="1">
        <f>建筑各项能耗拆分!$B$18*建筑各项能耗拆分!L248</f>
        <v>0</v>
      </c>
      <c r="M7" s="1">
        <f>建筑各项能耗拆分!$B$18*建筑各项能耗拆分!M248</f>
        <v>0</v>
      </c>
      <c r="N7" s="1">
        <f>建筑各项能耗拆分!$B$18*建筑各项能耗拆分!N248</f>
        <v>0</v>
      </c>
      <c r="O7" s="1">
        <f>建筑各项能耗拆分!$B$18*建筑各项能耗拆分!O248</f>
        <v>0</v>
      </c>
      <c r="P7" s="1">
        <f>建筑各项能耗拆分!$B$18*建筑各项能耗拆分!P248</f>
        <v>0</v>
      </c>
      <c r="Q7" s="1">
        <f>建筑各项能耗拆分!$B$18*建筑各项能耗拆分!Q248</f>
        <v>0</v>
      </c>
      <c r="R7" s="1">
        <f>建筑各项能耗拆分!$B$18*建筑各项能耗拆分!R248</f>
        <v>0</v>
      </c>
      <c r="S7" s="1">
        <f>建筑各项能耗拆分!$B$18*建筑各项能耗拆分!S248</f>
        <v>0</v>
      </c>
      <c r="T7" s="1">
        <f>建筑各项能耗拆分!$B$18*建筑各项能耗拆分!T248</f>
        <v>0</v>
      </c>
      <c r="U7" s="1">
        <f>建筑各项能耗拆分!$B$18*建筑各项能耗拆分!U248</f>
        <v>0</v>
      </c>
      <c r="V7" s="1">
        <f>建筑各项能耗拆分!$B$18*建筑各项能耗拆分!V248</f>
        <v>0</v>
      </c>
      <c r="W7" s="1">
        <f>建筑各项能耗拆分!$B$18*建筑各项能耗拆分!W248</f>
        <v>0</v>
      </c>
      <c r="X7" s="1">
        <f>建筑各项能耗拆分!$B$18*建筑各项能耗拆分!X248</f>
        <v>0</v>
      </c>
      <c r="Y7" s="1">
        <f>建筑各项能耗拆分!$B$18*建筑各项能耗拆分!Y248</f>
        <v>0</v>
      </c>
      <c r="Z7" s="1">
        <f>建筑各项能耗拆分!$B$18*建筑各项能耗拆分!Z248</f>
        <v>0</v>
      </c>
      <c r="AA7" s="1">
        <f>建筑各项能耗拆分!$B$18*建筑各项能耗拆分!AA248</f>
        <v>0</v>
      </c>
      <c r="AB7" s="1">
        <f>建筑各项能耗拆分!$B$18*建筑各项能耗拆分!AB248</f>
        <v>0</v>
      </c>
      <c r="AC7" s="1">
        <f>建筑各项能耗拆分!$B$18*建筑各项能耗拆分!AC248</f>
        <v>0</v>
      </c>
      <c r="AD7" s="1">
        <f>建筑各项能耗拆分!$B$18*建筑各项能耗拆分!AD248</f>
        <v>0</v>
      </c>
      <c r="AE7" s="1">
        <f>建筑各项能耗拆分!$B$18*建筑各项能耗拆分!AE248</f>
        <v>0</v>
      </c>
      <c r="AF7" s="1">
        <f>建筑各项能耗拆分!$B$18*建筑各项能耗拆分!AF248</f>
        <v>0</v>
      </c>
      <c r="AG7" s="1">
        <f>建筑各项能耗拆分!$B$18*建筑各项能耗拆分!AG248</f>
        <v>0</v>
      </c>
      <c r="AH7" s="1">
        <f>建筑各项能耗拆分!$B$18*建筑各项能耗拆分!AH248</f>
        <v>0</v>
      </c>
      <c r="AI7" s="1">
        <f>建筑各项能耗拆分!$B$18*建筑各项能耗拆分!AI248</f>
        <v>0</v>
      </c>
      <c r="AJ7" s="1">
        <f>建筑各项能耗拆分!$B$18*建筑各项能耗拆分!AJ248</f>
        <v>0</v>
      </c>
      <c r="AK7" s="1">
        <f>建筑各项能耗拆分!$B$18*建筑各项能耗拆分!AK248</f>
        <v>0</v>
      </c>
      <c r="AL7" s="1">
        <f>建筑各项能耗拆分!$B$18*建筑各项能耗拆分!AL248</f>
        <v>0</v>
      </c>
      <c r="AM7" s="1">
        <f>建筑各项能耗拆分!$B$18*建筑各项能耗拆分!AM248</f>
        <v>0</v>
      </c>
      <c r="AN7" s="1">
        <f>建筑各项能耗拆分!$B$18*建筑各项能耗拆分!AN248</f>
        <v>0</v>
      </c>
      <c r="AO7" s="1">
        <f>建筑各项能耗拆分!$B$18*建筑各项能耗拆分!AO248</f>
        <v>0</v>
      </c>
      <c r="AP7" s="1">
        <f>建筑各项能耗拆分!$B$18*建筑各项能耗拆分!AP248</f>
        <v>0</v>
      </c>
      <c r="AQ7" s="1">
        <f>建筑各项能耗拆分!$B$18*建筑各项能耗拆分!AQ248</f>
        <v>0</v>
      </c>
      <c r="AR7" s="1">
        <f>建筑各项能耗拆分!$B$18*建筑各项能耗拆分!AR248</f>
        <v>0</v>
      </c>
    </row>
    <row r="8" spans="1:44" x14ac:dyDescent="0.15">
      <c r="A8" t="s">
        <v>6</v>
      </c>
      <c r="B8" s="1">
        <f>建筑各项能耗拆分!$B$18*建筑各项能耗拆分!B249</f>
        <v>0</v>
      </c>
      <c r="C8" s="1">
        <f>建筑各项能耗拆分!$B$18*建筑各项能耗拆分!C249</f>
        <v>0</v>
      </c>
      <c r="D8" s="1">
        <f>建筑各项能耗拆分!$B$18*建筑各项能耗拆分!D249</f>
        <v>0</v>
      </c>
      <c r="E8" s="1">
        <f>建筑各项能耗拆分!$B$18*建筑各项能耗拆分!E249</f>
        <v>0</v>
      </c>
      <c r="F8" s="1">
        <f>建筑各项能耗拆分!$B$18*建筑各项能耗拆分!F249</f>
        <v>0</v>
      </c>
      <c r="G8" s="1">
        <f>建筑各项能耗拆分!$B$18*建筑各项能耗拆分!G249</f>
        <v>0</v>
      </c>
      <c r="H8" s="1">
        <f>建筑各项能耗拆分!$B$18*建筑各项能耗拆分!H249</f>
        <v>0</v>
      </c>
      <c r="I8" s="1">
        <f>建筑各项能耗拆分!$B$18*建筑各项能耗拆分!I249</f>
        <v>0</v>
      </c>
      <c r="J8" s="1">
        <f>建筑各项能耗拆分!$B$18*建筑各项能耗拆分!J249</f>
        <v>0</v>
      </c>
      <c r="K8" s="1">
        <f>建筑各项能耗拆分!$B$18*建筑各项能耗拆分!K249</f>
        <v>0</v>
      </c>
      <c r="L8" s="1">
        <f>建筑各项能耗拆分!$B$18*建筑各项能耗拆分!L249</f>
        <v>0</v>
      </c>
      <c r="M8" s="1">
        <f>建筑各项能耗拆分!$B$18*建筑各项能耗拆分!M249</f>
        <v>0</v>
      </c>
      <c r="N8" s="1">
        <f>建筑各项能耗拆分!$B$18*建筑各项能耗拆分!N249</f>
        <v>0</v>
      </c>
      <c r="O8" s="1">
        <f>建筑各项能耗拆分!$B$18*建筑各项能耗拆分!O249</f>
        <v>0</v>
      </c>
      <c r="P8" s="1">
        <f>建筑各项能耗拆分!$B$18*建筑各项能耗拆分!P249</f>
        <v>0</v>
      </c>
      <c r="Q8" s="1">
        <f>建筑各项能耗拆分!$B$18*建筑各项能耗拆分!Q249</f>
        <v>0</v>
      </c>
      <c r="R8" s="1">
        <f>建筑各项能耗拆分!$B$18*建筑各项能耗拆分!R249</f>
        <v>0</v>
      </c>
      <c r="S8" s="1">
        <f>建筑各项能耗拆分!$B$18*建筑各项能耗拆分!S249</f>
        <v>0</v>
      </c>
      <c r="T8" s="1">
        <f>建筑各项能耗拆分!$B$18*建筑各项能耗拆分!T249</f>
        <v>0</v>
      </c>
      <c r="U8" s="1">
        <f>建筑各项能耗拆分!$B$18*建筑各项能耗拆分!U249</f>
        <v>0</v>
      </c>
      <c r="V8" s="1">
        <f>建筑各项能耗拆分!$B$18*建筑各项能耗拆分!V249</f>
        <v>0</v>
      </c>
      <c r="W8" s="1">
        <f>建筑各项能耗拆分!$B$18*建筑各项能耗拆分!W249</f>
        <v>0</v>
      </c>
      <c r="X8" s="1">
        <f>建筑各项能耗拆分!$B$18*建筑各项能耗拆分!X249</f>
        <v>0</v>
      </c>
      <c r="Y8" s="1">
        <f>建筑各项能耗拆分!$B$18*建筑各项能耗拆分!Y249</f>
        <v>0</v>
      </c>
      <c r="Z8" s="1">
        <f>建筑各项能耗拆分!$B$18*建筑各项能耗拆分!Z249</f>
        <v>0</v>
      </c>
      <c r="AA8" s="1">
        <f>建筑各项能耗拆分!$B$18*建筑各项能耗拆分!AA249</f>
        <v>0</v>
      </c>
      <c r="AB8" s="1">
        <f>建筑各项能耗拆分!$B$18*建筑各项能耗拆分!AB249</f>
        <v>0</v>
      </c>
      <c r="AC8" s="1">
        <f>建筑各项能耗拆分!$B$18*建筑各项能耗拆分!AC249</f>
        <v>0</v>
      </c>
      <c r="AD8" s="1">
        <f>建筑各项能耗拆分!$B$18*建筑各项能耗拆分!AD249</f>
        <v>0</v>
      </c>
      <c r="AE8" s="1">
        <f>建筑各项能耗拆分!$B$18*建筑各项能耗拆分!AE249</f>
        <v>0</v>
      </c>
      <c r="AF8" s="1">
        <f>建筑各项能耗拆分!$B$18*建筑各项能耗拆分!AF249</f>
        <v>0</v>
      </c>
      <c r="AG8" s="1">
        <f>建筑各项能耗拆分!$B$18*建筑各项能耗拆分!AG249</f>
        <v>0</v>
      </c>
      <c r="AH8" s="1">
        <f>建筑各项能耗拆分!$B$18*建筑各项能耗拆分!AH249</f>
        <v>0</v>
      </c>
      <c r="AI8" s="1">
        <f>建筑各项能耗拆分!$B$18*建筑各项能耗拆分!AI249</f>
        <v>0</v>
      </c>
      <c r="AJ8" s="1">
        <f>建筑各项能耗拆分!$B$18*建筑各项能耗拆分!AJ249</f>
        <v>0</v>
      </c>
      <c r="AK8" s="1">
        <f>建筑各项能耗拆分!$B$18*建筑各项能耗拆分!AK249</f>
        <v>0</v>
      </c>
      <c r="AL8" s="1">
        <f>建筑各项能耗拆分!$B$18*建筑各项能耗拆分!AL249</f>
        <v>0</v>
      </c>
      <c r="AM8" s="1">
        <f>建筑各项能耗拆分!$B$18*建筑各项能耗拆分!AM249</f>
        <v>0</v>
      </c>
      <c r="AN8" s="1">
        <f>建筑各项能耗拆分!$B$18*建筑各项能耗拆分!AN249</f>
        <v>0</v>
      </c>
      <c r="AO8" s="1">
        <f>建筑各项能耗拆分!$B$18*建筑各项能耗拆分!AO249</f>
        <v>0</v>
      </c>
      <c r="AP8" s="1">
        <f>建筑各项能耗拆分!$B$18*建筑各项能耗拆分!AP249</f>
        <v>0</v>
      </c>
      <c r="AQ8" s="1">
        <f>建筑各项能耗拆分!$B$18*建筑各项能耗拆分!AQ249</f>
        <v>0</v>
      </c>
      <c r="AR8" s="1">
        <f>建筑各项能耗拆分!$B$18*建筑各项能耗拆分!AR249</f>
        <v>0</v>
      </c>
    </row>
    <row r="9" spans="1:44" x14ac:dyDescent="0.15">
      <c r="A9" t="s">
        <v>7</v>
      </c>
      <c r="B9" s="1">
        <f>建筑各项能耗拆分!$B$18*建筑各项能耗拆分!B250</f>
        <v>0</v>
      </c>
      <c r="C9" s="1">
        <f>建筑各项能耗拆分!$B$18*建筑各项能耗拆分!C250</f>
        <v>0</v>
      </c>
      <c r="D9" s="1">
        <f>建筑各项能耗拆分!$B$18*建筑各项能耗拆分!D250</f>
        <v>0</v>
      </c>
      <c r="E9" s="1">
        <f>建筑各项能耗拆分!$B$18*建筑各项能耗拆分!E250</f>
        <v>0</v>
      </c>
      <c r="F9" s="1">
        <f>建筑各项能耗拆分!$B$18*建筑各项能耗拆分!F250</f>
        <v>0</v>
      </c>
      <c r="G9" s="1">
        <f>建筑各项能耗拆分!$B$18*建筑各项能耗拆分!G250</f>
        <v>0</v>
      </c>
      <c r="H9" s="1">
        <f>建筑各项能耗拆分!$B$18*建筑各项能耗拆分!H250</f>
        <v>0</v>
      </c>
      <c r="I9" s="1">
        <f>建筑各项能耗拆分!$B$18*建筑各项能耗拆分!I250</f>
        <v>0</v>
      </c>
      <c r="J9" s="1">
        <f>建筑各项能耗拆分!$B$18*建筑各项能耗拆分!J250</f>
        <v>0</v>
      </c>
      <c r="K9" s="1">
        <f>建筑各项能耗拆分!$B$18*建筑各项能耗拆分!K250</f>
        <v>0</v>
      </c>
      <c r="L9" s="1">
        <f>建筑各项能耗拆分!$B$18*建筑各项能耗拆分!L250</f>
        <v>0</v>
      </c>
      <c r="M9" s="1">
        <f>建筑各项能耗拆分!$B$18*建筑各项能耗拆分!M250</f>
        <v>0</v>
      </c>
      <c r="N9" s="1">
        <f>建筑各项能耗拆分!$B$18*建筑各项能耗拆分!N250</f>
        <v>0</v>
      </c>
      <c r="O9" s="1">
        <f>建筑各项能耗拆分!$B$18*建筑各项能耗拆分!O250</f>
        <v>0</v>
      </c>
      <c r="P9" s="1">
        <f>建筑各项能耗拆分!$B$18*建筑各项能耗拆分!P250</f>
        <v>0</v>
      </c>
      <c r="Q9" s="1">
        <f>建筑各项能耗拆分!$B$18*建筑各项能耗拆分!Q250</f>
        <v>0</v>
      </c>
      <c r="R9" s="1">
        <f>建筑各项能耗拆分!$B$18*建筑各项能耗拆分!R250</f>
        <v>0</v>
      </c>
      <c r="S9" s="1">
        <f>建筑各项能耗拆分!$B$18*建筑各项能耗拆分!S250</f>
        <v>0</v>
      </c>
      <c r="T9" s="1">
        <f>建筑各项能耗拆分!$B$18*建筑各项能耗拆分!T250</f>
        <v>0</v>
      </c>
      <c r="U9" s="1">
        <f>建筑各项能耗拆分!$B$18*建筑各项能耗拆分!U250</f>
        <v>0</v>
      </c>
      <c r="V9" s="1">
        <f>建筑各项能耗拆分!$B$18*建筑各项能耗拆分!V250</f>
        <v>0</v>
      </c>
      <c r="W9" s="1">
        <f>建筑各项能耗拆分!$B$18*建筑各项能耗拆分!W250</f>
        <v>0</v>
      </c>
      <c r="X9" s="1">
        <f>建筑各项能耗拆分!$B$18*建筑各项能耗拆分!X250</f>
        <v>0</v>
      </c>
      <c r="Y9" s="1">
        <f>建筑各项能耗拆分!$B$18*建筑各项能耗拆分!Y250</f>
        <v>0</v>
      </c>
      <c r="Z9" s="1">
        <f>建筑各项能耗拆分!$B$18*建筑各项能耗拆分!Z250</f>
        <v>0</v>
      </c>
      <c r="AA9" s="1">
        <f>建筑各项能耗拆分!$B$18*建筑各项能耗拆分!AA250</f>
        <v>0</v>
      </c>
      <c r="AB9" s="1">
        <f>建筑各项能耗拆分!$B$18*建筑各项能耗拆分!AB250</f>
        <v>0</v>
      </c>
      <c r="AC9" s="1">
        <f>建筑各项能耗拆分!$B$18*建筑各项能耗拆分!AC250</f>
        <v>0</v>
      </c>
      <c r="AD9" s="1">
        <f>建筑各项能耗拆分!$B$18*建筑各项能耗拆分!AD250</f>
        <v>0</v>
      </c>
      <c r="AE9" s="1">
        <f>建筑各项能耗拆分!$B$18*建筑各项能耗拆分!AE250</f>
        <v>0</v>
      </c>
      <c r="AF9" s="1">
        <f>建筑各项能耗拆分!$B$18*建筑各项能耗拆分!AF250</f>
        <v>0</v>
      </c>
      <c r="AG9" s="1">
        <f>建筑各项能耗拆分!$B$18*建筑各项能耗拆分!AG250</f>
        <v>0</v>
      </c>
      <c r="AH9" s="1">
        <f>建筑各项能耗拆分!$B$18*建筑各项能耗拆分!AH250</f>
        <v>0</v>
      </c>
      <c r="AI9" s="1">
        <f>建筑各项能耗拆分!$B$18*建筑各项能耗拆分!AI250</f>
        <v>0</v>
      </c>
      <c r="AJ9" s="1">
        <f>建筑各项能耗拆分!$B$18*建筑各项能耗拆分!AJ250</f>
        <v>0</v>
      </c>
      <c r="AK9" s="1">
        <f>建筑各项能耗拆分!$B$18*建筑各项能耗拆分!AK250</f>
        <v>0</v>
      </c>
      <c r="AL9" s="1">
        <f>建筑各项能耗拆分!$B$18*建筑各项能耗拆分!AL250</f>
        <v>0</v>
      </c>
      <c r="AM9" s="1">
        <f>建筑各项能耗拆分!$B$18*建筑各项能耗拆分!AM250</f>
        <v>0</v>
      </c>
      <c r="AN9" s="1">
        <f>建筑各项能耗拆分!$B$18*建筑各项能耗拆分!AN250</f>
        <v>0</v>
      </c>
      <c r="AO9" s="1">
        <f>建筑各项能耗拆分!$B$18*建筑各项能耗拆分!AO250</f>
        <v>0</v>
      </c>
      <c r="AP9" s="1">
        <f>建筑各项能耗拆分!$B$18*建筑各项能耗拆分!AP250</f>
        <v>0</v>
      </c>
      <c r="AQ9" s="1">
        <f>建筑各项能耗拆分!$B$18*建筑各项能耗拆分!AQ250</f>
        <v>0</v>
      </c>
      <c r="AR9" s="1">
        <f>建筑各项能耗拆分!$B$18*建筑各项能耗拆分!AR250</f>
        <v>0</v>
      </c>
    </row>
    <row r="10" spans="1:44" x14ac:dyDescent="0.15">
      <c r="A10" t="s">
        <v>8</v>
      </c>
      <c r="B10" s="1">
        <f>建筑各项能耗拆分!$B$18*建筑各项能耗拆分!B251</f>
        <v>222156418854036.69</v>
      </c>
      <c r="C10" s="1">
        <f>建筑各项能耗拆分!$B$18*建筑各项能耗拆分!C251</f>
        <v>225068145435705.38</v>
      </c>
      <c r="D10" s="1">
        <f>建筑各项能耗拆分!$B$18*建筑各项能耗拆分!D251</f>
        <v>229049295036370.88</v>
      </c>
      <c r="E10" s="1">
        <f>建筑各项能耗拆分!$B$18*建筑各项能耗拆分!E251</f>
        <v>230878068499672.25</v>
      </c>
      <c r="F10" s="1">
        <f>建筑各项能耗拆分!$B$18*建筑各项能耗拆分!F251</f>
        <v>232652277484724.72</v>
      </c>
      <c r="G10" s="1">
        <f>建筑各项能耗拆分!$B$18*建筑各项能耗拆分!G251</f>
        <v>234370706954002.13</v>
      </c>
      <c r="H10" s="1">
        <f>建筑各项能耗拆分!$B$18*建筑各项能耗拆分!H251</f>
        <v>236032256833598.31</v>
      </c>
      <c r="I10" s="1">
        <f>建筑各项能耗拆分!$B$18*建筑各项能耗拆分!I251</f>
        <v>237635959537194.16</v>
      </c>
      <c r="J10" s="1">
        <f>建筑各项能耗拆分!$B$18*建筑各项能耗拆分!J251</f>
        <v>239180971715763.88</v>
      </c>
      <c r="K10" s="1">
        <f>建筑各项能耗拆分!$B$18*建筑各项能耗拆分!K251</f>
        <v>240666599137392.69</v>
      </c>
      <c r="L10" s="1">
        <f>建筑各项能耗拆分!$B$18*建筑各项能耗拆分!L251</f>
        <v>242092288895758.88</v>
      </c>
      <c r="M10" s="1">
        <f>建筑各项能耗拆分!$B$18*建筑各项能耗拆分!M251</f>
        <v>243457646301326.78</v>
      </c>
      <c r="N10" s="1">
        <f>建筑各项能耗拆分!$B$18*建筑各项能耗拆分!N251</f>
        <v>244762440869173.56</v>
      </c>
      <c r="O10" s="1">
        <f>建筑各项能耗拆分!$B$18*建筑各项能耗拆分!O251</f>
        <v>246006610837866.25</v>
      </c>
      <c r="P10" s="1">
        <f>建筑各项能耗拆分!$B$18*建筑各项能耗拆分!P251</f>
        <v>247190281633104.56</v>
      </c>
      <c r="Q10" s="1">
        <f>建筑各项能耗拆分!$B$18*建筑各项能耗拆分!Q251</f>
        <v>248313761341440.72</v>
      </c>
      <c r="R10" s="1">
        <f>建筑各项能耗拆分!$B$18*建筑各项能耗拆分!R251</f>
        <v>249377561365625.56</v>
      </c>
      <c r="S10" s="1">
        <f>建筑各项能耗拆分!$B$18*建筑各项能耗拆分!S251</f>
        <v>250382398654248.84</v>
      </c>
      <c r="T10" s="1">
        <f>建筑各项能耗拆分!$B$18*建筑各项能耗拆分!T251</f>
        <v>251329208470995.59</v>
      </c>
      <c r="U10" s="1">
        <f>建筑各项能耗拆分!$B$18*建筑各项能耗拆分!U251</f>
        <v>252219157053517.63</v>
      </c>
      <c r="V10" s="1">
        <f>建筑各项能耗拆分!$B$18*建筑各项能耗拆分!V251</f>
        <v>253053642569964.31</v>
      </c>
      <c r="W10" s="1">
        <f>建筑各项能耗拆分!$B$18*建筑各项能耗拆分!W251</f>
        <v>253834315334781.53</v>
      </c>
      <c r="X10" s="1">
        <f>建筑各项能耗拆分!$B$18*建筑各项能耗拆分!X251</f>
        <v>254563085661785.06</v>
      </c>
      <c r="Y10" s="1">
        <f>建筑各项能耗拆分!$B$18*建筑各项能耗拆分!Y251</f>
        <v>255242135855933.5</v>
      </c>
      <c r="Z10" s="1">
        <f>建筑各项能耗拆分!$B$18*建筑各项能耗拆分!Z251</f>
        <v>255873926485895.13</v>
      </c>
      <c r="AA10" s="1">
        <f>建筑各项能耗拆分!$B$18*建筑各项能耗拆分!AA251</f>
        <v>256461212404701.63</v>
      </c>
      <c r="AB10" s="1">
        <f>建筑各项能耗拆分!$B$18*建筑各项能耗拆分!AB251</f>
        <v>257007060681602.19</v>
      </c>
      <c r="AC10" s="1">
        <f>建筑各项能耗拆分!$B$18*建筑各项能耗拆分!AC251</f>
        <v>257514851946990.34</v>
      </c>
      <c r="AD10" s="1">
        <f>建筑各项能耗拆分!$B$18*建筑各项能耗拆分!AD251</f>
        <v>257988296205102.81</v>
      </c>
      <c r="AE10" s="1">
        <f>建筑各项能耗拆分!$B$18*建筑各项能耗拆分!AE251</f>
        <v>258431458311784.09</v>
      </c>
      <c r="AF10" s="1">
        <f>建筑各项能耗拆分!$B$18*建筑各项能耗拆分!AF251</f>
        <v>258848753353143.56</v>
      </c>
      <c r="AG10" s="1">
        <f>建筑各项能耗拆分!$B$18*建筑各项能耗拆分!AG251</f>
        <v>259244970487926.97</v>
      </c>
      <c r="AH10" s="1">
        <f>建筑各项能耗拆分!$B$18*建筑各项能耗拆分!AH251</f>
        <v>259625291604009.56</v>
      </c>
      <c r="AI10" s="1">
        <f>建筑各项能耗拆分!$B$18*建筑各项能耗拆分!AI251</f>
        <v>259995291506445.72</v>
      </c>
      <c r="AJ10" s="1">
        <f>建筑各项能耗拆分!$B$18*建筑各项能耗拆分!AJ251</f>
        <v>260360973570485.84</v>
      </c>
      <c r="AK10" s="1">
        <f>建筑各项能耗拆分!$B$18*建筑各项能耗拆分!AK251</f>
        <v>260728761619106.81</v>
      </c>
      <c r="AL10" s="1">
        <f>建筑各项能耗拆分!$B$18*建筑各项能耗拆分!AL251</f>
        <v>261105539430716.81</v>
      </c>
      <c r="AM10" s="1">
        <f>建筑各项能耗拆分!$B$18*建筑各项能耗拆分!AM251</f>
        <v>261498652563029.81</v>
      </c>
      <c r="AN10" s="1">
        <f>建筑各项能耗拆分!$B$18*建筑各项能耗拆分!AN251</f>
        <v>261915928225950.63</v>
      </c>
      <c r="AO10" s="1">
        <f>建筑各项能耗拆分!$B$18*建筑各项能耗拆分!AO251</f>
        <v>262365693423455.34</v>
      </c>
      <c r="AP10" s="1">
        <f>建筑各项能耗拆分!$B$18*建筑各项能耗拆分!AP251</f>
        <v>262856793611601.5</v>
      </c>
      <c r="AQ10" s="1">
        <f>建筑各项能耗拆分!$B$18*建筑各项能耗拆分!AQ251</f>
        <v>263398616294729.56</v>
      </c>
      <c r="AR10" s="1">
        <f>建筑各项能耗拆分!$B$18*建筑各项能耗拆分!AR251</f>
        <v>264001096542110.91</v>
      </c>
    </row>
    <row r="11" spans="1:44" x14ac:dyDescent="0.15">
      <c r="A11" t="s">
        <v>9</v>
      </c>
      <c r="B11" s="1">
        <f>建筑各项能耗拆分!$B$18*建筑各项能耗拆分!B252</f>
        <v>0</v>
      </c>
      <c r="C11" s="1">
        <f>建筑各项能耗拆分!$B$18*建筑各项能耗拆分!C252</f>
        <v>0</v>
      </c>
      <c r="D11" s="1">
        <f>建筑各项能耗拆分!$B$18*建筑各项能耗拆分!D252</f>
        <v>0</v>
      </c>
      <c r="E11" s="1">
        <f>建筑各项能耗拆分!$B$18*建筑各项能耗拆分!E252</f>
        <v>0</v>
      </c>
      <c r="F11" s="1">
        <f>建筑各项能耗拆分!$B$18*建筑各项能耗拆分!F252</f>
        <v>0</v>
      </c>
      <c r="G11" s="1">
        <f>建筑各项能耗拆分!$B$18*建筑各项能耗拆分!G252</f>
        <v>0</v>
      </c>
      <c r="H11" s="1">
        <f>建筑各项能耗拆分!$B$18*建筑各项能耗拆分!H252</f>
        <v>0</v>
      </c>
      <c r="I11" s="1">
        <f>建筑各项能耗拆分!$B$18*建筑各项能耗拆分!I252</f>
        <v>0</v>
      </c>
      <c r="J11" s="1">
        <f>建筑各项能耗拆分!$B$18*建筑各项能耗拆分!J252</f>
        <v>0</v>
      </c>
      <c r="K11" s="1">
        <f>建筑各项能耗拆分!$B$18*建筑各项能耗拆分!K252</f>
        <v>0</v>
      </c>
      <c r="L11" s="1">
        <f>建筑各项能耗拆分!$B$18*建筑各项能耗拆分!L252</f>
        <v>0</v>
      </c>
      <c r="M11" s="1">
        <f>建筑各项能耗拆分!$B$18*建筑各项能耗拆分!M252</f>
        <v>0</v>
      </c>
      <c r="N11" s="1">
        <f>建筑各项能耗拆分!$B$18*建筑各项能耗拆分!N252</f>
        <v>0</v>
      </c>
      <c r="O11" s="1">
        <f>建筑各项能耗拆分!$B$18*建筑各项能耗拆分!O252</f>
        <v>0</v>
      </c>
      <c r="P11" s="1">
        <f>建筑各项能耗拆分!$B$18*建筑各项能耗拆分!P252</f>
        <v>0</v>
      </c>
      <c r="Q11" s="1">
        <f>建筑各项能耗拆分!$B$18*建筑各项能耗拆分!Q252</f>
        <v>0</v>
      </c>
      <c r="R11" s="1">
        <f>建筑各项能耗拆分!$B$18*建筑各项能耗拆分!R252</f>
        <v>0</v>
      </c>
      <c r="S11" s="1">
        <f>建筑各项能耗拆分!$B$18*建筑各项能耗拆分!S252</f>
        <v>0</v>
      </c>
      <c r="T11" s="1">
        <f>建筑各项能耗拆分!$B$18*建筑各项能耗拆分!T252</f>
        <v>0</v>
      </c>
      <c r="U11" s="1">
        <f>建筑各项能耗拆分!$B$18*建筑各项能耗拆分!U252</f>
        <v>0</v>
      </c>
      <c r="V11" s="1">
        <f>建筑各项能耗拆分!$B$18*建筑各项能耗拆分!V252</f>
        <v>0</v>
      </c>
      <c r="W11" s="1">
        <f>建筑各项能耗拆分!$B$18*建筑各项能耗拆分!W252</f>
        <v>0</v>
      </c>
      <c r="X11" s="1">
        <f>建筑各项能耗拆分!$B$18*建筑各项能耗拆分!X252</f>
        <v>0</v>
      </c>
      <c r="Y11" s="1">
        <f>建筑各项能耗拆分!$B$18*建筑各项能耗拆分!Y252</f>
        <v>0</v>
      </c>
      <c r="Z11" s="1">
        <f>建筑各项能耗拆分!$B$18*建筑各项能耗拆分!Z252</f>
        <v>0</v>
      </c>
      <c r="AA11" s="1">
        <f>建筑各项能耗拆分!$B$18*建筑各项能耗拆分!AA252</f>
        <v>0</v>
      </c>
      <c r="AB11" s="1">
        <f>建筑各项能耗拆分!$B$18*建筑各项能耗拆分!AB252</f>
        <v>0</v>
      </c>
      <c r="AC11" s="1">
        <f>建筑各项能耗拆分!$B$18*建筑各项能耗拆分!AC252</f>
        <v>0</v>
      </c>
      <c r="AD11" s="1">
        <f>建筑各项能耗拆分!$B$18*建筑各项能耗拆分!AD252</f>
        <v>0</v>
      </c>
      <c r="AE11" s="1">
        <f>建筑各项能耗拆分!$B$18*建筑各项能耗拆分!AE252</f>
        <v>0</v>
      </c>
      <c r="AF11" s="1">
        <f>建筑各项能耗拆分!$B$18*建筑各项能耗拆分!AF252</f>
        <v>0</v>
      </c>
      <c r="AG11" s="1">
        <f>建筑各项能耗拆分!$B$18*建筑各项能耗拆分!AG252</f>
        <v>0</v>
      </c>
      <c r="AH11" s="1">
        <f>建筑各项能耗拆分!$B$18*建筑各项能耗拆分!AH252</f>
        <v>0</v>
      </c>
      <c r="AI11" s="1">
        <f>建筑各项能耗拆分!$B$18*建筑各项能耗拆分!AI252</f>
        <v>0</v>
      </c>
      <c r="AJ11" s="1">
        <f>建筑各项能耗拆分!$B$18*建筑各项能耗拆分!AJ252</f>
        <v>0</v>
      </c>
      <c r="AK11" s="1">
        <f>建筑各项能耗拆分!$B$18*建筑各项能耗拆分!AK252</f>
        <v>0</v>
      </c>
      <c r="AL11" s="1">
        <f>建筑各项能耗拆分!$B$18*建筑各项能耗拆分!AL252</f>
        <v>0</v>
      </c>
      <c r="AM11" s="1">
        <f>建筑各项能耗拆分!$B$18*建筑各项能耗拆分!AM252</f>
        <v>0</v>
      </c>
      <c r="AN11" s="1">
        <f>建筑各项能耗拆分!$B$18*建筑各项能耗拆分!AN252</f>
        <v>0</v>
      </c>
      <c r="AO11" s="1">
        <f>建筑各项能耗拆分!$B$18*建筑各项能耗拆分!AO252</f>
        <v>0</v>
      </c>
      <c r="AP11" s="1">
        <f>建筑各项能耗拆分!$B$18*建筑各项能耗拆分!AP252</f>
        <v>0</v>
      </c>
      <c r="AQ11" s="1">
        <f>建筑各项能耗拆分!$B$18*建筑各项能耗拆分!AQ252</f>
        <v>0</v>
      </c>
      <c r="AR11" s="1">
        <f>建筑各项能耗拆分!$B$18*建筑各项能耗拆分!AR252</f>
        <v>0</v>
      </c>
    </row>
    <row r="12" spans="1:44" x14ac:dyDescent="0.15">
      <c r="A12" t="s">
        <v>1160</v>
      </c>
      <c r="B12" s="1">
        <f>SUM(B2:B11)</f>
        <v>399780400503732.88</v>
      </c>
      <c r="C12" s="1">
        <f t="shared" ref="C12:AR12" si="0">SUM(C2:C11)</f>
        <v>405020182568016.56</v>
      </c>
      <c r="D12" s="1">
        <f t="shared" si="0"/>
        <v>412184439131159.38</v>
      </c>
      <c r="E12" s="1">
        <f t="shared" si="0"/>
        <v>415475398678313.38</v>
      </c>
      <c r="F12" s="1">
        <f t="shared" si="0"/>
        <v>418668167009205.5</v>
      </c>
      <c r="G12" s="1">
        <f t="shared" si="0"/>
        <v>421760557609526.25</v>
      </c>
      <c r="H12" s="1">
        <f t="shared" si="0"/>
        <v>424750590847135.88</v>
      </c>
      <c r="I12" s="1">
        <f t="shared" si="0"/>
        <v>427636525507226.5</v>
      </c>
      <c r="J12" s="1">
        <f t="shared" si="0"/>
        <v>430416843945549.75</v>
      </c>
      <c r="K12" s="1">
        <f t="shared" si="0"/>
        <v>433090296860760.5</v>
      </c>
      <c r="L12" s="1">
        <f t="shared" si="0"/>
        <v>435655889273231.69</v>
      </c>
      <c r="M12" s="1">
        <f t="shared" si="0"/>
        <v>438112910921511.5</v>
      </c>
      <c r="N12" s="1">
        <f t="shared" si="0"/>
        <v>440460947037684.25</v>
      </c>
      <c r="O12" s="1">
        <f t="shared" si="0"/>
        <v>442699886479292.19</v>
      </c>
      <c r="P12" s="1">
        <f t="shared" si="0"/>
        <v>444829954955485.38</v>
      </c>
      <c r="Q12" s="1">
        <f t="shared" si="0"/>
        <v>446851706881778.13</v>
      </c>
      <c r="R12" s="1">
        <f t="shared" si="0"/>
        <v>448766062550267.38</v>
      </c>
      <c r="S12" s="1">
        <f t="shared" si="0"/>
        <v>450574312141969.81</v>
      </c>
      <c r="T12" s="1">
        <f t="shared" si="0"/>
        <v>452278138705669.44</v>
      </c>
      <c r="U12" s="1">
        <f t="shared" si="0"/>
        <v>453879640938121.88</v>
      </c>
      <c r="V12" s="1">
        <f t="shared" si="0"/>
        <v>455381334905374.88</v>
      </c>
      <c r="W12" s="1">
        <f t="shared" si="0"/>
        <v>456786190422000.88</v>
      </c>
      <c r="X12" s="1">
        <f t="shared" si="0"/>
        <v>458097645183054.38</v>
      </c>
      <c r="Y12" s="1">
        <f t="shared" si="0"/>
        <v>459319626343802</v>
      </c>
      <c r="Z12" s="1">
        <f t="shared" si="0"/>
        <v>460456561807487.63</v>
      </c>
      <c r="AA12" s="1">
        <f t="shared" si="0"/>
        <v>461513409055214.19</v>
      </c>
      <c r="AB12" s="1">
        <f t="shared" si="0"/>
        <v>462495687415115.88</v>
      </c>
      <c r="AC12" s="1">
        <f t="shared" si="0"/>
        <v>463409480482614.63</v>
      </c>
      <c r="AD12" s="1">
        <f t="shared" si="0"/>
        <v>464261464576077.88</v>
      </c>
      <c r="AE12" s="1">
        <f t="shared" si="0"/>
        <v>465058954585194.13</v>
      </c>
      <c r="AF12" s="1">
        <f t="shared" si="0"/>
        <v>465809895654659.69</v>
      </c>
      <c r="AG12" s="1">
        <f t="shared" si="0"/>
        <v>466522906089592.13</v>
      </c>
      <c r="AH12" s="1">
        <f t="shared" si="0"/>
        <v>467207310928722.38</v>
      </c>
      <c r="AI12" s="1">
        <f t="shared" si="0"/>
        <v>467873142282798.38</v>
      </c>
      <c r="AJ12" s="1">
        <f t="shared" si="0"/>
        <v>468531203493782.5</v>
      </c>
      <c r="AK12" s="1">
        <f t="shared" si="0"/>
        <v>469193054518104.25</v>
      </c>
      <c r="AL12" s="1">
        <f t="shared" si="0"/>
        <v>469871083022539.75</v>
      </c>
      <c r="AM12" s="1">
        <f t="shared" si="0"/>
        <v>470578507666356.25</v>
      </c>
      <c r="AN12" s="1">
        <f t="shared" si="0"/>
        <v>471329413863455.81</v>
      </c>
      <c r="AO12" s="1">
        <f t="shared" si="0"/>
        <v>472138786429500</v>
      </c>
      <c r="AP12" s="1">
        <f t="shared" si="0"/>
        <v>473022543157832.63</v>
      </c>
      <c r="AQ12" s="1">
        <f t="shared" si="0"/>
        <v>473997577281898.38</v>
      </c>
      <c r="AR12" s="1">
        <f t="shared" si="0"/>
        <v>475081767402697.75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42C9-E0BB-476A-8BDE-0EC224F1336D}">
  <sheetPr>
    <tabColor rgb="FF002060"/>
  </sheetPr>
  <dimension ref="A1:AR12"/>
  <sheetViews>
    <sheetView workbookViewId="0">
      <selection activeCell="A26" sqref="A26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建筑各项能耗拆分!$B$18*建筑各项能耗拆分!B243+建筑各项能耗拆分!$B$18*建筑各项能耗拆分!B230</f>
        <v>1341869554656769</v>
      </c>
      <c r="C2" s="1">
        <f>建筑各项能耗拆分!$B$18*建筑各项能耗拆分!C243+建筑各项能耗拆分!$B$18*建筑各项能耗拆分!C230</f>
        <v>1359456970188494.8</v>
      </c>
      <c r="D2" s="1">
        <f>建筑各项能耗拆分!$B$18*建筑各项能耗拆分!D243+建筑各项能耗拆分!$B$18*建筑各项能耗拆分!D230</f>
        <v>1383503916341227.5</v>
      </c>
      <c r="E2" s="1">
        <f>建筑各项能耗拆分!$B$18*建筑各项能耗拆分!E243+建筑各项能耗拆分!$B$18*建筑各项能耗拆分!E230</f>
        <v>1394550076724199.3</v>
      </c>
      <c r="F2" s="1">
        <f>建筑各项能耗拆分!$B$18*建筑各项能耗拆分!F243+建筑各项能耗拆分!$B$18*建筑各项能耗拆分!F230</f>
        <v>1405266656658829.3</v>
      </c>
      <c r="G2" s="1">
        <f>建筑各项能耗拆分!$B$18*建筑各项能耗拆分!G243+建筑各项能耗拆分!$B$18*建筑各项能耗拆分!G230</f>
        <v>1415646317073518.3</v>
      </c>
      <c r="H2" s="1">
        <f>建筑各项能耗拆分!$B$18*建筑各项能耗拆分!H243+建筑各项能耗拆分!$B$18*建筑各项能耗拆分!H230</f>
        <v>1425682413300108.5</v>
      </c>
      <c r="I2" s="1">
        <f>建筑各项能耗拆分!$B$18*建筑各项能耗拆分!I243+建筑各项能耗拆分!$B$18*建筑各项能耗拆分!I230</f>
        <v>1435369100922175</v>
      </c>
      <c r="J2" s="1">
        <f>建筑各项能耗拆分!$B$18*建筑各项能耗拆分!J243+建筑各项能耗拆分!$B$18*建筑各项能耗拆分!J230</f>
        <v>1444701285941590.3</v>
      </c>
      <c r="K2" s="1">
        <f>建筑各项能耗拆分!$B$18*建筑各项能耗拆分!K243+建筑各项能耗拆分!$B$18*建筑各项能耗拆分!K230</f>
        <v>1453674775057638.5</v>
      </c>
      <c r="L2" s="1">
        <f>建筑各项能耗拆分!$B$18*建筑各项能耗拆分!L243+建筑各项能耗拆分!$B$18*建筑各项能耗拆分!L230</f>
        <v>1462286228604675</v>
      </c>
      <c r="M2" s="1">
        <f>建筑各项能耗拆分!$B$18*建筑各项能耗拆分!M243+建筑各项能耗拆分!$B$18*建筑各项能耗拆分!M230</f>
        <v>1470533262578338.8</v>
      </c>
      <c r="N2" s="1">
        <f>建筑各项能耗拆分!$B$18*建筑各项能耗拆分!N243+建筑各项能耗拆分!$B$18*建筑各项能耗拆分!N230</f>
        <v>1478414484803232</v>
      </c>
      <c r="O2" s="1">
        <f>建筑各项能耗拆分!$B$18*建筑各项能耗拆分!O243+建筑各项能耗拆分!$B$18*建筑各项能耗拆分!O230</f>
        <v>1485929522227849</v>
      </c>
      <c r="P2" s="1">
        <f>建筑各项能耗拆分!$B$18*建筑各项能耗拆分!P243+建筑各项能耗拆分!$B$18*建筑各项能耗拆分!P230</f>
        <v>1493079132448701</v>
      </c>
      <c r="Q2" s="1">
        <f>建筑各项能耗拆分!$B$18*建筑各项能耗拆分!Q243+建筑各项能耗拆分!$B$18*建筑各项能耗拆分!Q230</f>
        <v>1499865176370670.8</v>
      </c>
      <c r="R2" s="1">
        <f>建筑各项能耗拆分!$B$18*建筑各项能耗拆分!R243+建筑各项能耗拆分!$B$18*建筑各项能耗拆分!R230</f>
        <v>1506290742969467.3</v>
      </c>
      <c r="S2" s="1">
        <f>建筑各项能耗拆分!$B$18*建筑各项能耗拆分!S243+建筑各项能耗拆分!$B$18*建筑各项能耗拆分!S230</f>
        <v>1512360162759103.5</v>
      </c>
      <c r="T2" s="1">
        <f>建筑各项能耗拆分!$B$18*建筑各项能耗拆分!T243+建筑各项能耗拆分!$B$18*建筑各项能耗拆分!T230</f>
        <v>1518079084920778.3</v>
      </c>
      <c r="U2" s="1">
        <f>建筑各项能耗拆分!$B$18*建筑各项能耗拆分!U243+建筑各项能耗拆分!$B$18*建筑各项能耗拆分!U230</f>
        <v>1523454553765011.5</v>
      </c>
      <c r="V2" s="1">
        <f>建筑各项能耗拆分!$B$18*建筑各项能耗拆分!V243+建筑各项能耗拆分!$B$18*建筑各项能耗拆分!V230</f>
        <v>1528495014509283.5</v>
      </c>
      <c r="W2" s="1">
        <f>建筑各项能耗拆分!$B$18*建筑各项能耗拆分!W243+建筑各项能耗拆分!$B$18*建筑各项能耗拆分!W230</f>
        <v>1533210435385536.3</v>
      </c>
      <c r="X2" s="1">
        <f>建筑各项能耗拆分!$B$18*建筑各项能耗拆分!X243+建筑各项能耗拆分!$B$18*建筑各项能耗拆分!X230</f>
        <v>1537612355074320.3</v>
      </c>
      <c r="Y2" s="1">
        <f>建筑各项能耗拆分!$B$18*建筑各项能耗拆分!Y243+建筑各项能耗拆分!$B$18*建筑各项能耗拆分!Y230</f>
        <v>1541713955137518.5</v>
      </c>
      <c r="Z2" s="1">
        <f>建筑各项能耗拆分!$B$18*建筑各项能耗拆分!Z243+建筑各项能耗拆分!$B$18*建筑各项能耗拆分!Z230</f>
        <v>1545530097905916</v>
      </c>
      <c r="AA2" s="1">
        <f>建筑各项能耗拆分!$B$18*建筑各项能耗拆分!AA243+建筑各项能耗拆分!$B$18*建筑各项能耗拆分!AA230</f>
        <v>1549077423247178.8</v>
      </c>
      <c r="AB2" s="1">
        <f>建筑各项能耗拆分!$B$18*建筑各项能耗拆分!AB243+建筑各项能耗拆分!$B$18*建筑各项能耗拆分!AB230</f>
        <v>1552374456877865.3</v>
      </c>
      <c r="AC2" s="1">
        <f>建筑各项能耗拆分!$B$18*建筑各项能耗拆分!AC243+建筑各项能耗拆分!$B$18*建筑各项能耗拆分!AC230</f>
        <v>1555441618487058.5</v>
      </c>
      <c r="AD2" s="1">
        <f>建筑各项能耗拆分!$B$18*建筑各项能耗拆分!AD243+建筑各项能耗拆分!$B$18*建筑各项能耗拆分!AD230</f>
        <v>1558301317248252.8</v>
      </c>
      <c r="AE2" s="1">
        <f>建筑各项能耗拆分!$B$18*建筑各项能耗拆分!AE243+建筑各项能耗拆分!$B$18*建筑各项能耗拆分!AE230</f>
        <v>1560978105710187.5</v>
      </c>
      <c r="AF2" s="1">
        <f>建筑各项能耗拆分!$B$18*建筑各项能耗拆分!AF243+建筑各项能耗拆分!$B$18*建筑各项能耗拆分!AF230</f>
        <v>1563498651883005</v>
      </c>
      <c r="AG2" s="1">
        <f>建筑各项能耗拆分!$B$18*建筑各项能耗拆分!AG243+建筑各项能耗拆分!$B$18*建筑各项能耗拆分!AG230</f>
        <v>1565891883250983.5</v>
      </c>
      <c r="AH2" s="1">
        <f>建筑各项能耗拆分!$B$18*建筑各项能耗拆分!AH243+建筑各项能耗拆分!$B$18*建筑各项能耗拆分!AH230</f>
        <v>1568189099461511.5</v>
      </c>
      <c r="AI2" s="1">
        <f>建筑各项能耗拆分!$B$18*建筑各项能耗拆分!AI243+建筑各项能耗拆分!$B$18*建筑各项能耗拆分!AI230</f>
        <v>1570423973460949</v>
      </c>
      <c r="AJ2" s="1">
        <f>建筑各项能耗拆分!$B$18*建筑各项能耗拆分!AJ243+建筑各项能耗拆分!$B$18*建筑各项能耗拆分!AJ230</f>
        <v>1572632766846036.3</v>
      </c>
      <c r="AK2" s="1">
        <f>建筑各项能耗拆分!$B$18*建筑各项能耗拆分!AK243+建筑各项能耗拆分!$B$18*建筑各项能耗拆分!AK230</f>
        <v>1574854280802540</v>
      </c>
      <c r="AL2" s="1">
        <f>建筑各项能耗拆分!$B$18*建筑各项能耗拆分!AL243+建筑各项能耗拆分!$B$18*建筑各项能耗拆分!AL230</f>
        <v>1577130094739754.5</v>
      </c>
      <c r="AM2" s="1">
        <f>建筑各项能耗拆分!$B$18*建筑各项能耗拆分!AM243+建筑各项能耗拆分!$B$18*建筑各项能耗拆分!AM230</f>
        <v>1579504577307071.8</v>
      </c>
      <c r="AN2" s="1">
        <f>建筑各项能耗拆分!$B$18*建筑各项能耗拆分!AN243+建筑各项能耗拆分!$B$18*建筑各项能耗拆分!AN230</f>
        <v>1582025006430213.8</v>
      </c>
      <c r="AO2" s="1">
        <f>建筑各项能耗拆分!$B$18*建筑各项能耗拆分!AO243+建筑各项能耗拆分!$B$18*建筑各项能耗拆分!AO230</f>
        <v>1584741678891846.5</v>
      </c>
      <c r="AP2" s="1">
        <f>建筑各项能耗拆分!$B$18*建筑各项能耗拆分!AP243+建筑各项能耗拆分!$B$18*建筑各项能耗拆分!AP230</f>
        <v>1587708023029724.5</v>
      </c>
      <c r="AQ2" s="1">
        <f>建筑各项能耗拆分!$B$18*建筑各项能耗拆分!AQ243+建筑各项能耗拆分!$B$18*建筑各项能耗拆分!AQ230</f>
        <v>1590980741262501</v>
      </c>
      <c r="AR2" s="1">
        <f>建筑各项能耗拆分!$B$18*建筑各项能耗拆分!AR243+建筑各项能耗拆分!$B$18*建筑各项能耗拆分!AR230</f>
        <v>1594619843411398.5</v>
      </c>
    </row>
    <row r="3" spans="1:44" x14ac:dyDescent="0.15">
      <c r="A3" t="s">
        <v>1</v>
      </c>
      <c r="B3" s="1">
        <f>建筑各项能耗拆分!$B$18*建筑各项能耗拆分!B244+建筑各项能耗拆分!$B$18*建筑各项能耗拆分!B231</f>
        <v>66626378943659.977</v>
      </c>
      <c r="C3" s="1">
        <f>建筑各项能耗拆分!$B$18*建筑各项能耗拆分!C244+建筑各项能耗拆分!$B$18*建筑各项能耗拆分!C231</f>
        <v>67499627619576.242</v>
      </c>
      <c r="D3" s="1">
        <f>建筑各项能耗拆分!$B$18*建筑各项能耗拆分!D244+建筑各项能耗拆分!$B$18*建筑各项能耗拆分!D231</f>
        <v>68693604292830.133</v>
      </c>
      <c r="E3" s="1">
        <f>建筑各项能耗拆分!$B$18*建筑各项能耗拆分!E244+建筑各项能耗拆分!$B$18*建筑各项能耗拆分!E231</f>
        <v>69242067192963.961</v>
      </c>
      <c r="F3" s="1">
        <f>建筑各项能耗拆分!$B$18*建筑各项能耗拆分!F244+建筑各项能耗拆分!$B$18*建筑各项能耗拆分!F231</f>
        <v>69774165796160.367</v>
      </c>
      <c r="G3" s="1">
        <f>建筑各项能耗拆分!$B$18*建筑各项能耗拆分!G244+建筑各项能耗拆分!$B$18*建筑各项能耗拆分!G231</f>
        <v>70289535703537.453</v>
      </c>
      <c r="H3" s="1">
        <f>建筑各项能耗拆分!$B$18*建筑各项能耗拆分!H244+建筑各项能耗拆分!$B$18*建筑各项能耗拆分!H231</f>
        <v>70787846994666.547</v>
      </c>
      <c r="I3" s="1">
        <f>建筑各项能耗拆分!$B$18*建筑各项能耗拆分!I244+建筑各项能耗拆分!$B$18*建筑各项能耗拆分!I231</f>
        <v>71268809483141.625</v>
      </c>
      <c r="J3" s="1">
        <f>建筑各项能耗拆分!$B$18*建筑各项能耗拆分!J244+建筑各项能耗拆分!$B$18*建筑各项能耗拆分!J231</f>
        <v>71732170242254.266</v>
      </c>
      <c r="K3" s="1">
        <f>建筑各项能耗拆分!$B$18*建筑各项能耗拆分!K244+建筑各项能耗拆分!$B$18*建筑各项能耗拆分!K231</f>
        <v>72177721066637.922</v>
      </c>
      <c r="L3" s="1">
        <f>建筑各项能耗拆分!$B$18*建筑各项能耗拆分!L244+建筑各项能耗拆分!$B$18*建筑各项能耗拆分!L231</f>
        <v>72605296135532.984</v>
      </c>
      <c r="M3" s="1">
        <f>建筑各项能耗拆分!$B$18*建筑各项能耗拆分!M244+建筑各项能耗拆分!$B$18*建筑各项能耗拆分!M231</f>
        <v>73014777078582.719</v>
      </c>
      <c r="N3" s="1">
        <f>建筑各项能耗拆分!$B$18*建筑各项能耗拆分!N244+建筑各项能耗拆分!$B$18*建筑各项能耗拆分!N231</f>
        <v>73406094771627.219</v>
      </c>
      <c r="O3" s="1">
        <f>建筑各项能耗拆分!$B$18*建筑各项能耗拆分!O244+建筑各项能耗拆分!$B$18*建筑各项能耗拆分!O231</f>
        <v>73779230691948.766</v>
      </c>
      <c r="P3" s="1">
        <f>建筑各项能耗拆分!$B$18*建筑各项能耗拆分!P244+建筑各项能耗拆分!$B$18*建筑各项能耗拆分!P231</f>
        <v>74134222455656.969</v>
      </c>
      <c r="Q3" s="1">
        <f>建筑各项能耗拆分!$B$18*建筑各项能耗拆分!Q244+建筑各项能耗拆分!$B$18*建筑各项能耗拆分!Q231</f>
        <v>74471162460223.297</v>
      </c>
      <c r="R3" s="1">
        <f>建筑各项能耗拆分!$B$18*建筑各项能耗拆分!R244+建筑各项能耗拆分!$B$18*建筑各项能耗拆分!R231</f>
        <v>74790204079174.578</v>
      </c>
      <c r="S3" s="1">
        <f>建筑各项能耗拆分!$B$18*建筑各项能耗拆分!S244+建筑各项能耗拆分!$B$18*建筑各项能耗拆分!S231</f>
        <v>75091562330778.906</v>
      </c>
      <c r="T3" s="1">
        <f>建筑各项能耗拆分!$B$18*建筑各项能耗拆分!T244+建筑各项能耗拆分!$B$18*建筑各项能耗拆分!T231</f>
        <v>75375517707641.531</v>
      </c>
      <c r="U3" s="1">
        <f>建筑各项能耗拆分!$B$18*建筑各项能耗拆分!U244+建筑各项能耗拆分!$B$18*建筑各项能耗拆分!U231</f>
        <v>75642419973195.453</v>
      </c>
      <c r="V3" s="1">
        <f>建筑各项能耗拆分!$B$18*建筑各项能耗拆分!V244+建筑各项能耗拆分!$B$18*建筑各项能耗拆分!V231</f>
        <v>75892688448572.25</v>
      </c>
      <c r="W3" s="1">
        <f>建筑各项能耗拆分!$B$18*建筑各项能耗拆分!W244+建筑各项能耗拆分!$B$18*建筑各项能耗拆分!W231</f>
        <v>76126818075472.125</v>
      </c>
      <c r="X3" s="1">
        <f>建筑各项能耗拆分!$B$18*建筑各项能耗拆分!X244+建筑各项能耗拆分!$B$18*建筑各项能耗拆分!X231</f>
        <v>76345381771359.484</v>
      </c>
      <c r="Y3" s="1">
        <f>建筑各项能耗拆分!$B$18*建筑各项能耗拆分!Y244+建筑各项能耗拆分!$B$18*建筑各项能耗拆分!Y231</f>
        <v>76549034025885.688</v>
      </c>
      <c r="Z3" s="1">
        <f>建筑各项能耗拆分!$B$18*建筑各项能耗拆分!Z244+建筑各项能耗拆分!$B$18*建筑各项能耗拆分!Z231</f>
        <v>76738512782079.25</v>
      </c>
      <c r="AA3" s="1">
        <f>建筑各项能耗拆分!$B$18*建筑各项能耗拆分!AA244+建筑各项能耗拆分!$B$18*建筑各项能耗拆分!AA231</f>
        <v>76914644241059.922</v>
      </c>
      <c r="AB3" s="1">
        <f>建筑各项能耗拆分!$B$18*建筑各项能耗拆分!AB244+建筑各项能耗拆分!$B$18*建筑各项能耗拆分!AB231</f>
        <v>77078348239936.547</v>
      </c>
      <c r="AC3" s="1">
        <f>建筑各项能耗拆分!$B$18*建筑各项能耗拆分!AC244+建筑各项能耗拆分!$B$18*建筑各项能耗拆分!AC231</f>
        <v>77230638655160.875</v>
      </c>
      <c r="AD3" s="1">
        <f>建筑各项能耗拆分!$B$18*建筑各项能耗拆分!AD244+建筑各项能耗拆分!$B$18*建筑各项能耗拆分!AD231</f>
        <v>77372628144874.547</v>
      </c>
      <c r="AE3" s="1">
        <f>建筑各项能耗拆分!$B$18*建筑各项能耗拆分!AE244+建筑各项能耗拆分!$B$18*建筑各项能耗拆分!AE231</f>
        <v>77505535789882.188</v>
      </c>
      <c r="AF3" s="1">
        <f>建筑各项能耗拆分!$B$18*建筑各项能耗拆分!AF244+建筑各项能耗拆分!$B$18*建筑各项能耗拆分!AF231</f>
        <v>77630685707675.875</v>
      </c>
      <c r="AG3" s="1">
        <f>建筑各项能耗拆分!$B$18*建筑各项能耗拆分!AG244+建筑各项能耗拆分!$B$18*建筑各项能耗拆分!AG231</f>
        <v>77749514202941.625</v>
      </c>
      <c r="AH3" s="1">
        <f>建筑各项能耗拆分!$B$18*建筑各项能耗拆分!AH244+建筑各项能耗拆分!$B$18*建筑各项能耗拆分!AH231</f>
        <v>77863575362781.641</v>
      </c>
      <c r="AI3" s="1">
        <f>建筑各项能耗拆分!$B$18*建筑各项能耗拆分!AI244+建筑各项能耗拆分!$B$18*建筑各项能耗拆分!AI231</f>
        <v>77974541113111.906</v>
      </c>
      <c r="AJ3" s="1">
        <f>建筑各项能耗拆分!$B$18*建筑各项能耗拆分!AJ244+建筑各项能耗拆分!$B$18*建筑各项能耗拆分!AJ231</f>
        <v>78084211911269.875</v>
      </c>
      <c r="AK3" s="1">
        <f>建筑各项能耗拆分!$B$18*建筑各项能耗拆分!AK244+建筑各项能耗拆分!$B$18*建筑各项能耗拆分!AK231</f>
        <v>78194514310024.672</v>
      </c>
      <c r="AL3" s="1">
        <f>建筑各项能耗拆分!$B$18*建筑各项能耗拆分!AL244+建筑各项能耗拆分!$B$18*建筑各项能耗拆分!AL231</f>
        <v>78307512806234.594</v>
      </c>
      <c r="AM3" s="1">
        <f>建筑各项能耗拆分!$B$18*建筑各项能耗拆分!AM244+建筑各项能耗拆分!$B$18*建筑各项能耗拆分!AM231</f>
        <v>78425410387840.938</v>
      </c>
      <c r="AN3" s="1">
        <f>建筑各项能耗拆分!$B$18*建筑各项能耗拆分!AN244+建筑各项能耗拆分!$B$18*建筑各项能耗拆分!AN231</f>
        <v>78550554493895.281</v>
      </c>
      <c r="AO3" s="1">
        <f>建筑各项能耗拆分!$B$18*建筑各项能耗拆分!AO244+建筑各项能耗拆分!$B$18*建筑各项能耗拆分!AO231</f>
        <v>78685442455445.969</v>
      </c>
      <c r="AP3" s="1">
        <f>建筑各项能耗拆分!$B$18*建筑各项能耗拆分!AP244+建筑各项能耗拆分!$B$18*建筑各项能耗拆分!AP231</f>
        <v>78832727091215.281</v>
      </c>
      <c r="AQ3" s="1">
        <f>建筑各项能耗拆分!$B$18*建筑各项能耗拆分!AQ244+建筑各项能耗拆分!$B$18*建筑各项能耗拆分!AQ231</f>
        <v>78995223784277.641</v>
      </c>
      <c r="AR3" s="1">
        <f>建筑各项能耗拆分!$B$18*建筑各项能耗拆分!AR244+建筑各项能耗拆分!$B$18*建筑各项能耗拆分!AR231</f>
        <v>79175912136543.859</v>
      </c>
    </row>
    <row r="4" spans="1:44" x14ac:dyDescent="0.15">
      <c r="A4" t="s">
        <v>2</v>
      </c>
      <c r="B4" s="1">
        <f>建筑各项能耗拆分!$B$18*建筑各项能耗拆分!B245+建筑各项能耗拆分!$B$18*建筑各项能耗拆分!B232</f>
        <v>1073481585832935.8</v>
      </c>
      <c r="C4" s="1">
        <f>建筑各项能耗拆分!$B$18*建筑各项能耗拆分!C245+建筑各项能耗拆分!$B$18*建筑各项能耗拆分!C232</f>
        <v>1087551334006430.1</v>
      </c>
      <c r="D4" s="1">
        <f>建筑各项能耗拆分!$B$18*建筑各项能耗拆分!D245+建筑各项能耗拆分!$B$18*建筑各项能耗拆分!D232</f>
        <v>1106788639004439.4</v>
      </c>
      <c r="E4" s="1">
        <f>建筑各项能耗拆分!$B$18*建筑各项能耗拆分!E245+建筑各项能耗拆分!$B$18*建筑各项能耗拆分!E232</f>
        <v>1115625451587396</v>
      </c>
      <c r="F4" s="1">
        <f>建筑各项能耗拆分!$B$18*建筑各项能耗拆分!F245+建筑各项能耗拆分!$B$18*建筑各项能耗拆分!F232</f>
        <v>1124198603264478.6</v>
      </c>
      <c r="G4" s="1">
        <f>建筑各项能耗拆分!$B$18*建筑各项能耗拆分!G245+建筑各项能耗拆分!$B$18*建筑各项能耗拆分!G232</f>
        <v>1132502222855295</v>
      </c>
      <c r="H4" s="1">
        <f>建筑各项能耗拆分!$B$18*建筑各项能耗拆分!H245+建筑各项能耗拆分!$B$18*建筑各项能耗拆分!H232</f>
        <v>1140530994694929.8</v>
      </c>
      <c r="I4" s="1">
        <f>建筑各项能耗拆分!$B$18*建筑各项能耗拆分!I245+建筑各项能耗拆分!$B$18*建筑各项能耗拆分!I232</f>
        <v>1148280243311472.3</v>
      </c>
      <c r="J4" s="1">
        <f>建筑各项能耗拆分!$B$18*建筑各项能耗拆分!J245+建筑各项能耗拆分!$B$18*建筑各项能耗拆分!J232</f>
        <v>1155745893559786.3</v>
      </c>
      <c r="K4" s="1">
        <f>建筑各项能耗拆分!$B$18*建筑各项能耗拆分!K245+建筑各项能耗拆分!$B$18*建筑各项能耗拆分!K232</f>
        <v>1162924590843229.8</v>
      </c>
      <c r="L4" s="1">
        <f>建筑各项能耗拆分!$B$18*建筑各项能耗拆分!L245+建筑各项能耗拆分!$B$18*建筑各项能耗拆分!L232</f>
        <v>1169813663464274.8</v>
      </c>
      <c r="M4" s="1">
        <f>建筑各项能耗拆分!$B$18*建筑各项能耗拆分!M245+建筑各项能耗拆分!$B$18*建筑各项能耗拆分!M232</f>
        <v>1176411204244407.5</v>
      </c>
      <c r="N4" s="1">
        <f>建筑各项能耗拆分!$B$18*建筑各项能耗拆分!N245+建筑各项能耗拆分!$B$18*建筑各项能耗拆分!N232</f>
        <v>1182716099457895</v>
      </c>
      <c r="O4" s="1">
        <f>建筑各项能耗拆分!$B$18*建筑各项能耗拆分!O245+建筑各项能耗拆分!$B$18*建筑各项能耗拆分!O232</f>
        <v>1188728050667441</v>
      </c>
      <c r="P4" s="1">
        <f>建筑各项能耗拆分!$B$18*建筑各项能耗拆分!P245+建筑各项能耗拆分!$B$18*建筑各项能耗拆分!P232</f>
        <v>1194447663942317.5</v>
      </c>
      <c r="Q4" s="1">
        <f>建筑各项能耗拆分!$B$18*建筑各项能耗拆分!Q245+建筑各项能耗拆分!$B$18*建筑各项能耗拆分!Q232</f>
        <v>1199876427986935</v>
      </c>
      <c r="R4" s="1">
        <f>建筑各项能耗拆分!$B$18*建筑各项能耗拆分!R245+建筑各项能耗拆分!$B$18*建筑各项能耗拆分!R232</f>
        <v>1205016813949500.8</v>
      </c>
      <c r="S4" s="1">
        <f>建筑各项能耗拆分!$B$18*建筑各项能耗拆分!S245+建筑各项能耗拆分!$B$18*建筑各项能耗拆分!S232</f>
        <v>1209872286195855.5</v>
      </c>
      <c r="T4" s="1">
        <f>建筑各项能耗拆分!$B$18*建筑各项能耗拆分!T245+建筑各项能耗拆分!$B$18*建筑各项能耗拆分!T232</f>
        <v>1214447364011776.3</v>
      </c>
      <c r="U4" s="1">
        <f>建筑各项能耗拆分!$B$18*建筑各项能耗拆分!U245+建筑各项能耗拆分!$B$18*建筑各项能耗拆分!U232</f>
        <v>1218747682771880.3</v>
      </c>
      <c r="V4" s="1">
        <f>建筑各项能耗拆分!$B$18*建筑各项能耗拆分!V245+建筑各项能耗拆分!$B$18*建筑各项能耗拆分!V232</f>
        <v>1222779998561676.8</v>
      </c>
      <c r="W4" s="1">
        <f>建筑各项能耗拆分!$B$18*建筑各项能耗拆分!W245+建筑各项能耗拆分!$B$18*建筑各项能耗拆分!W232</f>
        <v>1226552285862289</v>
      </c>
      <c r="X4" s="1">
        <f>建筑各项能耗拆分!$B$18*建筑各项能耗拆分!X245+建筑各项能耗拆分!$B$18*建筑各项能耗拆分!X232</f>
        <v>1230073775497273.5</v>
      </c>
      <c r="Y4" s="1">
        <f>建筑各项能耗拆分!$B$18*建筑各项能耗拆分!Y245+建筑各项能耗拆分!$B$18*建筑各项能耗拆分!Y232</f>
        <v>1233355012578041.8</v>
      </c>
      <c r="Z4" s="1">
        <f>建筑各项能耗拆分!$B$18*建筑各项能耗拆分!Z245+建筑各项能耗拆分!$B$18*建筑各项能耗拆分!Z232</f>
        <v>1236407886813520</v>
      </c>
      <c r="AA4" s="1">
        <f>建筑各项能耗拆分!$B$18*建筑各项能耗拆分!AA245+建筑各项能耗拆分!$B$18*建筑各项能耗拆分!AA232</f>
        <v>1239245709923515.5</v>
      </c>
      <c r="AB4" s="1">
        <f>建筑各项能耗拆分!$B$18*建筑各项能耗拆分!AB245+建筑各项能耗拆分!$B$18*建筑各项能耗拆分!AB232</f>
        <v>1241883302287193</v>
      </c>
      <c r="AC4" s="1">
        <f>建筑各项能耗拆分!$B$18*建筑各项能耗拆分!AC245+建筑各项能耗拆分!$B$18*建筑各项能耗拆分!AC232</f>
        <v>1244336999441895.3</v>
      </c>
      <c r="AD4" s="1">
        <f>建筑各项能耗拆分!$B$18*建筑各项能耗拆分!AD245+建筑各项能耗拆分!$B$18*建筑各项能耗拆分!AD232</f>
        <v>1246624728491651</v>
      </c>
      <c r="AE4" s="1">
        <f>建筑各项能耗拆分!$B$18*建筑各项能耗拆分!AE245+建筑各项能耗拆分!$B$18*建筑各项能耗拆分!AE232</f>
        <v>1248766131218231.3</v>
      </c>
      <c r="AF4" s="1">
        <f>建筑各项能耗拆分!$B$18*建筑各项能耗拆分!AF245+建筑各项能耗拆分!$B$18*建筑各项能耗拆分!AF232</f>
        <v>1250782541750366.5</v>
      </c>
      <c r="AG4" s="1">
        <f>建筑各项能耗拆分!$B$18*建筑各项能耗拆分!AG245+建筑各项能耗拆分!$B$18*建筑各项能耗拆分!AG232</f>
        <v>1252697101772424.3</v>
      </c>
      <c r="AH4" s="1">
        <f>建筑各项能耗拆分!$B$18*建筑各项能耗拆分!AH245+建筑各项能耗拆分!$B$18*建筑各项能耗拆分!AH232</f>
        <v>1254534850674410</v>
      </c>
      <c r="AI4" s="1">
        <f>建筑各项能耗拆分!$B$18*建筑各项能耗拆分!AI245+建筑各项能耗拆分!$B$18*建筑各项能耗拆分!AI232</f>
        <v>1256322726460642.3</v>
      </c>
      <c r="AJ4" s="1">
        <f>建筑各项能耗拆分!$B$18*建筑各项能耗拆分!AJ245+建筑各项能耗拆分!$B$18*建筑各项能耗拆分!AJ232</f>
        <v>1258089738028624</v>
      </c>
      <c r="AK4" s="1">
        <f>建筑各项能耗拆分!$B$18*建筑各项能耗拆分!AK245+建筑各项能耗拆分!$B$18*建筑各项能耗拆分!AK232</f>
        <v>1259866925920473.5</v>
      </c>
      <c r="AL4" s="1">
        <f>建筑各项能耗拆分!$B$18*建筑各项能耗拆分!AL245+建筑各项能耗拆分!$B$18*建筑各项能耗拆分!AL232</f>
        <v>1261687553228026.3</v>
      </c>
      <c r="AM4" s="1">
        <f>建筑各项能耗拆分!$B$18*建筑各项能耗拆分!AM245+建筑各项能耗拆分!$B$18*建筑各项能耗拆分!AM232</f>
        <v>1263587114405974.3</v>
      </c>
      <c r="AN4" s="1">
        <f>建筑各项能耗拆分!$B$18*建筑各项能耗拆分!AN245+建筑各项能耗拆分!$B$18*建筑各项能耗拆分!AN232</f>
        <v>1265603431299595</v>
      </c>
      <c r="AO4" s="1">
        <f>建筑各项能耗拆分!$B$18*建筑各项能耗拆分!AO245+建筑各项能耗拆分!$B$18*建筑各项能耗拆分!AO232</f>
        <v>1267776740808095.3</v>
      </c>
      <c r="AP4" s="1">
        <f>建筑各项能耗拆分!$B$18*建筑各项能耗拆分!AP245+建筑各项能耗拆分!$B$18*建筑各项能耗拆分!AP232</f>
        <v>1270149785041943.8</v>
      </c>
      <c r="AQ4" s="1">
        <f>建筑各项能耗拆分!$B$18*建筑各项能耗拆分!AQ245+建筑各项能耗拆分!$B$18*建筑各项能耗拆分!AQ232</f>
        <v>1272767925342029.8</v>
      </c>
      <c r="AR4" s="1">
        <f>建筑各项能耗拆分!$B$18*建筑各项能耗拆分!AR245+建筑各项能耗拆分!$B$18*建筑各项能耗拆分!AR232</f>
        <v>1275679168936647.3</v>
      </c>
    </row>
    <row r="5" spans="1:44" x14ac:dyDescent="0.15">
      <c r="A5" t="s">
        <v>3</v>
      </c>
      <c r="B5" s="1">
        <f>建筑各项能耗拆分!$B$18*建筑各项能耗拆分!B246+建筑各项能耗拆分!$B$18*建筑各项能耗拆分!B233</f>
        <v>29847824022689.508</v>
      </c>
      <c r="C5" s="1">
        <f>建筑各项能耗拆分!$B$18*建筑各项能耗拆分!C246+建筑各项能耗拆分!$B$18*建筑各项能耗拆分!C233</f>
        <v>30239029026173.723</v>
      </c>
      <c r="D5" s="1">
        <f>建筑各项能耗拆分!$B$18*建筑各项能耗拆分!D246+建筑各项能耗拆分!$B$18*建筑各项能耗拆分!D233</f>
        <v>30773916351516.949</v>
      </c>
      <c r="E5" s="1">
        <f>建筑各项能耗拆分!$B$18*建筑各项能耗拆分!E246+建筑各项能耗拆分!$B$18*建筑各项能耗拆分!E233</f>
        <v>31019621196740.656</v>
      </c>
      <c r="F5" s="1">
        <f>建筑各项能耗拆分!$B$18*建筑各项能耗拆分!F246+建筑各项能耗拆分!$B$18*建筑各项能耗拆分!F233</f>
        <v>31257995031890.176</v>
      </c>
      <c r="G5" s="1">
        <f>建筑各项能耗拆分!$B$18*建筑各项能耗拆分!G246+建筑各项能耗拆分!$B$18*建筑各项能耗拆分!G233</f>
        <v>31488874610607.617</v>
      </c>
      <c r="H5" s="1">
        <f>建筑各项能耗拆分!$B$18*建筑各项能耗拆分!H246+建筑各项能耗拆分!$B$18*建筑各项能耗拆分!H233</f>
        <v>31712112132471.402</v>
      </c>
      <c r="I5" s="1">
        <f>建筑各项能耗拆分!$B$18*建筑各项能耗拆分!I246+建筑各项能耗拆分!$B$18*建筑各项能耗拆分!I233</f>
        <v>31927577597428.734</v>
      </c>
      <c r="J5" s="1">
        <f>建筑各项能耗拆分!$B$18*建筑各项能耗拆分!J246+建筑各项能耗拆分!$B$18*建筑各项能耗拆分!J233</f>
        <v>32135157697327.441</v>
      </c>
      <c r="K5" s="1">
        <f>建筑各项能耗拆分!$B$18*建筑各项能耗拆分!K246+建筑各项能耗拆分!$B$18*建筑各项能耗拆分!K233</f>
        <v>32334759158643.73</v>
      </c>
      <c r="L5" s="1">
        <f>建筑各项能耗拆分!$B$18*建筑各项能耗拆分!L246+建筑各项能耗拆分!$B$18*建筑各项能耗拆分!L233</f>
        <v>32526307695652.797</v>
      </c>
      <c r="M5" s="1">
        <f>建筑各项能耗拆分!$B$18*建筑各项能耗拆分!M246+建筑各项能耗拆分!$B$18*建筑各项能耗拆分!M233</f>
        <v>32709750279844.988</v>
      </c>
      <c r="N5" s="1">
        <f>建筑各项能耗拆分!$B$18*建筑各项能耗拆分!N246+建筑各项能耗拆分!$B$18*建筑各项能耗拆分!N233</f>
        <v>32885055944420.18</v>
      </c>
      <c r="O5" s="1">
        <f>建筑各项能耗拆分!$B$18*建筑各项能耗拆分!O246+建筑各项能耗拆分!$B$18*建筑各项能耗拆分!O233</f>
        <v>33052216391421.508</v>
      </c>
      <c r="P5" s="1">
        <f>建筑各项能耗拆分!$B$18*建筑各项能耗拆分!P246+建筑各项能耗拆分!$B$18*建筑各项能耗拆分!P233</f>
        <v>33211248472417.926</v>
      </c>
      <c r="Q5" s="1">
        <f>建筑各项能耗拆分!$B$18*建筑各项能耗拆分!Q246+建筑各项能耗拆分!$B$18*建筑各项能耗拆分!Q233</f>
        <v>33362193580375.902</v>
      </c>
      <c r="R5" s="1">
        <f>建筑各项能耗拆分!$B$18*建筑各项能耗拆分!R246+建筑各项能耗拆分!$B$18*建筑各项能耗拆分!R233</f>
        <v>33505120424808.273</v>
      </c>
      <c r="S5" s="1">
        <f>建筑各项能耗拆分!$B$18*建筑各项能耗拆分!S246+建筑各项能耗拆分!$B$18*建筑各项能耗拆分!S233</f>
        <v>33640125331337.531</v>
      </c>
      <c r="T5" s="1">
        <f>建筑各项能耗拆分!$B$18*建筑各项能耗拆分!T246+建筑各项能耗拆分!$B$18*建筑各项能耗拆分!T233</f>
        <v>33767333957309.211</v>
      </c>
      <c r="U5" s="1">
        <f>建筑各项能耗拆分!$B$18*建筑各项能耗拆分!U246+建筑各项能耗拆分!$B$18*建筑各项能耗拆分!U233</f>
        <v>33886902992574.465</v>
      </c>
      <c r="V5" s="1">
        <f>建筑各项能耗拆分!$B$18*建筑各项能耗拆分!V246+建筑各项能耗拆分!$B$18*建筑各项能耗拆分!V233</f>
        <v>33999020288004.707</v>
      </c>
      <c r="W5" s="1">
        <f>建筑各项能耗拆分!$B$18*建筑各项能耗拆分!W246+建筑各项能耗拆分!$B$18*建筑各项能耗拆分!W233</f>
        <v>34103907571585.203</v>
      </c>
      <c r="X5" s="1">
        <f>建筑各项能耗拆分!$B$18*建筑各项能耗拆分!X246+建筑各项能耗拆分!$B$18*建筑各项能耗拆分!X233</f>
        <v>34201821503514.637</v>
      </c>
      <c r="Y5" s="1">
        <f>建筑各项能耗拆分!$B$18*建筑各项能耗拆分!Y246+建筑各项能耗拆分!$B$18*建筑各项能耗拆分!Y233</f>
        <v>34293055287359.66</v>
      </c>
      <c r="Z5" s="1">
        <f>建筑各项能耗拆分!$B$18*建筑各项能耗拆分!Z246+建筑各项能耗拆分!$B$18*建筑各项能耗拆分!Z233</f>
        <v>34377939512805.645</v>
      </c>
      <c r="AA5" s="1">
        <f>建筑各项能耗拆分!$B$18*建筑各项能耗拆分!AA246+建筑各项能耗拆分!$B$18*建筑各项能耗拆分!AA233</f>
        <v>34456844308111.418</v>
      </c>
      <c r="AB5" s="1">
        <f>建筑各项能耗拆分!$B$18*建筑各项能耗拆分!AB246+建筑各项能耗拆分!$B$18*建筑各项能耗拆分!AB233</f>
        <v>34530181749343.398</v>
      </c>
      <c r="AC5" s="1">
        <f>建筑各项能耗拆分!$B$18*建筑各项能耗拆分!AC246+建筑各项能耗拆分!$B$18*建筑各项能耗拆分!AC233</f>
        <v>34598406041073.281</v>
      </c>
      <c r="AD5" s="1">
        <f>建筑各项能耗拆分!$B$18*建筑各项能耗拆分!AD246+建筑各项能耗拆分!$B$18*建筑各项能耗拆分!AD233</f>
        <v>34662015640893.039</v>
      </c>
      <c r="AE5" s="1">
        <f>建筑各项能耗拆分!$B$18*建筑各项能耗拆分!AE246+建筑各项能耗拆分!$B$18*建筑各项能耗拆分!AE233</f>
        <v>34721556682479.77</v>
      </c>
      <c r="AF5" s="1">
        <f>建筑各项能耗拆分!$B$18*建筑各项能耗拆分!AF246+建筑各项能耗拆分!$B$18*建筑各项能耗拆分!AF233</f>
        <v>34777622354695.258</v>
      </c>
      <c r="AG5" s="1">
        <f>建筑各项能耗拆分!$B$18*建筑各项能耗拆分!AG246+建筑各项能耗拆分!$B$18*建筑各项能耗拆分!AG233</f>
        <v>34830856104927.605</v>
      </c>
      <c r="AH5" s="1">
        <f>建筑各项能耗拆分!$B$18*建筑各项能耗拆分!AH246+建筑各项能耗拆分!$B$18*建筑各项能耗拆分!AH233</f>
        <v>34881954145684.219</v>
      </c>
      <c r="AI5" s="1">
        <f>建筑各项能耗拆分!$B$18*建筑各项能耗拆分!AI246+建筑各项能耗拆分!$B$18*建筑各项能耗拆分!AI233</f>
        <v>34931665479857.203</v>
      </c>
      <c r="AJ5" s="1">
        <f>建筑各项能耗拆分!$B$18*建筑各项能耗拆分!AJ246+建筑各项能耗拆分!$B$18*建筑各项能耗拆分!AJ233</f>
        <v>34980796690884.223</v>
      </c>
      <c r="AK5" s="1">
        <f>建筑各项能耗拆分!$B$18*建筑各项能耗拆分!AK246+建筑各项能耗拆分!$B$18*建筑各项能耗拆分!AK233</f>
        <v>35030210851454.117</v>
      </c>
      <c r="AL5" s="1">
        <f>建筑各项能耗拆分!$B$18*建筑各项能耗拆分!AL246+建筑各项能耗拆分!$B$18*建筑各项能耗拆分!AL233</f>
        <v>35080832831564.352</v>
      </c>
      <c r="AM5" s="1">
        <f>建筑各项能耗拆分!$B$18*建筑各项能耗拆分!AM246+建筑各项能耗拆分!$B$18*建筑各项能耗拆分!AM233</f>
        <v>35133649543567.602</v>
      </c>
      <c r="AN5" s="1">
        <f>建筑各项能耗拆分!$B$18*建筑各项能耗拆分!AN246+建筑各项能耗拆分!$B$18*建筑各项能耗拆分!AN233</f>
        <v>35189712612193.109</v>
      </c>
      <c r="AO5" s="1">
        <f>建筑各项能耗拆分!$B$18*建筑各项能耗拆分!AO246+建筑各项能耗拆分!$B$18*建筑各项能耗拆分!AO233</f>
        <v>35250140811998.898</v>
      </c>
      <c r="AP5" s="1">
        <f>建筑各项能耗拆分!$B$18*建筑各项能耗拆分!AP246+建筑各项能耗拆分!$B$18*建筑各项能耗拆分!AP233</f>
        <v>35316122574168.586</v>
      </c>
      <c r="AQ5" s="1">
        <f>建筑各项能耗拆分!$B$18*建筑各项能耗拆分!AQ246+建筑各项能耗拆分!$B$18*建筑各项能耗拆分!AQ233</f>
        <v>35388919156778.844</v>
      </c>
      <c r="AR5" s="1">
        <f>建筑各项能耗拆分!$B$18*建筑各项能耗拆分!AR246+建筑各项能耗拆分!$B$18*建筑各项能耗拆分!AR233</f>
        <v>35469865385988.641</v>
      </c>
    </row>
    <row r="6" spans="1:44" x14ac:dyDescent="0.15">
      <c r="A6" t="s">
        <v>4</v>
      </c>
      <c r="B6" s="1">
        <f>建筑各项能耗拆分!$B$18*建筑各项能耗拆分!B247+建筑各项能耗拆分!$B$18*建筑各项能耗拆分!B234</f>
        <v>0</v>
      </c>
      <c r="C6" s="1">
        <f>建筑各项能耗拆分!$B$18*建筑各项能耗拆分!C247+建筑各项能耗拆分!$B$18*建筑各项能耗拆分!C234</f>
        <v>0</v>
      </c>
      <c r="D6" s="1">
        <f>建筑各项能耗拆分!$B$18*建筑各项能耗拆分!D247+建筑各项能耗拆分!$B$18*建筑各项能耗拆分!D234</f>
        <v>0</v>
      </c>
      <c r="E6" s="1">
        <f>建筑各项能耗拆分!$B$18*建筑各项能耗拆分!E247+建筑各项能耗拆分!$B$18*建筑各项能耗拆分!E234</f>
        <v>0</v>
      </c>
      <c r="F6" s="1">
        <f>建筑各项能耗拆分!$B$18*建筑各项能耗拆分!F247+建筑各项能耗拆分!$B$18*建筑各项能耗拆分!F234</f>
        <v>0</v>
      </c>
      <c r="G6" s="1">
        <f>建筑各项能耗拆分!$B$18*建筑各项能耗拆分!G247+建筑各项能耗拆分!$B$18*建筑各项能耗拆分!G234</f>
        <v>0</v>
      </c>
      <c r="H6" s="1">
        <f>建筑各项能耗拆分!$B$18*建筑各项能耗拆分!H247+建筑各项能耗拆分!$B$18*建筑各项能耗拆分!H234</f>
        <v>0</v>
      </c>
      <c r="I6" s="1">
        <f>建筑各项能耗拆分!$B$18*建筑各项能耗拆分!I247+建筑各项能耗拆分!$B$18*建筑各项能耗拆分!I234</f>
        <v>0</v>
      </c>
      <c r="J6" s="1">
        <f>建筑各项能耗拆分!$B$18*建筑各项能耗拆分!J247+建筑各项能耗拆分!$B$18*建筑各项能耗拆分!J234</f>
        <v>0</v>
      </c>
      <c r="K6" s="1">
        <f>建筑各项能耗拆分!$B$18*建筑各项能耗拆分!K247+建筑各项能耗拆分!$B$18*建筑各项能耗拆分!K234</f>
        <v>0</v>
      </c>
      <c r="L6" s="1">
        <f>建筑各项能耗拆分!$B$18*建筑各项能耗拆分!L247+建筑各项能耗拆分!$B$18*建筑各项能耗拆分!L234</f>
        <v>0</v>
      </c>
      <c r="M6" s="1">
        <f>建筑各项能耗拆分!$B$18*建筑各项能耗拆分!M247+建筑各项能耗拆分!$B$18*建筑各项能耗拆分!M234</f>
        <v>0</v>
      </c>
      <c r="N6" s="1">
        <f>建筑各项能耗拆分!$B$18*建筑各项能耗拆分!N247+建筑各项能耗拆分!$B$18*建筑各项能耗拆分!N234</f>
        <v>0</v>
      </c>
      <c r="O6" s="1">
        <f>建筑各项能耗拆分!$B$18*建筑各项能耗拆分!O247+建筑各项能耗拆分!$B$18*建筑各项能耗拆分!O234</f>
        <v>0</v>
      </c>
      <c r="P6" s="1">
        <f>建筑各项能耗拆分!$B$18*建筑各项能耗拆分!P247+建筑各项能耗拆分!$B$18*建筑各项能耗拆分!P234</f>
        <v>0</v>
      </c>
      <c r="Q6" s="1">
        <f>建筑各项能耗拆分!$B$18*建筑各项能耗拆分!Q247+建筑各项能耗拆分!$B$18*建筑各项能耗拆分!Q234</f>
        <v>0</v>
      </c>
      <c r="R6" s="1">
        <f>建筑各项能耗拆分!$B$18*建筑各项能耗拆分!R247+建筑各项能耗拆分!$B$18*建筑各项能耗拆分!R234</f>
        <v>0</v>
      </c>
      <c r="S6" s="1">
        <f>建筑各项能耗拆分!$B$18*建筑各项能耗拆分!S247+建筑各项能耗拆分!$B$18*建筑各项能耗拆分!S234</f>
        <v>0</v>
      </c>
      <c r="T6" s="1">
        <f>建筑各项能耗拆分!$B$18*建筑各项能耗拆分!T247+建筑各项能耗拆分!$B$18*建筑各项能耗拆分!T234</f>
        <v>0</v>
      </c>
      <c r="U6" s="1">
        <f>建筑各项能耗拆分!$B$18*建筑各项能耗拆分!U247+建筑各项能耗拆分!$B$18*建筑各项能耗拆分!U234</f>
        <v>0</v>
      </c>
      <c r="V6" s="1">
        <f>建筑各项能耗拆分!$B$18*建筑各项能耗拆分!V247+建筑各项能耗拆分!$B$18*建筑各项能耗拆分!V234</f>
        <v>0</v>
      </c>
      <c r="W6" s="1">
        <f>建筑各项能耗拆分!$B$18*建筑各项能耗拆分!W247+建筑各项能耗拆分!$B$18*建筑各项能耗拆分!W234</f>
        <v>0</v>
      </c>
      <c r="X6" s="1">
        <f>建筑各项能耗拆分!$B$18*建筑各项能耗拆分!X247+建筑各项能耗拆分!$B$18*建筑各项能耗拆分!X234</f>
        <v>0</v>
      </c>
      <c r="Y6" s="1">
        <f>建筑各项能耗拆分!$B$18*建筑各项能耗拆分!Y247+建筑各项能耗拆分!$B$18*建筑各项能耗拆分!Y234</f>
        <v>0</v>
      </c>
      <c r="Z6" s="1">
        <f>建筑各项能耗拆分!$B$18*建筑各项能耗拆分!Z247+建筑各项能耗拆分!$B$18*建筑各项能耗拆分!Z234</f>
        <v>0</v>
      </c>
      <c r="AA6" s="1">
        <f>建筑各项能耗拆分!$B$18*建筑各项能耗拆分!AA247+建筑各项能耗拆分!$B$18*建筑各项能耗拆分!AA234</f>
        <v>0</v>
      </c>
      <c r="AB6" s="1">
        <f>建筑各项能耗拆分!$B$18*建筑各项能耗拆分!AB247+建筑各项能耗拆分!$B$18*建筑各项能耗拆分!AB234</f>
        <v>0</v>
      </c>
      <c r="AC6" s="1">
        <f>建筑各项能耗拆分!$B$18*建筑各项能耗拆分!AC247+建筑各项能耗拆分!$B$18*建筑各项能耗拆分!AC234</f>
        <v>0</v>
      </c>
      <c r="AD6" s="1">
        <f>建筑各项能耗拆分!$B$18*建筑各项能耗拆分!AD247+建筑各项能耗拆分!$B$18*建筑各项能耗拆分!AD234</f>
        <v>0</v>
      </c>
      <c r="AE6" s="1">
        <f>建筑各项能耗拆分!$B$18*建筑各项能耗拆分!AE247+建筑各项能耗拆分!$B$18*建筑各项能耗拆分!AE234</f>
        <v>0</v>
      </c>
      <c r="AF6" s="1">
        <f>建筑各项能耗拆分!$B$18*建筑各项能耗拆分!AF247+建筑各项能耗拆分!$B$18*建筑各项能耗拆分!AF234</f>
        <v>0</v>
      </c>
      <c r="AG6" s="1">
        <f>建筑各项能耗拆分!$B$18*建筑各项能耗拆分!AG247+建筑各项能耗拆分!$B$18*建筑各项能耗拆分!AG234</f>
        <v>0</v>
      </c>
      <c r="AH6" s="1">
        <f>建筑各项能耗拆分!$B$18*建筑各项能耗拆分!AH247+建筑各项能耗拆分!$B$18*建筑各项能耗拆分!AH234</f>
        <v>0</v>
      </c>
      <c r="AI6" s="1">
        <f>建筑各项能耗拆分!$B$18*建筑各项能耗拆分!AI247+建筑各项能耗拆分!$B$18*建筑各项能耗拆分!AI234</f>
        <v>0</v>
      </c>
      <c r="AJ6" s="1">
        <f>建筑各项能耗拆分!$B$18*建筑各项能耗拆分!AJ247+建筑各项能耗拆分!$B$18*建筑各项能耗拆分!AJ234</f>
        <v>0</v>
      </c>
      <c r="AK6" s="1">
        <f>建筑各项能耗拆分!$B$18*建筑各项能耗拆分!AK247+建筑各项能耗拆分!$B$18*建筑各项能耗拆分!AK234</f>
        <v>0</v>
      </c>
      <c r="AL6" s="1">
        <f>建筑各项能耗拆分!$B$18*建筑各项能耗拆分!AL247+建筑各项能耗拆分!$B$18*建筑各项能耗拆分!AL234</f>
        <v>0</v>
      </c>
      <c r="AM6" s="1">
        <f>建筑各项能耗拆分!$B$18*建筑各项能耗拆分!AM247+建筑各项能耗拆分!$B$18*建筑各项能耗拆分!AM234</f>
        <v>0</v>
      </c>
      <c r="AN6" s="1">
        <f>建筑各项能耗拆分!$B$18*建筑各项能耗拆分!AN247+建筑各项能耗拆分!$B$18*建筑各项能耗拆分!AN234</f>
        <v>0</v>
      </c>
      <c r="AO6" s="1">
        <f>建筑各项能耗拆分!$B$18*建筑各项能耗拆分!AO247+建筑各项能耗拆分!$B$18*建筑各项能耗拆分!AO234</f>
        <v>0</v>
      </c>
      <c r="AP6" s="1">
        <f>建筑各项能耗拆分!$B$18*建筑各项能耗拆分!AP247+建筑各项能耗拆分!$B$18*建筑各项能耗拆分!AP234</f>
        <v>0</v>
      </c>
      <c r="AQ6" s="1">
        <f>建筑各项能耗拆分!$B$18*建筑各项能耗拆分!AQ247+建筑各项能耗拆分!$B$18*建筑各项能耗拆分!AQ234</f>
        <v>0</v>
      </c>
      <c r="AR6" s="1">
        <f>建筑各项能耗拆分!$B$18*建筑各项能耗拆分!AR247+建筑各项能耗拆分!$B$18*建筑各项能耗拆分!AR234</f>
        <v>0</v>
      </c>
    </row>
    <row r="7" spans="1:44" x14ac:dyDescent="0.15">
      <c r="A7" t="s">
        <v>5</v>
      </c>
      <c r="B7" s="1">
        <f>建筑各项能耗拆分!$B$18*建筑各项能耗拆分!B248+建筑各项能耗拆分!$B$18*建筑各项能耗拆分!B235</f>
        <v>0</v>
      </c>
      <c r="C7" s="1">
        <f>建筑各项能耗拆分!$B$18*建筑各项能耗拆分!C248+建筑各项能耗拆分!$B$18*建筑各项能耗拆分!C235</f>
        <v>0</v>
      </c>
      <c r="D7" s="1">
        <f>建筑各项能耗拆分!$B$18*建筑各项能耗拆分!D248+建筑各项能耗拆分!$B$18*建筑各项能耗拆分!D235</f>
        <v>0</v>
      </c>
      <c r="E7" s="1">
        <f>建筑各项能耗拆分!$B$18*建筑各项能耗拆分!E248+建筑各项能耗拆分!$B$18*建筑各项能耗拆分!E235</f>
        <v>0</v>
      </c>
      <c r="F7" s="1">
        <f>建筑各项能耗拆分!$B$18*建筑各项能耗拆分!F248+建筑各项能耗拆分!$B$18*建筑各项能耗拆分!F235</f>
        <v>0</v>
      </c>
      <c r="G7" s="1">
        <f>建筑各项能耗拆分!$B$18*建筑各项能耗拆分!G248+建筑各项能耗拆分!$B$18*建筑各项能耗拆分!G235</f>
        <v>0</v>
      </c>
      <c r="H7" s="1">
        <f>建筑各项能耗拆分!$B$18*建筑各项能耗拆分!H248+建筑各项能耗拆分!$B$18*建筑各项能耗拆分!H235</f>
        <v>0</v>
      </c>
      <c r="I7" s="1">
        <f>建筑各项能耗拆分!$B$18*建筑各项能耗拆分!I248+建筑各项能耗拆分!$B$18*建筑各项能耗拆分!I235</f>
        <v>0</v>
      </c>
      <c r="J7" s="1">
        <f>建筑各项能耗拆分!$B$18*建筑各项能耗拆分!J248+建筑各项能耗拆分!$B$18*建筑各项能耗拆分!J235</f>
        <v>0</v>
      </c>
      <c r="K7" s="1">
        <f>建筑各项能耗拆分!$B$18*建筑各项能耗拆分!K248+建筑各项能耗拆分!$B$18*建筑各项能耗拆分!K235</f>
        <v>0</v>
      </c>
      <c r="L7" s="1">
        <f>建筑各项能耗拆分!$B$18*建筑各项能耗拆分!L248+建筑各项能耗拆分!$B$18*建筑各项能耗拆分!L235</f>
        <v>0</v>
      </c>
      <c r="M7" s="1">
        <f>建筑各项能耗拆分!$B$18*建筑各项能耗拆分!M248+建筑各项能耗拆分!$B$18*建筑各项能耗拆分!M235</f>
        <v>0</v>
      </c>
      <c r="N7" s="1">
        <f>建筑各项能耗拆分!$B$18*建筑各项能耗拆分!N248+建筑各项能耗拆分!$B$18*建筑各项能耗拆分!N235</f>
        <v>0</v>
      </c>
      <c r="O7" s="1">
        <f>建筑各项能耗拆分!$B$18*建筑各项能耗拆分!O248+建筑各项能耗拆分!$B$18*建筑各项能耗拆分!O235</f>
        <v>0</v>
      </c>
      <c r="P7" s="1">
        <f>建筑各项能耗拆分!$B$18*建筑各项能耗拆分!P248+建筑各项能耗拆分!$B$18*建筑各项能耗拆分!P235</f>
        <v>0</v>
      </c>
      <c r="Q7" s="1">
        <f>建筑各项能耗拆分!$B$18*建筑各项能耗拆分!Q248+建筑各项能耗拆分!$B$18*建筑各项能耗拆分!Q235</f>
        <v>0</v>
      </c>
      <c r="R7" s="1">
        <f>建筑各项能耗拆分!$B$18*建筑各项能耗拆分!R248+建筑各项能耗拆分!$B$18*建筑各项能耗拆分!R235</f>
        <v>0</v>
      </c>
      <c r="S7" s="1">
        <f>建筑各项能耗拆分!$B$18*建筑各项能耗拆分!S248+建筑各项能耗拆分!$B$18*建筑各项能耗拆分!S235</f>
        <v>0</v>
      </c>
      <c r="T7" s="1">
        <f>建筑各项能耗拆分!$B$18*建筑各项能耗拆分!T248+建筑各项能耗拆分!$B$18*建筑各项能耗拆分!T235</f>
        <v>0</v>
      </c>
      <c r="U7" s="1">
        <f>建筑各项能耗拆分!$B$18*建筑各项能耗拆分!U248+建筑各项能耗拆分!$B$18*建筑各项能耗拆分!U235</f>
        <v>0</v>
      </c>
      <c r="V7" s="1">
        <f>建筑各项能耗拆分!$B$18*建筑各项能耗拆分!V248+建筑各项能耗拆分!$B$18*建筑各项能耗拆分!V235</f>
        <v>0</v>
      </c>
      <c r="W7" s="1">
        <f>建筑各项能耗拆分!$B$18*建筑各项能耗拆分!W248+建筑各项能耗拆分!$B$18*建筑各项能耗拆分!W235</f>
        <v>0</v>
      </c>
      <c r="X7" s="1">
        <f>建筑各项能耗拆分!$B$18*建筑各项能耗拆分!X248+建筑各项能耗拆分!$B$18*建筑各项能耗拆分!X235</f>
        <v>0</v>
      </c>
      <c r="Y7" s="1">
        <f>建筑各项能耗拆分!$B$18*建筑各项能耗拆分!Y248+建筑各项能耗拆分!$B$18*建筑各项能耗拆分!Y235</f>
        <v>0</v>
      </c>
      <c r="Z7" s="1">
        <f>建筑各项能耗拆分!$B$18*建筑各项能耗拆分!Z248+建筑各项能耗拆分!$B$18*建筑各项能耗拆分!Z235</f>
        <v>0</v>
      </c>
      <c r="AA7" s="1">
        <f>建筑各项能耗拆分!$B$18*建筑各项能耗拆分!AA248+建筑各项能耗拆分!$B$18*建筑各项能耗拆分!AA235</f>
        <v>0</v>
      </c>
      <c r="AB7" s="1">
        <f>建筑各项能耗拆分!$B$18*建筑各项能耗拆分!AB248+建筑各项能耗拆分!$B$18*建筑各项能耗拆分!AB235</f>
        <v>0</v>
      </c>
      <c r="AC7" s="1">
        <f>建筑各项能耗拆分!$B$18*建筑各项能耗拆分!AC248+建筑各项能耗拆分!$B$18*建筑各项能耗拆分!AC235</f>
        <v>0</v>
      </c>
      <c r="AD7" s="1">
        <f>建筑各项能耗拆分!$B$18*建筑各项能耗拆分!AD248+建筑各项能耗拆分!$B$18*建筑各项能耗拆分!AD235</f>
        <v>0</v>
      </c>
      <c r="AE7" s="1">
        <f>建筑各项能耗拆分!$B$18*建筑各项能耗拆分!AE248+建筑各项能耗拆分!$B$18*建筑各项能耗拆分!AE235</f>
        <v>0</v>
      </c>
      <c r="AF7" s="1">
        <f>建筑各项能耗拆分!$B$18*建筑各项能耗拆分!AF248+建筑各项能耗拆分!$B$18*建筑各项能耗拆分!AF235</f>
        <v>0</v>
      </c>
      <c r="AG7" s="1">
        <f>建筑各项能耗拆分!$B$18*建筑各项能耗拆分!AG248+建筑各项能耗拆分!$B$18*建筑各项能耗拆分!AG235</f>
        <v>0</v>
      </c>
      <c r="AH7" s="1">
        <f>建筑各项能耗拆分!$B$18*建筑各项能耗拆分!AH248+建筑各项能耗拆分!$B$18*建筑各项能耗拆分!AH235</f>
        <v>0</v>
      </c>
      <c r="AI7" s="1">
        <f>建筑各项能耗拆分!$B$18*建筑各项能耗拆分!AI248+建筑各项能耗拆分!$B$18*建筑各项能耗拆分!AI235</f>
        <v>0</v>
      </c>
      <c r="AJ7" s="1">
        <f>建筑各项能耗拆分!$B$18*建筑各项能耗拆分!AJ248+建筑各项能耗拆分!$B$18*建筑各项能耗拆分!AJ235</f>
        <v>0</v>
      </c>
      <c r="AK7" s="1">
        <f>建筑各项能耗拆分!$B$18*建筑各项能耗拆分!AK248+建筑各项能耗拆分!$B$18*建筑各项能耗拆分!AK235</f>
        <v>0</v>
      </c>
      <c r="AL7" s="1">
        <f>建筑各项能耗拆分!$B$18*建筑各项能耗拆分!AL248+建筑各项能耗拆分!$B$18*建筑各项能耗拆分!AL235</f>
        <v>0</v>
      </c>
      <c r="AM7" s="1">
        <f>建筑各项能耗拆分!$B$18*建筑各项能耗拆分!AM248+建筑各项能耗拆分!$B$18*建筑各项能耗拆分!AM235</f>
        <v>0</v>
      </c>
      <c r="AN7" s="1">
        <f>建筑各项能耗拆分!$B$18*建筑各项能耗拆分!AN248+建筑各项能耗拆分!$B$18*建筑各项能耗拆分!AN235</f>
        <v>0</v>
      </c>
      <c r="AO7" s="1">
        <f>建筑各项能耗拆分!$B$18*建筑各项能耗拆分!AO248+建筑各项能耗拆分!$B$18*建筑各项能耗拆分!AO235</f>
        <v>0</v>
      </c>
      <c r="AP7" s="1">
        <f>建筑各项能耗拆分!$B$18*建筑各项能耗拆分!AP248+建筑各项能耗拆分!$B$18*建筑各项能耗拆分!AP235</f>
        <v>0</v>
      </c>
      <c r="AQ7" s="1">
        <f>建筑各项能耗拆分!$B$18*建筑各项能耗拆分!AQ248+建筑各项能耗拆分!$B$18*建筑各项能耗拆分!AQ235</f>
        <v>0</v>
      </c>
      <c r="AR7" s="1">
        <f>建筑各项能耗拆分!$B$18*建筑各项能耗拆分!AR248+建筑各项能耗拆分!$B$18*建筑各项能耗拆分!AR235</f>
        <v>0</v>
      </c>
    </row>
    <row r="8" spans="1:44" x14ac:dyDescent="0.15">
      <c r="A8" t="s">
        <v>6</v>
      </c>
      <c r="B8" s="1">
        <f>建筑各项能耗拆分!$B$18*建筑各项能耗拆分!B249+建筑各项能耗拆分!$B$18*建筑各项能耗拆分!B236</f>
        <v>0</v>
      </c>
      <c r="C8" s="1">
        <f>建筑各项能耗拆分!$B$18*建筑各项能耗拆分!C249+建筑各项能耗拆分!$B$18*建筑各项能耗拆分!C236</f>
        <v>0</v>
      </c>
      <c r="D8" s="1">
        <f>建筑各项能耗拆分!$B$18*建筑各项能耗拆分!D249+建筑各项能耗拆分!$B$18*建筑各项能耗拆分!D236</f>
        <v>0</v>
      </c>
      <c r="E8" s="1">
        <f>建筑各项能耗拆分!$B$18*建筑各项能耗拆分!E249+建筑各项能耗拆分!$B$18*建筑各项能耗拆分!E236</f>
        <v>0</v>
      </c>
      <c r="F8" s="1">
        <f>建筑各项能耗拆分!$B$18*建筑各项能耗拆分!F249+建筑各项能耗拆分!$B$18*建筑各项能耗拆分!F236</f>
        <v>0</v>
      </c>
      <c r="G8" s="1">
        <f>建筑各项能耗拆分!$B$18*建筑各项能耗拆分!G249+建筑各项能耗拆分!$B$18*建筑各项能耗拆分!G236</f>
        <v>0</v>
      </c>
      <c r="H8" s="1">
        <f>建筑各项能耗拆分!$B$18*建筑各项能耗拆分!H249+建筑各项能耗拆分!$B$18*建筑各项能耗拆分!H236</f>
        <v>0</v>
      </c>
      <c r="I8" s="1">
        <f>建筑各项能耗拆分!$B$18*建筑各项能耗拆分!I249+建筑各项能耗拆分!$B$18*建筑各项能耗拆分!I236</f>
        <v>0</v>
      </c>
      <c r="J8" s="1">
        <f>建筑各项能耗拆分!$B$18*建筑各项能耗拆分!J249+建筑各项能耗拆分!$B$18*建筑各项能耗拆分!J236</f>
        <v>0</v>
      </c>
      <c r="K8" s="1">
        <f>建筑各项能耗拆分!$B$18*建筑各项能耗拆分!K249+建筑各项能耗拆分!$B$18*建筑各项能耗拆分!K236</f>
        <v>0</v>
      </c>
      <c r="L8" s="1">
        <f>建筑各项能耗拆分!$B$18*建筑各项能耗拆分!L249+建筑各项能耗拆分!$B$18*建筑各项能耗拆分!L236</f>
        <v>0</v>
      </c>
      <c r="M8" s="1">
        <f>建筑各项能耗拆分!$B$18*建筑各项能耗拆分!M249+建筑各项能耗拆分!$B$18*建筑各项能耗拆分!M236</f>
        <v>0</v>
      </c>
      <c r="N8" s="1">
        <f>建筑各项能耗拆分!$B$18*建筑各项能耗拆分!N249+建筑各项能耗拆分!$B$18*建筑各项能耗拆分!N236</f>
        <v>0</v>
      </c>
      <c r="O8" s="1">
        <f>建筑各项能耗拆分!$B$18*建筑各项能耗拆分!O249+建筑各项能耗拆分!$B$18*建筑各项能耗拆分!O236</f>
        <v>0</v>
      </c>
      <c r="P8" s="1">
        <f>建筑各项能耗拆分!$B$18*建筑各项能耗拆分!P249+建筑各项能耗拆分!$B$18*建筑各项能耗拆分!P236</f>
        <v>0</v>
      </c>
      <c r="Q8" s="1">
        <f>建筑各项能耗拆分!$B$18*建筑各项能耗拆分!Q249+建筑各项能耗拆分!$B$18*建筑各项能耗拆分!Q236</f>
        <v>0</v>
      </c>
      <c r="R8" s="1">
        <f>建筑各项能耗拆分!$B$18*建筑各项能耗拆分!R249+建筑各项能耗拆分!$B$18*建筑各项能耗拆分!R236</f>
        <v>0</v>
      </c>
      <c r="S8" s="1">
        <f>建筑各项能耗拆分!$B$18*建筑各项能耗拆分!S249+建筑各项能耗拆分!$B$18*建筑各项能耗拆分!S236</f>
        <v>0</v>
      </c>
      <c r="T8" s="1">
        <f>建筑各项能耗拆分!$B$18*建筑各项能耗拆分!T249+建筑各项能耗拆分!$B$18*建筑各项能耗拆分!T236</f>
        <v>0</v>
      </c>
      <c r="U8" s="1">
        <f>建筑各项能耗拆分!$B$18*建筑各项能耗拆分!U249+建筑各项能耗拆分!$B$18*建筑各项能耗拆分!U236</f>
        <v>0</v>
      </c>
      <c r="V8" s="1">
        <f>建筑各项能耗拆分!$B$18*建筑各项能耗拆分!V249+建筑各项能耗拆分!$B$18*建筑各项能耗拆分!V236</f>
        <v>0</v>
      </c>
      <c r="W8" s="1">
        <f>建筑各项能耗拆分!$B$18*建筑各项能耗拆分!W249+建筑各项能耗拆分!$B$18*建筑各项能耗拆分!W236</f>
        <v>0</v>
      </c>
      <c r="X8" s="1">
        <f>建筑各项能耗拆分!$B$18*建筑各项能耗拆分!X249+建筑各项能耗拆分!$B$18*建筑各项能耗拆分!X236</f>
        <v>0</v>
      </c>
      <c r="Y8" s="1">
        <f>建筑各项能耗拆分!$B$18*建筑各项能耗拆分!Y249+建筑各项能耗拆分!$B$18*建筑各项能耗拆分!Y236</f>
        <v>0</v>
      </c>
      <c r="Z8" s="1">
        <f>建筑各项能耗拆分!$B$18*建筑各项能耗拆分!Z249+建筑各项能耗拆分!$B$18*建筑各项能耗拆分!Z236</f>
        <v>0</v>
      </c>
      <c r="AA8" s="1">
        <f>建筑各项能耗拆分!$B$18*建筑各项能耗拆分!AA249+建筑各项能耗拆分!$B$18*建筑各项能耗拆分!AA236</f>
        <v>0</v>
      </c>
      <c r="AB8" s="1">
        <f>建筑各项能耗拆分!$B$18*建筑各项能耗拆分!AB249+建筑各项能耗拆分!$B$18*建筑各项能耗拆分!AB236</f>
        <v>0</v>
      </c>
      <c r="AC8" s="1">
        <f>建筑各项能耗拆分!$B$18*建筑各项能耗拆分!AC249+建筑各项能耗拆分!$B$18*建筑各项能耗拆分!AC236</f>
        <v>0</v>
      </c>
      <c r="AD8" s="1">
        <f>建筑各项能耗拆分!$B$18*建筑各项能耗拆分!AD249+建筑各项能耗拆分!$B$18*建筑各项能耗拆分!AD236</f>
        <v>0</v>
      </c>
      <c r="AE8" s="1">
        <f>建筑各项能耗拆分!$B$18*建筑各项能耗拆分!AE249+建筑各项能耗拆分!$B$18*建筑各项能耗拆分!AE236</f>
        <v>0</v>
      </c>
      <c r="AF8" s="1">
        <f>建筑各项能耗拆分!$B$18*建筑各项能耗拆分!AF249+建筑各项能耗拆分!$B$18*建筑各项能耗拆分!AF236</f>
        <v>0</v>
      </c>
      <c r="AG8" s="1">
        <f>建筑各项能耗拆分!$B$18*建筑各项能耗拆分!AG249+建筑各项能耗拆分!$B$18*建筑各项能耗拆分!AG236</f>
        <v>0</v>
      </c>
      <c r="AH8" s="1">
        <f>建筑各项能耗拆分!$B$18*建筑各项能耗拆分!AH249+建筑各项能耗拆分!$B$18*建筑各项能耗拆分!AH236</f>
        <v>0</v>
      </c>
      <c r="AI8" s="1">
        <f>建筑各项能耗拆分!$B$18*建筑各项能耗拆分!AI249+建筑各项能耗拆分!$B$18*建筑各项能耗拆分!AI236</f>
        <v>0</v>
      </c>
      <c r="AJ8" s="1">
        <f>建筑各项能耗拆分!$B$18*建筑各项能耗拆分!AJ249+建筑各项能耗拆分!$B$18*建筑各项能耗拆分!AJ236</f>
        <v>0</v>
      </c>
      <c r="AK8" s="1">
        <f>建筑各项能耗拆分!$B$18*建筑各项能耗拆分!AK249+建筑各项能耗拆分!$B$18*建筑各项能耗拆分!AK236</f>
        <v>0</v>
      </c>
      <c r="AL8" s="1">
        <f>建筑各项能耗拆分!$B$18*建筑各项能耗拆分!AL249+建筑各项能耗拆分!$B$18*建筑各项能耗拆分!AL236</f>
        <v>0</v>
      </c>
      <c r="AM8" s="1">
        <f>建筑各项能耗拆分!$B$18*建筑各项能耗拆分!AM249+建筑各项能耗拆分!$B$18*建筑各项能耗拆分!AM236</f>
        <v>0</v>
      </c>
      <c r="AN8" s="1">
        <f>建筑各项能耗拆分!$B$18*建筑各项能耗拆分!AN249+建筑各项能耗拆分!$B$18*建筑各项能耗拆分!AN236</f>
        <v>0</v>
      </c>
      <c r="AO8" s="1">
        <f>建筑各项能耗拆分!$B$18*建筑各项能耗拆分!AO249+建筑各项能耗拆分!$B$18*建筑各项能耗拆分!AO236</f>
        <v>0</v>
      </c>
      <c r="AP8" s="1">
        <f>建筑各项能耗拆分!$B$18*建筑各项能耗拆分!AP249+建筑各项能耗拆分!$B$18*建筑各项能耗拆分!AP236</f>
        <v>0</v>
      </c>
      <c r="AQ8" s="1">
        <f>建筑各项能耗拆分!$B$18*建筑各项能耗拆分!AQ249+建筑各项能耗拆分!$B$18*建筑各项能耗拆分!AQ236</f>
        <v>0</v>
      </c>
      <c r="AR8" s="1">
        <f>建筑各项能耗拆分!$B$18*建筑各项能耗拆分!AR249+建筑各项能耗拆分!$B$18*建筑各项能耗拆分!AR236</f>
        <v>0</v>
      </c>
    </row>
    <row r="9" spans="1:44" x14ac:dyDescent="0.15">
      <c r="A9" t="s">
        <v>7</v>
      </c>
      <c r="B9" s="1">
        <f>建筑各项能耗拆分!$B$18*建筑各项能耗拆分!B250+建筑各项能耗拆分!$B$18*建筑各项能耗拆分!B237</f>
        <v>0</v>
      </c>
      <c r="C9" s="1">
        <f>建筑各项能耗拆分!$B$18*建筑各项能耗拆分!C250+建筑各项能耗拆分!$B$18*建筑各项能耗拆分!C237</f>
        <v>0</v>
      </c>
      <c r="D9" s="1">
        <f>建筑各项能耗拆分!$B$18*建筑各项能耗拆分!D250+建筑各项能耗拆分!$B$18*建筑各项能耗拆分!D237</f>
        <v>0</v>
      </c>
      <c r="E9" s="1">
        <f>建筑各项能耗拆分!$B$18*建筑各项能耗拆分!E250+建筑各项能耗拆分!$B$18*建筑各项能耗拆分!E237</f>
        <v>0</v>
      </c>
      <c r="F9" s="1">
        <f>建筑各项能耗拆分!$B$18*建筑各项能耗拆分!F250+建筑各项能耗拆分!$B$18*建筑各项能耗拆分!F237</f>
        <v>0</v>
      </c>
      <c r="G9" s="1">
        <f>建筑各项能耗拆分!$B$18*建筑各项能耗拆分!G250+建筑各项能耗拆分!$B$18*建筑各项能耗拆分!G237</f>
        <v>0</v>
      </c>
      <c r="H9" s="1">
        <f>建筑各项能耗拆分!$B$18*建筑各项能耗拆分!H250+建筑各项能耗拆分!$B$18*建筑各项能耗拆分!H237</f>
        <v>0</v>
      </c>
      <c r="I9" s="1">
        <f>建筑各项能耗拆分!$B$18*建筑各项能耗拆分!I250+建筑各项能耗拆分!$B$18*建筑各项能耗拆分!I237</f>
        <v>0</v>
      </c>
      <c r="J9" s="1">
        <f>建筑各项能耗拆分!$B$18*建筑各项能耗拆分!J250+建筑各项能耗拆分!$B$18*建筑各项能耗拆分!J237</f>
        <v>0</v>
      </c>
      <c r="K9" s="1">
        <f>建筑各项能耗拆分!$B$18*建筑各项能耗拆分!K250+建筑各项能耗拆分!$B$18*建筑各项能耗拆分!K237</f>
        <v>0</v>
      </c>
      <c r="L9" s="1">
        <f>建筑各项能耗拆分!$B$18*建筑各项能耗拆分!L250+建筑各项能耗拆分!$B$18*建筑各项能耗拆分!L237</f>
        <v>0</v>
      </c>
      <c r="M9" s="1">
        <f>建筑各项能耗拆分!$B$18*建筑各项能耗拆分!M250+建筑各项能耗拆分!$B$18*建筑各项能耗拆分!M237</f>
        <v>0</v>
      </c>
      <c r="N9" s="1">
        <f>建筑各项能耗拆分!$B$18*建筑各项能耗拆分!N250+建筑各项能耗拆分!$B$18*建筑各项能耗拆分!N237</f>
        <v>0</v>
      </c>
      <c r="O9" s="1">
        <f>建筑各项能耗拆分!$B$18*建筑各项能耗拆分!O250+建筑各项能耗拆分!$B$18*建筑各项能耗拆分!O237</f>
        <v>0</v>
      </c>
      <c r="P9" s="1">
        <f>建筑各项能耗拆分!$B$18*建筑各项能耗拆分!P250+建筑各项能耗拆分!$B$18*建筑各项能耗拆分!P237</f>
        <v>0</v>
      </c>
      <c r="Q9" s="1">
        <f>建筑各项能耗拆分!$B$18*建筑各项能耗拆分!Q250+建筑各项能耗拆分!$B$18*建筑各项能耗拆分!Q237</f>
        <v>0</v>
      </c>
      <c r="R9" s="1">
        <f>建筑各项能耗拆分!$B$18*建筑各项能耗拆分!R250+建筑各项能耗拆分!$B$18*建筑各项能耗拆分!R237</f>
        <v>0</v>
      </c>
      <c r="S9" s="1">
        <f>建筑各项能耗拆分!$B$18*建筑各项能耗拆分!S250+建筑各项能耗拆分!$B$18*建筑各项能耗拆分!S237</f>
        <v>0</v>
      </c>
      <c r="T9" s="1">
        <f>建筑各项能耗拆分!$B$18*建筑各项能耗拆分!T250+建筑各项能耗拆分!$B$18*建筑各项能耗拆分!T237</f>
        <v>0</v>
      </c>
      <c r="U9" s="1">
        <f>建筑各项能耗拆分!$B$18*建筑各项能耗拆分!U250+建筑各项能耗拆分!$B$18*建筑各项能耗拆分!U237</f>
        <v>0</v>
      </c>
      <c r="V9" s="1">
        <f>建筑各项能耗拆分!$B$18*建筑各项能耗拆分!V250+建筑各项能耗拆分!$B$18*建筑各项能耗拆分!V237</f>
        <v>0</v>
      </c>
      <c r="W9" s="1">
        <f>建筑各项能耗拆分!$B$18*建筑各项能耗拆分!W250+建筑各项能耗拆分!$B$18*建筑各项能耗拆分!W237</f>
        <v>0</v>
      </c>
      <c r="X9" s="1">
        <f>建筑各项能耗拆分!$B$18*建筑各项能耗拆分!X250+建筑各项能耗拆分!$B$18*建筑各项能耗拆分!X237</f>
        <v>0</v>
      </c>
      <c r="Y9" s="1">
        <f>建筑各项能耗拆分!$B$18*建筑各项能耗拆分!Y250+建筑各项能耗拆分!$B$18*建筑各项能耗拆分!Y237</f>
        <v>0</v>
      </c>
      <c r="Z9" s="1">
        <f>建筑各项能耗拆分!$B$18*建筑各项能耗拆分!Z250+建筑各项能耗拆分!$B$18*建筑各项能耗拆分!Z237</f>
        <v>0</v>
      </c>
      <c r="AA9" s="1">
        <f>建筑各项能耗拆分!$B$18*建筑各项能耗拆分!AA250+建筑各项能耗拆分!$B$18*建筑各项能耗拆分!AA237</f>
        <v>0</v>
      </c>
      <c r="AB9" s="1">
        <f>建筑各项能耗拆分!$B$18*建筑各项能耗拆分!AB250+建筑各项能耗拆分!$B$18*建筑各项能耗拆分!AB237</f>
        <v>0</v>
      </c>
      <c r="AC9" s="1">
        <f>建筑各项能耗拆分!$B$18*建筑各项能耗拆分!AC250+建筑各项能耗拆分!$B$18*建筑各项能耗拆分!AC237</f>
        <v>0</v>
      </c>
      <c r="AD9" s="1">
        <f>建筑各项能耗拆分!$B$18*建筑各项能耗拆分!AD250+建筑各项能耗拆分!$B$18*建筑各项能耗拆分!AD237</f>
        <v>0</v>
      </c>
      <c r="AE9" s="1">
        <f>建筑各项能耗拆分!$B$18*建筑各项能耗拆分!AE250+建筑各项能耗拆分!$B$18*建筑各项能耗拆分!AE237</f>
        <v>0</v>
      </c>
      <c r="AF9" s="1">
        <f>建筑各项能耗拆分!$B$18*建筑各项能耗拆分!AF250+建筑各项能耗拆分!$B$18*建筑各项能耗拆分!AF237</f>
        <v>0</v>
      </c>
      <c r="AG9" s="1">
        <f>建筑各项能耗拆分!$B$18*建筑各项能耗拆分!AG250+建筑各项能耗拆分!$B$18*建筑各项能耗拆分!AG237</f>
        <v>0</v>
      </c>
      <c r="AH9" s="1">
        <f>建筑各项能耗拆分!$B$18*建筑各项能耗拆分!AH250+建筑各项能耗拆分!$B$18*建筑各项能耗拆分!AH237</f>
        <v>0</v>
      </c>
      <c r="AI9" s="1">
        <f>建筑各项能耗拆分!$B$18*建筑各项能耗拆分!AI250+建筑各项能耗拆分!$B$18*建筑各项能耗拆分!AI237</f>
        <v>0</v>
      </c>
      <c r="AJ9" s="1">
        <f>建筑各项能耗拆分!$B$18*建筑各项能耗拆分!AJ250+建筑各项能耗拆分!$B$18*建筑各项能耗拆分!AJ237</f>
        <v>0</v>
      </c>
      <c r="AK9" s="1">
        <f>建筑各项能耗拆分!$B$18*建筑各项能耗拆分!AK250+建筑各项能耗拆分!$B$18*建筑各项能耗拆分!AK237</f>
        <v>0</v>
      </c>
      <c r="AL9" s="1">
        <f>建筑各项能耗拆分!$B$18*建筑各项能耗拆分!AL250+建筑各项能耗拆分!$B$18*建筑各项能耗拆分!AL237</f>
        <v>0</v>
      </c>
      <c r="AM9" s="1">
        <f>建筑各项能耗拆分!$B$18*建筑各项能耗拆分!AM250+建筑各项能耗拆分!$B$18*建筑各项能耗拆分!AM237</f>
        <v>0</v>
      </c>
      <c r="AN9" s="1">
        <f>建筑各项能耗拆分!$B$18*建筑各项能耗拆分!AN250+建筑各项能耗拆分!$B$18*建筑各项能耗拆分!AN237</f>
        <v>0</v>
      </c>
      <c r="AO9" s="1">
        <f>建筑各项能耗拆分!$B$18*建筑各项能耗拆分!AO250+建筑各项能耗拆分!$B$18*建筑各项能耗拆分!AO237</f>
        <v>0</v>
      </c>
      <c r="AP9" s="1">
        <f>建筑各项能耗拆分!$B$18*建筑各项能耗拆分!AP250+建筑各项能耗拆分!$B$18*建筑各项能耗拆分!AP237</f>
        <v>0</v>
      </c>
      <c r="AQ9" s="1">
        <f>建筑各项能耗拆分!$B$18*建筑各项能耗拆分!AQ250+建筑各项能耗拆分!$B$18*建筑各项能耗拆分!AQ237</f>
        <v>0</v>
      </c>
      <c r="AR9" s="1">
        <f>建筑各项能耗拆分!$B$18*建筑各项能耗拆分!AR250+建筑各项能耗拆分!$B$18*建筑各项能耗拆分!AR237</f>
        <v>0</v>
      </c>
    </row>
    <row r="10" spans="1:44" x14ac:dyDescent="0.15">
      <c r="A10" t="s">
        <v>8</v>
      </c>
      <c r="B10" s="1">
        <f>建筑各项能耗拆分!$B$18*建筑各项能耗拆分!B251+建筑各项能耗拆分!$B$18*建筑各项能耗拆分!B238</f>
        <v>222156418854036.69</v>
      </c>
      <c r="C10" s="1">
        <f>建筑各项能耗拆分!$B$18*建筑各项能耗拆分!C251+建筑各项能耗拆分!$B$18*建筑各项能耗拆分!C238</f>
        <v>225068145435705.38</v>
      </c>
      <c r="D10" s="1">
        <f>建筑各项能耗拆分!$B$18*建筑各项能耗拆分!D251+建筑各项能耗拆分!$B$18*建筑各项能耗拆分!D238</f>
        <v>229049295036370.88</v>
      </c>
      <c r="E10" s="1">
        <f>建筑各项能耗拆分!$B$18*建筑各项能耗拆分!E251+建筑各项能耗拆分!$B$18*建筑各项能耗拆分!E238</f>
        <v>230878068499672.25</v>
      </c>
      <c r="F10" s="1">
        <f>建筑各项能耗拆分!$B$18*建筑各项能耗拆分!F251+建筑各项能耗拆分!$B$18*建筑各项能耗拆分!F238</f>
        <v>232652277484724.72</v>
      </c>
      <c r="G10" s="1">
        <f>建筑各项能耗拆分!$B$18*建筑各项能耗拆分!G251+建筑各项能耗拆分!$B$18*建筑各项能耗拆分!G238</f>
        <v>234370706954002.13</v>
      </c>
      <c r="H10" s="1">
        <f>建筑各项能耗拆分!$B$18*建筑各项能耗拆分!H251+建筑各项能耗拆分!$B$18*建筑各项能耗拆分!H238</f>
        <v>236032256833598.31</v>
      </c>
      <c r="I10" s="1">
        <f>建筑各项能耗拆分!$B$18*建筑各项能耗拆分!I251+建筑各项能耗拆分!$B$18*建筑各项能耗拆分!I238</f>
        <v>237635959537194.16</v>
      </c>
      <c r="J10" s="1">
        <f>建筑各项能耗拆分!$B$18*建筑各项能耗拆分!J251+建筑各项能耗拆分!$B$18*建筑各项能耗拆分!J238</f>
        <v>239180971715763.88</v>
      </c>
      <c r="K10" s="1">
        <f>建筑各项能耗拆分!$B$18*建筑各项能耗拆分!K251+建筑各项能耗拆分!$B$18*建筑各项能耗拆分!K238</f>
        <v>240666599137392.69</v>
      </c>
      <c r="L10" s="1">
        <f>建筑各项能耗拆分!$B$18*建筑各项能耗拆分!L251+建筑各项能耗拆分!$B$18*建筑各项能耗拆分!L238</f>
        <v>242092288895758.88</v>
      </c>
      <c r="M10" s="1">
        <f>建筑各项能耗拆分!$B$18*建筑各项能耗拆分!M251+建筑各项能耗拆分!$B$18*建筑各项能耗拆分!M238</f>
        <v>243457646301326.78</v>
      </c>
      <c r="N10" s="1">
        <f>建筑各项能耗拆分!$B$18*建筑各项能耗拆分!N251+建筑各项能耗拆分!$B$18*建筑各项能耗拆分!N238</f>
        <v>244762440869173.56</v>
      </c>
      <c r="O10" s="1">
        <f>建筑各项能耗拆分!$B$18*建筑各项能耗拆分!O251+建筑各项能耗拆分!$B$18*建筑各项能耗拆分!O238</f>
        <v>246006610837866.25</v>
      </c>
      <c r="P10" s="1">
        <f>建筑各项能耗拆分!$B$18*建筑各项能耗拆分!P251+建筑各项能耗拆分!$B$18*建筑各项能耗拆分!P238</f>
        <v>247190281633104.56</v>
      </c>
      <c r="Q10" s="1">
        <f>建筑各项能耗拆分!$B$18*建筑各项能耗拆分!Q251+建筑各项能耗拆分!$B$18*建筑各项能耗拆分!Q238</f>
        <v>248313761341440.72</v>
      </c>
      <c r="R10" s="1">
        <f>建筑各项能耗拆分!$B$18*建筑各项能耗拆分!R251+建筑各项能耗拆分!$B$18*建筑各项能耗拆分!R238</f>
        <v>249377561365625.56</v>
      </c>
      <c r="S10" s="1">
        <f>建筑各项能耗拆分!$B$18*建筑各项能耗拆分!S251+建筑各项能耗拆分!$B$18*建筑各项能耗拆分!S238</f>
        <v>250382398654248.84</v>
      </c>
      <c r="T10" s="1">
        <f>建筑各项能耗拆分!$B$18*建筑各项能耗拆分!T251+建筑各项能耗拆分!$B$18*建筑各项能耗拆分!T238</f>
        <v>251329208470995.59</v>
      </c>
      <c r="U10" s="1">
        <f>建筑各项能耗拆分!$B$18*建筑各项能耗拆分!U251+建筑各项能耗拆分!$B$18*建筑各项能耗拆分!U238</f>
        <v>252219157053517.63</v>
      </c>
      <c r="V10" s="1">
        <f>建筑各项能耗拆分!$B$18*建筑各项能耗拆分!V251+建筑各项能耗拆分!$B$18*建筑各项能耗拆分!V238</f>
        <v>253053642569964.31</v>
      </c>
      <c r="W10" s="1">
        <f>建筑各项能耗拆分!$B$18*建筑各项能耗拆分!W251+建筑各项能耗拆分!$B$18*建筑各项能耗拆分!W238</f>
        <v>253834315334781.53</v>
      </c>
      <c r="X10" s="1">
        <f>建筑各项能耗拆分!$B$18*建筑各项能耗拆分!X251+建筑各项能耗拆分!$B$18*建筑各项能耗拆分!X238</f>
        <v>254563085661785.06</v>
      </c>
      <c r="Y10" s="1">
        <f>建筑各项能耗拆分!$B$18*建筑各项能耗拆分!Y251+建筑各项能耗拆分!$B$18*建筑各项能耗拆分!Y238</f>
        <v>255242135855933.5</v>
      </c>
      <c r="Z10" s="1">
        <f>建筑各项能耗拆分!$B$18*建筑各项能耗拆分!Z251+建筑各项能耗拆分!$B$18*建筑各项能耗拆分!Z238</f>
        <v>255873926485895.13</v>
      </c>
      <c r="AA10" s="1">
        <f>建筑各项能耗拆分!$B$18*建筑各项能耗拆分!AA251+建筑各项能耗拆分!$B$18*建筑各项能耗拆分!AA238</f>
        <v>256461212404701.63</v>
      </c>
      <c r="AB10" s="1">
        <f>建筑各项能耗拆分!$B$18*建筑各项能耗拆分!AB251+建筑各项能耗拆分!$B$18*建筑各项能耗拆分!AB238</f>
        <v>257007060681602.19</v>
      </c>
      <c r="AC10" s="1">
        <f>建筑各项能耗拆分!$B$18*建筑各项能耗拆分!AC251+建筑各项能耗拆分!$B$18*建筑各项能耗拆分!AC238</f>
        <v>257514851946990.34</v>
      </c>
      <c r="AD10" s="1">
        <f>建筑各项能耗拆分!$B$18*建筑各项能耗拆分!AD251+建筑各项能耗拆分!$B$18*建筑各项能耗拆分!AD238</f>
        <v>257988296205102.81</v>
      </c>
      <c r="AE10" s="1">
        <f>建筑各项能耗拆分!$B$18*建筑各项能耗拆分!AE251+建筑各项能耗拆分!$B$18*建筑各项能耗拆分!AE238</f>
        <v>258431458311784.09</v>
      </c>
      <c r="AF10" s="1">
        <f>建筑各项能耗拆分!$B$18*建筑各项能耗拆分!AF251+建筑各项能耗拆分!$B$18*建筑各项能耗拆分!AF238</f>
        <v>258848753353143.56</v>
      </c>
      <c r="AG10" s="1">
        <f>建筑各项能耗拆分!$B$18*建筑各项能耗拆分!AG251+建筑各项能耗拆分!$B$18*建筑各项能耗拆分!AG238</f>
        <v>259244970487926.97</v>
      </c>
      <c r="AH10" s="1">
        <f>建筑各项能耗拆分!$B$18*建筑各项能耗拆分!AH251+建筑各项能耗拆分!$B$18*建筑各项能耗拆分!AH238</f>
        <v>259625291604009.56</v>
      </c>
      <c r="AI10" s="1">
        <f>建筑各项能耗拆分!$B$18*建筑各项能耗拆分!AI251+建筑各项能耗拆分!$B$18*建筑各项能耗拆分!AI238</f>
        <v>259995291506445.72</v>
      </c>
      <c r="AJ10" s="1">
        <f>建筑各项能耗拆分!$B$18*建筑各项能耗拆分!AJ251+建筑各项能耗拆分!$B$18*建筑各项能耗拆分!AJ238</f>
        <v>260360973570485.84</v>
      </c>
      <c r="AK10" s="1">
        <f>建筑各项能耗拆分!$B$18*建筑各项能耗拆分!AK251+建筑各项能耗拆分!$B$18*建筑各项能耗拆分!AK238</f>
        <v>260728761619106.81</v>
      </c>
      <c r="AL10" s="1">
        <f>建筑各项能耗拆分!$B$18*建筑各项能耗拆分!AL251+建筑各项能耗拆分!$B$18*建筑各项能耗拆分!AL238</f>
        <v>261105539430716.81</v>
      </c>
      <c r="AM10" s="1">
        <f>建筑各项能耗拆分!$B$18*建筑各项能耗拆分!AM251+建筑各项能耗拆分!$B$18*建筑各项能耗拆分!AM238</f>
        <v>261498652563029.81</v>
      </c>
      <c r="AN10" s="1">
        <f>建筑各项能耗拆分!$B$18*建筑各项能耗拆分!AN251+建筑各项能耗拆分!$B$18*建筑各项能耗拆分!AN238</f>
        <v>261915928225950.63</v>
      </c>
      <c r="AO10" s="1">
        <f>建筑各项能耗拆分!$B$18*建筑各项能耗拆分!AO251+建筑各项能耗拆分!$B$18*建筑各项能耗拆分!AO238</f>
        <v>262365693423455.34</v>
      </c>
      <c r="AP10" s="1">
        <f>建筑各项能耗拆分!$B$18*建筑各项能耗拆分!AP251+建筑各项能耗拆分!$B$18*建筑各项能耗拆分!AP238</f>
        <v>262856793611601.5</v>
      </c>
      <c r="AQ10" s="1">
        <f>建筑各项能耗拆分!$B$18*建筑各项能耗拆分!AQ251+建筑各项能耗拆分!$B$18*建筑各项能耗拆分!AQ238</f>
        <v>263398616294729.56</v>
      </c>
      <c r="AR10" s="1">
        <f>建筑各项能耗拆分!$B$18*建筑各项能耗拆分!AR251+建筑各项能耗拆分!$B$18*建筑各项能耗拆分!AR238</f>
        <v>264001096542110.91</v>
      </c>
    </row>
    <row r="11" spans="1:44" x14ac:dyDescent="0.15">
      <c r="A11" t="s">
        <v>9</v>
      </c>
      <c r="B11" s="1">
        <f>建筑各项能耗拆分!$B$18*建筑各项能耗拆分!B252+建筑各项能耗拆分!$B$18*建筑各项能耗拆分!B239</f>
        <v>0</v>
      </c>
      <c r="C11" s="1">
        <f>建筑各项能耗拆分!$B$18*建筑各项能耗拆分!C252+建筑各项能耗拆分!$B$18*建筑各项能耗拆分!C239</f>
        <v>0</v>
      </c>
      <c r="D11" s="1">
        <f>建筑各项能耗拆分!$B$18*建筑各项能耗拆分!D252+建筑各项能耗拆分!$B$18*建筑各项能耗拆分!D239</f>
        <v>0</v>
      </c>
      <c r="E11" s="1">
        <f>建筑各项能耗拆分!$B$18*建筑各项能耗拆分!E252+建筑各项能耗拆分!$B$18*建筑各项能耗拆分!E239</f>
        <v>0</v>
      </c>
      <c r="F11" s="1">
        <f>建筑各项能耗拆分!$B$18*建筑各项能耗拆分!F252+建筑各项能耗拆分!$B$18*建筑各项能耗拆分!F239</f>
        <v>0</v>
      </c>
      <c r="G11" s="1">
        <f>建筑各项能耗拆分!$B$18*建筑各项能耗拆分!G252+建筑各项能耗拆分!$B$18*建筑各项能耗拆分!G239</f>
        <v>0</v>
      </c>
      <c r="H11" s="1">
        <f>建筑各项能耗拆分!$B$18*建筑各项能耗拆分!H252+建筑各项能耗拆分!$B$18*建筑各项能耗拆分!H239</f>
        <v>0</v>
      </c>
      <c r="I11" s="1">
        <f>建筑各项能耗拆分!$B$18*建筑各项能耗拆分!I252+建筑各项能耗拆分!$B$18*建筑各项能耗拆分!I239</f>
        <v>0</v>
      </c>
      <c r="J11" s="1">
        <f>建筑各项能耗拆分!$B$18*建筑各项能耗拆分!J252+建筑各项能耗拆分!$B$18*建筑各项能耗拆分!J239</f>
        <v>0</v>
      </c>
      <c r="K11" s="1">
        <f>建筑各项能耗拆分!$B$18*建筑各项能耗拆分!K252+建筑各项能耗拆分!$B$18*建筑各项能耗拆分!K239</f>
        <v>0</v>
      </c>
      <c r="L11" s="1">
        <f>建筑各项能耗拆分!$B$18*建筑各项能耗拆分!L252+建筑各项能耗拆分!$B$18*建筑各项能耗拆分!L239</f>
        <v>0</v>
      </c>
      <c r="M11" s="1">
        <f>建筑各项能耗拆分!$B$18*建筑各项能耗拆分!M252+建筑各项能耗拆分!$B$18*建筑各项能耗拆分!M239</f>
        <v>0</v>
      </c>
      <c r="N11" s="1">
        <f>建筑各项能耗拆分!$B$18*建筑各项能耗拆分!N252+建筑各项能耗拆分!$B$18*建筑各项能耗拆分!N239</f>
        <v>0</v>
      </c>
      <c r="O11" s="1">
        <f>建筑各项能耗拆分!$B$18*建筑各项能耗拆分!O252+建筑各项能耗拆分!$B$18*建筑各项能耗拆分!O239</f>
        <v>0</v>
      </c>
      <c r="P11" s="1">
        <f>建筑各项能耗拆分!$B$18*建筑各项能耗拆分!P252+建筑各项能耗拆分!$B$18*建筑各项能耗拆分!P239</f>
        <v>0</v>
      </c>
      <c r="Q11" s="1">
        <f>建筑各项能耗拆分!$B$18*建筑各项能耗拆分!Q252+建筑各项能耗拆分!$B$18*建筑各项能耗拆分!Q239</f>
        <v>0</v>
      </c>
      <c r="R11" s="1">
        <f>建筑各项能耗拆分!$B$18*建筑各项能耗拆分!R252+建筑各项能耗拆分!$B$18*建筑各项能耗拆分!R239</f>
        <v>0</v>
      </c>
      <c r="S11" s="1">
        <f>建筑各项能耗拆分!$B$18*建筑各项能耗拆分!S252+建筑各项能耗拆分!$B$18*建筑各项能耗拆分!S239</f>
        <v>0</v>
      </c>
      <c r="T11" s="1">
        <f>建筑各项能耗拆分!$B$18*建筑各项能耗拆分!T252+建筑各项能耗拆分!$B$18*建筑各项能耗拆分!T239</f>
        <v>0</v>
      </c>
      <c r="U11" s="1">
        <f>建筑各项能耗拆分!$B$18*建筑各项能耗拆分!U252+建筑各项能耗拆分!$B$18*建筑各项能耗拆分!U239</f>
        <v>0</v>
      </c>
      <c r="V11" s="1">
        <f>建筑各项能耗拆分!$B$18*建筑各项能耗拆分!V252+建筑各项能耗拆分!$B$18*建筑各项能耗拆分!V239</f>
        <v>0</v>
      </c>
      <c r="W11" s="1">
        <f>建筑各项能耗拆分!$B$18*建筑各项能耗拆分!W252+建筑各项能耗拆分!$B$18*建筑各项能耗拆分!W239</f>
        <v>0</v>
      </c>
      <c r="X11" s="1">
        <f>建筑各项能耗拆分!$B$18*建筑各项能耗拆分!X252+建筑各项能耗拆分!$B$18*建筑各项能耗拆分!X239</f>
        <v>0</v>
      </c>
      <c r="Y11" s="1">
        <f>建筑各项能耗拆分!$B$18*建筑各项能耗拆分!Y252+建筑各项能耗拆分!$B$18*建筑各项能耗拆分!Y239</f>
        <v>0</v>
      </c>
      <c r="Z11" s="1">
        <f>建筑各项能耗拆分!$B$18*建筑各项能耗拆分!Z252+建筑各项能耗拆分!$B$18*建筑各项能耗拆分!Z239</f>
        <v>0</v>
      </c>
      <c r="AA11" s="1">
        <f>建筑各项能耗拆分!$B$18*建筑各项能耗拆分!AA252+建筑各项能耗拆分!$B$18*建筑各项能耗拆分!AA239</f>
        <v>0</v>
      </c>
      <c r="AB11" s="1">
        <f>建筑各项能耗拆分!$B$18*建筑各项能耗拆分!AB252+建筑各项能耗拆分!$B$18*建筑各项能耗拆分!AB239</f>
        <v>0</v>
      </c>
      <c r="AC11" s="1">
        <f>建筑各项能耗拆分!$B$18*建筑各项能耗拆分!AC252+建筑各项能耗拆分!$B$18*建筑各项能耗拆分!AC239</f>
        <v>0</v>
      </c>
      <c r="AD11" s="1">
        <f>建筑各项能耗拆分!$B$18*建筑各项能耗拆分!AD252+建筑各项能耗拆分!$B$18*建筑各项能耗拆分!AD239</f>
        <v>0</v>
      </c>
      <c r="AE11" s="1">
        <f>建筑各项能耗拆分!$B$18*建筑各项能耗拆分!AE252+建筑各项能耗拆分!$B$18*建筑各项能耗拆分!AE239</f>
        <v>0</v>
      </c>
      <c r="AF11" s="1">
        <f>建筑各项能耗拆分!$B$18*建筑各项能耗拆分!AF252+建筑各项能耗拆分!$B$18*建筑各项能耗拆分!AF239</f>
        <v>0</v>
      </c>
      <c r="AG11" s="1">
        <f>建筑各项能耗拆分!$B$18*建筑各项能耗拆分!AG252+建筑各项能耗拆分!$B$18*建筑各项能耗拆分!AG239</f>
        <v>0</v>
      </c>
      <c r="AH11" s="1">
        <f>建筑各项能耗拆分!$B$18*建筑各项能耗拆分!AH252+建筑各项能耗拆分!$B$18*建筑各项能耗拆分!AH239</f>
        <v>0</v>
      </c>
      <c r="AI11" s="1">
        <f>建筑各项能耗拆分!$B$18*建筑各项能耗拆分!AI252+建筑各项能耗拆分!$B$18*建筑各项能耗拆分!AI239</f>
        <v>0</v>
      </c>
      <c r="AJ11" s="1">
        <f>建筑各项能耗拆分!$B$18*建筑各项能耗拆分!AJ252+建筑各项能耗拆分!$B$18*建筑各项能耗拆分!AJ239</f>
        <v>0</v>
      </c>
      <c r="AK11" s="1">
        <f>建筑各项能耗拆分!$B$18*建筑各项能耗拆分!AK252+建筑各项能耗拆分!$B$18*建筑各项能耗拆分!AK239</f>
        <v>0</v>
      </c>
      <c r="AL11" s="1">
        <f>建筑各项能耗拆分!$B$18*建筑各项能耗拆分!AL252+建筑各项能耗拆分!$B$18*建筑各项能耗拆分!AL239</f>
        <v>0</v>
      </c>
      <c r="AM11" s="1">
        <f>建筑各项能耗拆分!$B$18*建筑各项能耗拆分!AM252+建筑各项能耗拆分!$B$18*建筑各项能耗拆分!AM239</f>
        <v>0</v>
      </c>
      <c r="AN11" s="1">
        <f>建筑各项能耗拆分!$B$18*建筑各项能耗拆分!AN252+建筑各项能耗拆分!$B$18*建筑各项能耗拆分!AN239</f>
        <v>0</v>
      </c>
      <c r="AO11" s="1">
        <f>建筑各项能耗拆分!$B$18*建筑各项能耗拆分!AO252+建筑各项能耗拆分!$B$18*建筑各项能耗拆分!AO239</f>
        <v>0</v>
      </c>
      <c r="AP11" s="1">
        <f>建筑各项能耗拆分!$B$18*建筑各项能耗拆分!AP252+建筑各项能耗拆分!$B$18*建筑各项能耗拆分!AP239</f>
        <v>0</v>
      </c>
      <c r="AQ11" s="1">
        <f>建筑各项能耗拆分!$B$18*建筑各项能耗拆分!AQ252+建筑各项能耗拆分!$B$18*建筑各项能耗拆分!AQ239</f>
        <v>0</v>
      </c>
      <c r="AR11" s="1">
        <f>建筑各项能耗拆分!$B$18*建筑各项能耗拆分!AR252+建筑各项能耗拆分!$B$18*建筑各项能耗拆分!AR239</f>
        <v>0</v>
      </c>
    </row>
    <row r="12" spans="1:44" x14ac:dyDescent="0.15">
      <c r="A12" t="s">
        <v>911</v>
      </c>
      <c r="B12" s="1">
        <f>SUM(B2:B11)</f>
        <v>2733981762310091</v>
      </c>
      <c r="C12" s="1">
        <f t="shared" ref="C12:AR12" si="0">SUM(C2:C11)</f>
        <v>2769815106276380</v>
      </c>
      <c r="D12" s="1">
        <f t="shared" si="0"/>
        <v>2818809371026385</v>
      </c>
      <c r="E12" s="1">
        <f t="shared" si="0"/>
        <v>2841315285200972</v>
      </c>
      <c r="F12" s="1">
        <f t="shared" si="0"/>
        <v>2863149698236082.5</v>
      </c>
      <c r="G12" s="1">
        <f t="shared" si="0"/>
        <v>2884297657196960.5</v>
      </c>
      <c r="H12" s="1">
        <f t="shared" si="0"/>
        <v>2904745623955775</v>
      </c>
      <c r="I12" s="1">
        <f t="shared" si="0"/>
        <v>2924481690851411.5</v>
      </c>
      <c r="J12" s="1">
        <f t="shared" si="0"/>
        <v>2943495479156722.5</v>
      </c>
      <c r="K12" s="1">
        <f t="shared" si="0"/>
        <v>2961778445263542</v>
      </c>
      <c r="L12" s="1">
        <f t="shared" si="0"/>
        <v>2979323784795895</v>
      </c>
      <c r="M12" s="1">
        <f t="shared" si="0"/>
        <v>2996126640482501</v>
      </c>
      <c r="N12" s="1">
        <f t="shared" si="0"/>
        <v>3012184175846347.5</v>
      </c>
      <c r="O12" s="1">
        <f t="shared" si="0"/>
        <v>3027495630816527</v>
      </c>
      <c r="P12" s="1">
        <f t="shared" si="0"/>
        <v>3042062548952198</v>
      </c>
      <c r="Q12" s="1">
        <f t="shared" si="0"/>
        <v>3055888721739645.5</v>
      </c>
      <c r="R12" s="1">
        <f t="shared" si="0"/>
        <v>3068980442788576.5</v>
      </c>
      <c r="S12" s="1">
        <f t="shared" si="0"/>
        <v>3081346535271324.5</v>
      </c>
      <c r="T12" s="1">
        <f t="shared" si="0"/>
        <v>3092998509068500.5</v>
      </c>
      <c r="U12" s="1">
        <f t="shared" si="0"/>
        <v>3103950716556179</v>
      </c>
      <c r="V12" s="1">
        <f t="shared" si="0"/>
        <v>3114220364377501.5</v>
      </c>
      <c r="W12" s="1">
        <f t="shared" si="0"/>
        <v>3123827762229664</v>
      </c>
      <c r="X12" s="1">
        <f t="shared" si="0"/>
        <v>3132796419508252.5</v>
      </c>
      <c r="Y12" s="1">
        <f t="shared" si="0"/>
        <v>3141153192884739</v>
      </c>
      <c r="Z12" s="1">
        <f t="shared" si="0"/>
        <v>3148928363500215.5</v>
      </c>
      <c r="AA12" s="1">
        <f t="shared" si="0"/>
        <v>3156155834124567</v>
      </c>
      <c r="AB12" s="1">
        <f t="shared" si="0"/>
        <v>3162873349835940.5</v>
      </c>
      <c r="AC12" s="1">
        <f t="shared" si="0"/>
        <v>3169122514572179</v>
      </c>
      <c r="AD12" s="1">
        <f t="shared" si="0"/>
        <v>3174948985730774</v>
      </c>
      <c r="AE12" s="1">
        <f t="shared" si="0"/>
        <v>3180402787712565</v>
      </c>
      <c r="AF12" s="1">
        <f t="shared" si="0"/>
        <v>3185538255048886.5</v>
      </c>
      <c r="AG12" s="1">
        <f t="shared" si="0"/>
        <v>3190414325819203.5</v>
      </c>
      <c r="AH12" s="1">
        <f t="shared" si="0"/>
        <v>3195094771248396.5</v>
      </c>
      <c r="AI12" s="1">
        <f t="shared" si="0"/>
        <v>3199648198021005.5</v>
      </c>
      <c r="AJ12" s="1">
        <f t="shared" si="0"/>
        <v>3204148487047300</v>
      </c>
      <c r="AK12" s="1">
        <f t="shared" si="0"/>
        <v>3208674693503599</v>
      </c>
      <c r="AL12" s="1">
        <f t="shared" si="0"/>
        <v>3213311533036296.5</v>
      </c>
      <c r="AM12" s="1">
        <f t="shared" si="0"/>
        <v>3218149404207484.5</v>
      </c>
      <c r="AN12" s="1">
        <f t="shared" si="0"/>
        <v>3223284633061847.5</v>
      </c>
      <c r="AO12" s="1">
        <f t="shared" si="0"/>
        <v>3228819696390842.5</v>
      </c>
      <c r="AP12" s="1">
        <f t="shared" si="0"/>
        <v>3234863451348653.5</v>
      </c>
      <c r="AQ12" s="1">
        <f t="shared" si="0"/>
        <v>3241531425840317</v>
      </c>
      <c r="AR12" s="1">
        <f t="shared" si="0"/>
        <v>3248945886412689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58BD-6902-4D31-B655-A27D31686A6A}">
  <sheetPr>
    <tabColor rgb="FF00B0F0"/>
  </sheetPr>
  <dimension ref="A1:AR12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建筑各项能耗拆分!$B$18*建筑各项能耗拆分!B22</f>
        <v>219861274754135.56</v>
      </c>
      <c r="C2" s="1">
        <f>建筑各项能耗拆分!$B$18*建筑各项能耗拆分!C22</f>
        <v>218300259703381.16</v>
      </c>
      <c r="D2" s="1">
        <f>建筑各项能耗拆分!$B$18*建筑各项能耗拆分!D22</f>
        <v>223641358036819.31</v>
      </c>
      <c r="E2" s="1">
        <f>建筑各项能耗拆分!$B$18*建筑各项能耗拆分!E22</f>
        <v>226450901171730.69</v>
      </c>
      <c r="F2" s="1">
        <f>建筑各项能耗拆分!$B$18*建筑各项能耗拆分!F22</f>
        <v>229178734611101.28</v>
      </c>
      <c r="G2" s="1">
        <f>建筑各项能耗拆分!$B$18*建筑各项能耗拆分!G22</f>
        <v>231824359015838.13</v>
      </c>
      <c r="H2" s="1">
        <f>建筑各项能耗拆分!$B$18*建筑各项能耗拆分!H22</f>
        <v>234387400420350.44</v>
      </c>
      <c r="I2" s="1">
        <f>建筑各项能耗拆分!$B$18*建筑各项能耗拆分!I22</f>
        <v>236867643881999.59</v>
      </c>
      <c r="J2" s="1">
        <f>建筑各项能耗拆分!$B$18*建筑各项能耗拆分!J22</f>
        <v>239265007988049.28</v>
      </c>
      <c r="K2" s="1">
        <f>建筑各项能耗拆分!$B$18*建筑各项能耗拆分!K22</f>
        <v>241579572423935.5</v>
      </c>
      <c r="L2" s="1">
        <f>建筑各项能耗拆分!$B$18*建筑各项能耗拆分!L22</f>
        <v>243811578634649.25</v>
      </c>
      <c r="M2" s="1">
        <f>建筑各项能耗拆分!$B$18*建筑各项能耗拆分!M22</f>
        <v>245961435813829.06</v>
      </c>
      <c r="N2" s="1">
        <f>建筑各项能耗拆分!$B$18*建筑各项能耗拆分!N22</f>
        <v>248029729821688.03</v>
      </c>
      <c r="O2" s="1">
        <f>建筑各项能耗拆分!$B$18*建筑各项能耗拆分!O22</f>
        <v>250017229579858.72</v>
      </c>
      <c r="P2" s="1">
        <f>建筑各项能耗拆分!$B$18*建筑各项能耗拆分!P22</f>
        <v>251924902901979.19</v>
      </c>
      <c r="Q2" s="1">
        <f>建筑各项能耗拆分!$B$18*建筑各项能耗拆分!Q22</f>
        <v>253753908835586.38</v>
      </c>
      <c r="R2" s="1">
        <f>建筑各项能耗拆分!$B$18*建筑各项能耗拆分!R22</f>
        <v>255505624286131.97</v>
      </c>
      <c r="S2" s="1">
        <f>建筑各项能耗拆分!$B$18*建筑各项能耗拆分!S22</f>
        <v>257181643995113.59</v>
      </c>
      <c r="T2" s="1">
        <f>建筑各项能耗拆分!$B$18*建筑各项能耗拆分!T22</f>
        <v>258783784295655.81</v>
      </c>
      <c r="U2" s="1">
        <f>建筑各项能耗拆分!$B$18*建筑各项能耗拆分!U22</f>
        <v>260314104514293.22</v>
      </c>
      <c r="V2" s="1">
        <f>建筑各项能耗拆分!$B$18*建筑各项能耗拆分!V22</f>
        <v>261774903878895.88</v>
      </c>
      <c r="W2" s="1">
        <f>建筑各项能耗拆分!$B$18*建筑各项能耗拆分!W22</f>
        <v>263168739063904.16</v>
      </c>
      <c r="X2" s="1">
        <f>建筑各项能耗拆分!$B$18*建筑各项能耗拆分!X22</f>
        <v>264498435116430.91</v>
      </c>
      <c r="Y2" s="1">
        <f>建筑各项能耗拆分!$B$18*建筑各项能耗拆分!Y22</f>
        <v>265767097106763.34</v>
      </c>
      <c r="Z2" s="1">
        <f>建筑各项能耗拆分!$B$18*建筑各项能耗拆分!Z22</f>
        <v>266978106632289.63</v>
      </c>
      <c r="AA2" s="1">
        <f>建筑各项能耗拆分!$B$18*建筑各项能耗拆分!AA22</f>
        <v>268135149859355.84</v>
      </c>
      <c r="AB2" s="1">
        <f>建筑各项能耗拆分!$B$18*建筑各项能耗拆分!AB22</f>
        <v>269242221383035.56</v>
      </c>
      <c r="AC2" s="1">
        <f>建筑各项能耗拆分!$B$18*建筑各项能耗拆分!AC22</f>
        <v>270303638173614.72</v>
      </c>
      <c r="AD2" s="1">
        <f>建筑各项能耗拆分!$B$18*建筑各项能耗拆分!AD22</f>
        <v>271324036977887.41</v>
      </c>
      <c r="AE2" s="1">
        <f>建筑各项能耗拆分!$B$18*建筑各项能耗拆分!AE22</f>
        <v>272308419340721.28</v>
      </c>
      <c r="AF2" s="1">
        <f>建筑各项能耗拆分!$B$18*建筑各项能耗拆分!AF22</f>
        <v>273262128294481.28</v>
      </c>
      <c r="AG2" s="1">
        <f>建筑各项能耗拆分!$B$18*建筑各项能耗拆分!AG22</f>
        <v>274190883028277.59</v>
      </c>
      <c r="AH2" s="1">
        <f>建筑各项能耗拆分!$B$18*建筑各项能耗拆分!AH22</f>
        <v>275100788048054.97</v>
      </c>
      <c r="AI2" s="1">
        <f>建筑各项能耗拆分!$B$18*建筑各项能耗拆分!AI22</f>
        <v>275998327979473.13</v>
      </c>
      <c r="AJ2" s="1">
        <f>建筑各项能耗拆分!$B$18*建筑各项能耗拆分!AJ22</f>
        <v>276890423878471.5</v>
      </c>
      <c r="AK2" s="1">
        <f>建筑各项能耗拆分!$B$18*建筑各项能耗拆分!AK22</f>
        <v>277784398347903.06</v>
      </c>
      <c r="AL2" s="1">
        <f>建筑各项能耗拆分!$B$18*建筑各项能耗拆分!AL22</f>
        <v>278688025016473.25</v>
      </c>
      <c r="AM2" s="1">
        <f>建筑各项能耗拆分!$B$18*建筑各项能耗拆分!AM22</f>
        <v>279609532279219.5</v>
      </c>
      <c r="AN2" s="1">
        <f>建筑各项能耗拆分!$B$18*建筑各项能耗拆分!AN22</f>
        <v>280557605764672.34</v>
      </c>
      <c r="AO2" s="1">
        <f>建筑各项能耗拆分!$B$18*建筑各项能耗拆分!AO22</f>
        <v>281541428142877.63</v>
      </c>
      <c r="AP2" s="1">
        <f>建筑各项能耗拆分!$B$18*建筑各项能耗拆分!AP22</f>
        <v>282570674243312.19</v>
      </c>
      <c r="AQ2" s="1">
        <f>建筑各项能耗拆分!$B$18*建筑各项能耗拆分!AQ22</f>
        <v>283655554278493.5</v>
      </c>
      <c r="AR2" s="1">
        <f>建筑各项能耗拆分!$B$18*建筑各项能耗拆分!AR22</f>
        <v>284806794226926.25</v>
      </c>
    </row>
    <row r="3" spans="1:44" x14ac:dyDescent="0.15">
      <c r="A3" t="s">
        <v>1</v>
      </c>
      <c r="B3" s="1">
        <f>建筑各项能耗拆分!$B$18*建筑各项能耗拆分!B23</f>
        <v>173065198640224.88</v>
      </c>
      <c r="C3" s="1">
        <f>建筑各项能耗拆分!$B$18*建筑各项能耗拆分!C23</f>
        <v>171836435729879.22</v>
      </c>
      <c r="D3" s="1">
        <f>建筑各项能耗拆分!$B$18*建筑各项能耗拆分!D23</f>
        <v>176040715201410.25</v>
      </c>
      <c r="E3" s="1">
        <f>建筑各项能耗拆分!$B$18*建筑各项能耗拆分!E23</f>
        <v>178252264921912.22</v>
      </c>
      <c r="F3" s="1">
        <f>建筑各项能耗拆分!$B$18*建筑各项能耗拆分!F23</f>
        <v>180399496336676.13</v>
      </c>
      <c r="G3" s="1">
        <f>建筑各项能耗拆分!$B$18*建筑各项能耗拆分!G23</f>
        <v>182482016387763.94</v>
      </c>
      <c r="H3" s="1">
        <f>建筑各项能耗拆分!$B$18*建筑各项能耗拆分!H23</f>
        <v>184499530705785.94</v>
      </c>
      <c r="I3" s="1">
        <f>建筑各项能耗拆分!$B$18*建筑各项能耗拆分!I23</f>
        <v>186451870097279.28</v>
      </c>
      <c r="J3" s="1">
        <f>建筑各项能耗拆分!$B$18*建筑各项能耗拆分!J23</f>
        <v>188338970477691.41</v>
      </c>
      <c r="K3" s="1">
        <f>建筑各项能耗拆分!$B$18*建筑各项能耗拆分!K23</f>
        <v>190160894571919.44</v>
      </c>
      <c r="L3" s="1">
        <f>建筑各项能耗拆分!$B$18*建筑各项能耗拆分!L23</f>
        <v>191917832434921.28</v>
      </c>
      <c r="M3" s="1">
        <f>建筑各项能耗拆分!$B$18*建筑各项能耗拆分!M23</f>
        <v>193610106166068.03</v>
      </c>
      <c r="N3" s="1">
        <f>建筑各项能耗拆分!$B$18*建筑各项能耗拆分!N23</f>
        <v>195238176928947</v>
      </c>
      <c r="O3" s="1">
        <f>建筑各项能耗拆分!$B$18*建筑各项能耗拆分!O23</f>
        <v>196802649985104.13</v>
      </c>
      <c r="P3" s="1">
        <f>建筑各项能耗拆分!$B$18*建筑各项能耗拆分!P23</f>
        <v>198304287155190.78</v>
      </c>
      <c r="Q3" s="1">
        <f>建筑各项能耗拆分!$B$18*建筑各项能耗拆分!Q23</f>
        <v>199744000790836.03</v>
      </c>
      <c r="R3" s="1">
        <f>建筑各项能耗拆分!$B$18*建筑各项能耗拆分!R23</f>
        <v>201122874731910.19</v>
      </c>
      <c r="S3" s="1">
        <f>建筑各项能耗拆分!$B$18*建筑各项能耗拆分!S23</f>
        <v>202442164289310.41</v>
      </c>
      <c r="T3" s="1">
        <f>建筑各项能耗拆分!$B$18*建筑各项能耗拆分!T23</f>
        <v>203703299201190.25</v>
      </c>
      <c r="U3" s="1">
        <f>建筑各项能耗拆分!$B$18*建筑各项能耗拆分!U23</f>
        <v>204907900479509.06</v>
      </c>
      <c r="V3" s="1">
        <f>建筑各项能耗拆分!$B$18*建筑各项能耗拆分!V23</f>
        <v>206057777976085.91</v>
      </c>
      <c r="W3" s="1">
        <f>建筑各项能耗拆分!$B$18*建筑各项能耗拆分!W23</f>
        <v>207154944193442.53</v>
      </c>
      <c r="X3" s="1">
        <f>建筑各项能耗拆分!$B$18*建筑各项能耗拆分!X23</f>
        <v>208201622885354.03</v>
      </c>
      <c r="Y3" s="1">
        <f>建筑各项能耗拆分!$B$18*建筑各项能耗拆分!Y23</f>
        <v>209200258227615.69</v>
      </c>
      <c r="Z3" s="1">
        <f>建筑各项能耗拆分!$B$18*建筑各项能耗拆分!Z23</f>
        <v>210153512066086.28</v>
      </c>
      <c r="AA3" s="1">
        <f>建筑各项能耗拆分!$B$18*建筑各项能耗拆分!AA23</f>
        <v>211064285990013.88</v>
      </c>
      <c r="AB3" s="1">
        <f>建筑各项能耗拆分!$B$18*建筑各项能耗拆分!AB23</f>
        <v>211935724370278.03</v>
      </c>
      <c r="AC3" s="1">
        <f>建筑各项能耗拆分!$B$18*建筑各项能耗拆分!AC23</f>
        <v>212771225337454.16</v>
      </c>
      <c r="AD3" s="1">
        <f>建筑各项能耗拆分!$B$18*建筑各项能耗拆分!AD23</f>
        <v>213574438736226.53</v>
      </c>
      <c r="AE3" s="1">
        <f>建筑各项能耗拆分!$B$18*建筑各项能耗拆分!AE23</f>
        <v>214349301564399.84</v>
      </c>
      <c r="AF3" s="1">
        <f>建筑各项能耗拆分!$B$18*建筑各项能耗拆分!AF23</f>
        <v>215100019623830.78</v>
      </c>
      <c r="AG3" s="1">
        <f>建筑各项能耗拆分!$B$18*建筑各项能耗拆分!AG23</f>
        <v>215831094810546.84</v>
      </c>
      <c r="AH3" s="1">
        <f>建筑各项能耗拆分!$B$18*建筑各项能耗拆分!AH23</f>
        <v>216547332325168.78</v>
      </c>
      <c r="AI3" s="1">
        <f>建筑各项能耗拆分!$B$18*建筑各项能耗拆分!AI23</f>
        <v>217253836581964.88</v>
      </c>
      <c r="AJ3" s="1">
        <f>建筑各项能耗拆分!$B$18*建筑各项能耗拆分!AJ23</f>
        <v>217956055534069.75</v>
      </c>
      <c r="AK3" s="1">
        <f>建筑各项能耗拆分!$B$18*建筑各项能耗拆分!AK23</f>
        <v>218659753214820.78</v>
      </c>
      <c r="AL3" s="1">
        <f>建筑各项能耗拆分!$B$18*建筑各项能耗拆分!AL23</f>
        <v>219371048685419.63</v>
      </c>
      <c r="AM3" s="1">
        <f>建筑各项能耗拆分!$B$18*建筑各项能耗拆分!AM23</f>
        <v>220096418979274</v>
      </c>
      <c r="AN3" s="1">
        <f>建筑各项能耗拆分!$B$18*建筑各项能耗拆分!AN23</f>
        <v>220842701044039.16</v>
      </c>
      <c r="AO3" s="1">
        <f>建筑各项能耗拆分!$B$18*建筑各项能耗拆分!AO23</f>
        <v>221617123076755.91</v>
      </c>
      <c r="AP3" s="1">
        <f>建筑各项能耗拆分!$B$18*建筑各项能耗拆分!AP23</f>
        <v>222427300680886.44</v>
      </c>
      <c r="AQ3" s="1">
        <f>建筑各项能耗拆分!$B$18*建筑各项能耗拆分!AQ23</f>
        <v>223281270890053.22</v>
      </c>
      <c r="AR3" s="1">
        <f>建筑各项能耗拆分!$B$18*建筑各项能耗拆分!AR23</f>
        <v>224187476726351.09</v>
      </c>
    </row>
    <row r="4" spans="1:44" x14ac:dyDescent="0.15">
      <c r="A4" t="s">
        <v>2</v>
      </c>
      <c r="B4" s="1">
        <f>建筑各项能耗拆分!$B$18*建筑各项能耗拆分!B24</f>
        <v>409097731481957.38</v>
      </c>
      <c r="C4" s="1">
        <f>建筑各项能耗拆分!$B$18*建筑各项能耗拆分!C24</f>
        <v>406193137588435.38</v>
      </c>
      <c r="D4" s="1">
        <f>建筑各项能耗拆分!$B$18*建筑各项能耗拆分!D24</f>
        <v>416131364382922.38</v>
      </c>
      <c r="E4" s="1">
        <f>建筑各项能耗拆分!$B$18*建筑各项能耗拆分!E24</f>
        <v>421359105031102.81</v>
      </c>
      <c r="F4" s="1">
        <f>建筑各项能耗拆分!$B$18*建筑各项能耗拆分!F24</f>
        <v>426434807758447.88</v>
      </c>
      <c r="G4" s="1">
        <f>建筑各项能耗拆分!$B$18*建筑各项能耗拆分!G24</f>
        <v>431357543440488.63</v>
      </c>
      <c r="H4" s="1">
        <f>建筑各项能耗拆分!$B$18*建筑各项能耗拆分!H24</f>
        <v>436126616236290.69</v>
      </c>
      <c r="I4" s="1">
        <f>建筑各项能耗拆分!$B$18*建筑各项能耗拆分!I24</f>
        <v>440741626200270.5</v>
      </c>
      <c r="J4" s="1">
        <f>建筑各项能耗拆分!$B$18*建筑各项能耗拆分!J24</f>
        <v>445202421847061.63</v>
      </c>
      <c r="K4" s="1">
        <f>建筑各项能耗拆分!$B$18*建筑各项能耗拆分!K24</f>
        <v>449509151448028.13</v>
      </c>
      <c r="L4" s="1">
        <f>建筑各项能耗拆分!$B$18*建筑各项能耗拆分!L24</f>
        <v>453662264261904.75</v>
      </c>
      <c r="M4" s="1">
        <f>建筑各项能耗拆分!$B$18*建筑各项能耗拆分!M24</f>
        <v>457662521678751.63</v>
      </c>
      <c r="N4" s="1">
        <f>建筑各项能耗拆分!$B$18*建筑各项能耗拆分!N24</f>
        <v>461511013813617.38</v>
      </c>
      <c r="O4" s="1">
        <f>建筑各项能耗拆分!$B$18*建筑各项能耗拆分!O24</f>
        <v>465209171405479.75</v>
      </c>
      <c r="P4" s="1">
        <f>建筑各项能耗拆分!$B$18*建筑各项能耗拆分!P24</f>
        <v>468758795273352.25</v>
      </c>
      <c r="Q4" s="1">
        <f>建筑各项能耗拆分!$B$18*建筑各项能耗拆分!Q24</f>
        <v>472162042066779</v>
      </c>
      <c r="R4" s="1">
        <f>建筑各项能耗拆分!$B$18*建筑各项能耗拆分!R24</f>
        <v>475421473805367.25</v>
      </c>
      <c r="S4" s="1">
        <f>建筑各项能耗拆分!$B$18*建筑各项能耗拆分!S24</f>
        <v>478540057838095.13</v>
      </c>
      <c r="T4" s="1">
        <f>建筑各项能耗拆分!$B$18*建筑各项能耗拆分!T24</f>
        <v>481521173831353.06</v>
      </c>
      <c r="U4" s="1">
        <f>建筑各项能耗拆分!$B$18*建筑各项能耗拆分!U24</f>
        <v>484368653591422.75</v>
      </c>
      <c r="V4" s="1">
        <f>建筑各项能耗拆分!$B$18*建筑各项能耗拆分!V24</f>
        <v>487086775311027.69</v>
      </c>
      <c r="W4" s="1">
        <f>建筑各项能耗拆分!$B$18*建筑各项能耗拆分!W24</f>
        <v>489680296215899.56</v>
      </c>
      <c r="X4" s="1">
        <f>建筑各项能耗拆分!$B$18*建筑各项能耗拆分!X24</f>
        <v>492154472895069.31</v>
      </c>
      <c r="Y4" s="1">
        <f>建筑各项能耗拆分!$B$18*建筑各项能耗拆分!Y24</f>
        <v>494515082979054.19</v>
      </c>
      <c r="Z4" s="1">
        <f>建筑各项能耗拆分!$B$18*建筑各项能耗拆分!Z24</f>
        <v>496768418634684.63</v>
      </c>
      <c r="AA4" s="1">
        <f>建筑各项能耗拆分!$B$18*建筑各项能耗拆分!AA24</f>
        <v>498921338742824</v>
      </c>
      <c r="AB4" s="1">
        <f>建筑各项能耗拆分!$B$18*建筑各项能耗拆分!AB24</f>
        <v>500981276080275.06</v>
      </c>
      <c r="AC4" s="1">
        <f>建筑各项能耗拆分!$B$18*建筑各项能耗拆分!AC24</f>
        <v>502956263270121.88</v>
      </c>
      <c r="AD4" s="1">
        <f>建筑各项能耗拆分!$B$18*建筑各项能耗拆分!AD24</f>
        <v>504854927946298.56</v>
      </c>
      <c r="AE4" s="1">
        <f>建筑各项能耗拆分!$B$18*建筑各项能耗拆分!AE24</f>
        <v>506686576525597.13</v>
      </c>
      <c r="AF4" s="1">
        <f>建筑各项能耗拆分!$B$18*建筑各项能耗拆分!AF24</f>
        <v>508461150833480.88</v>
      </c>
      <c r="AG4" s="1">
        <f>建筑各项能耗拆分!$B$18*建筑各项能耗拆分!AG24</f>
        <v>510189292613446.81</v>
      </c>
      <c r="AH4" s="1">
        <f>建筑各项能耗拆分!$B$18*建筑各项能耗拆分!AH24</f>
        <v>511882360571281.88</v>
      </c>
      <c r="AI4" s="1">
        <f>建筑各项能耗拆分!$B$18*建筑各项能耗拆分!AI24</f>
        <v>513552420704737.5</v>
      </c>
      <c r="AJ4" s="1">
        <f>建筑各项能耗拆分!$B$18*建筑各项能耗拆分!AJ24</f>
        <v>515212351081074.69</v>
      </c>
      <c r="AK4" s="1">
        <f>建筑各项能耗拆分!$B$18*建筑各项能耗拆分!AK24</f>
        <v>516875776929288.31</v>
      </c>
      <c r="AL4" s="1">
        <f>建筑各项能耗拆分!$B$18*建筑各项能耗拆分!AL24</f>
        <v>518557162705988</v>
      </c>
      <c r="AM4" s="1">
        <f>建筑各项能耗拆分!$B$18*建筑各项能耗拆分!AM24</f>
        <v>520271819055339.31</v>
      </c>
      <c r="AN4" s="1">
        <f>建筑各项能耗拆分!$B$18*建筑各项能耗拆分!AN24</f>
        <v>522035907399731.31</v>
      </c>
      <c r="AO4" s="1">
        <f>建筑各项能耗拆分!$B$18*建筑各项能耗拆分!AO24</f>
        <v>523866514010900.25</v>
      </c>
      <c r="AP4" s="1">
        <f>建筑各项能耗拆分!$B$18*建筑各项能耗拆分!AP24</f>
        <v>525781640925793.81</v>
      </c>
      <c r="AQ4" s="1">
        <f>建筑各项能耗拆分!$B$18*建筑各项能耗拆分!AQ24</f>
        <v>527800286373106.19</v>
      </c>
      <c r="AR4" s="1">
        <f>建筑各项能耗拆分!$B$18*建筑各项能耗拆分!AR24</f>
        <v>529942408271662.13</v>
      </c>
    </row>
    <row r="5" spans="1:44" x14ac:dyDescent="0.15">
      <c r="A5" t="s">
        <v>3</v>
      </c>
      <c r="B5" s="1">
        <f>建筑各项能耗拆分!$B$18*建筑各项能耗拆分!B25</f>
        <v>3226699481806.6943</v>
      </c>
      <c r="C5" s="1">
        <f>建筑各项能耗拆分!$B$18*建筑各项能耗拆分!C25</f>
        <v>3203789915485.8662</v>
      </c>
      <c r="D5" s="1">
        <f>建筑各项能耗拆分!$B$18*建筑各项能耗拆分!D25</f>
        <v>3282176249068.5127</v>
      </c>
      <c r="E5" s="1">
        <f>建筑各项能耗拆分!$B$18*建筑各项能耗拆分!E25</f>
        <v>3323409301081.2871</v>
      </c>
      <c r="F5" s="1">
        <f>建筑各项能耗拆分!$B$18*建筑各项能耗拆分!F25</f>
        <v>3363443175873.9937</v>
      </c>
      <c r="G5" s="1">
        <f>建筑各项能耗拆分!$B$18*建筑各项能耗拆分!G25</f>
        <v>3402270545111.0996</v>
      </c>
      <c r="H5" s="1">
        <f>建筑各项能耗拆分!$B$18*建筑各项能耗拆分!H25</f>
        <v>3439885920447.3755</v>
      </c>
      <c r="I5" s="1">
        <f>建筑各项能耗拆分!$B$18*建筑各项能耗拆分!I25</f>
        <v>3476286147369.5894</v>
      </c>
      <c r="J5" s="1">
        <f>建筑各项能耗拆分!$B$18*建筑各项能耗拆分!J25</f>
        <v>3511470031058.7158</v>
      </c>
      <c r="K5" s="1">
        <f>建筑各项能耗拆分!$B$18*建筑各项能耗拆分!K25</f>
        <v>3545438740983.7993</v>
      </c>
      <c r="L5" s="1">
        <f>建筑各项能耗拆分!$B$18*建筑各项能耗拆分!L25</f>
        <v>3578195820608.4541</v>
      </c>
      <c r="M5" s="1">
        <f>建筑各项能耗拆分!$B$18*建筑各项能耗拆分!M25</f>
        <v>3609747275287.2061</v>
      </c>
      <c r="N5" s="1">
        <f>建筑各项能耗拆分!$B$18*建筑各项能耗拆分!N25</f>
        <v>3640101703145.6172</v>
      </c>
      <c r="O5" s="1">
        <f>建筑各项能耗拆分!$B$18*建筑各项能耗拆分!O25</f>
        <v>3669270388931.4688</v>
      </c>
      <c r="P5" s="1">
        <f>建筑各项能耗拆分!$B$18*建筑各项能耗拆分!P25</f>
        <v>3697267536345.5654</v>
      </c>
      <c r="Q5" s="1">
        <f>建筑各项能耗拆分!$B$18*建筑各项能耗拆分!Q25</f>
        <v>3724110155650.8115</v>
      </c>
      <c r="R5" s="1">
        <f>建筑各项能耗拆分!$B$18*建筑各项能耗拆分!R25</f>
        <v>3749818454408.1489</v>
      </c>
      <c r="S5" s="1">
        <f>建筑各项能耗拆分!$B$18*建筑各项能耗拆分!S25</f>
        <v>3774415837155.5947</v>
      </c>
      <c r="T5" s="1">
        <f>建筑各项能耗拆分!$B$18*建筑各项能耗拆分!T25</f>
        <v>3797928960525.4209</v>
      </c>
      <c r="U5" s="1">
        <f>建筑各项能耗拆分!$B$18*建筑各项能耗拆分!U25</f>
        <v>3820388047338.2192</v>
      </c>
      <c r="V5" s="1">
        <f>建筑各项能耗拆分!$B$18*建筑各项能耗拆分!V25</f>
        <v>3841826841223.3999</v>
      </c>
      <c r="W5" s="1">
        <f>建筑各项能耗拆分!$B$18*建筑各项能耗拆分!W25</f>
        <v>3862282864114.2866</v>
      </c>
      <c r="X5" s="1">
        <f>建筑各项能耗拆分!$B$18*建筑各项能耗拆分!X25</f>
        <v>3881797576600.3599</v>
      </c>
      <c r="Y5" s="1">
        <f>建筑各项能耗拆分!$B$18*建筑各项能耗拆分!Y25</f>
        <v>3900416548910.8364</v>
      </c>
      <c r="Z5" s="1">
        <f>建筑各项能耗拆分!$B$18*建筑各项能耗拆分!Z25</f>
        <v>3918189409606.0566</v>
      </c>
      <c r="AA5" s="1">
        <f>建筑各项能耗拆分!$B$18*建筑各项能耗拆分!AA25</f>
        <v>3935170257121.7344</v>
      </c>
      <c r="AB5" s="1">
        <f>建筑各项能耗拆分!$B$18*建筑各项能耗拆分!AB25</f>
        <v>3951417716415.2134</v>
      </c>
      <c r="AC5" s="1">
        <f>建筑各项能耗拆分!$B$18*建筑各项能耗拆分!AC25</f>
        <v>3966995143645.0547</v>
      </c>
      <c r="AD5" s="1">
        <f>建筑各项能耗拆分!$B$18*建筑各项能耗拆分!AD25</f>
        <v>3981970588032.2705</v>
      </c>
      <c r="AE5" s="1">
        <f>建筑各项能耗拆分!$B$18*建筑各项能耗拆分!AE25</f>
        <v>3996417452599.9741</v>
      </c>
      <c r="AF5" s="1">
        <f>建筑各项能耗拆分!$B$18*建筑各项能耗拆分!AF25</f>
        <v>4010414152065.731</v>
      </c>
      <c r="AG5" s="1">
        <f>建筑各项能耗拆分!$B$18*建筑各项能耗拆分!AG25</f>
        <v>4024044621649.8691</v>
      </c>
      <c r="AH5" s="1">
        <f>建筑各项能耗拆分!$B$18*建筑各项能耗拆分!AH25</f>
        <v>4037398451509.5942</v>
      </c>
      <c r="AI5" s="1">
        <f>建筑各项能耗拆分!$B$18*建筑各项能耗拆分!AI25</f>
        <v>4050570810465.6963</v>
      </c>
      <c r="AJ5" s="1">
        <f>建筑各项能耗拆分!$B$18*建筑各项能耗拆分!AJ25</f>
        <v>4063663272420.3496</v>
      </c>
      <c r="AK5" s="1">
        <f>建筑各项能耗拆分!$B$18*建筑各项能耗拆分!AK25</f>
        <v>4076783304406.3774</v>
      </c>
      <c r="AL5" s="1">
        <f>建筑各项能耗拆分!$B$18*建筑各项能耗拆分!AL25</f>
        <v>4090044992743.6377</v>
      </c>
      <c r="AM5" s="1">
        <f>建筑各项能耗拆分!$B$18*建筑各项能耗拆分!AM25</f>
        <v>4103569097934.5571</v>
      </c>
      <c r="AN5" s="1">
        <f>建筑各项能耗拆分!$B$18*建筑各项能耗拆分!AN25</f>
        <v>4117483090872.3594</v>
      </c>
      <c r="AO5" s="1">
        <f>建筑各项能耗拆分!$B$18*建筑各项能耗拆分!AO25</f>
        <v>4131921737066.3955</v>
      </c>
      <c r="AP5" s="1">
        <f>建筑各项能耗拆分!$B$18*建筑各项能耗拆分!AP25</f>
        <v>4147027024992.3286</v>
      </c>
      <c r="AQ5" s="1">
        <f>建筑各项能耗拆分!$B$18*建筑各项能耗拆分!AQ25</f>
        <v>4162948800444.8569</v>
      </c>
      <c r="AR5" s="1">
        <f>建筑各项能耗拆分!$B$18*建筑各项能耗拆分!AR25</f>
        <v>4179844478636.4673</v>
      </c>
    </row>
    <row r="6" spans="1:44" x14ac:dyDescent="0.15">
      <c r="A6" t="s">
        <v>4</v>
      </c>
      <c r="B6" s="1">
        <f>建筑各项能耗拆分!$B$18*建筑各项能耗拆分!B26</f>
        <v>1602397444759631.5</v>
      </c>
      <c r="C6" s="1">
        <f>建筑各项能耗拆分!$B$18*建筑各项能耗拆分!C26</f>
        <v>1591020422901838</v>
      </c>
      <c r="D6" s="1">
        <f>建筑各项能耗拆分!$B$18*建筑各项能耗拆分!D26</f>
        <v>1629947525145205</v>
      </c>
      <c r="E6" s="1">
        <f>建筑各项能耗拆分!$B$18*建筑各项能耗拆分!E26</f>
        <v>1650424094952045.3</v>
      </c>
      <c r="F6" s="1">
        <f>建筑各项能耗拆分!$B$18*建筑各项能耗拆分!F26</f>
        <v>1670305146482676.8</v>
      </c>
      <c r="G6" s="1">
        <f>建筑各项能耗拆分!$B$18*建筑各项能耗拆分!G26</f>
        <v>1689587040443697.5</v>
      </c>
      <c r="H6" s="1">
        <f>建筑各项能耗拆分!$B$18*建筑各项能耗拆分!H26</f>
        <v>1708267051291430.3</v>
      </c>
      <c r="I6" s="1">
        <f>建筑各项能耗拆分!$B$18*建筑各项能耗拆分!I26</f>
        <v>1726343612476536</v>
      </c>
      <c r="J6" s="1">
        <f>建筑各项能耗拆分!$B$18*建筑各项能耗拆分!J26</f>
        <v>1743816130645041.3</v>
      </c>
      <c r="K6" s="1">
        <f>建筑各项能耗拆分!$B$18*建筑各项能耗拆分!K26</f>
        <v>1760685186561974.3</v>
      </c>
      <c r="L6" s="1">
        <f>建筑各项能耗拆分!$B$18*建筑各项能耗拆分!L26</f>
        <v>1776952539931661</v>
      </c>
      <c r="M6" s="1">
        <f>建筑各项能耗拆分!$B$18*建筑各项能耗拆分!M26</f>
        <v>1792621173047557.3</v>
      </c>
      <c r="N6" s="1">
        <f>建筑各项能耗拆分!$B$18*建筑各项能耗拆分!N26</f>
        <v>1807695355788065.8</v>
      </c>
      <c r="O6" s="1">
        <f>建筑各项能耗拆分!$B$18*建筑各项能耗拆分!O26</f>
        <v>1822180692223572.5</v>
      </c>
      <c r="P6" s="1">
        <f>建筑各项能耗拆分!$B$18*建筑各项能耗拆分!P26</f>
        <v>1836084235993253.5</v>
      </c>
      <c r="Q6" s="1">
        <f>建筑各项能耗拆分!$B$18*建筑各项能耗拆分!Q26</f>
        <v>1849414434491100.5</v>
      </c>
      <c r="R6" s="1">
        <f>建筑各项能耗拆分!$B$18*建筑各项能耗拆分!R26</f>
        <v>1862181322907622.3</v>
      </c>
      <c r="S6" s="1">
        <f>建筑各项能耗拆分!$B$18*建筑各项能耗拆分!S26</f>
        <v>1874396524070456.8</v>
      </c>
      <c r="T6" s="1">
        <f>建筑各项能耗拆分!$B$18*建筑各项能耗拆分!T26</f>
        <v>1886073275815874.8</v>
      </c>
      <c r="U6" s="1">
        <f>建筑各项能耗拆分!$B$18*建筑各项能耗拆分!U26</f>
        <v>1897226586969695.5</v>
      </c>
      <c r="V6" s="1">
        <f>建筑各项能耗拆分!$B$18*建筑各项能耗拆分!V26</f>
        <v>1907873214811563.3</v>
      </c>
      <c r="W6" s="1">
        <f>建筑各项能耗拆分!$B$18*建筑各项能耗拆分!W26</f>
        <v>1918031792948485.8</v>
      </c>
      <c r="X6" s="1">
        <f>建筑各项能耗拆分!$B$18*建筑各项能耗拆分!X26</f>
        <v>1927722910946680.8</v>
      </c>
      <c r="Y6" s="1">
        <f>建筑各项能耗拆分!$B$18*建筑各项能耗拆分!Y26</f>
        <v>1936969199242997</v>
      </c>
      <c r="Z6" s="1">
        <f>建筑各项能耗拆分!$B$18*建筑各项能耗拆分!Z26</f>
        <v>1945795303664764.3</v>
      </c>
      <c r="AA6" s="1">
        <f>建筑各项能耗拆分!$B$18*建筑各项能耗拆分!AA26</f>
        <v>1954228089805028</v>
      </c>
      <c r="AB6" s="1">
        <f>建筑各项能耗拆分!$B$18*建筑各项能耗拆分!AB26</f>
        <v>1962296671153399.5</v>
      </c>
      <c r="AC6" s="1">
        <f>建筑各项能耗拆分!$B$18*建筑各项能耗拆分!AC26</f>
        <v>1970032510741117.3</v>
      </c>
      <c r="AD6" s="1">
        <f>建筑各项能耗拆分!$B$18*建筑各项能耗拆分!AD26</f>
        <v>1977469402201110.8</v>
      </c>
      <c r="AE6" s="1">
        <f>建筑各项能耗拆分!$B$18*建筑各项能耗拆分!AE26</f>
        <v>1984643797895101.3</v>
      </c>
      <c r="AF6" s="1">
        <f>建筑各项能耗拆分!$B$18*建筑各项能耗拆分!AF26</f>
        <v>1991594639020981.8</v>
      </c>
      <c r="AG6" s="1">
        <f>建筑各项能耗拆分!$B$18*建筑各项能耗拆分!AG26</f>
        <v>1998363608289934.8</v>
      </c>
      <c r="AH6" s="1">
        <f>建筑各项能耗拆分!$B$18*建筑各项能耗拆分!AH26</f>
        <v>2004995196687190</v>
      </c>
      <c r="AI6" s="1">
        <f>建筑各项能耗拆分!$B$18*建筑各项能耗拆分!AI26</f>
        <v>2011536665594265.5</v>
      </c>
      <c r="AJ6" s="1">
        <f>建筑各项能耗拆分!$B$18*建筑各项能耗拆分!AJ26</f>
        <v>2018038457192782</v>
      </c>
      <c r="AK6" s="1">
        <f>建筑各项能耗拆分!$B$18*建筑各项能耗拆分!AK26</f>
        <v>2024553940226796.8</v>
      </c>
      <c r="AL6" s="1">
        <f>建筑各项能耗拆分!$B$18*建筑各项能耗拆分!AL26</f>
        <v>2031139770616222</v>
      </c>
      <c r="AM6" s="1">
        <f>建筑各项能耗拆分!$B$18*建筑各项能耗拆分!AM26</f>
        <v>2037855918718261.8</v>
      </c>
      <c r="AN6" s="1">
        <f>建筑各项能耗拆分!$B$18*建筑各项能耗拆分!AN26</f>
        <v>2044765687308628</v>
      </c>
      <c r="AO6" s="1">
        <f>建筑各项能耗拆分!$B$18*建筑各项能耗拆分!AO26</f>
        <v>2051936001711182</v>
      </c>
      <c r="AP6" s="1">
        <f>建筑各项能耗拆分!$B$18*建筑各项能耗拆分!AP26</f>
        <v>2059437374216228.8</v>
      </c>
      <c r="AQ6" s="1">
        <f>建筑各项能耗拆分!$B$18*建筑各项能耗拆分!AQ26</f>
        <v>2067344219103711.8</v>
      </c>
      <c r="AR6" s="1">
        <f>建筑各项能耗拆分!$B$18*建筑各项能耗拆分!AR26</f>
        <v>2075734709669805.8</v>
      </c>
    </row>
    <row r="7" spans="1:44" x14ac:dyDescent="0.15">
      <c r="A7" t="s">
        <v>5</v>
      </c>
      <c r="B7" s="1">
        <f>建筑各项能耗拆分!$B$18*建筑各项能耗拆分!B27</f>
        <v>14770350673161.422</v>
      </c>
      <c r="C7" s="1">
        <f>建筑各项能耗拆分!$B$18*建筑各项能耗拆分!C27</f>
        <v>14665481183381.971</v>
      </c>
      <c r="D7" s="1">
        <f>建筑各项能耗拆分!$B$18*建筑各项能耗拆分!D27</f>
        <v>15024297875648.219</v>
      </c>
      <c r="E7" s="1">
        <f>建筑各项能耗拆分!$B$18*建筑各项能耗拆分!E27</f>
        <v>15213043880966.438</v>
      </c>
      <c r="F7" s="1">
        <f>建筑各项能耗拆分!$B$18*建筑各项能耗拆分!F27</f>
        <v>15396300602835.877</v>
      </c>
      <c r="G7" s="1">
        <f>建筑各项能耗拆分!$B$18*建筑各项能耗拆分!G27</f>
        <v>15574034495496.768</v>
      </c>
      <c r="H7" s="1">
        <f>建筑各项能耗拆分!$B$18*建筑各项能耗拆分!H27</f>
        <v>15746220435821.242</v>
      </c>
      <c r="I7" s="1">
        <f>建筑各项能耗拆分!$B$18*建筑各项能耗拆分!I27</f>
        <v>15912843983894.184</v>
      </c>
      <c r="J7" s="1">
        <f>建筑各项能耗拆分!$B$18*建筑各项能耗拆分!J27</f>
        <v>16073899670381.955</v>
      </c>
      <c r="K7" s="1">
        <f>建筑各项能耗拆分!$B$18*建筑各项能耗拆分!K27</f>
        <v>16229392848577.607</v>
      </c>
      <c r="L7" s="1">
        <f>建筑各项能耗拆分!$B$18*建筑各项能耗拆分!L27</f>
        <v>16379339738832.756</v>
      </c>
      <c r="M7" s="1">
        <f>建筑各项能耗拆分!$B$18*建筑各项能耗拆分!M27</f>
        <v>16523767830906.764</v>
      </c>
      <c r="N7" s="1">
        <f>建筑各项能耗拆分!$B$18*建筑各项能耗拆分!N27</f>
        <v>16662716483075.906</v>
      </c>
      <c r="O7" s="1">
        <f>建筑各项能耗拆分!$B$18*建筑各项能耗拆分!O27</f>
        <v>16796237351741.076</v>
      </c>
      <c r="P7" s="1">
        <f>建筑各项能耗拆分!$B$18*建筑各项能耗拆分!P27</f>
        <v>16924395454931.666</v>
      </c>
      <c r="Q7" s="1">
        <f>建筑各项能耗拆分!$B$18*建筑各项能耗拆分!Q27</f>
        <v>17047268657831.451</v>
      </c>
      <c r="R7" s="1">
        <f>建筑各项能耗拆分!$B$18*建筑各项能耗拆分!R27</f>
        <v>17164949461388.545</v>
      </c>
      <c r="S7" s="1">
        <f>建筑各项能耗拆分!$B$18*建筑各项能耗拆分!S27</f>
        <v>17277545000846.197</v>
      </c>
      <c r="T7" s="1">
        <f>建筑各项能耗拆分!$B$18*建筑各项能耗拆分!T27</f>
        <v>17385177298043.943</v>
      </c>
      <c r="U7" s="1">
        <f>建筑各项能耗拆分!$B$18*建筑各项能耗拆分!U27</f>
        <v>17487984699196.24</v>
      </c>
      <c r="V7" s="1">
        <f>建筑各项能耗拆分!$B$18*建筑各项能耗拆分!V27</f>
        <v>17586121667165.889</v>
      </c>
      <c r="W7" s="1">
        <f>建筑各项能耗拆分!$B$18*建筑各项能耗拆分!W27</f>
        <v>17679759960158.531</v>
      </c>
      <c r="X7" s="1">
        <f>建筑各项能耗拆分!$B$18*建筑各项能耗拆分!X27</f>
        <v>17769089365741.668</v>
      </c>
      <c r="Y7" s="1">
        <f>建筑各项能耗拆分!$B$18*建筑各项能耗拆分!Y27</f>
        <v>17854318483529.125</v>
      </c>
      <c r="Z7" s="1">
        <f>建筑各项能耗拆分!$B$18*建筑各项能耗拆分!Z27</f>
        <v>17935674490313.699</v>
      </c>
      <c r="AA7" s="1">
        <f>建筑各项能耗拆分!$B$18*建筑各项能耗拆分!AA27</f>
        <v>18013405023928.066</v>
      </c>
      <c r="AB7" s="1">
        <f>建筑各项能耗拆分!$B$18*建筑各项能耗拆分!AB27</f>
        <v>18087778442545.355</v>
      </c>
      <c r="AC7" s="1">
        <f>建筑各项能耗拆分!$B$18*建筑各项能耗拆分!AC27</f>
        <v>18159084761608.445</v>
      </c>
      <c r="AD7" s="1">
        <f>建筑各项能耗拆分!$B$18*建筑各项能耗拆分!AD27</f>
        <v>18227635479248.18</v>
      </c>
      <c r="AE7" s="1">
        <f>建筑各项能耗拆分!$B$18*建筑各项能耗拆分!AE27</f>
        <v>18293766600846.516</v>
      </c>
      <c r="AF7" s="1">
        <f>建筑各项能耗拆分!$B$18*建筑各项能耗拆分!AF27</f>
        <v>18357837073024.586</v>
      </c>
      <c r="AG7" s="1">
        <f>建筑各项能耗拆分!$B$18*建筑各项能耗拆分!AG27</f>
        <v>18420231112733.805</v>
      </c>
      <c r="AH7" s="1">
        <f>建筑各项能耗拆分!$B$18*建筑各项能耗拆分!AH27</f>
        <v>18481358822633.66</v>
      </c>
      <c r="AI7" s="1">
        <f>建筑各项能耗拆分!$B$18*建筑各项能耗拆分!AI27</f>
        <v>18541655841947.48</v>
      </c>
      <c r="AJ7" s="1">
        <f>建筑各项能耗拆分!$B$18*建筑各项能耗拆分!AJ27</f>
        <v>18601587129424.23</v>
      </c>
      <c r="AK7" s="1">
        <f>建筑各项能耗拆分!$B$18*建筑各项能耗拆分!AK27</f>
        <v>18661644619862.793</v>
      </c>
      <c r="AL7" s="1">
        <f>建筑各项能耗拆分!$B$18*建筑各项能耗拆分!AL27</f>
        <v>18722350548122.91</v>
      </c>
      <c r="AM7" s="1">
        <f>建筑各项能耗拆分!$B$18*建筑各项能耗拆分!AM27</f>
        <v>18784257700411.777</v>
      </c>
      <c r="AN7" s="1">
        <f>建筑各项能耗拆分!$B$18*建筑各项能耗拆分!AN27</f>
        <v>18847949580028.703</v>
      </c>
      <c r="AO7" s="1">
        <f>建筑各项能耗拆分!$B$18*建筑各项能耗拆分!AO27</f>
        <v>18914043081680.805</v>
      </c>
      <c r="AP7" s="1">
        <f>建筑各项能耗拆分!$B$18*建筑各项能耗拆分!AP27</f>
        <v>18983188163502.98</v>
      </c>
      <c r="AQ7" s="1">
        <f>建筑各项能耗拆分!$B$18*建筑各项能耗拆分!AQ27</f>
        <v>19056070750833.828</v>
      </c>
      <c r="AR7" s="1">
        <f>建筑各项能耗拆分!$B$18*建筑各项能耗拆分!AR27</f>
        <v>19133411418335.73</v>
      </c>
    </row>
    <row r="8" spans="1:44" x14ac:dyDescent="0.15">
      <c r="A8" t="s">
        <v>6</v>
      </c>
      <c r="B8" s="1">
        <f>建筑各项能耗拆分!$B$18*建筑各项能耗拆分!B28</f>
        <v>93678544300.799988</v>
      </c>
      <c r="C8" s="1">
        <f>建筑各项能耗拆分!$B$18*建筑各项能耗拆分!C28</f>
        <v>93013426636.264282</v>
      </c>
      <c r="D8" s="1">
        <f>建筑各项能耗拆分!$B$18*建筑各项能耗拆分!D28</f>
        <v>95289163086.002594</v>
      </c>
      <c r="E8" s="1">
        <f>建筑各项能耗拆分!$B$18*建筑各项能耗拆分!E28</f>
        <v>96486253893.936493</v>
      </c>
      <c r="F8" s="1">
        <f>建筑各项能耗拆分!$B$18*建筑各项能耗拆分!F28</f>
        <v>97648529815.337585</v>
      </c>
      <c r="G8" s="1">
        <f>建筑各项能耗拆分!$B$18*建筑各项能耗拆分!G28</f>
        <v>98775778091.686249</v>
      </c>
      <c r="H8" s="1">
        <f>建筑各项能耗拆分!$B$18*建筑各项能耗拆分!H28</f>
        <v>99867839383.634506</v>
      </c>
      <c r="I8" s="1">
        <f>建筑各项能耗拆分!$B$18*建筑各项能耗拆分!I28</f>
        <v>100924622108.3717</v>
      </c>
      <c r="J8" s="1">
        <f>建筑各项能耗拆分!$B$18*建筑各项能耗拆分!J28</f>
        <v>101946091577.53976</v>
      </c>
      <c r="K8" s="1">
        <f>建筑各项能耗拆分!$B$18*建筑各项能耗拆分!K28</f>
        <v>102932281743.52827</v>
      </c>
      <c r="L8" s="1">
        <f>建筑各项能耗拆分!$B$18*建筑各项能耗拆分!L28</f>
        <v>103883295481.27644</v>
      </c>
      <c r="M8" s="1">
        <f>建筑各项能耗拆分!$B$18*建筑各项能耗拆分!M28</f>
        <v>104799307140.10722</v>
      </c>
      <c r="N8" s="1">
        <f>建筑各项能耗拆分!$B$18*建筑各项能耗拆分!N28</f>
        <v>105680566343.47975</v>
      </c>
      <c r="O8" s="1">
        <f>建筑各项能耗拆分!$B$18*建筑各项能耗拆分!O28</f>
        <v>106527400713.7063</v>
      </c>
      <c r="P8" s="1">
        <f>建筑各项能耗拆分!$B$18*建筑各项能耗拆分!P28</f>
        <v>107340222617.05223</v>
      </c>
      <c r="Q8" s="1">
        <f>建筑各项能耗拆分!$B$18*建筑各项能耗拆分!Q28</f>
        <v>108119525900.76804</v>
      </c>
      <c r="R8" s="1">
        <f>建筑各项能耗拆分!$B$18*建筑各项能耗拆分!R28</f>
        <v>108865897237.0565</v>
      </c>
      <c r="S8" s="1">
        <f>建筑各项能耗拆分!$B$18*建筑各项能耗拆分!S28</f>
        <v>109580016113.75468</v>
      </c>
      <c r="T8" s="1">
        <f>建筑各项能耗拆分!$B$18*建筑各项能耗拆分!T28</f>
        <v>110262656434.51274</v>
      </c>
      <c r="U8" s="1">
        <f>建筑各项能耗拆分!$B$18*建筑各项能耗拆分!U28</f>
        <v>110914695637.67096</v>
      </c>
      <c r="V8" s="1">
        <f>建筑各项能耗拆分!$B$18*建筑各项能耗拆分!V28</f>
        <v>111537113378.78767</v>
      </c>
      <c r="W8" s="1">
        <f>建筑各项能耗拆分!$B$18*建筑各项能耗拆分!W28</f>
        <v>112130999006.31726</v>
      </c>
      <c r="X8" s="1">
        <f>建筑各项能耗拆分!$B$18*建筑各项能耗拆分!X28</f>
        <v>112697556217.00623</v>
      </c>
      <c r="Y8" s="1">
        <f>建筑各项能耗拆分!$B$18*建筑各项能耗拆分!Y28</f>
        <v>113238108019.94196</v>
      </c>
      <c r="Z8" s="1">
        <f>建筑各项能耗拆分!$B$18*建筑各项能耗拆分!Z28</f>
        <v>113754095246.94485</v>
      </c>
      <c r="AA8" s="1">
        <f>建筑各项能耗拆分!$B$18*建筑各项能耗拆分!AA28</f>
        <v>114247088500.64935</v>
      </c>
      <c r="AB8" s="1">
        <f>建筑各项能耗拆分!$B$18*建筑各项能耗拆分!AB28</f>
        <v>114718789799.07564</v>
      </c>
      <c r="AC8" s="1">
        <f>建筑各项能耗拆分!$B$18*建筑各项能耗拆分!AC28</f>
        <v>115171038517.95111</v>
      </c>
      <c r="AD8" s="1">
        <f>建筑各项能耗拆分!$B$18*建筑各项能耗拆分!AD28</f>
        <v>115605810283.45387</v>
      </c>
      <c r="AE8" s="1">
        <f>建筑各项能耗拆分!$B$18*建筑各项能耗拆分!AE28</f>
        <v>116025236155.01208</v>
      </c>
      <c r="AF8" s="1">
        <f>建筑各项能耗拆分!$B$18*建筑各项能耗拆分!AF28</f>
        <v>116431592693.12816</v>
      </c>
      <c r="AG8" s="1">
        <f>建筑各项能耗拆分!$B$18*建筑各项能耗拆分!AG28</f>
        <v>116827316731.25998</v>
      </c>
      <c r="AH8" s="1">
        <f>建筑各项能耗拆分!$B$18*建筑各项能耗拆分!AH28</f>
        <v>117215009278.7541</v>
      </c>
      <c r="AI8" s="1">
        <f>建筑各项能耗拆分!$B$18*建筑各项能耗拆分!AI28</f>
        <v>117597433306.45575</v>
      </c>
      <c r="AJ8" s="1">
        <f>建筑各项能耗拆分!$B$18*建筑各项能耗拆分!AJ28</f>
        <v>117977537739.52763</v>
      </c>
      <c r="AK8" s="1">
        <f>建筑各项能耗拆分!$B$18*建筑各项能耗拆分!AK28</f>
        <v>118358442594.33699</v>
      </c>
      <c r="AL8" s="1">
        <f>建筑各项能耗拆分!$B$18*建筑各项能耗拆分!AL28</f>
        <v>118743460060.45374</v>
      </c>
      <c r="AM8" s="1">
        <f>建筑各项能耗拆分!$B$18*建筑各项能耗拆分!AM28</f>
        <v>119136096094.39481</v>
      </c>
      <c r="AN8" s="1">
        <f>建筑各项能耗拆分!$B$18*建筑各项能耗拆分!AN28</f>
        <v>119540051470.83261</v>
      </c>
      <c r="AO8" s="1">
        <f>建筑各项能耗拆分!$B$18*建筑各项能耗拆分!AO28</f>
        <v>119959238744.00696</v>
      </c>
      <c r="AP8" s="1">
        <f>建筑各项能耗拆分!$B$18*建筑各项能耗拆分!AP28</f>
        <v>120397780167.56511</v>
      </c>
      <c r="AQ8" s="1">
        <f>建筑各项能耗拆分!$B$18*建筑各项能耗拆分!AQ28</f>
        <v>120860026111.28772</v>
      </c>
      <c r="AR8" s="1">
        <f>建筑各项能耗拆分!$B$18*建筑各项能耗拆分!AR28</f>
        <v>121350546702.65022</v>
      </c>
    </row>
    <row r="9" spans="1:44" x14ac:dyDescent="0.15">
      <c r="A9" t="s">
        <v>7</v>
      </c>
      <c r="B9" s="1">
        <f>建筑各项能耗拆分!$B$18*建筑各项能耗拆分!B29</f>
        <v>0</v>
      </c>
      <c r="C9" s="1">
        <f>建筑各项能耗拆分!$B$18*建筑各项能耗拆分!C29</f>
        <v>0</v>
      </c>
      <c r="D9" s="1">
        <f>建筑各项能耗拆分!$B$18*建筑各项能耗拆分!D29</f>
        <v>0</v>
      </c>
      <c r="E9" s="1">
        <f>建筑各项能耗拆分!$B$18*建筑各项能耗拆分!E29</f>
        <v>0</v>
      </c>
      <c r="F9" s="1">
        <f>建筑各项能耗拆分!$B$18*建筑各项能耗拆分!F29</f>
        <v>0</v>
      </c>
      <c r="G9" s="1">
        <f>建筑各项能耗拆分!$B$18*建筑各项能耗拆分!G29</f>
        <v>0</v>
      </c>
      <c r="H9" s="1">
        <f>建筑各项能耗拆分!$B$18*建筑各项能耗拆分!H29</f>
        <v>0</v>
      </c>
      <c r="I9" s="1">
        <f>建筑各项能耗拆分!$B$18*建筑各项能耗拆分!I29</f>
        <v>0</v>
      </c>
      <c r="J9" s="1">
        <f>建筑各项能耗拆分!$B$18*建筑各项能耗拆分!J29</f>
        <v>0</v>
      </c>
      <c r="K9" s="1">
        <f>建筑各项能耗拆分!$B$18*建筑各项能耗拆分!K29</f>
        <v>0</v>
      </c>
      <c r="L9" s="1">
        <f>建筑各项能耗拆分!$B$18*建筑各项能耗拆分!L29</f>
        <v>0</v>
      </c>
      <c r="M9" s="1">
        <f>建筑各项能耗拆分!$B$18*建筑各项能耗拆分!M29</f>
        <v>0</v>
      </c>
      <c r="N9" s="1">
        <f>建筑各项能耗拆分!$B$18*建筑各项能耗拆分!N29</f>
        <v>0</v>
      </c>
      <c r="O9" s="1">
        <f>建筑各项能耗拆分!$B$18*建筑各项能耗拆分!O29</f>
        <v>0</v>
      </c>
      <c r="P9" s="1">
        <f>建筑各项能耗拆分!$B$18*建筑各项能耗拆分!P29</f>
        <v>0</v>
      </c>
      <c r="Q9" s="1">
        <f>建筑各项能耗拆分!$B$18*建筑各项能耗拆分!Q29</f>
        <v>0</v>
      </c>
      <c r="R9" s="1">
        <f>建筑各项能耗拆分!$B$18*建筑各项能耗拆分!R29</f>
        <v>0</v>
      </c>
      <c r="S9" s="1">
        <f>建筑各项能耗拆分!$B$18*建筑各项能耗拆分!S29</f>
        <v>0</v>
      </c>
      <c r="T9" s="1">
        <f>建筑各项能耗拆分!$B$18*建筑各项能耗拆分!T29</f>
        <v>0</v>
      </c>
      <c r="U9" s="1">
        <f>建筑各项能耗拆分!$B$18*建筑各项能耗拆分!U29</f>
        <v>0</v>
      </c>
      <c r="V9" s="1">
        <f>建筑各项能耗拆分!$B$18*建筑各项能耗拆分!V29</f>
        <v>0</v>
      </c>
      <c r="W9" s="1">
        <f>建筑各项能耗拆分!$B$18*建筑各项能耗拆分!W29</f>
        <v>0</v>
      </c>
      <c r="X9" s="1">
        <f>建筑各项能耗拆分!$B$18*建筑各项能耗拆分!X29</f>
        <v>0</v>
      </c>
      <c r="Y9" s="1">
        <f>建筑各项能耗拆分!$B$18*建筑各项能耗拆分!Y29</f>
        <v>0</v>
      </c>
      <c r="Z9" s="1">
        <f>建筑各项能耗拆分!$B$18*建筑各项能耗拆分!Z29</f>
        <v>0</v>
      </c>
      <c r="AA9" s="1">
        <f>建筑各项能耗拆分!$B$18*建筑各项能耗拆分!AA29</f>
        <v>0</v>
      </c>
      <c r="AB9" s="1">
        <f>建筑各项能耗拆分!$B$18*建筑各项能耗拆分!AB29</f>
        <v>0</v>
      </c>
      <c r="AC9" s="1">
        <f>建筑各项能耗拆分!$B$18*建筑各项能耗拆分!AC29</f>
        <v>0</v>
      </c>
      <c r="AD9" s="1">
        <f>建筑各项能耗拆分!$B$18*建筑各项能耗拆分!AD29</f>
        <v>0</v>
      </c>
      <c r="AE9" s="1">
        <f>建筑各项能耗拆分!$B$18*建筑各项能耗拆分!AE29</f>
        <v>0</v>
      </c>
      <c r="AF9" s="1">
        <f>建筑各项能耗拆分!$B$18*建筑各项能耗拆分!AF29</f>
        <v>0</v>
      </c>
      <c r="AG9" s="1">
        <f>建筑各项能耗拆分!$B$18*建筑各项能耗拆分!AG29</f>
        <v>0</v>
      </c>
      <c r="AH9" s="1">
        <f>建筑各项能耗拆分!$B$18*建筑各项能耗拆分!AH29</f>
        <v>0</v>
      </c>
      <c r="AI9" s="1">
        <f>建筑各项能耗拆分!$B$18*建筑各项能耗拆分!AI29</f>
        <v>0</v>
      </c>
      <c r="AJ9" s="1">
        <f>建筑各项能耗拆分!$B$18*建筑各项能耗拆分!AJ29</f>
        <v>0</v>
      </c>
      <c r="AK9" s="1">
        <f>建筑各项能耗拆分!$B$18*建筑各项能耗拆分!AK29</f>
        <v>0</v>
      </c>
      <c r="AL9" s="1">
        <f>建筑各项能耗拆分!$B$18*建筑各项能耗拆分!AL29</f>
        <v>0</v>
      </c>
      <c r="AM9" s="1">
        <f>建筑各项能耗拆分!$B$18*建筑各项能耗拆分!AM29</f>
        <v>0</v>
      </c>
      <c r="AN9" s="1">
        <f>建筑各项能耗拆分!$B$18*建筑各项能耗拆分!AN29</f>
        <v>0</v>
      </c>
      <c r="AO9" s="1">
        <f>建筑各项能耗拆分!$B$18*建筑各项能耗拆分!AO29</f>
        <v>0</v>
      </c>
      <c r="AP9" s="1">
        <f>建筑各项能耗拆分!$B$18*建筑各项能耗拆分!AP29</f>
        <v>0</v>
      </c>
      <c r="AQ9" s="1">
        <f>建筑各项能耗拆分!$B$18*建筑各项能耗拆分!AQ29</f>
        <v>0</v>
      </c>
      <c r="AR9" s="1">
        <f>建筑各项能耗拆分!$B$18*建筑各项能耗拆分!AR29</f>
        <v>0</v>
      </c>
    </row>
    <row r="10" spans="1:44" x14ac:dyDescent="0.15">
      <c r="A10" t="s">
        <v>8</v>
      </c>
      <c r="B10" s="1">
        <f>建筑各项能耗拆分!$B$18*建筑各项能耗拆分!B30</f>
        <v>91291436048641.234</v>
      </c>
      <c r="C10" s="1">
        <f>建筑各项能耗拆分!$B$18*建筑各项能耗拆分!C30</f>
        <v>90643266852695.859</v>
      </c>
      <c r="D10" s="1">
        <f>建筑各项能耗拆分!$B$18*建筑各项能耗拆分!D30</f>
        <v>92861013190616.641</v>
      </c>
      <c r="E10" s="1">
        <f>建筑各项能耗拆分!$B$18*建筑各项能耗拆分!E30</f>
        <v>94027599838099.156</v>
      </c>
      <c r="F10" s="1">
        <f>建筑各项能耗拆分!$B$18*建筑各项能耗拆分!F30</f>
        <v>95160258748860.609</v>
      </c>
      <c r="G10" s="1">
        <f>建筑各项能耗拆分!$B$18*建筑各项能耗拆分!G30</f>
        <v>96258782585874.875</v>
      </c>
      <c r="H10" s="1">
        <f>建筑各项能耗拆分!$B$18*建筑各项能耗拆分!H30</f>
        <v>97323016070064.891</v>
      </c>
      <c r="I10" s="1">
        <f>建筑各项能耗拆分!$B$18*建筑各项能耗拆分!I30</f>
        <v>98352869952325</v>
      </c>
      <c r="J10" s="1">
        <f>建筑各项能耗拆分!$B$18*建筑各项能耗拆分!J30</f>
        <v>99348310428222.766</v>
      </c>
      <c r="K10" s="1">
        <f>建筑各项能耗拆分!$B$18*建筑各项能耗拆分!K30</f>
        <v>100309370584975.95</v>
      </c>
      <c r="L10" s="1">
        <f>建筑各项能耗拆分!$B$18*建筑各项能耗拆分!L30</f>
        <v>101236150676073.89</v>
      </c>
      <c r="M10" s="1">
        <f>建筑各项能耗拆分!$B$18*建筑各项能耗拆分!M30</f>
        <v>102128820608085.69</v>
      </c>
      <c r="N10" s="1">
        <f>建筑各项能耗拆分!$B$18*建筑各项能耗拆分!N30</f>
        <v>102987623643587.95</v>
      </c>
      <c r="O10" s="1">
        <f>建筑各项能耗拆分!$B$18*建筑各项能耗拆分!O30</f>
        <v>103812879056450.58</v>
      </c>
      <c r="P10" s="1">
        <f>建筑各项能耗拆分!$B$18*建筑各项能耗拆分!P30</f>
        <v>104604988705058.84</v>
      </c>
      <c r="Q10" s="1">
        <f>建筑各项能耗拆分!$B$18*建筑各项能耗拆分!Q30</f>
        <v>105364433852491.94</v>
      </c>
      <c r="R10" s="1">
        <f>建筑各项能耗拆分!$B$18*建筑各项能耗拆分!R30</f>
        <v>106091786221424.25</v>
      </c>
      <c r="S10" s="1">
        <f>建筑各项能耗拆分!$B$18*建筑各项能耗拆分!S30</f>
        <v>106787707985044.81</v>
      </c>
      <c r="T10" s="1">
        <f>建筑各项能耗拆分!$B$18*建筑各项能耗拆分!T30</f>
        <v>107452953326460.48</v>
      </c>
      <c r="U10" s="1">
        <f>建筑各项能耗拆分!$B$18*建筑各项能耗拆分!U30</f>
        <v>108088377325206.52</v>
      </c>
      <c r="V10" s="1">
        <f>建筑各项能耗拆分!$B$18*建筑各项能耗拆分!V30</f>
        <v>108694934673346.41</v>
      </c>
      <c r="W10" s="1">
        <f>建筑各项能耗拆分!$B$18*建筑各项能耗拆分!W30</f>
        <v>109273686960654.97</v>
      </c>
      <c r="X10" s="1">
        <f>建筑各项能耗拆分!$B$18*建筑各项能耗拆分!X30</f>
        <v>109825807211386.36</v>
      </c>
      <c r="Y10" s="1">
        <f>建筑各项能耗拆分!$B$18*建筑各项能耗拆分!Y30</f>
        <v>110352584721829.19</v>
      </c>
      <c r="Z10" s="1">
        <f>建筑各项能耗拆分!$B$18*建筑各项能耗拆分!Z30</f>
        <v>110855423608656.86</v>
      </c>
      <c r="AA10" s="1">
        <f>建筑各项能耗拆分!$B$18*建筑各项能耗拆分!AA30</f>
        <v>111335854452548.52</v>
      </c>
      <c r="AB10" s="1">
        <f>建筑各项能耗拆分!$B$18*建筑各项能耗拆分!AB30</f>
        <v>111795535900854.03</v>
      </c>
      <c r="AC10" s="1">
        <f>建筑各项能耗拆分!$B$18*建筑各项能耗拆分!AC30</f>
        <v>112236260458493.72</v>
      </c>
      <c r="AD10" s="1">
        <f>建筑各项能耗拆分!$B$18*建筑各项能耗拆分!AD30</f>
        <v>112659953408916.86</v>
      </c>
      <c r="AE10" s="1">
        <f>建筑各项能耗拆分!$B$18*建筑各项能耗拆分!AE30</f>
        <v>113068691508086.66</v>
      </c>
      <c r="AF10" s="1">
        <f>建筑各项能耗拆分!$B$18*建筑各项能耗拆分!AF30</f>
        <v>113464693305395.27</v>
      </c>
      <c r="AG10" s="1">
        <f>建筑各项能耗拆分!$B$18*建筑各项能耗拆分!AG30</f>
        <v>113850333539129.27</v>
      </c>
      <c r="AH10" s="1">
        <f>建筑各项能耗拆分!$B$18*建筑各项能耗拆分!AH30</f>
        <v>114228146939948.66</v>
      </c>
      <c r="AI10" s="1">
        <f>建筑各项能耗拆分!$B$18*建筑各项能耗拆分!AI30</f>
        <v>114600826072923.7</v>
      </c>
      <c r="AJ10" s="1">
        <f>建筑各项能耗拆分!$B$18*建筑各项能耗拆分!AJ30</f>
        <v>114971244718971.05</v>
      </c>
      <c r="AK10" s="1">
        <f>建筑各项能耗拆分!$B$18*建筑各项能耗拆分!AK30</f>
        <v>115342443390481.02</v>
      </c>
      <c r="AL10" s="1">
        <f>建筑各项能耗拆分!$B$18*建筑各项能耗拆分!AL30</f>
        <v>115717649876106.44</v>
      </c>
      <c r="AM10" s="1">
        <f>建筑各项能耗拆分!$B$18*建筑各项能耗拆分!AM30</f>
        <v>116100280793895.09</v>
      </c>
      <c r="AN10" s="1">
        <f>建筑各项能耗拆分!$B$18*建筑各项能耗拆分!AN30</f>
        <v>116493942615711.67</v>
      </c>
      <c r="AO10" s="1">
        <f>建筑各项能耗拆分!$B$18*建筑各项能耗拆分!AO30</f>
        <v>116902448196440.19</v>
      </c>
      <c r="AP10" s="1">
        <f>建筑各项能耗拆分!$B$18*建筑各项能耗拆分!AP30</f>
        <v>117329814746830.7</v>
      </c>
      <c r="AQ10" s="1">
        <f>建筑各项能耗拆分!$B$18*建筑各项能耗拆分!AQ30</f>
        <v>117780281780931.89</v>
      </c>
      <c r="AR10" s="1">
        <f>建筑各项能耗拆分!$B$18*建筑各项能耗拆分!AR30</f>
        <v>118258302970641.27</v>
      </c>
    </row>
    <row r="11" spans="1:44" x14ac:dyDescent="0.15">
      <c r="A11" t="s">
        <v>9</v>
      </c>
      <c r="B11" s="1">
        <f>建筑各项能耗拆分!$B$18*建筑各项能耗拆分!B31</f>
        <v>0</v>
      </c>
      <c r="C11" s="1">
        <f>建筑各项能耗拆分!$B$18*建筑各项能耗拆分!C31</f>
        <v>0</v>
      </c>
      <c r="D11" s="1">
        <f>建筑各项能耗拆分!$B$18*建筑各项能耗拆分!D31</f>
        <v>0</v>
      </c>
      <c r="E11" s="1">
        <f>建筑各项能耗拆分!$B$18*建筑各项能耗拆分!E31</f>
        <v>0</v>
      </c>
      <c r="F11" s="1">
        <f>建筑各项能耗拆分!$B$18*建筑各项能耗拆分!F31</f>
        <v>0</v>
      </c>
      <c r="G11" s="1">
        <f>建筑各项能耗拆分!$B$18*建筑各项能耗拆分!G31</f>
        <v>0</v>
      </c>
      <c r="H11" s="1">
        <f>建筑各项能耗拆分!$B$18*建筑各项能耗拆分!H31</f>
        <v>0</v>
      </c>
      <c r="I11" s="1">
        <f>建筑各项能耗拆分!$B$18*建筑各项能耗拆分!I31</f>
        <v>0</v>
      </c>
      <c r="J11" s="1">
        <f>建筑各项能耗拆分!$B$18*建筑各项能耗拆分!J31</f>
        <v>0</v>
      </c>
      <c r="K11" s="1">
        <f>建筑各项能耗拆分!$B$18*建筑各项能耗拆分!K31</f>
        <v>0</v>
      </c>
      <c r="L11" s="1">
        <f>建筑各项能耗拆分!$B$18*建筑各项能耗拆分!L31</f>
        <v>0</v>
      </c>
      <c r="M11" s="1">
        <f>建筑各项能耗拆分!$B$18*建筑各项能耗拆分!M31</f>
        <v>0</v>
      </c>
      <c r="N11" s="1">
        <f>建筑各项能耗拆分!$B$18*建筑各项能耗拆分!N31</f>
        <v>0</v>
      </c>
      <c r="O11" s="1">
        <f>建筑各项能耗拆分!$B$18*建筑各项能耗拆分!O31</f>
        <v>0</v>
      </c>
      <c r="P11" s="1">
        <f>建筑各项能耗拆分!$B$18*建筑各项能耗拆分!P31</f>
        <v>0</v>
      </c>
      <c r="Q11" s="1">
        <f>建筑各项能耗拆分!$B$18*建筑各项能耗拆分!Q31</f>
        <v>0</v>
      </c>
      <c r="R11" s="1">
        <f>建筑各项能耗拆分!$B$18*建筑各项能耗拆分!R31</f>
        <v>0</v>
      </c>
      <c r="S11" s="1">
        <f>建筑各项能耗拆分!$B$18*建筑各项能耗拆分!S31</f>
        <v>0</v>
      </c>
      <c r="T11" s="1">
        <f>建筑各项能耗拆分!$B$18*建筑各项能耗拆分!T31</f>
        <v>0</v>
      </c>
      <c r="U11" s="1">
        <f>建筑各项能耗拆分!$B$18*建筑各项能耗拆分!U31</f>
        <v>0</v>
      </c>
      <c r="V11" s="1">
        <f>建筑各项能耗拆分!$B$18*建筑各项能耗拆分!V31</f>
        <v>0</v>
      </c>
      <c r="W11" s="1">
        <f>建筑各项能耗拆分!$B$18*建筑各项能耗拆分!W31</f>
        <v>0</v>
      </c>
      <c r="X11" s="1">
        <f>建筑各项能耗拆分!$B$18*建筑各项能耗拆分!X31</f>
        <v>0</v>
      </c>
      <c r="Y11" s="1">
        <f>建筑各项能耗拆分!$B$18*建筑各项能耗拆分!Y31</f>
        <v>0</v>
      </c>
      <c r="Z11" s="1">
        <f>建筑各项能耗拆分!$B$18*建筑各项能耗拆分!Z31</f>
        <v>0</v>
      </c>
      <c r="AA11" s="1">
        <f>建筑各项能耗拆分!$B$18*建筑各项能耗拆分!AA31</f>
        <v>0</v>
      </c>
      <c r="AB11" s="1">
        <f>建筑各项能耗拆分!$B$18*建筑各项能耗拆分!AB31</f>
        <v>0</v>
      </c>
      <c r="AC11" s="1">
        <f>建筑各项能耗拆分!$B$18*建筑各项能耗拆分!AC31</f>
        <v>0</v>
      </c>
      <c r="AD11" s="1">
        <f>建筑各项能耗拆分!$B$18*建筑各项能耗拆分!AD31</f>
        <v>0</v>
      </c>
      <c r="AE11" s="1">
        <f>建筑各项能耗拆分!$B$18*建筑各项能耗拆分!AE31</f>
        <v>0</v>
      </c>
      <c r="AF11" s="1">
        <f>建筑各项能耗拆分!$B$18*建筑各项能耗拆分!AF31</f>
        <v>0</v>
      </c>
      <c r="AG11" s="1">
        <f>建筑各项能耗拆分!$B$18*建筑各项能耗拆分!AG31</f>
        <v>0</v>
      </c>
      <c r="AH11" s="1">
        <f>建筑各项能耗拆分!$B$18*建筑各项能耗拆分!AH31</f>
        <v>0</v>
      </c>
      <c r="AI11" s="1">
        <f>建筑各项能耗拆分!$B$18*建筑各项能耗拆分!AI31</f>
        <v>0</v>
      </c>
      <c r="AJ11" s="1">
        <f>建筑各项能耗拆分!$B$18*建筑各项能耗拆分!AJ31</f>
        <v>0</v>
      </c>
      <c r="AK11" s="1">
        <f>建筑各项能耗拆分!$B$18*建筑各项能耗拆分!AK31</f>
        <v>0</v>
      </c>
      <c r="AL11" s="1">
        <f>建筑各项能耗拆分!$B$18*建筑各项能耗拆分!AL31</f>
        <v>0</v>
      </c>
      <c r="AM11" s="1">
        <f>建筑各项能耗拆分!$B$18*建筑各项能耗拆分!AM31</f>
        <v>0</v>
      </c>
      <c r="AN11" s="1">
        <f>建筑各项能耗拆分!$B$18*建筑各项能耗拆分!AN31</f>
        <v>0</v>
      </c>
      <c r="AO11" s="1">
        <f>建筑各项能耗拆分!$B$18*建筑各项能耗拆分!AO31</f>
        <v>0</v>
      </c>
      <c r="AP11" s="1">
        <f>建筑各项能耗拆分!$B$18*建筑各项能耗拆分!AP31</f>
        <v>0</v>
      </c>
      <c r="AQ11" s="1">
        <f>建筑各项能耗拆分!$B$18*建筑各项能耗拆分!AQ31</f>
        <v>0</v>
      </c>
      <c r="AR11" s="1">
        <f>建筑各项能耗拆分!$B$18*建筑各项能耗拆分!AR31</f>
        <v>0</v>
      </c>
    </row>
    <row r="12" spans="1:44" x14ac:dyDescent="0.15">
      <c r="A12" t="s">
        <v>1160</v>
      </c>
      <c r="B12" s="1">
        <f>SUM(B2:B11)</f>
        <v>2513803814383859.5</v>
      </c>
      <c r="C12" s="1">
        <f t="shared" ref="C12:AR12" si="0">SUM(C2:C11)</f>
        <v>2495955807301734</v>
      </c>
      <c r="D12" s="1">
        <f t="shared" si="0"/>
        <v>2557023739244776</v>
      </c>
      <c r="E12" s="1">
        <f t="shared" si="0"/>
        <v>2589146905350831.5</v>
      </c>
      <c r="F12" s="1">
        <f t="shared" si="0"/>
        <v>2620335836246288</v>
      </c>
      <c r="G12" s="1">
        <f t="shared" si="0"/>
        <v>2650584822692363</v>
      </c>
      <c r="H12" s="1">
        <f t="shared" si="0"/>
        <v>2679889588919574</v>
      </c>
      <c r="I12" s="1">
        <f t="shared" si="0"/>
        <v>2708247677361782.5</v>
      </c>
      <c r="J12" s="1">
        <f t="shared" si="0"/>
        <v>2735658157179084.5</v>
      </c>
      <c r="K12" s="1">
        <f t="shared" si="0"/>
        <v>2762121939462138</v>
      </c>
      <c r="L12" s="1">
        <f t="shared" si="0"/>
        <v>2787641784794133.5</v>
      </c>
      <c r="M12" s="1">
        <f t="shared" si="0"/>
        <v>2812222371727625.5</v>
      </c>
      <c r="N12" s="1">
        <f t="shared" si="0"/>
        <v>2835870398748471.5</v>
      </c>
      <c r="O12" s="1">
        <f t="shared" si="0"/>
        <v>2858594657391851.5</v>
      </c>
      <c r="P12" s="1">
        <f t="shared" si="0"/>
        <v>2880406213242729</v>
      </c>
      <c r="Q12" s="1">
        <f t="shared" si="0"/>
        <v>2901318318376177</v>
      </c>
      <c r="R12" s="1">
        <f t="shared" si="0"/>
        <v>2921346715765490</v>
      </c>
      <c r="S12" s="1">
        <f t="shared" si="0"/>
        <v>2940509639032136.5</v>
      </c>
      <c r="T12" s="1">
        <f t="shared" si="0"/>
        <v>2958827855385538</v>
      </c>
      <c r="U12" s="1">
        <f t="shared" si="0"/>
        <v>2976324910322299</v>
      </c>
      <c r="V12" s="1">
        <f t="shared" si="0"/>
        <v>2993027092272687.5</v>
      </c>
      <c r="W12" s="1">
        <f t="shared" si="0"/>
        <v>3008963633205666</v>
      </c>
      <c r="X12" s="1">
        <f t="shared" si="0"/>
        <v>3024166833553480.5</v>
      </c>
      <c r="Y12" s="1">
        <f t="shared" si="0"/>
        <v>3038672195418719</v>
      </c>
      <c r="Z12" s="1">
        <f t="shared" si="0"/>
        <v>3052518382601648.5</v>
      </c>
      <c r="AA12" s="1">
        <f t="shared" si="0"/>
        <v>3065747541219320.5</v>
      </c>
      <c r="AB12" s="1">
        <f t="shared" si="0"/>
        <v>3078405343836602</v>
      </c>
      <c r="AC12" s="1">
        <f t="shared" si="0"/>
        <v>3090541148924573</v>
      </c>
      <c r="AD12" s="1">
        <f t="shared" si="0"/>
        <v>3102207971148004</v>
      </c>
      <c r="AE12" s="1">
        <f t="shared" si="0"/>
        <v>3113462996123507.5</v>
      </c>
      <c r="AF12" s="1">
        <f t="shared" si="0"/>
        <v>3124367313895953.5</v>
      </c>
      <c r="AG12" s="1">
        <f t="shared" si="0"/>
        <v>3134986315332451</v>
      </c>
      <c r="AH12" s="1">
        <f t="shared" si="0"/>
        <v>3145389796855066</v>
      </c>
      <c r="AI12" s="1">
        <f t="shared" si="0"/>
        <v>3155651901019084.5</v>
      </c>
      <c r="AJ12" s="1">
        <f t="shared" si="0"/>
        <v>3165851760344953</v>
      </c>
      <c r="AK12" s="1">
        <f t="shared" si="0"/>
        <v>3176073098476154</v>
      </c>
      <c r="AL12" s="1">
        <f t="shared" si="0"/>
        <v>3186404795901136.5</v>
      </c>
      <c r="AM12" s="1">
        <f t="shared" si="0"/>
        <v>3196940932720430.5</v>
      </c>
      <c r="AN12" s="1">
        <f t="shared" si="0"/>
        <v>3207780816855154</v>
      </c>
      <c r="AO12" s="1">
        <f t="shared" si="0"/>
        <v>3219029439195647</v>
      </c>
      <c r="AP12" s="1">
        <f t="shared" si="0"/>
        <v>3230797417781714.5</v>
      </c>
      <c r="AQ12" s="1">
        <f t="shared" si="0"/>
        <v>3243201492003687</v>
      </c>
      <c r="AR12" s="1">
        <f t="shared" si="0"/>
        <v>3256364298309061.5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5089-BBC5-4D37-82B1-889F34C46E07}">
  <sheetPr>
    <tabColor rgb="FF00B0F0"/>
  </sheetPr>
  <dimension ref="A1:AR12"/>
  <sheetViews>
    <sheetView workbookViewId="0">
      <selection activeCell="B6" sqref="B6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</row>
    <row r="3" spans="1:44" x14ac:dyDescent="0.1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1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1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15">
      <c r="A6" t="s">
        <v>4</v>
      </c>
      <c r="B6" s="1">
        <f>建筑各项能耗拆分!$B$18*建筑各项能耗拆分!B26</f>
        <v>1602397444759631.5</v>
      </c>
      <c r="C6" s="1">
        <f>建筑各项能耗拆分!$B$18*建筑各项能耗拆分!C26</f>
        <v>1591020422901838</v>
      </c>
      <c r="D6" s="1">
        <f>建筑各项能耗拆分!$B$18*建筑各项能耗拆分!D26</f>
        <v>1629947525145205</v>
      </c>
      <c r="E6" s="1">
        <f>建筑各项能耗拆分!$B$18*建筑各项能耗拆分!E26</f>
        <v>1650424094952045.3</v>
      </c>
      <c r="F6" s="1">
        <f>建筑各项能耗拆分!$B$18*建筑各项能耗拆分!F26</f>
        <v>1670305146482676.8</v>
      </c>
      <c r="G6" s="1">
        <f>建筑各项能耗拆分!$B$18*建筑各项能耗拆分!G26</f>
        <v>1689587040443697.5</v>
      </c>
      <c r="H6" s="1">
        <f>建筑各项能耗拆分!$B$18*建筑各项能耗拆分!H26</f>
        <v>1708267051291430.3</v>
      </c>
      <c r="I6" s="1">
        <f>建筑各项能耗拆分!$B$18*建筑各项能耗拆分!I26</f>
        <v>1726343612476536</v>
      </c>
      <c r="J6" s="1">
        <f>建筑各项能耗拆分!$B$18*建筑各项能耗拆分!J26</f>
        <v>1743816130645041.3</v>
      </c>
      <c r="K6" s="1">
        <f>建筑各项能耗拆分!$B$18*建筑各项能耗拆分!K26</f>
        <v>1760685186561974.3</v>
      </c>
      <c r="L6" s="1">
        <f>建筑各项能耗拆分!$B$18*建筑各项能耗拆分!L26</f>
        <v>1776952539931661</v>
      </c>
      <c r="M6" s="1">
        <f>建筑各项能耗拆分!$B$18*建筑各项能耗拆分!M26</f>
        <v>1792621173047557.3</v>
      </c>
      <c r="N6" s="1">
        <f>建筑各项能耗拆分!$B$18*建筑各项能耗拆分!N26</f>
        <v>1807695355788065.8</v>
      </c>
      <c r="O6" s="1">
        <f>建筑各项能耗拆分!$B$18*建筑各项能耗拆分!O26</f>
        <v>1822180692223572.5</v>
      </c>
      <c r="P6" s="1">
        <f>建筑各项能耗拆分!$B$18*建筑各项能耗拆分!P26</f>
        <v>1836084235993253.5</v>
      </c>
      <c r="Q6" s="1">
        <f>建筑各项能耗拆分!$B$18*建筑各项能耗拆分!Q26</f>
        <v>1849414434491100.5</v>
      </c>
      <c r="R6" s="1">
        <f>建筑各项能耗拆分!$B$18*建筑各项能耗拆分!R26</f>
        <v>1862181322907622.3</v>
      </c>
      <c r="S6" s="1">
        <f>建筑各项能耗拆分!$B$18*建筑各项能耗拆分!S26</f>
        <v>1874396524070456.8</v>
      </c>
      <c r="T6" s="1">
        <f>建筑各项能耗拆分!$B$18*建筑各项能耗拆分!T26</f>
        <v>1886073275815874.8</v>
      </c>
      <c r="U6" s="1">
        <f>建筑各项能耗拆分!$B$18*建筑各项能耗拆分!U26</f>
        <v>1897226586969695.5</v>
      </c>
      <c r="V6" s="1">
        <f>建筑各项能耗拆分!$B$18*建筑各项能耗拆分!V26</f>
        <v>1907873214811563.3</v>
      </c>
      <c r="W6" s="1">
        <f>建筑各项能耗拆分!$B$18*建筑各项能耗拆分!W26</f>
        <v>1918031792948485.8</v>
      </c>
      <c r="X6" s="1">
        <f>建筑各项能耗拆分!$B$18*建筑各项能耗拆分!X26</f>
        <v>1927722910946680.8</v>
      </c>
      <c r="Y6" s="1">
        <f>建筑各项能耗拆分!$B$18*建筑各项能耗拆分!Y26</f>
        <v>1936969199242997</v>
      </c>
      <c r="Z6" s="1">
        <f>建筑各项能耗拆分!$B$18*建筑各项能耗拆分!Z26</f>
        <v>1945795303664764.3</v>
      </c>
      <c r="AA6" s="1">
        <f>建筑各项能耗拆分!$B$18*建筑各项能耗拆分!AA26</f>
        <v>1954228089805028</v>
      </c>
      <c r="AB6" s="1">
        <f>建筑各项能耗拆分!$B$18*建筑各项能耗拆分!AB26</f>
        <v>1962296671153399.5</v>
      </c>
      <c r="AC6" s="1">
        <f>建筑各项能耗拆分!$B$18*建筑各项能耗拆分!AC26</f>
        <v>1970032510741117.3</v>
      </c>
      <c r="AD6" s="1">
        <f>建筑各项能耗拆分!$B$18*建筑各项能耗拆分!AD26</f>
        <v>1977469402201110.8</v>
      </c>
      <c r="AE6" s="1">
        <f>建筑各项能耗拆分!$B$18*建筑各项能耗拆分!AE26</f>
        <v>1984643797895101.3</v>
      </c>
      <c r="AF6" s="1">
        <f>建筑各项能耗拆分!$B$18*建筑各项能耗拆分!AF26</f>
        <v>1991594639020981.8</v>
      </c>
      <c r="AG6" s="1">
        <f>建筑各项能耗拆分!$B$18*建筑各项能耗拆分!AG26</f>
        <v>1998363608289934.8</v>
      </c>
      <c r="AH6" s="1">
        <f>建筑各项能耗拆分!$B$18*建筑各项能耗拆分!AH26</f>
        <v>2004995196687190</v>
      </c>
      <c r="AI6" s="1">
        <f>建筑各项能耗拆分!$B$18*建筑各项能耗拆分!AI26</f>
        <v>2011536665594265.5</v>
      </c>
      <c r="AJ6" s="1">
        <f>建筑各项能耗拆分!$B$18*建筑各项能耗拆分!AJ26</f>
        <v>2018038457192782</v>
      </c>
      <c r="AK6" s="1">
        <f>建筑各项能耗拆分!$B$18*建筑各项能耗拆分!AK26</f>
        <v>2024553940226796.8</v>
      </c>
      <c r="AL6" s="1">
        <f>建筑各项能耗拆分!$B$18*建筑各项能耗拆分!AL26</f>
        <v>2031139770616222</v>
      </c>
      <c r="AM6" s="1">
        <f>建筑各项能耗拆分!$B$18*建筑各项能耗拆分!AM26</f>
        <v>2037855918718261.8</v>
      </c>
      <c r="AN6" s="1">
        <f>建筑各项能耗拆分!$B$18*建筑各项能耗拆分!AN26</f>
        <v>2044765687308628</v>
      </c>
      <c r="AO6" s="1">
        <f>建筑各项能耗拆分!$B$18*建筑各项能耗拆分!AO26</f>
        <v>2051936001711182</v>
      </c>
      <c r="AP6" s="1">
        <f>建筑各项能耗拆分!$B$18*建筑各项能耗拆分!AP26</f>
        <v>2059437374216228.8</v>
      </c>
      <c r="AQ6" s="1">
        <f>建筑各项能耗拆分!$B$18*建筑各项能耗拆分!AQ26</f>
        <v>2067344219103711.8</v>
      </c>
      <c r="AR6" s="1">
        <f>建筑各项能耗拆分!$B$18*建筑各项能耗拆分!AR26</f>
        <v>2075734709669805.8</v>
      </c>
    </row>
    <row r="7" spans="1:44" x14ac:dyDescent="0.1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1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</row>
    <row r="9" spans="1:44" x14ac:dyDescent="0.1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1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</row>
    <row r="11" spans="1:44" x14ac:dyDescent="0.1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15">
      <c r="A12" t="s">
        <v>911</v>
      </c>
      <c r="B12" s="1">
        <f>SUM(B2:B11)</f>
        <v>1602397444759631.5</v>
      </c>
      <c r="C12" s="1">
        <f t="shared" ref="C12:AR12" si="0">SUM(C2:C11)</f>
        <v>1591020422901838</v>
      </c>
      <c r="D12" s="1">
        <f t="shared" si="0"/>
        <v>1629947525145205</v>
      </c>
      <c r="E12" s="1">
        <f t="shared" si="0"/>
        <v>1650424094952045.3</v>
      </c>
      <c r="F12" s="1">
        <f t="shared" si="0"/>
        <v>1670305146482676.8</v>
      </c>
      <c r="G12" s="1">
        <f t="shared" si="0"/>
        <v>1689587040443697.5</v>
      </c>
      <c r="H12" s="1">
        <f t="shared" si="0"/>
        <v>1708267051291430.3</v>
      </c>
      <c r="I12" s="1">
        <f t="shared" si="0"/>
        <v>1726343612476536</v>
      </c>
      <c r="J12" s="1">
        <f t="shared" si="0"/>
        <v>1743816130645041.3</v>
      </c>
      <c r="K12" s="1">
        <f t="shared" si="0"/>
        <v>1760685186561974.3</v>
      </c>
      <c r="L12" s="1">
        <f t="shared" si="0"/>
        <v>1776952539931661</v>
      </c>
      <c r="M12" s="1">
        <f t="shared" si="0"/>
        <v>1792621173047557.3</v>
      </c>
      <c r="N12" s="1">
        <f t="shared" si="0"/>
        <v>1807695355788065.8</v>
      </c>
      <c r="O12" s="1">
        <f t="shared" si="0"/>
        <v>1822180692223572.5</v>
      </c>
      <c r="P12" s="1">
        <f t="shared" si="0"/>
        <v>1836084235993253.5</v>
      </c>
      <c r="Q12" s="1">
        <f t="shared" si="0"/>
        <v>1849414434491100.5</v>
      </c>
      <c r="R12" s="1">
        <f t="shared" si="0"/>
        <v>1862181322907622.3</v>
      </c>
      <c r="S12" s="1">
        <f t="shared" si="0"/>
        <v>1874396524070456.8</v>
      </c>
      <c r="T12" s="1">
        <f t="shared" si="0"/>
        <v>1886073275815874.8</v>
      </c>
      <c r="U12" s="1">
        <f t="shared" si="0"/>
        <v>1897226586969695.5</v>
      </c>
      <c r="V12" s="1">
        <f t="shared" si="0"/>
        <v>1907873214811563.3</v>
      </c>
      <c r="W12" s="1">
        <f t="shared" si="0"/>
        <v>1918031792948485.8</v>
      </c>
      <c r="X12" s="1">
        <f t="shared" si="0"/>
        <v>1927722910946680.8</v>
      </c>
      <c r="Y12" s="1">
        <f t="shared" si="0"/>
        <v>1936969199242997</v>
      </c>
      <c r="Z12" s="1">
        <f t="shared" si="0"/>
        <v>1945795303664764.3</v>
      </c>
      <c r="AA12" s="1">
        <f t="shared" si="0"/>
        <v>1954228089805028</v>
      </c>
      <c r="AB12" s="1">
        <f t="shared" si="0"/>
        <v>1962296671153399.5</v>
      </c>
      <c r="AC12" s="1">
        <f t="shared" si="0"/>
        <v>1970032510741117.3</v>
      </c>
      <c r="AD12" s="1">
        <f t="shared" si="0"/>
        <v>1977469402201110.8</v>
      </c>
      <c r="AE12" s="1">
        <f t="shared" si="0"/>
        <v>1984643797895101.3</v>
      </c>
      <c r="AF12" s="1">
        <f t="shared" si="0"/>
        <v>1991594639020981.8</v>
      </c>
      <c r="AG12" s="1">
        <f t="shared" si="0"/>
        <v>1998363608289934.8</v>
      </c>
      <c r="AH12" s="1">
        <f t="shared" si="0"/>
        <v>2004995196687190</v>
      </c>
      <c r="AI12" s="1">
        <f t="shared" si="0"/>
        <v>2011536665594265.5</v>
      </c>
      <c r="AJ12" s="1">
        <f t="shared" si="0"/>
        <v>2018038457192782</v>
      </c>
      <c r="AK12" s="1">
        <f t="shared" si="0"/>
        <v>2024553940226796.8</v>
      </c>
      <c r="AL12" s="1">
        <f t="shared" si="0"/>
        <v>2031139770616222</v>
      </c>
      <c r="AM12" s="1">
        <f t="shared" si="0"/>
        <v>2037855918718261.8</v>
      </c>
      <c r="AN12" s="1">
        <f t="shared" si="0"/>
        <v>2044765687308628</v>
      </c>
      <c r="AO12" s="1">
        <f t="shared" si="0"/>
        <v>2051936001711182</v>
      </c>
      <c r="AP12" s="1">
        <f t="shared" si="0"/>
        <v>2059437374216228.8</v>
      </c>
      <c r="AQ12" s="1">
        <f t="shared" si="0"/>
        <v>2067344219103711.8</v>
      </c>
      <c r="AR12" s="1">
        <f t="shared" si="0"/>
        <v>2075734709669805.8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7F76-5382-4E7C-81D5-039F66484414}">
  <sheetPr>
    <tabColor rgb="FF00B0F0"/>
  </sheetPr>
  <dimension ref="A1:AR16"/>
  <sheetViews>
    <sheetView topLeftCell="AN1" workbookViewId="0">
      <selection activeCell="AS20" sqref="AS20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建筑各项能耗拆分!$B$18*建筑各项能耗拆分!B26*B14</f>
        <v>0</v>
      </c>
      <c r="C2" s="1">
        <f>建筑各项能耗拆分!$B$18*建筑各项能耗拆分!C26*C14</f>
        <v>0</v>
      </c>
      <c r="D2" s="1">
        <f>建筑各项能耗拆分!$B$18*建筑各项能耗拆分!D26*D14</f>
        <v>0</v>
      </c>
      <c r="E2" s="1">
        <f>建筑各项能耗拆分!$B$18*建筑各项能耗拆分!E26*E14</f>
        <v>13203392759616.361</v>
      </c>
      <c r="F2" s="1">
        <f>建筑各项能耗拆分!$B$18*建筑各项能耗拆分!F26*F14</f>
        <v>26724882343722.828</v>
      </c>
      <c r="G2" s="1">
        <f>建筑各项能耗拆分!$B$18*建筑各项能耗拆分!G26*G14</f>
        <v>40550088970648.742</v>
      </c>
      <c r="H2" s="1">
        <f>建筑各项能耗拆分!$B$18*建筑各项能耗拆分!H26*H14</f>
        <v>54664545641325.766</v>
      </c>
      <c r="I2" s="1">
        <f>建筑各项能耗拆分!$B$18*建筑各项能耗拆分!I26*I14</f>
        <v>69053744499061.445</v>
      </c>
      <c r="J2" s="1">
        <f>建筑各项能耗拆分!$B$18*建筑各项能耗拆分!J26*J14</f>
        <v>83703174270961.984</v>
      </c>
      <c r="K2" s="1">
        <f>建筑各项能耗拆分!$B$18*建筑各项能耗拆分!K26*K14</f>
        <v>98598370447470.563</v>
      </c>
      <c r="L2" s="1">
        <f>建筑各项能耗拆分!$B$18*建筑各项能耗拆分!L26*L14</f>
        <v>113724962555626.31</v>
      </c>
      <c r="M2" s="1">
        <f>建筑各项能耗拆分!$B$18*建筑各项能耗拆分!M26*M14</f>
        <v>129068724459424.11</v>
      </c>
      <c r="N2" s="1">
        <f>建筑各项能耗拆分!$B$18*建筑各项能耗拆分!N26*N14</f>
        <v>144615628463045.25</v>
      </c>
      <c r="O2" s="1">
        <f>建筑各项能耗拆分!$B$18*建筑各项能耗拆分!O26*O14</f>
        <v>153063178146780.09</v>
      </c>
      <c r="P2" s="1">
        <f>建筑各项能耗拆分!$B$18*建筑各项能耗拆分!P26*P14</f>
        <v>161575412767406.31</v>
      </c>
      <c r="Q2" s="1">
        <f>建筑各项能耗拆分!$B$18*建筑各项能耗拆分!Q26*Q14</f>
        <v>170146127973181.25</v>
      </c>
      <c r="R2" s="1">
        <f>建筑各项能耗拆分!$B$18*建筑各项能耗拆分!R26*R14</f>
        <v>178769406999131.75</v>
      </c>
      <c r="S2" s="1">
        <f>建筑各项能耗拆分!$B$18*建筑各项能耗拆分!S26*S14</f>
        <v>187439652407045.69</v>
      </c>
      <c r="T2" s="1">
        <f>建筑各项能耗拆分!$B$18*建筑各项能耗拆分!T26*T14</f>
        <v>196151620684850.97</v>
      </c>
      <c r="U2" s="1">
        <f>建筑各项能耗拆分!$B$18*建筑各项能耗拆分!U26*U14</f>
        <v>204900471392727.13</v>
      </c>
      <c r="V2" s="1">
        <f>建筑各项能耗拆分!$B$18*建筑各项能耗拆分!V26*V14</f>
        <v>213681800058895.09</v>
      </c>
      <c r="W2" s="1">
        <f>建筑各项能耗拆分!$B$18*建筑各项能耗拆分!W26*W14</f>
        <v>222491687982024.34</v>
      </c>
      <c r="X2" s="1">
        <f>建筑各项能耗拆分!$B$18*建筑各项能耗拆分!X26*X14</f>
        <v>231326749313601.69</v>
      </c>
      <c r="Y2" s="1">
        <f>建筑各项能耗拆分!$B$18*建筑各项能耗拆分!Y26*Y14</f>
        <v>240184180706131.63</v>
      </c>
      <c r="Z2" s="1">
        <f>建筑各项能耗拆分!$B$18*建筑各项能耗拆分!Z26*Z14</f>
        <v>249061798869089.84</v>
      </c>
      <c r="AA2" s="1">
        <f>建筑各项能耗拆分!$B$18*建筑各项能耗拆分!AA26*AA14</f>
        <v>257958107854263.72</v>
      </c>
      <c r="AB2" s="1">
        <f>建筑各项能耗拆分!$B$18*建筑各项能耗拆分!AB26*AB14</f>
        <v>266872347276862.34</v>
      </c>
      <c r="AC2" s="1">
        <f>建筑各项能耗拆分!$B$18*建筑各项能耗拆分!AC26*AC14</f>
        <v>275804551503756.44</v>
      </c>
      <c r="AD2" s="1">
        <f>建筑各项能耗拆分!$B$18*建筑各项能耗拆分!AD26*AD14</f>
        <v>284755593916959.94</v>
      </c>
      <c r="AE2" s="1">
        <f>建筑各项能耗拆分!$B$18*建筑各项能耗拆分!AE26*AE14</f>
        <v>293727282088475</v>
      </c>
      <c r="AF2" s="1">
        <f>建筑各项能耗拆分!$B$18*建筑各项能耗拆分!AF26*AF14</f>
        <v>302722385131189.19</v>
      </c>
      <c r="AG2" s="1">
        <f>建筑各项能耗拆分!$B$18*建筑各项能耗拆分!AG26*AG14</f>
        <v>311744722893229.81</v>
      </c>
      <c r="AH2" s="1">
        <f>建筑各项能耗拆分!$B$18*建筑各项能耗拆分!AH26*AH14</f>
        <v>320799231469950.44</v>
      </c>
      <c r="AI2" s="1">
        <f>建筑各项能耗拆分!$B$18*建筑各项能耗拆分!AI26*AI14</f>
        <v>329892013157459.56</v>
      </c>
      <c r="AJ2" s="1">
        <f>建筑各项能耗拆分!$B$18*建筑各项能耗拆分!AJ26*AJ14</f>
        <v>339030460808387.38</v>
      </c>
      <c r="AK2" s="1">
        <f>建筑各项能耗拆分!$B$18*建筑各项能耗拆分!AK26*AK14</f>
        <v>348223277719009</v>
      </c>
      <c r="AL2" s="1">
        <f>建筑各项能耗拆分!$B$18*建筑各项能耗拆分!AL26*AL14</f>
        <v>357480599628455.06</v>
      </c>
      <c r="AM2" s="1">
        <f>建筑各项能耗拆分!$B$18*建筑各项能耗拆分!AM26*AM14</f>
        <v>366814065369287.13</v>
      </c>
      <c r="AN2" s="1">
        <f>建筑各项能耗拆分!$B$18*建筑各项能耗拆分!AN26*AN14</f>
        <v>376236886464787.56</v>
      </c>
      <c r="AO2" s="1">
        <f>建筑各项能耗拆分!$B$18*建筑各项能耗拆分!AO26*AO14</f>
        <v>385763968321702.19</v>
      </c>
      <c r="AP2" s="1">
        <f>建筑各项能耗拆分!$B$18*建筑各项能耗拆分!AP26*AP14</f>
        <v>395411975849515.94</v>
      </c>
      <c r="AQ2" s="1">
        <f>建筑各项能耗拆分!$B$18*建筑各项能耗拆分!AQ26*AQ14</f>
        <v>405199466944327.5</v>
      </c>
      <c r="AR2" s="1">
        <f>建筑各项能耗拆分!$B$18*建筑各项能耗拆分!AR26*AR14</f>
        <v>415146941933961.19</v>
      </c>
    </row>
    <row r="3" spans="1:44" x14ac:dyDescent="0.1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1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1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15">
      <c r="A6" t="s">
        <v>4</v>
      </c>
      <c r="B6" s="1">
        <f>建筑各项能耗拆分!$B$18*建筑各项能耗拆分!B26*(1-B16)</f>
        <v>1602397444759631.5</v>
      </c>
      <c r="C6" s="1">
        <f>建筑各项能耗拆分!$B$18*建筑各项能耗拆分!C26*(1-C16)</f>
        <v>1591020422901838</v>
      </c>
      <c r="D6" s="1">
        <f>建筑各项能耗拆分!$B$18*建筑各项能耗拆分!D26*(1-D16)</f>
        <v>1629947525145205</v>
      </c>
      <c r="E6" s="1">
        <f>建筑各项能耗拆分!$B$18*建筑各项能耗拆分!E26*(1-E16)</f>
        <v>1604212220293388</v>
      </c>
      <c r="F6" s="1">
        <f>建筑各项能耗拆分!$B$18*建筑各项能耗拆分!F26*(1-F16)</f>
        <v>1576768058279646.8</v>
      </c>
      <c r="G6" s="1">
        <f>建筑各项能耗拆分!$B$18*建筑各项能耗拆分!G26*(1-G16)</f>
        <v>1547661729046427</v>
      </c>
      <c r="H6" s="1">
        <f>建筑各项能耗拆分!$B$18*建筑各项能耗拆分!H26*(1-H16)</f>
        <v>1516941141546790</v>
      </c>
      <c r="I6" s="1">
        <f>建筑各项能耗拆分!$B$18*建筑各项能耗拆分!I26*(1-I16)</f>
        <v>1484655506729821</v>
      </c>
      <c r="J6" s="1">
        <f>建筑各项能耗拆分!$B$18*建筑各项能耗拆分!J26*(1-J16)</f>
        <v>1450855020696674.5</v>
      </c>
      <c r="K6" s="1">
        <f>建筑各项能耗拆分!$B$18*建筑各项能耗拆分!K26*(1-K16)</f>
        <v>1415590889995827.5</v>
      </c>
      <c r="L6" s="1">
        <f>建筑各项能耗拆分!$B$18*建筑各项能耗拆分!L26*(1-L16)</f>
        <v>1378915170986969</v>
      </c>
      <c r="M6" s="1">
        <f>建筑各项能耗拆分!$B$18*建筑各项能耗拆分!M26*(1-M16)</f>
        <v>1340880637439572.8</v>
      </c>
      <c r="N6" s="1">
        <f>建筑各项能耗拆分!$B$18*建筑各项能耗拆分!N26*(1-N16)</f>
        <v>1301540656167407.3</v>
      </c>
      <c r="O6" s="1">
        <f>建筑各项能耗拆分!$B$18*建筑各项能耗拆分!O26*(1-O16)</f>
        <v>1268237761787606.3</v>
      </c>
      <c r="P6" s="1">
        <f>建筑各项能耗拆分!$B$18*建筑各项能耗拆分!P26*(1-P16)</f>
        <v>1233848606587466.5</v>
      </c>
      <c r="Q6" s="1">
        <f>建筑各项能耗拆分!$B$18*建筑各项能耗拆分!Q26*(1-Q16)</f>
        <v>1198420553550233.3</v>
      </c>
      <c r="R6" s="1">
        <f>建筑各项能耗拆分!$B$18*建筑各项能耗拆分!R26*(1-R16)</f>
        <v>1162001145494356.3</v>
      </c>
      <c r="S6" s="1">
        <f>建筑各项能耗拆分!$B$18*建筑各项能耗拆分!S26*(1-S16)</f>
        <v>1124637914442274</v>
      </c>
      <c r="T6" s="1">
        <f>建筑各项能耗拆分!$B$18*建筑各项能耗拆分!T26*(1-T16)</f>
        <v>1086378206869944</v>
      </c>
      <c r="U6" s="1">
        <f>建筑各项能耗拆分!$B$18*建筑各项能耗拆分!U26*(1-U16)</f>
        <v>1047269076007272</v>
      </c>
      <c r="V6" s="1">
        <f>建筑各项能耗拆分!$B$18*建筑各项能耗拆分!V26*(1-V16)</f>
        <v>1007357057420505.5</v>
      </c>
      <c r="W6" s="1">
        <f>建筑各项能耗拆分!$B$18*建筑各项能耗拆分!W26*(1-W16)</f>
        <v>966688023646036.88</v>
      </c>
      <c r="X6" s="1">
        <f>建筑各项能耗拆分!$B$18*建筑各项能耗拆分!X26*(1-X16)</f>
        <v>925306997254406.75</v>
      </c>
      <c r="Y6" s="1">
        <f>建筑各项能耗拆分!$B$18*建筑各项能耗拆分!Y26*(1-Y16)</f>
        <v>883257954854806.5</v>
      </c>
      <c r="Z6" s="1">
        <f>建筑各项能耗拆分!$B$18*建筑各项能耗拆分!Z26*(1-Z16)</f>
        <v>840583571183178</v>
      </c>
      <c r="AA6" s="1">
        <f>建筑各项能耗拆分!$B$18*建筑各项能耗拆分!AA26*(1-AA16)</f>
        <v>797325060640451.25</v>
      </c>
      <c r="AB6" s="1">
        <f>建筑各项能耗拆分!$B$18*建筑各项能耗拆分!AB26*(1-AB16)</f>
        <v>753521921722905.38</v>
      </c>
      <c r="AC6" s="1">
        <f>建筑各项能耗拆分!$B$18*建筑各项能耗拆分!AC26*(1-AC16)</f>
        <v>709211703866802.13</v>
      </c>
      <c r="AD6" s="1">
        <f>建筑各项能耗拆分!$B$18*建筑各项能耗拆分!AD26*(1-AD16)</f>
        <v>664429719139573.13</v>
      </c>
      <c r="AE6" s="1">
        <f>建筑各项能耗拆分!$B$18*建筑各项能耗拆分!AE26*(1-AE16)</f>
        <v>619208864943271.5</v>
      </c>
      <c r="AF6" s="1">
        <f>建筑各项能耗拆分!$B$18*建筑各项能耗拆分!AF26*(1-AF16)</f>
        <v>573579256038042.63</v>
      </c>
      <c r="AG6" s="1">
        <f>建筑各项能耗拆分!$B$18*建筑各项能耗拆分!AG26*(1-AG16)</f>
        <v>527567992588542.81</v>
      </c>
      <c r="AH6" s="1">
        <f>建筑各项能耗拆分!$B$18*建筑各项能耗拆分!AH26*(1-AH16)</f>
        <v>481198847204925.56</v>
      </c>
      <c r="AI6" s="1">
        <f>建筑各项能耗拆分!$B$18*建筑各项能耗拆分!AI26*(1-AI16)</f>
        <v>434491919768361.31</v>
      </c>
      <c r="AJ6" s="1">
        <f>建筑各项能耗拆分!$B$18*建筑各项能耗拆分!AJ26*(1-AJ16)</f>
        <v>387463383781014.06</v>
      </c>
      <c r="AK6" s="1">
        <f>建筑各项能耗拆分!$B$18*建筑各项能耗拆分!AK26*(1-AK16)</f>
        <v>340125061958101.69</v>
      </c>
      <c r="AL6" s="1">
        <f>建筑各项能耗拆分!$B$18*建筑各项能耗拆分!AL26*(1-AL16)</f>
        <v>292484126968735.75</v>
      </c>
      <c r="AM6" s="1">
        <f>建筑各项能耗拆分!$B$18*建筑各项能耗拆分!AM26*(1-AM16)</f>
        <v>244542710246191.63</v>
      </c>
      <c r="AN6" s="1">
        <f>建筑各项能耗拆分!$B$18*建筑各项能耗拆分!AN26*(1-AN16)</f>
        <v>196297505981628.47</v>
      </c>
      <c r="AO6" s="1">
        <f>建筑各项能耗拆分!$B$18*建筑各项能耗拆分!AO26*(1-AO16)</f>
        <v>147739392123205.25</v>
      </c>
      <c r="AP6" s="1">
        <f>建筑各项能耗拆分!$B$18*建筑各项能耗拆分!AP26*(1-AP16)</f>
        <v>98852993962379.063</v>
      </c>
      <c r="AQ6" s="1">
        <f>建筑各项能耗拆分!$B$18*建筑各项能耗拆分!AQ26*(1-AQ16)</f>
        <v>49616261258489.125</v>
      </c>
      <c r="AR6" s="1">
        <f>建筑各项能耗拆分!$B$18*建筑各项能耗拆分!AR26*(1-AR16)</f>
        <v>0</v>
      </c>
    </row>
    <row r="7" spans="1:44" x14ac:dyDescent="0.1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1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</row>
    <row r="9" spans="1:44" x14ac:dyDescent="0.1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1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</row>
    <row r="11" spans="1:44" x14ac:dyDescent="0.1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3" spans="1:44" s="4" customFormat="1" x14ac:dyDescent="0.15">
      <c r="A13" t="s">
        <v>1155</v>
      </c>
      <c r="B13" s="4">
        <v>2018</v>
      </c>
      <c r="C13" s="4">
        <v>2019</v>
      </c>
      <c r="D13" s="4">
        <v>2020</v>
      </c>
      <c r="E13" s="4">
        <v>2021</v>
      </c>
      <c r="F13" s="4">
        <v>2022</v>
      </c>
      <c r="G13" s="4">
        <v>2023</v>
      </c>
      <c r="H13" s="4">
        <v>2024</v>
      </c>
      <c r="I13" s="4">
        <v>2025</v>
      </c>
      <c r="J13" s="4">
        <v>2026</v>
      </c>
      <c r="K13" s="4">
        <v>2027</v>
      </c>
      <c r="L13" s="4">
        <v>2028</v>
      </c>
      <c r="M13" s="4">
        <v>2029</v>
      </c>
      <c r="N13" s="4">
        <v>2030</v>
      </c>
      <c r="O13" s="4">
        <v>2031</v>
      </c>
      <c r="P13" s="4">
        <v>2032</v>
      </c>
      <c r="Q13" s="4">
        <v>2033</v>
      </c>
      <c r="R13" s="4">
        <v>2034</v>
      </c>
      <c r="S13" s="4">
        <v>2035</v>
      </c>
      <c r="T13" s="4">
        <v>2036</v>
      </c>
      <c r="U13" s="4">
        <v>2037</v>
      </c>
      <c r="V13" s="4">
        <v>2038</v>
      </c>
      <c r="W13" s="4">
        <v>2039</v>
      </c>
      <c r="X13" s="4">
        <v>2040</v>
      </c>
      <c r="Y13" s="4">
        <v>2041</v>
      </c>
      <c r="Z13" s="4">
        <v>2042</v>
      </c>
      <c r="AA13" s="4">
        <v>2043</v>
      </c>
      <c r="AB13" s="4">
        <v>2044</v>
      </c>
      <c r="AC13" s="4">
        <v>2045</v>
      </c>
      <c r="AD13" s="4">
        <v>2046</v>
      </c>
      <c r="AE13" s="4">
        <v>2047</v>
      </c>
      <c r="AF13" s="4">
        <v>2048</v>
      </c>
      <c r="AG13" s="4">
        <v>2049</v>
      </c>
      <c r="AH13" s="4">
        <v>2050</v>
      </c>
      <c r="AI13" s="4">
        <v>2051</v>
      </c>
      <c r="AJ13" s="4">
        <v>2052</v>
      </c>
      <c r="AK13" s="4">
        <v>2053</v>
      </c>
      <c r="AL13" s="4">
        <v>2054</v>
      </c>
      <c r="AM13" s="4">
        <v>2055</v>
      </c>
      <c r="AN13" s="4">
        <v>2056</v>
      </c>
      <c r="AO13" s="4">
        <v>2057</v>
      </c>
      <c r="AP13" s="4">
        <v>2058</v>
      </c>
      <c r="AQ13" s="4">
        <v>2059</v>
      </c>
      <c r="AR13" s="4">
        <v>2060</v>
      </c>
    </row>
    <row r="14" spans="1:44" s="8" customFormat="1" x14ac:dyDescent="0.15">
      <c r="A14" t="s">
        <v>1157</v>
      </c>
      <c r="B14" s="8">
        <v>0</v>
      </c>
      <c r="C14" s="8">
        <v>0</v>
      </c>
      <c r="D14" s="8">
        <v>0</v>
      </c>
      <c r="E14" s="8">
        <v>8.0000000000000002E-3</v>
      </c>
      <c r="F14" s="8">
        <v>1.6E-2</v>
      </c>
      <c r="G14" s="8">
        <v>2.4E-2</v>
      </c>
      <c r="H14" s="8">
        <v>3.2000000000000001E-2</v>
      </c>
      <c r="I14" s="8">
        <v>0.04</v>
      </c>
      <c r="J14" s="8">
        <v>4.8000000000000001E-2</v>
      </c>
      <c r="K14" s="8">
        <v>5.6000000000000001E-2</v>
      </c>
      <c r="L14" s="8">
        <v>6.4000000000000001E-2</v>
      </c>
      <c r="M14" s="8">
        <v>7.1999999999999995E-2</v>
      </c>
      <c r="N14" s="8">
        <v>0.08</v>
      </c>
      <c r="O14" s="8">
        <v>8.4000000000000005E-2</v>
      </c>
      <c r="P14" s="8">
        <v>8.7999999999999995E-2</v>
      </c>
      <c r="Q14" s="8">
        <v>9.1999999999999998E-2</v>
      </c>
      <c r="R14" s="8">
        <v>9.6000000000000002E-2</v>
      </c>
      <c r="S14" s="8">
        <v>0.1</v>
      </c>
      <c r="T14" s="8">
        <v>0.104</v>
      </c>
      <c r="U14" s="8">
        <v>0.108</v>
      </c>
      <c r="V14" s="8">
        <v>0.112</v>
      </c>
      <c r="W14" s="8">
        <v>0.11600000000000001</v>
      </c>
      <c r="X14" s="8">
        <v>0.12</v>
      </c>
      <c r="Y14" s="8">
        <v>0.124</v>
      </c>
      <c r="Z14" s="8">
        <v>0.128</v>
      </c>
      <c r="AA14" s="8">
        <v>0.13200000000000001</v>
      </c>
      <c r="AB14" s="8">
        <v>0.13600000000000001</v>
      </c>
      <c r="AC14" s="8">
        <v>0.14000000000000001</v>
      </c>
      <c r="AD14" s="8">
        <v>0.14399999999999999</v>
      </c>
      <c r="AE14" s="8">
        <v>0.14799999999999999</v>
      </c>
      <c r="AF14" s="8">
        <v>0.152</v>
      </c>
      <c r="AG14" s="8">
        <v>0.156</v>
      </c>
      <c r="AH14" s="8">
        <v>0.16</v>
      </c>
      <c r="AI14" s="8">
        <v>0.16400000000000001</v>
      </c>
      <c r="AJ14" s="8">
        <v>0.16800000000000001</v>
      </c>
      <c r="AK14" s="8">
        <v>0.17199999999999999</v>
      </c>
      <c r="AL14" s="8">
        <v>0.17599999999999999</v>
      </c>
      <c r="AM14" s="8">
        <v>0.18</v>
      </c>
      <c r="AN14" s="8">
        <v>0.184</v>
      </c>
      <c r="AO14" s="8">
        <v>0.188</v>
      </c>
      <c r="AP14" s="8">
        <v>0.192</v>
      </c>
      <c r="AQ14" s="8">
        <v>0.19600000000000001</v>
      </c>
      <c r="AR14" s="8">
        <v>0.2</v>
      </c>
    </row>
    <row r="15" spans="1:44" s="8" customFormat="1" x14ac:dyDescent="0.15">
      <c r="A15" t="s">
        <v>1158</v>
      </c>
      <c r="B15" s="8">
        <v>0</v>
      </c>
      <c r="C15" s="8">
        <v>0</v>
      </c>
      <c r="D15" s="73">
        <v>0</v>
      </c>
      <c r="E15" s="73">
        <v>0.02</v>
      </c>
      <c r="F15" s="73">
        <v>0.04</v>
      </c>
      <c r="G15" s="73">
        <v>0.06</v>
      </c>
      <c r="H15" s="73">
        <v>0.08</v>
      </c>
      <c r="I15" s="73">
        <v>0.1</v>
      </c>
      <c r="J15" s="73">
        <v>0.12</v>
      </c>
      <c r="K15" s="73">
        <v>0.14000000000000001</v>
      </c>
      <c r="L15" s="73">
        <v>0.16</v>
      </c>
      <c r="M15" s="73">
        <v>0.18</v>
      </c>
      <c r="N15" s="73">
        <v>0.2</v>
      </c>
      <c r="O15" s="8">
        <v>0.22</v>
      </c>
      <c r="P15" s="73">
        <v>0.24</v>
      </c>
      <c r="Q15" s="8">
        <v>0.26</v>
      </c>
      <c r="R15" s="73">
        <v>0.28000000000000003</v>
      </c>
      <c r="S15" s="8">
        <v>0.3</v>
      </c>
      <c r="T15" s="73">
        <v>0.32</v>
      </c>
      <c r="U15" s="8">
        <v>0.34</v>
      </c>
      <c r="V15" s="73">
        <v>0.36</v>
      </c>
      <c r="W15" s="8">
        <v>0.38</v>
      </c>
      <c r="X15" s="73">
        <v>0.4</v>
      </c>
      <c r="Y15" s="8">
        <v>0.42</v>
      </c>
      <c r="Z15" s="73">
        <v>0.44</v>
      </c>
      <c r="AA15" s="8">
        <v>0.46</v>
      </c>
      <c r="AB15" s="73">
        <v>0.48</v>
      </c>
      <c r="AC15" s="8">
        <v>0.5</v>
      </c>
      <c r="AD15" s="73">
        <v>0.52</v>
      </c>
      <c r="AE15" s="8">
        <v>0.54</v>
      </c>
      <c r="AF15" s="73">
        <v>0.56000000000000005</v>
      </c>
      <c r="AG15" s="8">
        <v>0.57999999999999996</v>
      </c>
      <c r="AH15" s="73">
        <v>0.6</v>
      </c>
      <c r="AI15" s="8">
        <v>0.62</v>
      </c>
      <c r="AJ15" s="73">
        <v>0.64</v>
      </c>
      <c r="AK15" s="8">
        <v>0.66</v>
      </c>
      <c r="AL15" s="73">
        <v>0.68</v>
      </c>
      <c r="AM15" s="8">
        <v>0.7</v>
      </c>
      <c r="AN15" s="73">
        <v>0.72</v>
      </c>
      <c r="AO15" s="8">
        <v>0.74</v>
      </c>
      <c r="AP15" s="73">
        <v>0.76</v>
      </c>
      <c r="AQ15" s="8">
        <v>0.78</v>
      </c>
      <c r="AR15" s="73">
        <v>0.8</v>
      </c>
    </row>
    <row r="16" spans="1:44" s="8" customFormat="1" x14ac:dyDescent="0.15">
      <c r="A16" t="s">
        <v>783</v>
      </c>
      <c r="B16" s="8">
        <v>0</v>
      </c>
      <c r="C16" s="8">
        <v>0</v>
      </c>
      <c r="D16" s="8">
        <v>0</v>
      </c>
      <c r="E16" s="8">
        <v>2.8000000000000001E-2</v>
      </c>
      <c r="F16" s="8">
        <v>5.6000000000000001E-2</v>
      </c>
      <c r="G16" s="8">
        <v>8.3999999999999991E-2</v>
      </c>
      <c r="H16" s="8">
        <v>0.112</v>
      </c>
      <c r="I16" s="8">
        <v>0.14000000000000001</v>
      </c>
      <c r="J16" s="8">
        <v>0.16799999999999998</v>
      </c>
      <c r="K16" s="8">
        <v>0.19600000000000001</v>
      </c>
      <c r="L16" s="8">
        <v>0.224</v>
      </c>
      <c r="M16" s="8">
        <v>0.252</v>
      </c>
      <c r="N16" s="8">
        <v>0.28000000000000003</v>
      </c>
      <c r="O16" s="8">
        <v>0.30399999999999999</v>
      </c>
      <c r="P16" s="8">
        <v>0.32799999999999996</v>
      </c>
      <c r="Q16" s="8">
        <v>0.35199999999999998</v>
      </c>
      <c r="R16" s="8">
        <v>0.376</v>
      </c>
      <c r="S16" s="8">
        <v>0.4</v>
      </c>
      <c r="T16" s="8">
        <v>0.42399999999999999</v>
      </c>
      <c r="U16" s="8">
        <v>0.44800000000000001</v>
      </c>
      <c r="V16" s="8">
        <v>0.47199999999999998</v>
      </c>
      <c r="W16" s="8">
        <v>0.496</v>
      </c>
      <c r="X16" s="8">
        <v>0.52</v>
      </c>
      <c r="Y16" s="8">
        <v>0.54400000000000004</v>
      </c>
      <c r="Z16" s="8">
        <v>0.56800000000000006</v>
      </c>
      <c r="AA16" s="8">
        <v>0.59200000000000008</v>
      </c>
      <c r="AB16" s="8">
        <v>0.61599999999999999</v>
      </c>
      <c r="AC16" s="8">
        <v>0.64</v>
      </c>
      <c r="AD16" s="8">
        <v>0.66400000000000003</v>
      </c>
      <c r="AE16" s="8">
        <v>0.68800000000000006</v>
      </c>
      <c r="AF16" s="8">
        <v>0.71200000000000008</v>
      </c>
      <c r="AG16" s="8">
        <v>0.73599999999999999</v>
      </c>
      <c r="AH16" s="8">
        <v>0.76</v>
      </c>
      <c r="AI16" s="8">
        <v>0.78400000000000003</v>
      </c>
      <c r="AJ16" s="8">
        <v>0.80800000000000005</v>
      </c>
      <c r="AK16" s="8">
        <v>0.83200000000000007</v>
      </c>
      <c r="AL16" s="8">
        <v>0.85600000000000009</v>
      </c>
      <c r="AM16" s="8">
        <v>0.87999999999999989</v>
      </c>
      <c r="AN16" s="8">
        <v>0.90399999999999991</v>
      </c>
      <c r="AO16" s="8">
        <v>0.92799999999999994</v>
      </c>
      <c r="AP16" s="8">
        <v>0.95199999999999996</v>
      </c>
      <c r="AQ16" s="8">
        <v>0.97599999999999998</v>
      </c>
      <c r="AR16" s="8">
        <v>1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2C8E-C66E-4317-8AD0-B808C4C978AD}">
  <sheetPr>
    <tabColor rgb="FF00B0F0"/>
  </sheetPr>
  <dimension ref="A1:AR11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建筑各项能耗拆分!$B$18*建筑各项能耗拆分!B35</f>
        <v>384876300278201.25</v>
      </c>
      <c r="C2" s="1">
        <f>建筑各项能耗拆分!$B$18*建筑各项能耗拆分!C35</f>
        <v>392825894286764.75</v>
      </c>
      <c r="D2" s="1">
        <f>建筑各项能耗拆分!$B$18*建筑各项能耗拆分!D35</f>
        <v>403320311831204.44</v>
      </c>
      <c r="E2" s="1">
        <f>建筑各项能耗拆分!$B$18*建筑各项能耗拆分!E35</f>
        <v>408692885769209.69</v>
      </c>
      <c r="F2" s="1">
        <f>建筑各项能耗拆分!$B$18*建筑各项能耗拆分!F35</f>
        <v>413935616823712.31</v>
      </c>
      <c r="G2" s="1">
        <f>建筑各项能耗拆分!$B$18*建筑各项能耗拆分!G35</f>
        <v>419045613663556.25</v>
      </c>
      <c r="H2" s="1">
        <f>建筑各项能耗拆分!$B$18*建筑各项能耗拆分!H35</f>
        <v>424020258527652.19</v>
      </c>
      <c r="I2" s="1">
        <f>建筑各项能耗拆分!$B$18*建筑各项能耗拆分!I35</f>
        <v>428857248925410.25</v>
      </c>
      <c r="J2" s="1">
        <f>建筑各项能耗拆分!$B$18*建筑各项能耗拆分!J35</f>
        <v>433554578004151.75</v>
      </c>
      <c r="K2" s="1">
        <f>建筑各项能耗拆分!$B$18*建筑各项能耗拆分!K35</f>
        <v>438110593753695.25</v>
      </c>
      <c r="L2" s="1">
        <f>建筑各项能耗拆分!$B$18*建筑各项能耗拆分!L35</f>
        <v>442523980465480.44</v>
      </c>
      <c r="M2" s="1">
        <f>建筑各项能耗拆分!$B$18*建筑各项能耗拆分!M35</f>
        <v>446793798927238.75</v>
      </c>
      <c r="N2" s="1">
        <f>建筑各项能耗拆分!$B$18*建筑各项能耗拆分!N35</f>
        <v>450919500671763</v>
      </c>
      <c r="O2" s="1">
        <f>建筑各项能耗拆分!$B$18*建筑各项能耗拆分!O35</f>
        <v>454900938730131.63</v>
      </c>
      <c r="P2" s="1">
        <f>建筑各项能耗拆分!$B$18*建筑各项能耗拆分!P35</f>
        <v>458738411568215.25</v>
      </c>
      <c r="Q2" s="1">
        <f>建筑各项能耗拆分!$B$18*建筑各项能耗拆分!Q35</f>
        <v>462432652315837.06</v>
      </c>
      <c r="R2" s="1">
        <f>建筑各项能耗拆分!$B$18*建筑各项能耗拆分!R35</f>
        <v>465984877918709.13</v>
      </c>
      <c r="S2" s="1">
        <f>建筑各项能耗拆分!$B$18*建筑各项能耗拆分!S35</f>
        <v>469396794444133.13</v>
      </c>
      <c r="T2" s="1">
        <f>建筑各项能耗拆分!$B$18*建筑各项能耗拆分!T35</f>
        <v>472670627467018.75</v>
      </c>
      <c r="U2" s="1">
        <f>建筑各项能耗拆分!$B$18*建筑各项能耗拆分!U35</f>
        <v>475809152193220.94</v>
      </c>
      <c r="V2" s="1">
        <f>建筑各项能耗拆分!$B$18*建筑各项能耗拆分!V35</f>
        <v>478815695735726</v>
      </c>
      <c r="W2" s="1">
        <f>建筑各项能耗拆分!$B$18*建筑各项能耗拆分!W35</f>
        <v>481694185220627.56</v>
      </c>
      <c r="X2" s="1">
        <f>建筑各项能耗拆分!$B$18*建筑各项能耗拆分!X35</f>
        <v>484449166474482.06</v>
      </c>
      <c r="Y2" s="1">
        <f>建筑各项能耗拆分!$B$18*建筑各项能耗拆分!Y35</f>
        <v>487085832560204.5</v>
      </c>
      <c r="Z2" s="1">
        <f>建筑各项能耗拆分!$B$18*建筑各项能耗拆分!Z35</f>
        <v>489610038703414.94</v>
      </c>
      <c r="AA2" s="1">
        <f>建筑各项能耗拆分!$B$18*建筑各项能耗拆分!AA35</f>
        <v>492028340415550.38</v>
      </c>
      <c r="AB2" s="1">
        <f>建筑各项能耗拆分!$B$18*建筑各项能耗拆分!AB35</f>
        <v>494348036164918.75</v>
      </c>
      <c r="AC2" s="1">
        <f>建筑各项能耗拆分!$B$18*建筑各项能耗拆分!AC35</f>
        <v>496577170577116.13</v>
      </c>
      <c r="AD2" s="1">
        <f>建筑各项能耗拆分!$B$18*建筑各项能耗拆分!AD35</f>
        <v>498724572063287.63</v>
      </c>
      <c r="AE2" s="1">
        <f>建筑各项能耗拆分!$B$18*建筑各项能耗拆分!AE35</f>
        <v>500799913447600.5</v>
      </c>
      <c r="AF2" s="1">
        <f>建筑各项能耗拆分!$B$18*建筑各项能耗拆分!AF35</f>
        <v>502813700970189.69</v>
      </c>
      <c r="AG2" s="1">
        <f>建筑各项能耗拆分!$B$18*建筑各项能耗拆分!AG35</f>
        <v>504777331023013.69</v>
      </c>
      <c r="AH2" s="1">
        <f>建筑各项能耗拆分!$B$18*建筑各项能耗拆分!AH35</f>
        <v>506703134545271.25</v>
      </c>
      <c r="AI2" s="1">
        <f>建筑各项能耗拆分!$B$18*建筑各项能耗拆分!AI35</f>
        <v>508604377470889.56</v>
      </c>
      <c r="AJ2" s="1">
        <f>建筑各项能耗拆分!$B$18*建筑各项能耗拆分!AJ35</f>
        <v>510495345569260.75</v>
      </c>
      <c r="AK2" s="1">
        <f>建筑各项能耗拆分!$B$18*建筑各项能耗拆分!AK35</f>
        <v>512391325116826.94</v>
      </c>
      <c r="AL2" s="1">
        <f>建筑各项能耗拆分!$B$18*建筑各项能耗拆分!AL35</f>
        <v>514308696910520.13</v>
      </c>
      <c r="AM2" s="1">
        <f>建筑各项能耗拆分!$B$18*建筑各项能耗拆分!AM35</f>
        <v>516264940607896.69</v>
      </c>
      <c r="AN2" s="1">
        <f>建筑各项能耗拆分!$B$18*建筑各项能耗拆分!AN35</f>
        <v>518278682017109.13</v>
      </c>
      <c r="AO2" s="1">
        <f>建筑各项能耗拆分!$B$18*建筑各项能耗拆分!AO35</f>
        <v>520369736267741.56</v>
      </c>
      <c r="AP2" s="1">
        <f>建筑各项能耗拆分!$B$18*建筑各项能耗拆分!AP35</f>
        <v>522559152209838.81</v>
      </c>
      <c r="AQ2" s="1">
        <f>建筑各项能耗拆分!$B$18*建筑各项能耗拆分!AQ35</f>
        <v>524869268563966.75</v>
      </c>
      <c r="AR2" s="1">
        <f>建筑各项能耗拆分!$B$18*建筑各项能耗拆分!AR35</f>
        <v>527323727048756.56</v>
      </c>
    </row>
    <row r="3" spans="1:44" x14ac:dyDescent="0.15">
      <c r="A3" t="s">
        <v>1</v>
      </c>
      <c r="B3" s="1">
        <f>建筑各项能耗拆分!$B$18*建筑各项能耗拆分!B36</f>
        <v>0</v>
      </c>
      <c r="C3" s="1">
        <f>建筑各项能耗拆分!$B$18*建筑各项能耗拆分!C36</f>
        <v>0</v>
      </c>
      <c r="D3" s="1">
        <f>建筑各项能耗拆分!$B$18*建筑各项能耗拆分!D36</f>
        <v>0</v>
      </c>
      <c r="E3" s="1">
        <f>建筑各项能耗拆分!$B$18*建筑各项能耗拆分!E36</f>
        <v>0</v>
      </c>
      <c r="F3" s="1">
        <f>建筑各项能耗拆分!$B$18*建筑各项能耗拆分!F36</f>
        <v>0</v>
      </c>
      <c r="G3" s="1">
        <f>建筑各项能耗拆分!$B$18*建筑各项能耗拆分!G36</f>
        <v>0</v>
      </c>
      <c r="H3" s="1">
        <f>建筑各项能耗拆分!$B$18*建筑各项能耗拆分!H36</f>
        <v>0</v>
      </c>
      <c r="I3" s="1">
        <f>建筑各项能耗拆分!$B$18*建筑各项能耗拆分!I36</f>
        <v>0</v>
      </c>
      <c r="J3" s="1">
        <f>建筑各项能耗拆分!$B$18*建筑各项能耗拆分!J36</f>
        <v>0</v>
      </c>
      <c r="K3" s="1">
        <f>建筑各项能耗拆分!$B$18*建筑各项能耗拆分!K36</f>
        <v>0</v>
      </c>
      <c r="L3" s="1">
        <f>建筑各项能耗拆分!$B$18*建筑各项能耗拆分!L36</f>
        <v>0</v>
      </c>
      <c r="M3" s="1">
        <f>建筑各项能耗拆分!$B$18*建筑各项能耗拆分!M36</f>
        <v>0</v>
      </c>
      <c r="N3" s="1">
        <f>建筑各项能耗拆分!$B$18*建筑各项能耗拆分!N36</f>
        <v>0</v>
      </c>
      <c r="O3" s="1">
        <f>建筑各项能耗拆分!$B$18*建筑各项能耗拆分!O36</f>
        <v>0</v>
      </c>
      <c r="P3" s="1">
        <f>建筑各项能耗拆分!$B$18*建筑各项能耗拆分!P36</f>
        <v>0</v>
      </c>
      <c r="Q3" s="1">
        <f>建筑各项能耗拆分!$B$18*建筑各项能耗拆分!Q36</f>
        <v>0</v>
      </c>
      <c r="R3" s="1">
        <f>建筑各项能耗拆分!$B$18*建筑各项能耗拆分!R36</f>
        <v>0</v>
      </c>
      <c r="S3" s="1">
        <f>建筑各项能耗拆分!$B$18*建筑各项能耗拆分!S36</f>
        <v>0</v>
      </c>
      <c r="T3" s="1">
        <f>建筑各项能耗拆分!$B$18*建筑各项能耗拆分!T36</f>
        <v>0</v>
      </c>
      <c r="U3" s="1">
        <f>建筑各项能耗拆分!$B$18*建筑各项能耗拆分!U36</f>
        <v>0</v>
      </c>
      <c r="V3" s="1">
        <f>建筑各项能耗拆分!$B$18*建筑各项能耗拆分!V36</f>
        <v>0</v>
      </c>
      <c r="W3" s="1">
        <f>建筑各项能耗拆分!$B$18*建筑各项能耗拆分!W36</f>
        <v>0</v>
      </c>
      <c r="X3" s="1">
        <f>建筑各项能耗拆分!$B$18*建筑各项能耗拆分!X36</f>
        <v>0</v>
      </c>
      <c r="Y3" s="1">
        <f>建筑各项能耗拆分!$B$18*建筑各项能耗拆分!Y36</f>
        <v>0</v>
      </c>
      <c r="Z3" s="1">
        <f>建筑各项能耗拆分!$B$18*建筑各项能耗拆分!Z36</f>
        <v>0</v>
      </c>
      <c r="AA3" s="1">
        <f>建筑各项能耗拆分!$B$18*建筑各项能耗拆分!AA36</f>
        <v>0</v>
      </c>
      <c r="AB3" s="1">
        <f>建筑各项能耗拆分!$B$18*建筑各项能耗拆分!AB36</f>
        <v>0</v>
      </c>
      <c r="AC3" s="1">
        <f>建筑各项能耗拆分!$B$18*建筑各项能耗拆分!AC36</f>
        <v>0</v>
      </c>
      <c r="AD3" s="1">
        <f>建筑各项能耗拆分!$B$18*建筑各项能耗拆分!AD36</f>
        <v>0</v>
      </c>
      <c r="AE3" s="1">
        <f>建筑各项能耗拆分!$B$18*建筑各项能耗拆分!AE36</f>
        <v>0</v>
      </c>
      <c r="AF3" s="1">
        <f>建筑各项能耗拆分!$B$18*建筑各项能耗拆分!AF36</f>
        <v>0</v>
      </c>
      <c r="AG3" s="1">
        <f>建筑各项能耗拆分!$B$18*建筑各项能耗拆分!AG36</f>
        <v>0</v>
      </c>
      <c r="AH3" s="1">
        <f>建筑各项能耗拆分!$B$18*建筑各项能耗拆分!AH36</f>
        <v>0</v>
      </c>
      <c r="AI3" s="1">
        <f>建筑各项能耗拆分!$B$18*建筑各项能耗拆分!AI36</f>
        <v>0</v>
      </c>
      <c r="AJ3" s="1">
        <f>建筑各项能耗拆分!$B$18*建筑各项能耗拆分!AJ36</f>
        <v>0</v>
      </c>
      <c r="AK3" s="1">
        <f>建筑各项能耗拆分!$B$18*建筑各项能耗拆分!AK36</f>
        <v>0</v>
      </c>
      <c r="AL3" s="1">
        <f>建筑各项能耗拆分!$B$18*建筑各项能耗拆分!AL36</f>
        <v>0</v>
      </c>
      <c r="AM3" s="1">
        <f>建筑各项能耗拆分!$B$18*建筑各项能耗拆分!AM36</f>
        <v>0</v>
      </c>
      <c r="AN3" s="1">
        <f>建筑各项能耗拆分!$B$18*建筑各项能耗拆分!AN36</f>
        <v>0</v>
      </c>
      <c r="AO3" s="1">
        <f>建筑各项能耗拆分!$B$18*建筑各项能耗拆分!AO36</f>
        <v>0</v>
      </c>
      <c r="AP3" s="1">
        <f>建筑各项能耗拆分!$B$18*建筑各项能耗拆分!AP36</f>
        <v>0</v>
      </c>
      <c r="AQ3" s="1">
        <f>建筑各项能耗拆分!$B$18*建筑各项能耗拆分!AQ36</f>
        <v>0</v>
      </c>
      <c r="AR3" s="1">
        <f>建筑各项能耗拆分!$B$18*建筑各项能耗拆分!AR36</f>
        <v>0</v>
      </c>
    </row>
    <row r="4" spans="1:44" x14ac:dyDescent="0.15">
      <c r="A4" t="s">
        <v>2</v>
      </c>
      <c r="B4" s="1">
        <f>建筑各项能耗拆分!$B$18*建筑各项能耗拆分!B37</f>
        <v>0</v>
      </c>
      <c r="C4" s="1">
        <f>建筑各项能耗拆分!$B$18*建筑各项能耗拆分!C37</f>
        <v>0</v>
      </c>
      <c r="D4" s="1">
        <f>建筑各项能耗拆分!$B$18*建筑各项能耗拆分!D37</f>
        <v>0</v>
      </c>
      <c r="E4" s="1">
        <f>建筑各项能耗拆分!$B$18*建筑各项能耗拆分!E37</f>
        <v>0</v>
      </c>
      <c r="F4" s="1">
        <f>建筑各项能耗拆分!$B$18*建筑各项能耗拆分!F37</f>
        <v>0</v>
      </c>
      <c r="G4" s="1">
        <f>建筑各项能耗拆分!$B$18*建筑各项能耗拆分!G37</f>
        <v>0</v>
      </c>
      <c r="H4" s="1">
        <f>建筑各项能耗拆分!$B$18*建筑各项能耗拆分!H37</f>
        <v>0</v>
      </c>
      <c r="I4" s="1">
        <f>建筑各项能耗拆分!$B$18*建筑各项能耗拆分!I37</f>
        <v>0</v>
      </c>
      <c r="J4" s="1">
        <f>建筑各项能耗拆分!$B$18*建筑各项能耗拆分!J37</f>
        <v>0</v>
      </c>
      <c r="K4" s="1">
        <f>建筑各项能耗拆分!$B$18*建筑各项能耗拆分!K37</f>
        <v>0</v>
      </c>
      <c r="L4" s="1">
        <f>建筑各项能耗拆分!$B$18*建筑各项能耗拆分!L37</f>
        <v>0</v>
      </c>
      <c r="M4" s="1">
        <f>建筑各项能耗拆分!$B$18*建筑各项能耗拆分!M37</f>
        <v>0</v>
      </c>
      <c r="N4" s="1">
        <f>建筑各项能耗拆分!$B$18*建筑各项能耗拆分!N37</f>
        <v>0</v>
      </c>
      <c r="O4" s="1">
        <f>建筑各项能耗拆分!$B$18*建筑各项能耗拆分!O37</f>
        <v>0</v>
      </c>
      <c r="P4" s="1">
        <f>建筑各项能耗拆分!$B$18*建筑各项能耗拆分!P37</f>
        <v>0</v>
      </c>
      <c r="Q4" s="1">
        <f>建筑各项能耗拆分!$B$18*建筑各项能耗拆分!Q37</f>
        <v>0</v>
      </c>
      <c r="R4" s="1">
        <f>建筑各项能耗拆分!$B$18*建筑各项能耗拆分!R37</f>
        <v>0</v>
      </c>
      <c r="S4" s="1">
        <f>建筑各项能耗拆分!$B$18*建筑各项能耗拆分!S37</f>
        <v>0</v>
      </c>
      <c r="T4" s="1">
        <f>建筑各项能耗拆分!$B$18*建筑各项能耗拆分!T37</f>
        <v>0</v>
      </c>
      <c r="U4" s="1">
        <f>建筑各项能耗拆分!$B$18*建筑各项能耗拆分!U37</f>
        <v>0</v>
      </c>
      <c r="V4" s="1">
        <f>建筑各项能耗拆分!$B$18*建筑各项能耗拆分!V37</f>
        <v>0</v>
      </c>
      <c r="W4" s="1">
        <f>建筑各项能耗拆分!$B$18*建筑各项能耗拆分!W37</f>
        <v>0</v>
      </c>
      <c r="X4" s="1">
        <f>建筑各项能耗拆分!$B$18*建筑各项能耗拆分!X37</f>
        <v>0</v>
      </c>
      <c r="Y4" s="1">
        <f>建筑各项能耗拆分!$B$18*建筑各项能耗拆分!Y37</f>
        <v>0</v>
      </c>
      <c r="Z4" s="1">
        <f>建筑各项能耗拆分!$B$18*建筑各项能耗拆分!Z37</f>
        <v>0</v>
      </c>
      <c r="AA4" s="1">
        <f>建筑各项能耗拆分!$B$18*建筑各项能耗拆分!AA37</f>
        <v>0</v>
      </c>
      <c r="AB4" s="1">
        <f>建筑各项能耗拆分!$B$18*建筑各项能耗拆分!AB37</f>
        <v>0</v>
      </c>
      <c r="AC4" s="1">
        <f>建筑各项能耗拆分!$B$18*建筑各项能耗拆分!AC37</f>
        <v>0</v>
      </c>
      <c r="AD4" s="1">
        <f>建筑各项能耗拆分!$B$18*建筑各项能耗拆分!AD37</f>
        <v>0</v>
      </c>
      <c r="AE4" s="1">
        <f>建筑各项能耗拆分!$B$18*建筑各项能耗拆分!AE37</f>
        <v>0</v>
      </c>
      <c r="AF4" s="1">
        <f>建筑各项能耗拆分!$B$18*建筑各项能耗拆分!AF37</f>
        <v>0</v>
      </c>
      <c r="AG4" s="1">
        <f>建筑各项能耗拆分!$B$18*建筑各项能耗拆分!AG37</f>
        <v>0</v>
      </c>
      <c r="AH4" s="1">
        <f>建筑各项能耗拆分!$B$18*建筑各项能耗拆分!AH37</f>
        <v>0</v>
      </c>
      <c r="AI4" s="1">
        <f>建筑各项能耗拆分!$B$18*建筑各项能耗拆分!AI37</f>
        <v>0</v>
      </c>
      <c r="AJ4" s="1">
        <f>建筑各项能耗拆分!$B$18*建筑各项能耗拆分!AJ37</f>
        <v>0</v>
      </c>
      <c r="AK4" s="1">
        <f>建筑各项能耗拆分!$B$18*建筑各项能耗拆分!AK37</f>
        <v>0</v>
      </c>
      <c r="AL4" s="1">
        <f>建筑各项能耗拆分!$B$18*建筑各项能耗拆分!AL37</f>
        <v>0</v>
      </c>
      <c r="AM4" s="1">
        <f>建筑各项能耗拆分!$B$18*建筑各项能耗拆分!AM37</f>
        <v>0</v>
      </c>
      <c r="AN4" s="1">
        <f>建筑各项能耗拆分!$B$18*建筑各项能耗拆分!AN37</f>
        <v>0</v>
      </c>
      <c r="AO4" s="1">
        <f>建筑各项能耗拆分!$B$18*建筑各项能耗拆分!AO37</f>
        <v>0</v>
      </c>
      <c r="AP4" s="1">
        <f>建筑各项能耗拆分!$B$18*建筑各项能耗拆分!AP37</f>
        <v>0</v>
      </c>
      <c r="AQ4" s="1">
        <f>建筑各项能耗拆分!$B$18*建筑各项能耗拆分!AQ37</f>
        <v>0</v>
      </c>
      <c r="AR4" s="1">
        <f>建筑各项能耗拆分!$B$18*建筑各项能耗拆分!AR37</f>
        <v>0</v>
      </c>
    </row>
    <row r="5" spans="1:44" x14ac:dyDescent="0.15">
      <c r="A5" t="s">
        <v>3</v>
      </c>
      <c r="B5" s="1">
        <f>建筑各项能耗拆分!$B$18*建筑各项能耗拆分!B38</f>
        <v>0</v>
      </c>
      <c r="C5" s="1">
        <f>建筑各项能耗拆分!$B$18*建筑各项能耗拆分!C38</f>
        <v>0</v>
      </c>
      <c r="D5" s="1">
        <f>建筑各项能耗拆分!$B$18*建筑各项能耗拆分!D38</f>
        <v>0</v>
      </c>
      <c r="E5" s="1">
        <f>建筑各项能耗拆分!$B$18*建筑各项能耗拆分!E38</f>
        <v>0</v>
      </c>
      <c r="F5" s="1">
        <f>建筑各项能耗拆分!$B$18*建筑各项能耗拆分!F38</f>
        <v>0</v>
      </c>
      <c r="G5" s="1">
        <f>建筑各项能耗拆分!$B$18*建筑各项能耗拆分!G38</f>
        <v>0</v>
      </c>
      <c r="H5" s="1">
        <f>建筑各项能耗拆分!$B$18*建筑各项能耗拆分!H38</f>
        <v>0</v>
      </c>
      <c r="I5" s="1">
        <f>建筑各项能耗拆分!$B$18*建筑各项能耗拆分!I38</f>
        <v>0</v>
      </c>
      <c r="J5" s="1">
        <f>建筑各项能耗拆分!$B$18*建筑各项能耗拆分!J38</f>
        <v>0</v>
      </c>
      <c r="K5" s="1">
        <f>建筑各项能耗拆分!$B$18*建筑各项能耗拆分!K38</f>
        <v>0</v>
      </c>
      <c r="L5" s="1">
        <f>建筑各项能耗拆分!$B$18*建筑各项能耗拆分!L38</f>
        <v>0</v>
      </c>
      <c r="M5" s="1">
        <f>建筑各项能耗拆分!$B$18*建筑各项能耗拆分!M38</f>
        <v>0</v>
      </c>
      <c r="N5" s="1">
        <f>建筑各项能耗拆分!$B$18*建筑各项能耗拆分!N38</f>
        <v>0</v>
      </c>
      <c r="O5" s="1">
        <f>建筑各项能耗拆分!$B$18*建筑各项能耗拆分!O38</f>
        <v>0</v>
      </c>
      <c r="P5" s="1">
        <f>建筑各项能耗拆分!$B$18*建筑各项能耗拆分!P38</f>
        <v>0</v>
      </c>
      <c r="Q5" s="1">
        <f>建筑各项能耗拆分!$B$18*建筑各项能耗拆分!Q38</f>
        <v>0</v>
      </c>
      <c r="R5" s="1">
        <f>建筑各项能耗拆分!$B$18*建筑各项能耗拆分!R38</f>
        <v>0</v>
      </c>
      <c r="S5" s="1">
        <f>建筑各项能耗拆分!$B$18*建筑各项能耗拆分!S38</f>
        <v>0</v>
      </c>
      <c r="T5" s="1">
        <f>建筑各项能耗拆分!$B$18*建筑各项能耗拆分!T38</f>
        <v>0</v>
      </c>
      <c r="U5" s="1">
        <f>建筑各项能耗拆分!$B$18*建筑各项能耗拆分!U38</f>
        <v>0</v>
      </c>
      <c r="V5" s="1">
        <f>建筑各项能耗拆分!$B$18*建筑各项能耗拆分!V38</f>
        <v>0</v>
      </c>
      <c r="W5" s="1">
        <f>建筑各项能耗拆分!$B$18*建筑各项能耗拆分!W38</f>
        <v>0</v>
      </c>
      <c r="X5" s="1">
        <f>建筑各项能耗拆分!$B$18*建筑各项能耗拆分!X38</f>
        <v>0</v>
      </c>
      <c r="Y5" s="1">
        <f>建筑各项能耗拆分!$B$18*建筑各项能耗拆分!Y38</f>
        <v>0</v>
      </c>
      <c r="Z5" s="1">
        <f>建筑各项能耗拆分!$B$18*建筑各项能耗拆分!Z38</f>
        <v>0</v>
      </c>
      <c r="AA5" s="1">
        <f>建筑各项能耗拆分!$B$18*建筑各项能耗拆分!AA38</f>
        <v>0</v>
      </c>
      <c r="AB5" s="1">
        <f>建筑各项能耗拆分!$B$18*建筑各项能耗拆分!AB38</f>
        <v>0</v>
      </c>
      <c r="AC5" s="1">
        <f>建筑各项能耗拆分!$B$18*建筑各项能耗拆分!AC38</f>
        <v>0</v>
      </c>
      <c r="AD5" s="1">
        <f>建筑各项能耗拆分!$B$18*建筑各项能耗拆分!AD38</f>
        <v>0</v>
      </c>
      <c r="AE5" s="1">
        <f>建筑各项能耗拆分!$B$18*建筑各项能耗拆分!AE38</f>
        <v>0</v>
      </c>
      <c r="AF5" s="1">
        <f>建筑各项能耗拆分!$B$18*建筑各项能耗拆分!AF38</f>
        <v>0</v>
      </c>
      <c r="AG5" s="1">
        <f>建筑各项能耗拆分!$B$18*建筑各项能耗拆分!AG38</f>
        <v>0</v>
      </c>
      <c r="AH5" s="1">
        <f>建筑各项能耗拆分!$B$18*建筑各项能耗拆分!AH38</f>
        <v>0</v>
      </c>
      <c r="AI5" s="1">
        <f>建筑各项能耗拆分!$B$18*建筑各项能耗拆分!AI38</f>
        <v>0</v>
      </c>
      <c r="AJ5" s="1">
        <f>建筑各项能耗拆分!$B$18*建筑各项能耗拆分!AJ38</f>
        <v>0</v>
      </c>
      <c r="AK5" s="1">
        <f>建筑各项能耗拆分!$B$18*建筑各项能耗拆分!AK38</f>
        <v>0</v>
      </c>
      <c r="AL5" s="1">
        <f>建筑各项能耗拆分!$B$18*建筑各项能耗拆分!AL38</f>
        <v>0</v>
      </c>
      <c r="AM5" s="1">
        <f>建筑各项能耗拆分!$B$18*建筑各项能耗拆分!AM38</f>
        <v>0</v>
      </c>
      <c r="AN5" s="1">
        <f>建筑各项能耗拆分!$B$18*建筑各项能耗拆分!AN38</f>
        <v>0</v>
      </c>
      <c r="AO5" s="1">
        <f>建筑各项能耗拆分!$B$18*建筑各项能耗拆分!AO38</f>
        <v>0</v>
      </c>
      <c r="AP5" s="1">
        <f>建筑各项能耗拆分!$B$18*建筑各项能耗拆分!AP38</f>
        <v>0</v>
      </c>
      <c r="AQ5" s="1">
        <f>建筑各项能耗拆分!$B$18*建筑各项能耗拆分!AQ38</f>
        <v>0</v>
      </c>
      <c r="AR5" s="1">
        <f>建筑各项能耗拆分!$B$18*建筑各项能耗拆分!AR38</f>
        <v>0</v>
      </c>
    </row>
    <row r="6" spans="1:44" x14ac:dyDescent="0.15">
      <c r="A6" t="s">
        <v>4</v>
      </c>
      <c r="B6" s="1">
        <f>建筑各项能耗拆分!$B$18*建筑各项能耗拆分!B39</f>
        <v>0</v>
      </c>
      <c r="C6" s="1">
        <f>建筑各项能耗拆分!$B$18*建筑各项能耗拆分!C39</f>
        <v>0</v>
      </c>
      <c r="D6" s="1">
        <f>建筑各项能耗拆分!$B$18*建筑各项能耗拆分!D39</f>
        <v>0</v>
      </c>
      <c r="E6" s="1">
        <f>建筑各项能耗拆分!$B$18*建筑各项能耗拆分!E39</f>
        <v>0</v>
      </c>
      <c r="F6" s="1">
        <f>建筑各项能耗拆分!$B$18*建筑各项能耗拆分!F39</f>
        <v>0</v>
      </c>
      <c r="G6" s="1">
        <f>建筑各项能耗拆分!$B$18*建筑各项能耗拆分!G39</f>
        <v>0</v>
      </c>
      <c r="H6" s="1">
        <f>建筑各项能耗拆分!$B$18*建筑各项能耗拆分!H39</f>
        <v>0</v>
      </c>
      <c r="I6" s="1">
        <f>建筑各项能耗拆分!$B$18*建筑各项能耗拆分!I39</f>
        <v>0</v>
      </c>
      <c r="J6" s="1">
        <f>建筑各项能耗拆分!$B$18*建筑各项能耗拆分!J39</f>
        <v>0</v>
      </c>
      <c r="K6" s="1">
        <f>建筑各项能耗拆分!$B$18*建筑各项能耗拆分!K39</f>
        <v>0</v>
      </c>
      <c r="L6" s="1">
        <f>建筑各项能耗拆分!$B$18*建筑各项能耗拆分!L39</f>
        <v>0</v>
      </c>
      <c r="M6" s="1">
        <f>建筑各项能耗拆分!$B$18*建筑各项能耗拆分!M39</f>
        <v>0</v>
      </c>
      <c r="N6" s="1">
        <f>建筑各项能耗拆分!$B$18*建筑各项能耗拆分!N39</f>
        <v>0</v>
      </c>
      <c r="O6" s="1">
        <f>建筑各项能耗拆分!$B$18*建筑各项能耗拆分!O39</f>
        <v>0</v>
      </c>
      <c r="P6" s="1">
        <f>建筑各项能耗拆分!$B$18*建筑各项能耗拆分!P39</f>
        <v>0</v>
      </c>
      <c r="Q6" s="1">
        <f>建筑各项能耗拆分!$B$18*建筑各项能耗拆分!Q39</f>
        <v>0</v>
      </c>
      <c r="R6" s="1">
        <f>建筑各项能耗拆分!$B$18*建筑各项能耗拆分!R39</f>
        <v>0</v>
      </c>
      <c r="S6" s="1">
        <f>建筑各项能耗拆分!$B$18*建筑各项能耗拆分!S39</f>
        <v>0</v>
      </c>
      <c r="T6" s="1">
        <f>建筑各项能耗拆分!$B$18*建筑各项能耗拆分!T39</f>
        <v>0</v>
      </c>
      <c r="U6" s="1">
        <f>建筑各项能耗拆分!$B$18*建筑各项能耗拆分!U39</f>
        <v>0</v>
      </c>
      <c r="V6" s="1">
        <f>建筑各项能耗拆分!$B$18*建筑各项能耗拆分!V39</f>
        <v>0</v>
      </c>
      <c r="W6" s="1">
        <f>建筑各项能耗拆分!$B$18*建筑各项能耗拆分!W39</f>
        <v>0</v>
      </c>
      <c r="X6" s="1">
        <f>建筑各项能耗拆分!$B$18*建筑各项能耗拆分!X39</f>
        <v>0</v>
      </c>
      <c r="Y6" s="1">
        <f>建筑各项能耗拆分!$B$18*建筑各项能耗拆分!Y39</f>
        <v>0</v>
      </c>
      <c r="Z6" s="1">
        <f>建筑各项能耗拆分!$B$18*建筑各项能耗拆分!Z39</f>
        <v>0</v>
      </c>
      <c r="AA6" s="1">
        <f>建筑各项能耗拆分!$B$18*建筑各项能耗拆分!AA39</f>
        <v>0</v>
      </c>
      <c r="AB6" s="1">
        <f>建筑各项能耗拆分!$B$18*建筑各项能耗拆分!AB39</f>
        <v>0</v>
      </c>
      <c r="AC6" s="1">
        <f>建筑各项能耗拆分!$B$18*建筑各项能耗拆分!AC39</f>
        <v>0</v>
      </c>
      <c r="AD6" s="1">
        <f>建筑各项能耗拆分!$B$18*建筑各项能耗拆分!AD39</f>
        <v>0</v>
      </c>
      <c r="AE6" s="1">
        <f>建筑各项能耗拆分!$B$18*建筑各项能耗拆分!AE39</f>
        <v>0</v>
      </c>
      <c r="AF6" s="1">
        <f>建筑各项能耗拆分!$B$18*建筑各项能耗拆分!AF39</f>
        <v>0</v>
      </c>
      <c r="AG6" s="1">
        <f>建筑各项能耗拆分!$B$18*建筑各项能耗拆分!AG39</f>
        <v>0</v>
      </c>
      <c r="AH6" s="1">
        <f>建筑各项能耗拆分!$B$18*建筑各项能耗拆分!AH39</f>
        <v>0</v>
      </c>
      <c r="AI6" s="1">
        <f>建筑各项能耗拆分!$B$18*建筑各项能耗拆分!AI39</f>
        <v>0</v>
      </c>
      <c r="AJ6" s="1">
        <f>建筑各项能耗拆分!$B$18*建筑各项能耗拆分!AJ39</f>
        <v>0</v>
      </c>
      <c r="AK6" s="1">
        <f>建筑各项能耗拆分!$B$18*建筑各项能耗拆分!AK39</f>
        <v>0</v>
      </c>
      <c r="AL6" s="1">
        <f>建筑各项能耗拆分!$B$18*建筑各项能耗拆分!AL39</f>
        <v>0</v>
      </c>
      <c r="AM6" s="1">
        <f>建筑各项能耗拆分!$B$18*建筑各项能耗拆分!AM39</f>
        <v>0</v>
      </c>
      <c r="AN6" s="1">
        <f>建筑各项能耗拆分!$B$18*建筑各项能耗拆分!AN39</f>
        <v>0</v>
      </c>
      <c r="AO6" s="1">
        <f>建筑各项能耗拆分!$B$18*建筑各项能耗拆分!AO39</f>
        <v>0</v>
      </c>
      <c r="AP6" s="1">
        <f>建筑各项能耗拆分!$B$18*建筑各项能耗拆分!AP39</f>
        <v>0</v>
      </c>
      <c r="AQ6" s="1">
        <f>建筑各项能耗拆分!$B$18*建筑各项能耗拆分!AQ39</f>
        <v>0</v>
      </c>
      <c r="AR6" s="1">
        <f>建筑各项能耗拆分!$B$18*建筑各项能耗拆分!AR39</f>
        <v>0</v>
      </c>
    </row>
    <row r="7" spans="1:44" x14ac:dyDescent="0.15">
      <c r="A7" t="s">
        <v>5</v>
      </c>
      <c r="B7" s="1">
        <f>建筑各项能耗拆分!$B$18*建筑各项能耗拆分!B40</f>
        <v>0</v>
      </c>
      <c r="C7" s="1">
        <f>建筑各项能耗拆分!$B$18*建筑各项能耗拆分!C40</f>
        <v>0</v>
      </c>
      <c r="D7" s="1">
        <f>建筑各项能耗拆分!$B$18*建筑各项能耗拆分!D40</f>
        <v>0</v>
      </c>
      <c r="E7" s="1">
        <f>建筑各项能耗拆分!$B$18*建筑各项能耗拆分!E40</f>
        <v>0</v>
      </c>
      <c r="F7" s="1">
        <f>建筑各项能耗拆分!$B$18*建筑各项能耗拆分!F40</f>
        <v>0</v>
      </c>
      <c r="G7" s="1">
        <f>建筑各项能耗拆分!$B$18*建筑各项能耗拆分!G40</f>
        <v>0</v>
      </c>
      <c r="H7" s="1">
        <f>建筑各项能耗拆分!$B$18*建筑各项能耗拆分!H40</f>
        <v>0</v>
      </c>
      <c r="I7" s="1">
        <f>建筑各项能耗拆分!$B$18*建筑各项能耗拆分!I40</f>
        <v>0</v>
      </c>
      <c r="J7" s="1">
        <f>建筑各项能耗拆分!$B$18*建筑各项能耗拆分!J40</f>
        <v>0</v>
      </c>
      <c r="K7" s="1">
        <f>建筑各项能耗拆分!$B$18*建筑各项能耗拆分!K40</f>
        <v>0</v>
      </c>
      <c r="L7" s="1">
        <f>建筑各项能耗拆分!$B$18*建筑各项能耗拆分!L40</f>
        <v>0</v>
      </c>
      <c r="M7" s="1">
        <f>建筑各项能耗拆分!$B$18*建筑各项能耗拆分!M40</f>
        <v>0</v>
      </c>
      <c r="N7" s="1">
        <f>建筑各项能耗拆分!$B$18*建筑各项能耗拆分!N40</f>
        <v>0</v>
      </c>
      <c r="O7" s="1">
        <f>建筑各项能耗拆分!$B$18*建筑各项能耗拆分!O40</f>
        <v>0</v>
      </c>
      <c r="P7" s="1">
        <f>建筑各项能耗拆分!$B$18*建筑各项能耗拆分!P40</f>
        <v>0</v>
      </c>
      <c r="Q7" s="1">
        <f>建筑各项能耗拆分!$B$18*建筑各项能耗拆分!Q40</f>
        <v>0</v>
      </c>
      <c r="R7" s="1">
        <f>建筑各项能耗拆分!$B$18*建筑各项能耗拆分!R40</f>
        <v>0</v>
      </c>
      <c r="S7" s="1">
        <f>建筑各项能耗拆分!$B$18*建筑各项能耗拆分!S40</f>
        <v>0</v>
      </c>
      <c r="T7" s="1">
        <f>建筑各项能耗拆分!$B$18*建筑各项能耗拆分!T40</f>
        <v>0</v>
      </c>
      <c r="U7" s="1">
        <f>建筑各项能耗拆分!$B$18*建筑各项能耗拆分!U40</f>
        <v>0</v>
      </c>
      <c r="V7" s="1">
        <f>建筑各项能耗拆分!$B$18*建筑各项能耗拆分!V40</f>
        <v>0</v>
      </c>
      <c r="W7" s="1">
        <f>建筑各项能耗拆分!$B$18*建筑各项能耗拆分!W40</f>
        <v>0</v>
      </c>
      <c r="X7" s="1">
        <f>建筑各项能耗拆分!$B$18*建筑各项能耗拆分!X40</f>
        <v>0</v>
      </c>
      <c r="Y7" s="1">
        <f>建筑各项能耗拆分!$B$18*建筑各项能耗拆分!Y40</f>
        <v>0</v>
      </c>
      <c r="Z7" s="1">
        <f>建筑各项能耗拆分!$B$18*建筑各项能耗拆分!Z40</f>
        <v>0</v>
      </c>
      <c r="AA7" s="1">
        <f>建筑各项能耗拆分!$B$18*建筑各项能耗拆分!AA40</f>
        <v>0</v>
      </c>
      <c r="AB7" s="1">
        <f>建筑各项能耗拆分!$B$18*建筑各项能耗拆分!AB40</f>
        <v>0</v>
      </c>
      <c r="AC7" s="1">
        <f>建筑各项能耗拆分!$B$18*建筑各项能耗拆分!AC40</f>
        <v>0</v>
      </c>
      <c r="AD7" s="1">
        <f>建筑各项能耗拆分!$B$18*建筑各项能耗拆分!AD40</f>
        <v>0</v>
      </c>
      <c r="AE7" s="1">
        <f>建筑各项能耗拆分!$B$18*建筑各项能耗拆分!AE40</f>
        <v>0</v>
      </c>
      <c r="AF7" s="1">
        <f>建筑各项能耗拆分!$B$18*建筑各项能耗拆分!AF40</f>
        <v>0</v>
      </c>
      <c r="AG7" s="1">
        <f>建筑各项能耗拆分!$B$18*建筑各项能耗拆分!AG40</f>
        <v>0</v>
      </c>
      <c r="AH7" s="1">
        <f>建筑各项能耗拆分!$B$18*建筑各项能耗拆分!AH40</f>
        <v>0</v>
      </c>
      <c r="AI7" s="1">
        <f>建筑各项能耗拆分!$B$18*建筑各项能耗拆分!AI40</f>
        <v>0</v>
      </c>
      <c r="AJ7" s="1">
        <f>建筑各项能耗拆分!$B$18*建筑各项能耗拆分!AJ40</f>
        <v>0</v>
      </c>
      <c r="AK7" s="1">
        <f>建筑各项能耗拆分!$B$18*建筑各项能耗拆分!AK40</f>
        <v>0</v>
      </c>
      <c r="AL7" s="1">
        <f>建筑各项能耗拆分!$B$18*建筑各项能耗拆分!AL40</f>
        <v>0</v>
      </c>
      <c r="AM7" s="1">
        <f>建筑各项能耗拆分!$B$18*建筑各项能耗拆分!AM40</f>
        <v>0</v>
      </c>
      <c r="AN7" s="1">
        <f>建筑各项能耗拆分!$B$18*建筑各项能耗拆分!AN40</f>
        <v>0</v>
      </c>
      <c r="AO7" s="1">
        <f>建筑各项能耗拆分!$B$18*建筑各项能耗拆分!AO40</f>
        <v>0</v>
      </c>
      <c r="AP7" s="1">
        <f>建筑各项能耗拆分!$B$18*建筑各项能耗拆分!AP40</f>
        <v>0</v>
      </c>
      <c r="AQ7" s="1">
        <f>建筑各项能耗拆分!$B$18*建筑各项能耗拆分!AQ40</f>
        <v>0</v>
      </c>
      <c r="AR7" s="1">
        <f>建筑各项能耗拆分!$B$18*建筑各项能耗拆分!AR40</f>
        <v>0</v>
      </c>
    </row>
    <row r="8" spans="1:44" x14ac:dyDescent="0.15">
      <c r="A8" t="s">
        <v>6</v>
      </c>
      <c r="B8" s="1">
        <f>建筑各项能耗拆分!$B$18*建筑各项能耗拆分!B41</f>
        <v>0</v>
      </c>
      <c r="C8" s="1">
        <f>建筑各项能耗拆分!$B$18*建筑各项能耗拆分!C41</f>
        <v>0</v>
      </c>
      <c r="D8" s="1">
        <f>建筑各项能耗拆分!$B$18*建筑各项能耗拆分!D41</f>
        <v>0</v>
      </c>
      <c r="E8" s="1">
        <f>建筑各项能耗拆分!$B$18*建筑各项能耗拆分!E41</f>
        <v>0</v>
      </c>
      <c r="F8" s="1">
        <f>建筑各项能耗拆分!$B$18*建筑各项能耗拆分!F41</f>
        <v>0</v>
      </c>
      <c r="G8" s="1">
        <f>建筑各项能耗拆分!$B$18*建筑各项能耗拆分!G41</f>
        <v>0</v>
      </c>
      <c r="H8" s="1">
        <f>建筑各项能耗拆分!$B$18*建筑各项能耗拆分!H41</f>
        <v>0</v>
      </c>
      <c r="I8" s="1">
        <f>建筑各项能耗拆分!$B$18*建筑各项能耗拆分!I41</f>
        <v>0</v>
      </c>
      <c r="J8" s="1">
        <f>建筑各项能耗拆分!$B$18*建筑各项能耗拆分!J41</f>
        <v>0</v>
      </c>
      <c r="K8" s="1">
        <f>建筑各项能耗拆分!$B$18*建筑各项能耗拆分!K41</f>
        <v>0</v>
      </c>
      <c r="L8" s="1">
        <f>建筑各项能耗拆分!$B$18*建筑各项能耗拆分!L41</f>
        <v>0</v>
      </c>
      <c r="M8" s="1">
        <f>建筑各项能耗拆分!$B$18*建筑各项能耗拆分!M41</f>
        <v>0</v>
      </c>
      <c r="N8" s="1">
        <f>建筑各项能耗拆分!$B$18*建筑各项能耗拆分!N41</f>
        <v>0</v>
      </c>
      <c r="O8" s="1">
        <f>建筑各项能耗拆分!$B$18*建筑各项能耗拆分!O41</f>
        <v>0</v>
      </c>
      <c r="P8" s="1">
        <f>建筑各项能耗拆分!$B$18*建筑各项能耗拆分!P41</f>
        <v>0</v>
      </c>
      <c r="Q8" s="1">
        <f>建筑各项能耗拆分!$B$18*建筑各项能耗拆分!Q41</f>
        <v>0</v>
      </c>
      <c r="R8" s="1">
        <f>建筑各项能耗拆分!$B$18*建筑各项能耗拆分!R41</f>
        <v>0</v>
      </c>
      <c r="S8" s="1">
        <f>建筑各项能耗拆分!$B$18*建筑各项能耗拆分!S41</f>
        <v>0</v>
      </c>
      <c r="T8" s="1">
        <f>建筑各项能耗拆分!$B$18*建筑各项能耗拆分!T41</f>
        <v>0</v>
      </c>
      <c r="U8" s="1">
        <f>建筑各项能耗拆分!$B$18*建筑各项能耗拆分!U41</f>
        <v>0</v>
      </c>
      <c r="V8" s="1">
        <f>建筑各项能耗拆分!$B$18*建筑各项能耗拆分!V41</f>
        <v>0</v>
      </c>
      <c r="W8" s="1">
        <f>建筑各项能耗拆分!$B$18*建筑各项能耗拆分!W41</f>
        <v>0</v>
      </c>
      <c r="X8" s="1">
        <f>建筑各项能耗拆分!$B$18*建筑各项能耗拆分!X41</f>
        <v>0</v>
      </c>
      <c r="Y8" s="1">
        <f>建筑各项能耗拆分!$B$18*建筑各项能耗拆分!Y41</f>
        <v>0</v>
      </c>
      <c r="Z8" s="1">
        <f>建筑各项能耗拆分!$B$18*建筑各项能耗拆分!Z41</f>
        <v>0</v>
      </c>
      <c r="AA8" s="1">
        <f>建筑各项能耗拆分!$B$18*建筑各项能耗拆分!AA41</f>
        <v>0</v>
      </c>
      <c r="AB8" s="1">
        <f>建筑各项能耗拆分!$B$18*建筑各项能耗拆分!AB41</f>
        <v>0</v>
      </c>
      <c r="AC8" s="1">
        <f>建筑各项能耗拆分!$B$18*建筑各项能耗拆分!AC41</f>
        <v>0</v>
      </c>
      <c r="AD8" s="1">
        <f>建筑各项能耗拆分!$B$18*建筑各项能耗拆分!AD41</f>
        <v>0</v>
      </c>
      <c r="AE8" s="1">
        <f>建筑各项能耗拆分!$B$18*建筑各项能耗拆分!AE41</f>
        <v>0</v>
      </c>
      <c r="AF8" s="1">
        <f>建筑各项能耗拆分!$B$18*建筑各项能耗拆分!AF41</f>
        <v>0</v>
      </c>
      <c r="AG8" s="1">
        <f>建筑各项能耗拆分!$B$18*建筑各项能耗拆分!AG41</f>
        <v>0</v>
      </c>
      <c r="AH8" s="1">
        <f>建筑各项能耗拆分!$B$18*建筑各项能耗拆分!AH41</f>
        <v>0</v>
      </c>
      <c r="AI8" s="1">
        <f>建筑各项能耗拆分!$B$18*建筑各项能耗拆分!AI41</f>
        <v>0</v>
      </c>
      <c r="AJ8" s="1">
        <f>建筑各项能耗拆分!$B$18*建筑各项能耗拆分!AJ41</f>
        <v>0</v>
      </c>
      <c r="AK8" s="1">
        <f>建筑各项能耗拆分!$B$18*建筑各项能耗拆分!AK41</f>
        <v>0</v>
      </c>
      <c r="AL8" s="1">
        <f>建筑各项能耗拆分!$B$18*建筑各项能耗拆分!AL41</f>
        <v>0</v>
      </c>
      <c r="AM8" s="1">
        <f>建筑各项能耗拆分!$B$18*建筑各项能耗拆分!AM41</f>
        <v>0</v>
      </c>
      <c r="AN8" s="1">
        <f>建筑各项能耗拆分!$B$18*建筑各项能耗拆分!AN41</f>
        <v>0</v>
      </c>
      <c r="AO8" s="1">
        <f>建筑各项能耗拆分!$B$18*建筑各项能耗拆分!AO41</f>
        <v>0</v>
      </c>
      <c r="AP8" s="1">
        <f>建筑各项能耗拆分!$B$18*建筑各项能耗拆分!AP41</f>
        <v>0</v>
      </c>
      <c r="AQ8" s="1">
        <f>建筑各项能耗拆分!$B$18*建筑各项能耗拆分!AQ41</f>
        <v>0</v>
      </c>
      <c r="AR8" s="1">
        <f>建筑各项能耗拆分!$B$18*建筑各项能耗拆分!AR41</f>
        <v>0</v>
      </c>
    </row>
    <row r="9" spans="1:44" x14ac:dyDescent="0.15">
      <c r="A9" t="s">
        <v>7</v>
      </c>
      <c r="B9" s="1">
        <f>建筑各项能耗拆分!$B$18*建筑各项能耗拆分!B42</f>
        <v>0</v>
      </c>
      <c r="C9" s="1">
        <f>建筑各项能耗拆分!$B$18*建筑各项能耗拆分!C42</f>
        <v>0</v>
      </c>
      <c r="D9" s="1">
        <f>建筑各项能耗拆分!$B$18*建筑各项能耗拆分!D42</f>
        <v>0</v>
      </c>
      <c r="E9" s="1">
        <f>建筑各项能耗拆分!$B$18*建筑各项能耗拆分!E42</f>
        <v>0</v>
      </c>
      <c r="F9" s="1">
        <f>建筑各项能耗拆分!$B$18*建筑各项能耗拆分!F42</f>
        <v>0</v>
      </c>
      <c r="G9" s="1">
        <f>建筑各项能耗拆分!$B$18*建筑各项能耗拆分!G42</f>
        <v>0</v>
      </c>
      <c r="H9" s="1">
        <f>建筑各项能耗拆分!$B$18*建筑各项能耗拆分!H42</f>
        <v>0</v>
      </c>
      <c r="I9" s="1">
        <f>建筑各项能耗拆分!$B$18*建筑各项能耗拆分!I42</f>
        <v>0</v>
      </c>
      <c r="J9" s="1">
        <f>建筑各项能耗拆分!$B$18*建筑各项能耗拆分!J42</f>
        <v>0</v>
      </c>
      <c r="K9" s="1">
        <f>建筑各项能耗拆分!$B$18*建筑各项能耗拆分!K42</f>
        <v>0</v>
      </c>
      <c r="L9" s="1">
        <f>建筑各项能耗拆分!$B$18*建筑各项能耗拆分!L42</f>
        <v>0</v>
      </c>
      <c r="M9" s="1">
        <f>建筑各项能耗拆分!$B$18*建筑各项能耗拆分!M42</f>
        <v>0</v>
      </c>
      <c r="N9" s="1">
        <f>建筑各项能耗拆分!$B$18*建筑各项能耗拆分!N42</f>
        <v>0</v>
      </c>
      <c r="O9" s="1">
        <f>建筑各项能耗拆分!$B$18*建筑各项能耗拆分!O42</f>
        <v>0</v>
      </c>
      <c r="P9" s="1">
        <f>建筑各项能耗拆分!$B$18*建筑各项能耗拆分!P42</f>
        <v>0</v>
      </c>
      <c r="Q9" s="1">
        <f>建筑各项能耗拆分!$B$18*建筑各项能耗拆分!Q42</f>
        <v>0</v>
      </c>
      <c r="R9" s="1">
        <f>建筑各项能耗拆分!$B$18*建筑各项能耗拆分!R42</f>
        <v>0</v>
      </c>
      <c r="S9" s="1">
        <f>建筑各项能耗拆分!$B$18*建筑各项能耗拆分!S42</f>
        <v>0</v>
      </c>
      <c r="T9" s="1">
        <f>建筑各项能耗拆分!$B$18*建筑各项能耗拆分!T42</f>
        <v>0</v>
      </c>
      <c r="U9" s="1">
        <f>建筑各项能耗拆分!$B$18*建筑各项能耗拆分!U42</f>
        <v>0</v>
      </c>
      <c r="V9" s="1">
        <f>建筑各项能耗拆分!$B$18*建筑各项能耗拆分!V42</f>
        <v>0</v>
      </c>
      <c r="W9" s="1">
        <f>建筑各项能耗拆分!$B$18*建筑各项能耗拆分!W42</f>
        <v>0</v>
      </c>
      <c r="X9" s="1">
        <f>建筑各项能耗拆分!$B$18*建筑各项能耗拆分!X42</f>
        <v>0</v>
      </c>
      <c r="Y9" s="1">
        <f>建筑各项能耗拆分!$B$18*建筑各项能耗拆分!Y42</f>
        <v>0</v>
      </c>
      <c r="Z9" s="1">
        <f>建筑各项能耗拆分!$B$18*建筑各项能耗拆分!Z42</f>
        <v>0</v>
      </c>
      <c r="AA9" s="1">
        <f>建筑各项能耗拆分!$B$18*建筑各项能耗拆分!AA42</f>
        <v>0</v>
      </c>
      <c r="AB9" s="1">
        <f>建筑各项能耗拆分!$B$18*建筑各项能耗拆分!AB42</f>
        <v>0</v>
      </c>
      <c r="AC9" s="1">
        <f>建筑各项能耗拆分!$B$18*建筑各项能耗拆分!AC42</f>
        <v>0</v>
      </c>
      <c r="AD9" s="1">
        <f>建筑各项能耗拆分!$B$18*建筑各项能耗拆分!AD42</f>
        <v>0</v>
      </c>
      <c r="AE9" s="1">
        <f>建筑各项能耗拆分!$B$18*建筑各项能耗拆分!AE42</f>
        <v>0</v>
      </c>
      <c r="AF9" s="1">
        <f>建筑各项能耗拆分!$B$18*建筑各项能耗拆分!AF42</f>
        <v>0</v>
      </c>
      <c r="AG9" s="1">
        <f>建筑各项能耗拆分!$B$18*建筑各项能耗拆分!AG42</f>
        <v>0</v>
      </c>
      <c r="AH9" s="1">
        <f>建筑各项能耗拆分!$B$18*建筑各项能耗拆分!AH42</f>
        <v>0</v>
      </c>
      <c r="AI9" s="1">
        <f>建筑各项能耗拆分!$B$18*建筑各项能耗拆分!AI42</f>
        <v>0</v>
      </c>
      <c r="AJ9" s="1">
        <f>建筑各项能耗拆分!$B$18*建筑各项能耗拆分!AJ42</f>
        <v>0</v>
      </c>
      <c r="AK9" s="1">
        <f>建筑各项能耗拆分!$B$18*建筑各项能耗拆分!AK42</f>
        <v>0</v>
      </c>
      <c r="AL9" s="1">
        <f>建筑各项能耗拆分!$B$18*建筑各项能耗拆分!AL42</f>
        <v>0</v>
      </c>
      <c r="AM9" s="1">
        <f>建筑各项能耗拆分!$B$18*建筑各项能耗拆分!AM42</f>
        <v>0</v>
      </c>
      <c r="AN9" s="1">
        <f>建筑各项能耗拆分!$B$18*建筑各项能耗拆分!AN42</f>
        <v>0</v>
      </c>
      <c r="AO9" s="1">
        <f>建筑各项能耗拆分!$B$18*建筑各项能耗拆分!AO42</f>
        <v>0</v>
      </c>
      <c r="AP9" s="1">
        <f>建筑各项能耗拆分!$B$18*建筑各项能耗拆分!AP42</f>
        <v>0</v>
      </c>
      <c r="AQ9" s="1">
        <f>建筑各项能耗拆分!$B$18*建筑各项能耗拆分!AQ42</f>
        <v>0</v>
      </c>
      <c r="AR9" s="1">
        <f>建筑各项能耗拆分!$B$18*建筑各项能耗拆分!AR42</f>
        <v>0</v>
      </c>
    </row>
    <row r="10" spans="1:44" x14ac:dyDescent="0.15">
      <c r="A10" t="s">
        <v>8</v>
      </c>
      <c r="B10" s="1">
        <f>建筑各项能耗拆分!$B$18*建筑各项能耗拆分!B43</f>
        <v>0</v>
      </c>
      <c r="C10" s="1">
        <f>建筑各项能耗拆分!$B$18*建筑各项能耗拆分!C43</f>
        <v>0</v>
      </c>
      <c r="D10" s="1">
        <f>建筑各项能耗拆分!$B$18*建筑各项能耗拆分!D43</f>
        <v>0</v>
      </c>
      <c r="E10" s="1">
        <f>建筑各项能耗拆分!$B$18*建筑各项能耗拆分!E43</f>
        <v>0</v>
      </c>
      <c r="F10" s="1">
        <f>建筑各项能耗拆分!$B$18*建筑各项能耗拆分!F43</f>
        <v>0</v>
      </c>
      <c r="G10" s="1">
        <f>建筑各项能耗拆分!$B$18*建筑各项能耗拆分!G43</f>
        <v>0</v>
      </c>
      <c r="H10" s="1">
        <f>建筑各项能耗拆分!$B$18*建筑各项能耗拆分!H43</f>
        <v>0</v>
      </c>
      <c r="I10" s="1">
        <f>建筑各项能耗拆分!$B$18*建筑各项能耗拆分!I43</f>
        <v>0</v>
      </c>
      <c r="J10" s="1">
        <f>建筑各项能耗拆分!$B$18*建筑各项能耗拆分!J43</f>
        <v>0</v>
      </c>
      <c r="K10" s="1">
        <f>建筑各项能耗拆分!$B$18*建筑各项能耗拆分!K43</f>
        <v>0</v>
      </c>
      <c r="L10" s="1">
        <f>建筑各项能耗拆分!$B$18*建筑各项能耗拆分!L43</f>
        <v>0</v>
      </c>
      <c r="M10" s="1">
        <f>建筑各项能耗拆分!$B$18*建筑各项能耗拆分!M43</f>
        <v>0</v>
      </c>
      <c r="N10" s="1">
        <f>建筑各项能耗拆分!$B$18*建筑各项能耗拆分!N43</f>
        <v>0</v>
      </c>
      <c r="O10" s="1">
        <f>建筑各项能耗拆分!$B$18*建筑各项能耗拆分!O43</f>
        <v>0</v>
      </c>
      <c r="P10" s="1">
        <f>建筑各项能耗拆分!$B$18*建筑各项能耗拆分!P43</f>
        <v>0</v>
      </c>
      <c r="Q10" s="1">
        <f>建筑各项能耗拆分!$B$18*建筑各项能耗拆分!Q43</f>
        <v>0</v>
      </c>
      <c r="R10" s="1">
        <f>建筑各项能耗拆分!$B$18*建筑各项能耗拆分!R43</f>
        <v>0</v>
      </c>
      <c r="S10" s="1">
        <f>建筑各项能耗拆分!$B$18*建筑各项能耗拆分!S43</f>
        <v>0</v>
      </c>
      <c r="T10" s="1">
        <f>建筑各项能耗拆分!$B$18*建筑各项能耗拆分!T43</f>
        <v>0</v>
      </c>
      <c r="U10" s="1">
        <f>建筑各项能耗拆分!$B$18*建筑各项能耗拆分!U43</f>
        <v>0</v>
      </c>
      <c r="V10" s="1">
        <f>建筑各项能耗拆分!$B$18*建筑各项能耗拆分!V43</f>
        <v>0</v>
      </c>
      <c r="W10" s="1">
        <f>建筑各项能耗拆分!$B$18*建筑各项能耗拆分!W43</f>
        <v>0</v>
      </c>
      <c r="X10" s="1">
        <f>建筑各项能耗拆分!$B$18*建筑各项能耗拆分!X43</f>
        <v>0</v>
      </c>
      <c r="Y10" s="1">
        <f>建筑各项能耗拆分!$B$18*建筑各项能耗拆分!Y43</f>
        <v>0</v>
      </c>
      <c r="Z10" s="1">
        <f>建筑各项能耗拆分!$B$18*建筑各项能耗拆分!Z43</f>
        <v>0</v>
      </c>
      <c r="AA10" s="1">
        <f>建筑各项能耗拆分!$B$18*建筑各项能耗拆分!AA43</f>
        <v>0</v>
      </c>
      <c r="AB10" s="1">
        <f>建筑各项能耗拆分!$B$18*建筑各项能耗拆分!AB43</f>
        <v>0</v>
      </c>
      <c r="AC10" s="1">
        <f>建筑各项能耗拆分!$B$18*建筑各项能耗拆分!AC43</f>
        <v>0</v>
      </c>
      <c r="AD10" s="1">
        <f>建筑各项能耗拆分!$B$18*建筑各项能耗拆分!AD43</f>
        <v>0</v>
      </c>
      <c r="AE10" s="1">
        <f>建筑各项能耗拆分!$B$18*建筑各项能耗拆分!AE43</f>
        <v>0</v>
      </c>
      <c r="AF10" s="1">
        <f>建筑各项能耗拆分!$B$18*建筑各项能耗拆分!AF43</f>
        <v>0</v>
      </c>
      <c r="AG10" s="1">
        <f>建筑各项能耗拆分!$B$18*建筑各项能耗拆分!AG43</f>
        <v>0</v>
      </c>
      <c r="AH10" s="1">
        <f>建筑各项能耗拆分!$B$18*建筑各项能耗拆分!AH43</f>
        <v>0</v>
      </c>
      <c r="AI10" s="1">
        <f>建筑各项能耗拆分!$B$18*建筑各项能耗拆分!AI43</f>
        <v>0</v>
      </c>
      <c r="AJ10" s="1">
        <f>建筑各项能耗拆分!$B$18*建筑各项能耗拆分!AJ43</f>
        <v>0</v>
      </c>
      <c r="AK10" s="1">
        <f>建筑各项能耗拆分!$B$18*建筑各项能耗拆分!AK43</f>
        <v>0</v>
      </c>
      <c r="AL10" s="1">
        <f>建筑各项能耗拆分!$B$18*建筑各项能耗拆分!AL43</f>
        <v>0</v>
      </c>
      <c r="AM10" s="1">
        <f>建筑各项能耗拆分!$B$18*建筑各项能耗拆分!AM43</f>
        <v>0</v>
      </c>
      <c r="AN10" s="1">
        <f>建筑各项能耗拆分!$B$18*建筑各项能耗拆分!AN43</f>
        <v>0</v>
      </c>
      <c r="AO10" s="1">
        <f>建筑各项能耗拆分!$B$18*建筑各项能耗拆分!AO43</f>
        <v>0</v>
      </c>
      <c r="AP10" s="1">
        <f>建筑各项能耗拆分!$B$18*建筑各项能耗拆分!AP43</f>
        <v>0</v>
      </c>
      <c r="AQ10" s="1">
        <f>建筑各项能耗拆分!$B$18*建筑各项能耗拆分!AQ43</f>
        <v>0</v>
      </c>
      <c r="AR10" s="1">
        <f>建筑各项能耗拆分!$B$18*建筑各项能耗拆分!AR43</f>
        <v>0</v>
      </c>
    </row>
    <row r="11" spans="1:44" x14ac:dyDescent="0.15">
      <c r="A11" t="s">
        <v>9</v>
      </c>
      <c r="B11" s="1">
        <f>建筑各项能耗拆分!$B$18*建筑各项能耗拆分!B44</f>
        <v>0</v>
      </c>
      <c r="C11" s="1">
        <f>建筑各项能耗拆分!$B$18*建筑各项能耗拆分!C44</f>
        <v>0</v>
      </c>
      <c r="D11" s="1">
        <f>建筑各项能耗拆分!$B$18*建筑各项能耗拆分!D44</f>
        <v>0</v>
      </c>
      <c r="E11" s="1">
        <f>建筑各项能耗拆分!$B$18*建筑各项能耗拆分!E44</f>
        <v>0</v>
      </c>
      <c r="F11" s="1">
        <f>建筑各项能耗拆分!$B$18*建筑各项能耗拆分!F44</f>
        <v>0</v>
      </c>
      <c r="G11" s="1">
        <f>建筑各项能耗拆分!$B$18*建筑各项能耗拆分!G44</f>
        <v>0</v>
      </c>
      <c r="H11" s="1">
        <f>建筑各项能耗拆分!$B$18*建筑各项能耗拆分!H44</f>
        <v>0</v>
      </c>
      <c r="I11" s="1">
        <f>建筑各项能耗拆分!$B$18*建筑各项能耗拆分!I44</f>
        <v>0</v>
      </c>
      <c r="J11" s="1">
        <f>建筑各项能耗拆分!$B$18*建筑各项能耗拆分!J44</f>
        <v>0</v>
      </c>
      <c r="K11" s="1">
        <f>建筑各项能耗拆分!$B$18*建筑各项能耗拆分!K44</f>
        <v>0</v>
      </c>
      <c r="L11" s="1">
        <f>建筑各项能耗拆分!$B$18*建筑各项能耗拆分!L44</f>
        <v>0</v>
      </c>
      <c r="M11" s="1">
        <f>建筑各项能耗拆分!$B$18*建筑各项能耗拆分!M44</f>
        <v>0</v>
      </c>
      <c r="N11" s="1">
        <f>建筑各项能耗拆分!$B$18*建筑各项能耗拆分!N44</f>
        <v>0</v>
      </c>
      <c r="O11" s="1">
        <f>建筑各项能耗拆分!$B$18*建筑各项能耗拆分!O44</f>
        <v>0</v>
      </c>
      <c r="P11" s="1">
        <f>建筑各项能耗拆分!$B$18*建筑各项能耗拆分!P44</f>
        <v>0</v>
      </c>
      <c r="Q11" s="1">
        <f>建筑各项能耗拆分!$B$18*建筑各项能耗拆分!Q44</f>
        <v>0</v>
      </c>
      <c r="R11" s="1">
        <f>建筑各项能耗拆分!$B$18*建筑各项能耗拆分!R44</f>
        <v>0</v>
      </c>
      <c r="S11" s="1">
        <f>建筑各项能耗拆分!$B$18*建筑各项能耗拆分!S44</f>
        <v>0</v>
      </c>
      <c r="T11" s="1">
        <f>建筑各项能耗拆分!$B$18*建筑各项能耗拆分!T44</f>
        <v>0</v>
      </c>
      <c r="U11" s="1">
        <f>建筑各项能耗拆分!$B$18*建筑各项能耗拆分!U44</f>
        <v>0</v>
      </c>
      <c r="V11" s="1">
        <f>建筑各项能耗拆分!$B$18*建筑各项能耗拆分!V44</f>
        <v>0</v>
      </c>
      <c r="W11" s="1">
        <f>建筑各项能耗拆分!$B$18*建筑各项能耗拆分!W44</f>
        <v>0</v>
      </c>
      <c r="X11" s="1">
        <f>建筑各项能耗拆分!$B$18*建筑各项能耗拆分!X44</f>
        <v>0</v>
      </c>
      <c r="Y11" s="1">
        <f>建筑各项能耗拆分!$B$18*建筑各项能耗拆分!Y44</f>
        <v>0</v>
      </c>
      <c r="Z11" s="1">
        <f>建筑各项能耗拆分!$B$18*建筑各项能耗拆分!Z44</f>
        <v>0</v>
      </c>
      <c r="AA11" s="1">
        <f>建筑各项能耗拆分!$B$18*建筑各项能耗拆分!AA44</f>
        <v>0</v>
      </c>
      <c r="AB11" s="1">
        <f>建筑各项能耗拆分!$B$18*建筑各项能耗拆分!AB44</f>
        <v>0</v>
      </c>
      <c r="AC11" s="1">
        <f>建筑各项能耗拆分!$B$18*建筑各项能耗拆分!AC44</f>
        <v>0</v>
      </c>
      <c r="AD11" s="1">
        <f>建筑各项能耗拆分!$B$18*建筑各项能耗拆分!AD44</f>
        <v>0</v>
      </c>
      <c r="AE11" s="1">
        <f>建筑各项能耗拆分!$B$18*建筑各项能耗拆分!AE44</f>
        <v>0</v>
      </c>
      <c r="AF11" s="1">
        <f>建筑各项能耗拆分!$B$18*建筑各项能耗拆分!AF44</f>
        <v>0</v>
      </c>
      <c r="AG11" s="1">
        <f>建筑各项能耗拆分!$B$18*建筑各项能耗拆分!AG44</f>
        <v>0</v>
      </c>
      <c r="AH11" s="1">
        <f>建筑各项能耗拆分!$B$18*建筑各项能耗拆分!AH44</f>
        <v>0</v>
      </c>
      <c r="AI11" s="1">
        <f>建筑各项能耗拆分!$B$18*建筑各项能耗拆分!AI44</f>
        <v>0</v>
      </c>
      <c r="AJ11" s="1">
        <f>建筑各项能耗拆分!$B$18*建筑各项能耗拆分!AJ44</f>
        <v>0</v>
      </c>
      <c r="AK11" s="1">
        <f>建筑各项能耗拆分!$B$18*建筑各项能耗拆分!AK44</f>
        <v>0</v>
      </c>
      <c r="AL11" s="1">
        <f>建筑各项能耗拆分!$B$18*建筑各项能耗拆分!AL44</f>
        <v>0</v>
      </c>
      <c r="AM11" s="1">
        <f>建筑各项能耗拆分!$B$18*建筑各项能耗拆分!AM44</f>
        <v>0</v>
      </c>
      <c r="AN11" s="1">
        <f>建筑各项能耗拆分!$B$18*建筑各项能耗拆分!AN44</f>
        <v>0</v>
      </c>
      <c r="AO11" s="1">
        <f>建筑各项能耗拆分!$B$18*建筑各项能耗拆分!AO44</f>
        <v>0</v>
      </c>
      <c r="AP11" s="1">
        <f>建筑各项能耗拆分!$B$18*建筑各项能耗拆分!AP44</f>
        <v>0</v>
      </c>
      <c r="AQ11" s="1">
        <f>建筑各项能耗拆分!$B$18*建筑各项能耗拆分!AQ44</f>
        <v>0</v>
      </c>
      <c r="AR11" s="1">
        <f>建筑各项能耗拆分!$B$18*建筑各项能耗拆分!AR44</f>
        <v>0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61B7-A5F6-498A-8C1D-283CAE377515}">
  <sheetPr>
    <tabColor rgb="FF00B0F0"/>
  </sheetPr>
  <dimension ref="A1:AR11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建筑各项能耗拆分!$B$18*建筑各项能耗拆分!B61</f>
        <v>278421153392741.31</v>
      </c>
      <c r="C2" s="1">
        <f>建筑各项能耗拆分!$B$18*建筑各项能耗拆分!C61</f>
        <v>284171923526595.75</v>
      </c>
      <c r="D2" s="1">
        <f>建筑各项能耗拆分!$B$18*建筑各项能耗拆分!D61</f>
        <v>291763629835339.31</v>
      </c>
      <c r="E2" s="1">
        <f>建筑各项能耗拆分!$B$18*建筑各项能耗拆分!E61</f>
        <v>295650172684109.06</v>
      </c>
      <c r="F2" s="1">
        <f>建筑各项能耗拆分!$B$18*建筑各项能耗拆分!F61</f>
        <v>299442786638430.13</v>
      </c>
      <c r="G2" s="1">
        <f>建筑各项能耗拆分!$B$18*建筑各项能耗拆分!G61</f>
        <v>303139380097040.56</v>
      </c>
      <c r="H2" s="1">
        <f>建筑各项能耗拆分!$B$18*建筑各项能耗拆分!H61</f>
        <v>306738059360429.19</v>
      </c>
      <c r="I2" s="1">
        <f>建筑各项能耗拆分!$B$18*建筑各项能耗拆分!I61</f>
        <v>310237158797105.25</v>
      </c>
      <c r="J2" s="1">
        <f>建筑各项能耗拆分!$B$18*建筑各项能耗拆分!J61</f>
        <v>313635226641301.19</v>
      </c>
      <c r="K2" s="1">
        <f>建筑各项能耗拆分!$B$18*建筑各项能耗拆分!K61</f>
        <v>316931067821822</v>
      </c>
      <c r="L2" s="1">
        <f>建筑各项能耗拆分!$B$18*建筑各项能耗拆分!L61</f>
        <v>320123730549496.44</v>
      </c>
      <c r="M2" s="1">
        <f>建筑各项能耗拆分!$B$18*建筑各项能耗拆分!M61</f>
        <v>323212535394172.63</v>
      </c>
      <c r="N2" s="1">
        <f>建筑各项能耗拆分!$B$18*建筑各项能耗拆分!N61</f>
        <v>326197085592339.13</v>
      </c>
      <c r="O2" s="1">
        <f>建筑各项能耗拆分!$B$18*建筑各项能耗拆分!O61</f>
        <v>329077274826052.63</v>
      </c>
      <c r="P2" s="1">
        <f>建筑各项能耗拆分!$B$18*建筑各项能耗拆分!P61</f>
        <v>331853319006793.94</v>
      </c>
      <c r="Q2" s="1">
        <f>建筑各项能耗拆分!$B$18*建筑各项能耗拆分!Q61</f>
        <v>334525748483797</v>
      </c>
      <c r="R2" s="1">
        <f>建筑各项能耗拆分!$B$18*建筑各项能耗拆分!R61</f>
        <v>337095443600768.25</v>
      </c>
      <c r="S2" s="1">
        <f>建筑各项能耗拆分!$B$18*建筑各项能耗拆分!S61</f>
        <v>339563638534053.69</v>
      </c>
      <c r="T2" s="1">
        <f>建筑各项能耗拆分!$B$18*建筑各项能耗拆分!T61</f>
        <v>341931943274013.5</v>
      </c>
      <c r="U2" s="1">
        <f>建筑各项能耗拆分!$B$18*建筑各项能耗拆分!U61</f>
        <v>344202365416372.63</v>
      </c>
      <c r="V2" s="1">
        <f>建筑各项能耗拆分!$B$18*建筑各项能耗拆分!V61</f>
        <v>346377311808823</v>
      </c>
      <c r="W2" s="1">
        <f>建筑各项能耗拆分!$B$18*建筑各项能耗拆分!W61</f>
        <v>348459623351092.25</v>
      </c>
      <c r="X2" s="1">
        <f>建筑各项能耗拆分!$B$18*建筑各项能耗拆分!X61</f>
        <v>350452588513455.06</v>
      </c>
      <c r="Y2" s="1">
        <f>建筑各项能耗拆分!$B$18*建筑各项能耗拆分!Y61</f>
        <v>352359963979722.38</v>
      </c>
      <c r="Z2" s="1">
        <f>建筑各项能耗拆分!$B$18*建筑各项能耗拆分!Z61</f>
        <v>354185985445023.44</v>
      </c>
      <c r="AA2" s="1">
        <f>建筑各项能耗拆分!$B$18*建筑各项能耗拆分!AA61</f>
        <v>355935395194227.81</v>
      </c>
      <c r="AB2" s="1">
        <f>建筑各项能耗拆分!$B$18*建筑各项能耗拆分!AB61</f>
        <v>357613472970366.69</v>
      </c>
      <c r="AC2" s="1">
        <f>建筑各项能耗拆分!$B$18*建筑各项能耗拆分!AC61</f>
        <v>359226038289828.63</v>
      </c>
      <c r="AD2" s="1">
        <f>建筑各项能耗拆分!$B$18*建筑各项能耗拆分!AD61</f>
        <v>360779477662803.75</v>
      </c>
      <c r="AE2" s="1">
        <f>建筑各项能耗拆分!$B$18*建筑各项能耗拆分!AE61</f>
        <v>362280788451455.63</v>
      </c>
      <c r="AF2" s="1">
        <f>建筑各项能耗拆分!$B$18*建筑各项能耗拆分!AF61</f>
        <v>363737570914605.25</v>
      </c>
      <c r="AG2" s="1">
        <f>建筑各项能耗拆分!$B$18*建筑各项能耗拆分!AG61</f>
        <v>365158069250690.69</v>
      </c>
      <c r="AH2" s="1">
        <f>建筑各项能耗拆分!$B$18*建筑各项能耗拆分!AH61</f>
        <v>366551203713600.44</v>
      </c>
      <c r="AI2" s="1">
        <f>建筑各项能耗拆分!$B$18*建筑各项能耗拆分!AI61</f>
        <v>367926570936388.19</v>
      </c>
      <c r="AJ2" s="1">
        <f>建筑各项能耗拆分!$B$18*建筑各项能耗拆分!AJ61</f>
        <v>369294505305422.63</v>
      </c>
      <c r="AK2" s="1">
        <f>建筑各项能耗拆分!$B$18*建筑各项能耗拆分!AK61</f>
        <v>370666064978130.06</v>
      </c>
      <c r="AL2" s="1">
        <f>建筑各项能耗拆分!$B$18*建筑各项能耗拆分!AL61</f>
        <v>372053099892716.63</v>
      </c>
      <c r="AM2" s="1">
        <f>建筑各项能耗拆分!$B$18*建筑各项能耗拆分!AM61</f>
        <v>373468254907840.13</v>
      </c>
      <c r="AN2" s="1">
        <f>建筑各项能耗拆分!$B$18*建筑各项能耗拆分!AN61</f>
        <v>374925004012376.69</v>
      </c>
      <c r="AO2" s="1">
        <f>建筑各项能耗拆分!$B$18*建筑各项能耗拆分!AO61</f>
        <v>376437681555387.38</v>
      </c>
      <c r="AP2" s="1">
        <f>建筑各项能耗拆分!$B$18*建筑各项能耗拆分!AP61</f>
        <v>378021514364564.19</v>
      </c>
      <c r="AQ2" s="1">
        <f>建筑各项能耗拆分!$B$18*建筑各项能耗拆分!AQ61</f>
        <v>379692662365422.69</v>
      </c>
      <c r="AR2" s="1">
        <f>建筑各项能耗拆分!$B$18*建筑各项能耗拆分!AR61</f>
        <v>381468228077823.88</v>
      </c>
    </row>
    <row r="3" spans="1:44" x14ac:dyDescent="0.15">
      <c r="A3" t="s">
        <v>1</v>
      </c>
      <c r="B3" s="1">
        <f>建筑各项能耗拆分!$B$18*建筑各项能耗拆分!B62</f>
        <v>0</v>
      </c>
      <c r="C3" s="1">
        <f>建筑各项能耗拆分!$B$18*建筑各项能耗拆分!C62</f>
        <v>0</v>
      </c>
      <c r="D3" s="1">
        <f>建筑各项能耗拆分!$B$18*建筑各项能耗拆分!D62</f>
        <v>0</v>
      </c>
      <c r="E3" s="1">
        <f>建筑各项能耗拆分!$B$18*建筑各项能耗拆分!E62</f>
        <v>0</v>
      </c>
      <c r="F3" s="1">
        <f>建筑各项能耗拆分!$B$18*建筑各项能耗拆分!F62</f>
        <v>0</v>
      </c>
      <c r="G3" s="1">
        <f>建筑各项能耗拆分!$B$18*建筑各项能耗拆分!G62</f>
        <v>0</v>
      </c>
      <c r="H3" s="1">
        <f>建筑各项能耗拆分!$B$18*建筑各项能耗拆分!H62</f>
        <v>0</v>
      </c>
      <c r="I3" s="1">
        <f>建筑各项能耗拆分!$B$18*建筑各项能耗拆分!I62</f>
        <v>0</v>
      </c>
      <c r="J3" s="1">
        <f>建筑各项能耗拆分!$B$18*建筑各项能耗拆分!J62</f>
        <v>0</v>
      </c>
      <c r="K3" s="1">
        <f>建筑各项能耗拆分!$B$18*建筑各项能耗拆分!K62</f>
        <v>0</v>
      </c>
      <c r="L3" s="1">
        <f>建筑各项能耗拆分!$B$18*建筑各项能耗拆分!L62</f>
        <v>0</v>
      </c>
      <c r="M3" s="1">
        <f>建筑各项能耗拆分!$B$18*建筑各项能耗拆分!M62</f>
        <v>0</v>
      </c>
      <c r="N3" s="1">
        <f>建筑各项能耗拆分!$B$18*建筑各项能耗拆分!N62</f>
        <v>0</v>
      </c>
      <c r="O3" s="1">
        <f>建筑各项能耗拆分!$B$18*建筑各项能耗拆分!O62</f>
        <v>0</v>
      </c>
      <c r="P3" s="1">
        <f>建筑各项能耗拆分!$B$18*建筑各项能耗拆分!P62</f>
        <v>0</v>
      </c>
      <c r="Q3" s="1">
        <f>建筑各项能耗拆分!$B$18*建筑各项能耗拆分!Q62</f>
        <v>0</v>
      </c>
      <c r="R3" s="1">
        <f>建筑各项能耗拆分!$B$18*建筑各项能耗拆分!R62</f>
        <v>0</v>
      </c>
      <c r="S3" s="1">
        <f>建筑各项能耗拆分!$B$18*建筑各项能耗拆分!S62</f>
        <v>0</v>
      </c>
      <c r="T3" s="1">
        <f>建筑各项能耗拆分!$B$18*建筑各项能耗拆分!T62</f>
        <v>0</v>
      </c>
      <c r="U3" s="1">
        <f>建筑各项能耗拆分!$B$18*建筑各项能耗拆分!U62</f>
        <v>0</v>
      </c>
      <c r="V3" s="1">
        <f>建筑各项能耗拆分!$B$18*建筑各项能耗拆分!V62</f>
        <v>0</v>
      </c>
      <c r="W3" s="1">
        <f>建筑各项能耗拆分!$B$18*建筑各项能耗拆分!W62</f>
        <v>0</v>
      </c>
      <c r="X3" s="1">
        <f>建筑各项能耗拆分!$B$18*建筑各项能耗拆分!X62</f>
        <v>0</v>
      </c>
      <c r="Y3" s="1">
        <f>建筑各项能耗拆分!$B$18*建筑各项能耗拆分!Y62</f>
        <v>0</v>
      </c>
      <c r="Z3" s="1">
        <f>建筑各项能耗拆分!$B$18*建筑各项能耗拆分!Z62</f>
        <v>0</v>
      </c>
      <c r="AA3" s="1">
        <f>建筑各项能耗拆分!$B$18*建筑各项能耗拆分!AA62</f>
        <v>0</v>
      </c>
      <c r="AB3" s="1">
        <f>建筑各项能耗拆分!$B$18*建筑各项能耗拆分!AB62</f>
        <v>0</v>
      </c>
      <c r="AC3" s="1">
        <f>建筑各项能耗拆分!$B$18*建筑各项能耗拆分!AC62</f>
        <v>0</v>
      </c>
      <c r="AD3" s="1">
        <f>建筑各项能耗拆分!$B$18*建筑各项能耗拆分!AD62</f>
        <v>0</v>
      </c>
      <c r="AE3" s="1">
        <f>建筑各项能耗拆分!$B$18*建筑各项能耗拆分!AE62</f>
        <v>0</v>
      </c>
      <c r="AF3" s="1">
        <f>建筑各项能耗拆分!$B$18*建筑各项能耗拆分!AF62</f>
        <v>0</v>
      </c>
      <c r="AG3" s="1">
        <f>建筑各项能耗拆分!$B$18*建筑各项能耗拆分!AG62</f>
        <v>0</v>
      </c>
      <c r="AH3" s="1">
        <f>建筑各项能耗拆分!$B$18*建筑各项能耗拆分!AH62</f>
        <v>0</v>
      </c>
      <c r="AI3" s="1">
        <f>建筑各项能耗拆分!$B$18*建筑各项能耗拆分!AI62</f>
        <v>0</v>
      </c>
      <c r="AJ3" s="1">
        <f>建筑各项能耗拆分!$B$18*建筑各项能耗拆分!AJ62</f>
        <v>0</v>
      </c>
      <c r="AK3" s="1">
        <f>建筑各项能耗拆分!$B$18*建筑各项能耗拆分!AK62</f>
        <v>0</v>
      </c>
      <c r="AL3" s="1">
        <f>建筑各项能耗拆分!$B$18*建筑各项能耗拆分!AL62</f>
        <v>0</v>
      </c>
      <c r="AM3" s="1">
        <f>建筑各项能耗拆分!$B$18*建筑各项能耗拆分!AM62</f>
        <v>0</v>
      </c>
      <c r="AN3" s="1">
        <f>建筑各项能耗拆分!$B$18*建筑各项能耗拆分!AN62</f>
        <v>0</v>
      </c>
      <c r="AO3" s="1">
        <f>建筑各项能耗拆分!$B$18*建筑各项能耗拆分!AO62</f>
        <v>0</v>
      </c>
      <c r="AP3" s="1">
        <f>建筑各项能耗拆分!$B$18*建筑各项能耗拆分!AP62</f>
        <v>0</v>
      </c>
      <c r="AQ3" s="1">
        <f>建筑各项能耗拆分!$B$18*建筑各项能耗拆分!AQ62</f>
        <v>0</v>
      </c>
      <c r="AR3" s="1">
        <f>建筑各项能耗拆分!$B$18*建筑各项能耗拆分!AR62</f>
        <v>0</v>
      </c>
    </row>
    <row r="4" spans="1:44" x14ac:dyDescent="0.15">
      <c r="A4" t="s">
        <v>2</v>
      </c>
      <c r="B4" s="1">
        <f>建筑各项能耗拆分!$B$18*建筑各项能耗拆分!B63</f>
        <v>0</v>
      </c>
      <c r="C4" s="1">
        <f>建筑各项能耗拆分!$B$18*建筑各项能耗拆分!C63</f>
        <v>0</v>
      </c>
      <c r="D4" s="1">
        <f>建筑各项能耗拆分!$B$18*建筑各项能耗拆分!D63</f>
        <v>0</v>
      </c>
      <c r="E4" s="1">
        <f>建筑各项能耗拆分!$B$18*建筑各项能耗拆分!E63</f>
        <v>0</v>
      </c>
      <c r="F4" s="1">
        <f>建筑各项能耗拆分!$B$18*建筑各项能耗拆分!F63</f>
        <v>0</v>
      </c>
      <c r="G4" s="1">
        <f>建筑各项能耗拆分!$B$18*建筑各项能耗拆分!G63</f>
        <v>0</v>
      </c>
      <c r="H4" s="1">
        <f>建筑各项能耗拆分!$B$18*建筑各项能耗拆分!H63</f>
        <v>0</v>
      </c>
      <c r="I4" s="1">
        <f>建筑各项能耗拆分!$B$18*建筑各项能耗拆分!I63</f>
        <v>0</v>
      </c>
      <c r="J4" s="1">
        <f>建筑各项能耗拆分!$B$18*建筑各项能耗拆分!J63</f>
        <v>0</v>
      </c>
      <c r="K4" s="1">
        <f>建筑各项能耗拆分!$B$18*建筑各项能耗拆分!K63</f>
        <v>0</v>
      </c>
      <c r="L4" s="1">
        <f>建筑各项能耗拆分!$B$18*建筑各项能耗拆分!L63</f>
        <v>0</v>
      </c>
      <c r="M4" s="1">
        <f>建筑各项能耗拆分!$B$18*建筑各项能耗拆分!M63</f>
        <v>0</v>
      </c>
      <c r="N4" s="1">
        <f>建筑各项能耗拆分!$B$18*建筑各项能耗拆分!N63</f>
        <v>0</v>
      </c>
      <c r="O4" s="1">
        <f>建筑各项能耗拆分!$B$18*建筑各项能耗拆分!O63</f>
        <v>0</v>
      </c>
      <c r="P4" s="1">
        <f>建筑各项能耗拆分!$B$18*建筑各项能耗拆分!P63</f>
        <v>0</v>
      </c>
      <c r="Q4" s="1">
        <f>建筑各项能耗拆分!$B$18*建筑各项能耗拆分!Q63</f>
        <v>0</v>
      </c>
      <c r="R4" s="1">
        <f>建筑各项能耗拆分!$B$18*建筑各项能耗拆分!R63</f>
        <v>0</v>
      </c>
      <c r="S4" s="1">
        <f>建筑各项能耗拆分!$B$18*建筑各项能耗拆分!S63</f>
        <v>0</v>
      </c>
      <c r="T4" s="1">
        <f>建筑各项能耗拆分!$B$18*建筑各项能耗拆分!T63</f>
        <v>0</v>
      </c>
      <c r="U4" s="1">
        <f>建筑各项能耗拆分!$B$18*建筑各项能耗拆分!U63</f>
        <v>0</v>
      </c>
      <c r="V4" s="1">
        <f>建筑各项能耗拆分!$B$18*建筑各项能耗拆分!V63</f>
        <v>0</v>
      </c>
      <c r="W4" s="1">
        <f>建筑各项能耗拆分!$B$18*建筑各项能耗拆分!W63</f>
        <v>0</v>
      </c>
      <c r="X4" s="1">
        <f>建筑各项能耗拆分!$B$18*建筑各项能耗拆分!X63</f>
        <v>0</v>
      </c>
      <c r="Y4" s="1">
        <f>建筑各项能耗拆分!$B$18*建筑各项能耗拆分!Y63</f>
        <v>0</v>
      </c>
      <c r="Z4" s="1">
        <f>建筑各项能耗拆分!$B$18*建筑各项能耗拆分!Z63</f>
        <v>0</v>
      </c>
      <c r="AA4" s="1">
        <f>建筑各项能耗拆分!$B$18*建筑各项能耗拆分!AA63</f>
        <v>0</v>
      </c>
      <c r="AB4" s="1">
        <f>建筑各项能耗拆分!$B$18*建筑各项能耗拆分!AB63</f>
        <v>0</v>
      </c>
      <c r="AC4" s="1">
        <f>建筑各项能耗拆分!$B$18*建筑各项能耗拆分!AC63</f>
        <v>0</v>
      </c>
      <c r="AD4" s="1">
        <f>建筑各项能耗拆分!$B$18*建筑各项能耗拆分!AD63</f>
        <v>0</v>
      </c>
      <c r="AE4" s="1">
        <f>建筑各项能耗拆分!$B$18*建筑各项能耗拆分!AE63</f>
        <v>0</v>
      </c>
      <c r="AF4" s="1">
        <f>建筑各项能耗拆分!$B$18*建筑各项能耗拆分!AF63</f>
        <v>0</v>
      </c>
      <c r="AG4" s="1">
        <f>建筑各项能耗拆分!$B$18*建筑各项能耗拆分!AG63</f>
        <v>0</v>
      </c>
      <c r="AH4" s="1">
        <f>建筑各项能耗拆分!$B$18*建筑各项能耗拆分!AH63</f>
        <v>0</v>
      </c>
      <c r="AI4" s="1">
        <f>建筑各项能耗拆分!$B$18*建筑各项能耗拆分!AI63</f>
        <v>0</v>
      </c>
      <c r="AJ4" s="1">
        <f>建筑各项能耗拆分!$B$18*建筑各项能耗拆分!AJ63</f>
        <v>0</v>
      </c>
      <c r="AK4" s="1">
        <f>建筑各项能耗拆分!$B$18*建筑各项能耗拆分!AK63</f>
        <v>0</v>
      </c>
      <c r="AL4" s="1">
        <f>建筑各项能耗拆分!$B$18*建筑各项能耗拆分!AL63</f>
        <v>0</v>
      </c>
      <c r="AM4" s="1">
        <f>建筑各项能耗拆分!$B$18*建筑各项能耗拆分!AM63</f>
        <v>0</v>
      </c>
      <c r="AN4" s="1">
        <f>建筑各项能耗拆分!$B$18*建筑各项能耗拆分!AN63</f>
        <v>0</v>
      </c>
      <c r="AO4" s="1">
        <f>建筑各项能耗拆分!$B$18*建筑各项能耗拆分!AO63</f>
        <v>0</v>
      </c>
      <c r="AP4" s="1">
        <f>建筑各项能耗拆分!$B$18*建筑各项能耗拆分!AP63</f>
        <v>0</v>
      </c>
      <c r="AQ4" s="1">
        <f>建筑各项能耗拆分!$B$18*建筑各项能耗拆分!AQ63</f>
        <v>0</v>
      </c>
      <c r="AR4" s="1">
        <f>建筑各项能耗拆分!$B$18*建筑各项能耗拆分!AR63</f>
        <v>0</v>
      </c>
    </row>
    <row r="5" spans="1:44" x14ac:dyDescent="0.15">
      <c r="A5" t="s">
        <v>3</v>
      </c>
      <c r="B5" s="1">
        <f>建筑各项能耗拆分!$B$18*建筑各项能耗拆分!B64</f>
        <v>0</v>
      </c>
      <c r="C5" s="1">
        <f>建筑各项能耗拆分!$B$18*建筑各项能耗拆分!C64</f>
        <v>0</v>
      </c>
      <c r="D5" s="1">
        <f>建筑各项能耗拆分!$B$18*建筑各项能耗拆分!D64</f>
        <v>0</v>
      </c>
      <c r="E5" s="1">
        <f>建筑各项能耗拆分!$B$18*建筑各项能耗拆分!E64</f>
        <v>0</v>
      </c>
      <c r="F5" s="1">
        <f>建筑各项能耗拆分!$B$18*建筑各项能耗拆分!F64</f>
        <v>0</v>
      </c>
      <c r="G5" s="1">
        <f>建筑各项能耗拆分!$B$18*建筑各项能耗拆分!G64</f>
        <v>0</v>
      </c>
      <c r="H5" s="1">
        <f>建筑各项能耗拆分!$B$18*建筑各项能耗拆分!H64</f>
        <v>0</v>
      </c>
      <c r="I5" s="1">
        <f>建筑各项能耗拆分!$B$18*建筑各项能耗拆分!I64</f>
        <v>0</v>
      </c>
      <c r="J5" s="1">
        <f>建筑各项能耗拆分!$B$18*建筑各项能耗拆分!J64</f>
        <v>0</v>
      </c>
      <c r="K5" s="1">
        <f>建筑各项能耗拆分!$B$18*建筑各项能耗拆分!K64</f>
        <v>0</v>
      </c>
      <c r="L5" s="1">
        <f>建筑各项能耗拆分!$B$18*建筑各项能耗拆分!L64</f>
        <v>0</v>
      </c>
      <c r="M5" s="1">
        <f>建筑各项能耗拆分!$B$18*建筑各项能耗拆分!M64</f>
        <v>0</v>
      </c>
      <c r="N5" s="1">
        <f>建筑各项能耗拆分!$B$18*建筑各项能耗拆分!N64</f>
        <v>0</v>
      </c>
      <c r="O5" s="1">
        <f>建筑各项能耗拆分!$B$18*建筑各项能耗拆分!O64</f>
        <v>0</v>
      </c>
      <c r="P5" s="1">
        <f>建筑各项能耗拆分!$B$18*建筑各项能耗拆分!P64</f>
        <v>0</v>
      </c>
      <c r="Q5" s="1">
        <f>建筑各项能耗拆分!$B$18*建筑各项能耗拆分!Q64</f>
        <v>0</v>
      </c>
      <c r="R5" s="1">
        <f>建筑各项能耗拆分!$B$18*建筑各项能耗拆分!R64</f>
        <v>0</v>
      </c>
      <c r="S5" s="1">
        <f>建筑各项能耗拆分!$B$18*建筑各项能耗拆分!S64</f>
        <v>0</v>
      </c>
      <c r="T5" s="1">
        <f>建筑各项能耗拆分!$B$18*建筑各项能耗拆分!T64</f>
        <v>0</v>
      </c>
      <c r="U5" s="1">
        <f>建筑各项能耗拆分!$B$18*建筑各项能耗拆分!U64</f>
        <v>0</v>
      </c>
      <c r="V5" s="1">
        <f>建筑各项能耗拆分!$B$18*建筑各项能耗拆分!V64</f>
        <v>0</v>
      </c>
      <c r="W5" s="1">
        <f>建筑各项能耗拆分!$B$18*建筑各项能耗拆分!W64</f>
        <v>0</v>
      </c>
      <c r="X5" s="1">
        <f>建筑各项能耗拆分!$B$18*建筑各项能耗拆分!X64</f>
        <v>0</v>
      </c>
      <c r="Y5" s="1">
        <f>建筑各项能耗拆分!$B$18*建筑各项能耗拆分!Y64</f>
        <v>0</v>
      </c>
      <c r="Z5" s="1">
        <f>建筑各项能耗拆分!$B$18*建筑各项能耗拆分!Z64</f>
        <v>0</v>
      </c>
      <c r="AA5" s="1">
        <f>建筑各项能耗拆分!$B$18*建筑各项能耗拆分!AA64</f>
        <v>0</v>
      </c>
      <c r="AB5" s="1">
        <f>建筑各项能耗拆分!$B$18*建筑各项能耗拆分!AB64</f>
        <v>0</v>
      </c>
      <c r="AC5" s="1">
        <f>建筑各项能耗拆分!$B$18*建筑各项能耗拆分!AC64</f>
        <v>0</v>
      </c>
      <c r="AD5" s="1">
        <f>建筑各项能耗拆分!$B$18*建筑各项能耗拆分!AD64</f>
        <v>0</v>
      </c>
      <c r="AE5" s="1">
        <f>建筑各项能耗拆分!$B$18*建筑各项能耗拆分!AE64</f>
        <v>0</v>
      </c>
      <c r="AF5" s="1">
        <f>建筑各项能耗拆分!$B$18*建筑各项能耗拆分!AF64</f>
        <v>0</v>
      </c>
      <c r="AG5" s="1">
        <f>建筑各项能耗拆分!$B$18*建筑各项能耗拆分!AG64</f>
        <v>0</v>
      </c>
      <c r="AH5" s="1">
        <f>建筑各项能耗拆分!$B$18*建筑各项能耗拆分!AH64</f>
        <v>0</v>
      </c>
      <c r="AI5" s="1">
        <f>建筑各项能耗拆分!$B$18*建筑各项能耗拆分!AI64</f>
        <v>0</v>
      </c>
      <c r="AJ5" s="1">
        <f>建筑各项能耗拆分!$B$18*建筑各项能耗拆分!AJ64</f>
        <v>0</v>
      </c>
      <c r="AK5" s="1">
        <f>建筑各项能耗拆分!$B$18*建筑各项能耗拆分!AK64</f>
        <v>0</v>
      </c>
      <c r="AL5" s="1">
        <f>建筑各项能耗拆分!$B$18*建筑各项能耗拆分!AL64</f>
        <v>0</v>
      </c>
      <c r="AM5" s="1">
        <f>建筑各项能耗拆分!$B$18*建筑各项能耗拆分!AM64</f>
        <v>0</v>
      </c>
      <c r="AN5" s="1">
        <f>建筑各项能耗拆分!$B$18*建筑各项能耗拆分!AN64</f>
        <v>0</v>
      </c>
      <c r="AO5" s="1">
        <f>建筑各项能耗拆分!$B$18*建筑各项能耗拆分!AO64</f>
        <v>0</v>
      </c>
      <c r="AP5" s="1">
        <f>建筑各项能耗拆分!$B$18*建筑各项能耗拆分!AP64</f>
        <v>0</v>
      </c>
      <c r="AQ5" s="1">
        <f>建筑各项能耗拆分!$B$18*建筑各项能耗拆分!AQ64</f>
        <v>0</v>
      </c>
      <c r="AR5" s="1">
        <f>建筑各项能耗拆分!$B$18*建筑各项能耗拆分!AR64</f>
        <v>0</v>
      </c>
    </row>
    <row r="6" spans="1:44" x14ac:dyDescent="0.15">
      <c r="A6" t="s">
        <v>4</v>
      </c>
      <c r="B6" s="1">
        <f>建筑各项能耗拆分!$B$18*建筑各项能耗拆分!B65</f>
        <v>0</v>
      </c>
      <c r="C6" s="1">
        <f>建筑各项能耗拆分!$B$18*建筑各项能耗拆分!C65</f>
        <v>0</v>
      </c>
      <c r="D6" s="1">
        <f>建筑各项能耗拆分!$B$18*建筑各项能耗拆分!D65</f>
        <v>0</v>
      </c>
      <c r="E6" s="1">
        <f>建筑各项能耗拆分!$B$18*建筑各项能耗拆分!E65</f>
        <v>0</v>
      </c>
      <c r="F6" s="1">
        <f>建筑各项能耗拆分!$B$18*建筑各项能耗拆分!F65</f>
        <v>0</v>
      </c>
      <c r="G6" s="1">
        <f>建筑各项能耗拆分!$B$18*建筑各项能耗拆分!G65</f>
        <v>0</v>
      </c>
      <c r="H6" s="1">
        <f>建筑各项能耗拆分!$B$18*建筑各项能耗拆分!H65</f>
        <v>0</v>
      </c>
      <c r="I6" s="1">
        <f>建筑各项能耗拆分!$B$18*建筑各项能耗拆分!I65</f>
        <v>0</v>
      </c>
      <c r="J6" s="1">
        <f>建筑各项能耗拆分!$B$18*建筑各项能耗拆分!J65</f>
        <v>0</v>
      </c>
      <c r="K6" s="1">
        <f>建筑各项能耗拆分!$B$18*建筑各项能耗拆分!K65</f>
        <v>0</v>
      </c>
      <c r="L6" s="1">
        <f>建筑各项能耗拆分!$B$18*建筑各项能耗拆分!L65</f>
        <v>0</v>
      </c>
      <c r="M6" s="1">
        <f>建筑各项能耗拆分!$B$18*建筑各项能耗拆分!M65</f>
        <v>0</v>
      </c>
      <c r="N6" s="1">
        <f>建筑各项能耗拆分!$B$18*建筑各项能耗拆分!N65</f>
        <v>0</v>
      </c>
      <c r="O6" s="1">
        <f>建筑各项能耗拆分!$B$18*建筑各项能耗拆分!O65</f>
        <v>0</v>
      </c>
      <c r="P6" s="1">
        <f>建筑各项能耗拆分!$B$18*建筑各项能耗拆分!P65</f>
        <v>0</v>
      </c>
      <c r="Q6" s="1">
        <f>建筑各项能耗拆分!$B$18*建筑各项能耗拆分!Q65</f>
        <v>0</v>
      </c>
      <c r="R6" s="1">
        <f>建筑各项能耗拆分!$B$18*建筑各项能耗拆分!R65</f>
        <v>0</v>
      </c>
      <c r="S6" s="1">
        <f>建筑各项能耗拆分!$B$18*建筑各项能耗拆分!S65</f>
        <v>0</v>
      </c>
      <c r="T6" s="1">
        <f>建筑各项能耗拆分!$B$18*建筑各项能耗拆分!T65</f>
        <v>0</v>
      </c>
      <c r="U6" s="1">
        <f>建筑各项能耗拆分!$B$18*建筑各项能耗拆分!U65</f>
        <v>0</v>
      </c>
      <c r="V6" s="1">
        <f>建筑各项能耗拆分!$B$18*建筑各项能耗拆分!V65</f>
        <v>0</v>
      </c>
      <c r="W6" s="1">
        <f>建筑各项能耗拆分!$B$18*建筑各项能耗拆分!W65</f>
        <v>0</v>
      </c>
      <c r="X6" s="1">
        <f>建筑各项能耗拆分!$B$18*建筑各项能耗拆分!X65</f>
        <v>0</v>
      </c>
      <c r="Y6" s="1">
        <f>建筑各项能耗拆分!$B$18*建筑各项能耗拆分!Y65</f>
        <v>0</v>
      </c>
      <c r="Z6" s="1">
        <f>建筑各项能耗拆分!$B$18*建筑各项能耗拆分!Z65</f>
        <v>0</v>
      </c>
      <c r="AA6" s="1">
        <f>建筑各项能耗拆分!$B$18*建筑各项能耗拆分!AA65</f>
        <v>0</v>
      </c>
      <c r="AB6" s="1">
        <f>建筑各项能耗拆分!$B$18*建筑各项能耗拆分!AB65</f>
        <v>0</v>
      </c>
      <c r="AC6" s="1">
        <f>建筑各项能耗拆分!$B$18*建筑各项能耗拆分!AC65</f>
        <v>0</v>
      </c>
      <c r="AD6" s="1">
        <f>建筑各项能耗拆分!$B$18*建筑各项能耗拆分!AD65</f>
        <v>0</v>
      </c>
      <c r="AE6" s="1">
        <f>建筑各项能耗拆分!$B$18*建筑各项能耗拆分!AE65</f>
        <v>0</v>
      </c>
      <c r="AF6" s="1">
        <f>建筑各项能耗拆分!$B$18*建筑各项能耗拆分!AF65</f>
        <v>0</v>
      </c>
      <c r="AG6" s="1">
        <f>建筑各项能耗拆分!$B$18*建筑各项能耗拆分!AG65</f>
        <v>0</v>
      </c>
      <c r="AH6" s="1">
        <f>建筑各项能耗拆分!$B$18*建筑各项能耗拆分!AH65</f>
        <v>0</v>
      </c>
      <c r="AI6" s="1">
        <f>建筑各项能耗拆分!$B$18*建筑各项能耗拆分!AI65</f>
        <v>0</v>
      </c>
      <c r="AJ6" s="1">
        <f>建筑各项能耗拆分!$B$18*建筑各项能耗拆分!AJ65</f>
        <v>0</v>
      </c>
      <c r="AK6" s="1">
        <f>建筑各项能耗拆分!$B$18*建筑各项能耗拆分!AK65</f>
        <v>0</v>
      </c>
      <c r="AL6" s="1">
        <f>建筑各项能耗拆分!$B$18*建筑各项能耗拆分!AL65</f>
        <v>0</v>
      </c>
      <c r="AM6" s="1">
        <f>建筑各项能耗拆分!$B$18*建筑各项能耗拆分!AM65</f>
        <v>0</v>
      </c>
      <c r="AN6" s="1">
        <f>建筑各项能耗拆分!$B$18*建筑各项能耗拆分!AN65</f>
        <v>0</v>
      </c>
      <c r="AO6" s="1">
        <f>建筑各项能耗拆分!$B$18*建筑各项能耗拆分!AO65</f>
        <v>0</v>
      </c>
      <c r="AP6" s="1">
        <f>建筑各项能耗拆分!$B$18*建筑各项能耗拆分!AP65</f>
        <v>0</v>
      </c>
      <c r="AQ6" s="1">
        <f>建筑各项能耗拆分!$B$18*建筑各项能耗拆分!AQ65</f>
        <v>0</v>
      </c>
      <c r="AR6" s="1">
        <f>建筑各项能耗拆分!$B$18*建筑各项能耗拆分!AR65</f>
        <v>0</v>
      </c>
    </row>
    <row r="7" spans="1:44" x14ac:dyDescent="0.15">
      <c r="A7" t="s">
        <v>5</v>
      </c>
      <c r="B7" s="1">
        <f>建筑各项能耗拆分!$B$18*建筑各项能耗拆分!B66</f>
        <v>0</v>
      </c>
      <c r="C7" s="1">
        <f>建筑各项能耗拆分!$B$18*建筑各项能耗拆分!C66</f>
        <v>0</v>
      </c>
      <c r="D7" s="1">
        <f>建筑各项能耗拆分!$B$18*建筑各项能耗拆分!D66</f>
        <v>0</v>
      </c>
      <c r="E7" s="1">
        <f>建筑各项能耗拆分!$B$18*建筑各项能耗拆分!E66</f>
        <v>0</v>
      </c>
      <c r="F7" s="1">
        <f>建筑各项能耗拆分!$B$18*建筑各项能耗拆分!F66</f>
        <v>0</v>
      </c>
      <c r="G7" s="1">
        <f>建筑各项能耗拆分!$B$18*建筑各项能耗拆分!G66</f>
        <v>0</v>
      </c>
      <c r="H7" s="1">
        <f>建筑各项能耗拆分!$B$18*建筑各项能耗拆分!H66</f>
        <v>0</v>
      </c>
      <c r="I7" s="1">
        <f>建筑各项能耗拆分!$B$18*建筑各项能耗拆分!I66</f>
        <v>0</v>
      </c>
      <c r="J7" s="1">
        <f>建筑各项能耗拆分!$B$18*建筑各项能耗拆分!J66</f>
        <v>0</v>
      </c>
      <c r="K7" s="1">
        <f>建筑各项能耗拆分!$B$18*建筑各项能耗拆分!K66</f>
        <v>0</v>
      </c>
      <c r="L7" s="1">
        <f>建筑各项能耗拆分!$B$18*建筑各项能耗拆分!L66</f>
        <v>0</v>
      </c>
      <c r="M7" s="1">
        <f>建筑各项能耗拆分!$B$18*建筑各项能耗拆分!M66</f>
        <v>0</v>
      </c>
      <c r="N7" s="1">
        <f>建筑各项能耗拆分!$B$18*建筑各项能耗拆分!N66</f>
        <v>0</v>
      </c>
      <c r="O7" s="1">
        <f>建筑各项能耗拆分!$B$18*建筑各项能耗拆分!O66</f>
        <v>0</v>
      </c>
      <c r="P7" s="1">
        <f>建筑各项能耗拆分!$B$18*建筑各项能耗拆分!P66</f>
        <v>0</v>
      </c>
      <c r="Q7" s="1">
        <f>建筑各项能耗拆分!$B$18*建筑各项能耗拆分!Q66</f>
        <v>0</v>
      </c>
      <c r="R7" s="1">
        <f>建筑各项能耗拆分!$B$18*建筑各项能耗拆分!R66</f>
        <v>0</v>
      </c>
      <c r="S7" s="1">
        <f>建筑各项能耗拆分!$B$18*建筑各项能耗拆分!S66</f>
        <v>0</v>
      </c>
      <c r="T7" s="1">
        <f>建筑各项能耗拆分!$B$18*建筑各项能耗拆分!T66</f>
        <v>0</v>
      </c>
      <c r="U7" s="1">
        <f>建筑各项能耗拆分!$B$18*建筑各项能耗拆分!U66</f>
        <v>0</v>
      </c>
      <c r="V7" s="1">
        <f>建筑各项能耗拆分!$B$18*建筑各项能耗拆分!V66</f>
        <v>0</v>
      </c>
      <c r="W7" s="1">
        <f>建筑各项能耗拆分!$B$18*建筑各项能耗拆分!W66</f>
        <v>0</v>
      </c>
      <c r="X7" s="1">
        <f>建筑各项能耗拆分!$B$18*建筑各项能耗拆分!X66</f>
        <v>0</v>
      </c>
      <c r="Y7" s="1">
        <f>建筑各项能耗拆分!$B$18*建筑各项能耗拆分!Y66</f>
        <v>0</v>
      </c>
      <c r="Z7" s="1">
        <f>建筑各项能耗拆分!$B$18*建筑各项能耗拆分!Z66</f>
        <v>0</v>
      </c>
      <c r="AA7" s="1">
        <f>建筑各项能耗拆分!$B$18*建筑各项能耗拆分!AA66</f>
        <v>0</v>
      </c>
      <c r="AB7" s="1">
        <f>建筑各项能耗拆分!$B$18*建筑各项能耗拆分!AB66</f>
        <v>0</v>
      </c>
      <c r="AC7" s="1">
        <f>建筑各项能耗拆分!$B$18*建筑各项能耗拆分!AC66</f>
        <v>0</v>
      </c>
      <c r="AD7" s="1">
        <f>建筑各项能耗拆分!$B$18*建筑各项能耗拆分!AD66</f>
        <v>0</v>
      </c>
      <c r="AE7" s="1">
        <f>建筑各项能耗拆分!$B$18*建筑各项能耗拆分!AE66</f>
        <v>0</v>
      </c>
      <c r="AF7" s="1">
        <f>建筑各项能耗拆分!$B$18*建筑各项能耗拆分!AF66</f>
        <v>0</v>
      </c>
      <c r="AG7" s="1">
        <f>建筑各项能耗拆分!$B$18*建筑各项能耗拆分!AG66</f>
        <v>0</v>
      </c>
      <c r="AH7" s="1">
        <f>建筑各项能耗拆分!$B$18*建筑各项能耗拆分!AH66</f>
        <v>0</v>
      </c>
      <c r="AI7" s="1">
        <f>建筑各项能耗拆分!$B$18*建筑各项能耗拆分!AI66</f>
        <v>0</v>
      </c>
      <c r="AJ7" s="1">
        <f>建筑各项能耗拆分!$B$18*建筑各项能耗拆分!AJ66</f>
        <v>0</v>
      </c>
      <c r="AK7" s="1">
        <f>建筑各项能耗拆分!$B$18*建筑各项能耗拆分!AK66</f>
        <v>0</v>
      </c>
      <c r="AL7" s="1">
        <f>建筑各项能耗拆分!$B$18*建筑各项能耗拆分!AL66</f>
        <v>0</v>
      </c>
      <c r="AM7" s="1">
        <f>建筑各项能耗拆分!$B$18*建筑各项能耗拆分!AM66</f>
        <v>0</v>
      </c>
      <c r="AN7" s="1">
        <f>建筑各项能耗拆分!$B$18*建筑各项能耗拆分!AN66</f>
        <v>0</v>
      </c>
      <c r="AO7" s="1">
        <f>建筑各项能耗拆分!$B$18*建筑各项能耗拆分!AO66</f>
        <v>0</v>
      </c>
      <c r="AP7" s="1">
        <f>建筑各项能耗拆分!$B$18*建筑各项能耗拆分!AP66</f>
        <v>0</v>
      </c>
      <c r="AQ7" s="1">
        <f>建筑各项能耗拆分!$B$18*建筑各项能耗拆分!AQ66</f>
        <v>0</v>
      </c>
      <c r="AR7" s="1">
        <f>建筑各项能耗拆分!$B$18*建筑各项能耗拆分!AR66</f>
        <v>0</v>
      </c>
    </row>
    <row r="8" spans="1:44" x14ac:dyDescent="0.15">
      <c r="A8" t="s">
        <v>6</v>
      </c>
      <c r="B8" s="1">
        <f>建筑各项能耗拆分!$B$18*建筑各项能耗拆分!B67</f>
        <v>0</v>
      </c>
      <c r="C8" s="1">
        <f>建筑各项能耗拆分!$B$18*建筑各项能耗拆分!C67</f>
        <v>0</v>
      </c>
      <c r="D8" s="1">
        <f>建筑各项能耗拆分!$B$18*建筑各项能耗拆分!D67</f>
        <v>0</v>
      </c>
      <c r="E8" s="1">
        <f>建筑各项能耗拆分!$B$18*建筑各项能耗拆分!E67</f>
        <v>0</v>
      </c>
      <c r="F8" s="1">
        <f>建筑各项能耗拆分!$B$18*建筑各项能耗拆分!F67</f>
        <v>0</v>
      </c>
      <c r="G8" s="1">
        <f>建筑各项能耗拆分!$B$18*建筑各项能耗拆分!G67</f>
        <v>0</v>
      </c>
      <c r="H8" s="1">
        <f>建筑各项能耗拆分!$B$18*建筑各项能耗拆分!H67</f>
        <v>0</v>
      </c>
      <c r="I8" s="1">
        <f>建筑各项能耗拆分!$B$18*建筑各项能耗拆分!I67</f>
        <v>0</v>
      </c>
      <c r="J8" s="1">
        <f>建筑各项能耗拆分!$B$18*建筑各项能耗拆分!J67</f>
        <v>0</v>
      </c>
      <c r="K8" s="1">
        <f>建筑各项能耗拆分!$B$18*建筑各项能耗拆分!K67</f>
        <v>0</v>
      </c>
      <c r="L8" s="1">
        <f>建筑各项能耗拆分!$B$18*建筑各项能耗拆分!L67</f>
        <v>0</v>
      </c>
      <c r="M8" s="1">
        <f>建筑各项能耗拆分!$B$18*建筑各项能耗拆分!M67</f>
        <v>0</v>
      </c>
      <c r="N8" s="1">
        <f>建筑各项能耗拆分!$B$18*建筑各项能耗拆分!N67</f>
        <v>0</v>
      </c>
      <c r="O8" s="1">
        <f>建筑各项能耗拆分!$B$18*建筑各项能耗拆分!O67</f>
        <v>0</v>
      </c>
      <c r="P8" s="1">
        <f>建筑各项能耗拆分!$B$18*建筑各项能耗拆分!P67</f>
        <v>0</v>
      </c>
      <c r="Q8" s="1">
        <f>建筑各项能耗拆分!$B$18*建筑各项能耗拆分!Q67</f>
        <v>0</v>
      </c>
      <c r="R8" s="1">
        <f>建筑各项能耗拆分!$B$18*建筑各项能耗拆分!R67</f>
        <v>0</v>
      </c>
      <c r="S8" s="1">
        <f>建筑各项能耗拆分!$B$18*建筑各项能耗拆分!S67</f>
        <v>0</v>
      </c>
      <c r="T8" s="1">
        <f>建筑各项能耗拆分!$B$18*建筑各项能耗拆分!T67</f>
        <v>0</v>
      </c>
      <c r="U8" s="1">
        <f>建筑各项能耗拆分!$B$18*建筑各项能耗拆分!U67</f>
        <v>0</v>
      </c>
      <c r="V8" s="1">
        <f>建筑各项能耗拆分!$B$18*建筑各项能耗拆分!V67</f>
        <v>0</v>
      </c>
      <c r="W8" s="1">
        <f>建筑各项能耗拆分!$B$18*建筑各项能耗拆分!W67</f>
        <v>0</v>
      </c>
      <c r="X8" s="1">
        <f>建筑各项能耗拆分!$B$18*建筑各项能耗拆分!X67</f>
        <v>0</v>
      </c>
      <c r="Y8" s="1">
        <f>建筑各项能耗拆分!$B$18*建筑各项能耗拆分!Y67</f>
        <v>0</v>
      </c>
      <c r="Z8" s="1">
        <f>建筑各项能耗拆分!$B$18*建筑各项能耗拆分!Z67</f>
        <v>0</v>
      </c>
      <c r="AA8" s="1">
        <f>建筑各项能耗拆分!$B$18*建筑各项能耗拆分!AA67</f>
        <v>0</v>
      </c>
      <c r="AB8" s="1">
        <f>建筑各项能耗拆分!$B$18*建筑各项能耗拆分!AB67</f>
        <v>0</v>
      </c>
      <c r="AC8" s="1">
        <f>建筑各项能耗拆分!$B$18*建筑各项能耗拆分!AC67</f>
        <v>0</v>
      </c>
      <c r="AD8" s="1">
        <f>建筑各项能耗拆分!$B$18*建筑各项能耗拆分!AD67</f>
        <v>0</v>
      </c>
      <c r="AE8" s="1">
        <f>建筑各项能耗拆分!$B$18*建筑各项能耗拆分!AE67</f>
        <v>0</v>
      </c>
      <c r="AF8" s="1">
        <f>建筑各项能耗拆分!$B$18*建筑各项能耗拆分!AF67</f>
        <v>0</v>
      </c>
      <c r="AG8" s="1">
        <f>建筑各项能耗拆分!$B$18*建筑各项能耗拆分!AG67</f>
        <v>0</v>
      </c>
      <c r="AH8" s="1">
        <f>建筑各项能耗拆分!$B$18*建筑各项能耗拆分!AH67</f>
        <v>0</v>
      </c>
      <c r="AI8" s="1">
        <f>建筑各项能耗拆分!$B$18*建筑各项能耗拆分!AI67</f>
        <v>0</v>
      </c>
      <c r="AJ8" s="1">
        <f>建筑各项能耗拆分!$B$18*建筑各项能耗拆分!AJ67</f>
        <v>0</v>
      </c>
      <c r="AK8" s="1">
        <f>建筑各项能耗拆分!$B$18*建筑各项能耗拆分!AK67</f>
        <v>0</v>
      </c>
      <c r="AL8" s="1">
        <f>建筑各项能耗拆分!$B$18*建筑各项能耗拆分!AL67</f>
        <v>0</v>
      </c>
      <c r="AM8" s="1">
        <f>建筑各项能耗拆分!$B$18*建筑各项能耗拆分!AM67</f>
        <v>0</v>
      </c>
      <c r="AN8" s="1">
        <f>建筑各项能耗拆分!$B$18*建筑各项能耗拆分!AN67</f>
        <v>0</v>
      </c>
      <c r="AO8" s="1">
        <f>建筑各项能耗拆分!$B$18*建筑各项能耗拆分!AO67</f>
        <v>0</v>
      </c>
      <c r="AP8" s="1">
        <f>建筑各项能耗拆分!$B$18*建筑各项能耗拆分!AP67</f>
        <v>0</v>
      </c>
      <c r="AQ8" s="1">
        <f>建筑各项能耗拆分!$B$18*建筑各项能耗拆分!AQ67</f>
        <v>0</v>
      </c>
      <c r="AR8" s="1">
        <f>建筑各项能耗拆分!$B$18*建筑各项能耗拆分!AR67</f>
        <v>0</v>
      </c>
    </row>
    <row r="9" spans="1:44" x14ac:dyDescent="0.15">
      <c r="A9" t="s">
        <v>7</v>
      </c>
      <c r="B9" s="1">
        <f>建筑各项能耗拆分!$B$18*建筑各项能耗拆分!B68</f>
        <v>0</v>
      </c>
      <c r="C9" s="1">
        <f>建筑各项能耗拆分!$B$18*建筑各项能耗拆分!C68</f>
        <v>0</v>
      </c>
      <c r="D9" s="1">
        <f>建筑各项能耗拆分!$B$18*建筑各项能耗拆分!D68</f>
        <v>0</v>
      </c>
      <c r="E9" s="1">
        <f>建筑各项能耗拆分!$B$18*建筑各项能耗拆分!E68</f>
        <v>0</v>
      </c>
      <c r="F9" s="1">
        <f>建筑各项能耗拆分!$B$18*建筑各项能耗拆分!F68</f>
        <v>0</v>
      </c>
      <c r="G9" s="1">
        <f>建筑各项能耗拆分!$B$18*建筑各项能耗拆分!G68</f>
        <v>0</v>
      </c>
      <c r="H9" s="1">
        <f>建筑各项能耗拆分!$B$18*建筑各项能耗拆分!H68</f>
        <v>0</v>
      </c>
      <c r="I9" s="1">
        <f>建筑各项能耗拆分!$B$18*建筑各项能耗拆分!I68</f>
        <v>0</v>
      </c>
      <c r="J9" s="1">
        <f>建筑各项能耗拆分!$B$18*建筑各项能耗拆分!J68</f>
        <v>0</v>
      </c>
      <c r="K9" s="1">
        <f>建筑各项能耗拆分!$B$18*建筑各项能耗拆分!K68</f>
        <v>0</v>
      </c>
      <c r="L9" s="1">
        <f>建筑各项能耗拆分!$B$18*建筑各项能耗拆分!L68</f>
        <v>0</v>
      </c>
      <c r="M9" s="1">
        <f>建筑各项能耗拆分!$B$18*建筑各项能耗拆分!M68</f>
        <v>0</v>
      </c>
      <c r="N9" s="1">
        <f>建筑各项能耗拆分!$B$18*建筑各项能耗拆分!N68</f>
        <v>0</v>
      </c>
      <c r="O9" s="1">
        <f>建筑各项能耗拆分!$B$18*建筑各项能耗拆分!O68</f>
        <v>0</v>
      </c>
      <c r="P9" s="1">
        <f>建筑各项能耗拆分!$B$18*建筑各项能耗拆分!P68</f>
        <v>0</v>
      </c>
      <c r="Q9" s="1">
        <f>建筑各项能耗拆分!$B$18*建筑各项能耗拆分!Q68</f>
        <v>0</v>
      </c>
      <c r="R9" s="1">
        <f>建筑各项能耗拆分!$B$18*建筑各项能耗拆分!R68</f>
        <v>0</v>
      </c>
      <c r="S9" s="1">
        <f>建筑各项能耗拆分!$B$18*建筑各项能耗拆分!S68</f>
        <v>0</v>
      </c>
      <c r="T9" s="1">
        <f>建筑各项能耗拆分!$B$18*建筑各项能耗拆分!T68</f>
        <v>0</v>
      </c>
      <c r="U9" s="1">
        <f>建筑各项能耗拆分!$B$18*建筑各项能耗拆分!U68</f>
        <v>0</v>
      </c>
      <c r="V9" s="1">
        <f>建筑各项能耗拆分!$B$18*建筑各项能耗拆分!V68</f>
        <v>0</v>
      </c>
      <c r="W9" s="1">
        <f>建筑各项能耗拆分!$B$18*建筑各项能耗拆分!W68</f>
        <v>0</v>
      </c>
      <c r="X9" s="1">
        <f>建筑各项能耗拆分!$B$18*建筑各项能耗拆分!X68</f>
        <v>0</v>
      </c>
      <c r="Y9" s="1">
        <f>建筑各项能耗拆分!$B$18*建筑各项能耗拆分!Y68</f>
        <v>0</v>
      </c>
      <c r="Z9" s="1">
        <f>建筑各项能耗拆分!$B$18*建筑各项能耗拆分!Z68</f>
        <v>0</v>
      </c>
      <c r="AA9" s="1">
        <f>建筑各项能耗拆分!$B$18*建筑各项能耗拆分!AA68</f>
        <v>0</v>
      </c>
      <c r="AB9" s="1">
        <f>建筑各项能耗拆分!$B$18*建筑各项能耗拆分!AB68</f>
        <v>0</v>
      </c>
      <c r="AC9" s="1">
        <f>建筑各项能耗拆分!$B$18*建筑各项能耗拆分!AC68</f>
        <v>0</v>
      </c>
      <c r="AD9" s="1">
        <f>建筑各项能耗拆分!$B$18*建筑各项能耗拆分!AD68</f>
        <v>0</v>
      </c>
      <c r="AE9" s="1">
        <f>建筑各项能耗拆分!$B$18*建筑各项能耗拆分!AE68</f>
        <v>0</v>
      </c>
      <c r="AF9" s="1">
        <f>建筑各项能耗拆分!$B$18*建筑各项能耗拆分!AF68</f>
        <v>0</v>
      </c>
      <c r="AG9" s="1">
        <f>建筑各项能耗拆分!$B$18*建筑各项能耗拆分!AG68</f>
        <v>0</v>
      </c>
      <c r="AH9" s="1">
        <f>建筑各项能耗拆分!$B$18*建筑各项能耗拆分!AH68</f>
        <v>0</v>
      </c>
      <c r="AI9" s="1">
        <f>建筑各项能耗拆分!$B$18*建筑各项能耗拆分!AI68</f>
        <v>0</v>
      </c>
      <c r="AJ9" s="1">
        <f>建筑各项能耗拆分!$B$18*建筑各项能耗拆分!AJ68</f>
        <v>0</v>
      </c>
      <c r="AK9" s="1">
        <f>建筑各项能耗拆分!$B$18*建筑各项能耗拆分!AK68</f>
        <v>0</v>
      </c>
      <c r="AL9" s="1">
        <f>建筑各项能耗拆分!$B$18*建筑各项能耗拆分!AL68</f>
        <v>0</v>
      </c>
      <c r="AM9" s="1">
        <f>建筑各项能耗拆分!$B$18*建筑各项能耗拆分!AM68</f>
        <v>0</v>
      </c>
      <c r="AN9" s="1">
        <f>建筑各项能耗拆分!$B$18*建筑各项能耗拆分!AN68</f>
        <v>0</v>
      </c>
      <c r="AO9" s="1">
        <f>建筑各项能耗拆分!$B$18*建筑各项能耗拆分!AO68</f>
        <v>0</v>
      </c>
      <c r="AP9" s="1">
        <f>建筑各项能耗拆分!$B$18*建筑各项能耗拆分!AP68</f>
        <v>0</v>
      </c>
      <c r="AQ9" s="1">
        <f>建筑各项能耗拆分!$B$18*建筑各项能耗拆分!AQ68</f>
        <v>0</v>
      </c>
      <c r="AR9" s="1">
        <f>建筑各项能耗拆分!$B$18*建筑各项能耗拆分!AR68</f>
        <v>0</v>
      </c>
    </row>
    <row r="10" spans="1:44" x14ac:dyDescent="0.15">
      <c r="A10" t="s">
        <v>8</v>
      </c>
      <c r="B10" s="1">
        <f>建筑各项能耗拆分!$B$18*建筑各项能耗拆分!B69</f>
        <v>0</v>
      </c>
      <c r="C10" s="1">
        <f>建筑各项能耗拆分!$B$18*建筑各项能耗拆分!C69</f>
        <v>0</v>
      </c>
      <c r="D10" s="1">
        <f>建筑各项能耗拆分!$B$18*建筑各项能耗拆分!D69</f>
        <v>0</v>
      </c>
      <c r="E10" s="1">
        <f>建筑各项能耗拆分!$B$18*建筑各项能耗拆分!E69</f>
        <v>0</v>
      </c>
      <c r="F10" s="1">
        <f>建筑各项能耗拆分!$B$18*建筑各项能耗拆分!F69</f>
        <v>0</v>
      </c>
      <c r="G10" s="1">
        <f>建筑各项能耗拆分!$B$18*建筑各项能耗拆分!G69</f>
        <v>0</v>
      </c>
      <c r="H10" s="1">
        <f>建筑各项能耗拆分!$B$18*建筑各项能耗拆分!H69</f>
        <v>0</v>
      </c>
      <c r="I10" s="1">
        <f>建筑各项能耗拆分!$B$18*建筑各项能耗拆分!I69</f>
        <v>0</v>
      </c>
      <c r="J10" s="1">
        <f>建筑各项能耗拆分!$B$18*建筑各项能耗拆分!J69</f>
        <v>0</v>
      </c>
      <c r="K10" s="1">
        <f>建筑各项能耗拆分!$B$18*建筑各项能耗拆分!K69</f>
        <v>0</v>
      </c>
      <c r="L10" s="1">
        <f>建筑各项能耗拆分!$B$18*建筑各项能耗拆分!L69</f>
        <v>0</v>
      </c>
      <c r="M10" s="1">
        <f>建筑各项能耗拆分!$B$18*建筑各项能耗拆分!M69</f>
        <v>0</v>
      </c>
      <c r="N10" s="1">
        <f>建筑各项能耗拆分!$B$18*建筑各项能耗拆分!N69</f>
        <v>0</v>
      </c>
      <c r="O10" s="1">
        <f>建筑各项能耗拆分!$B$18*建筑各项能耗拆分!O69</f>
        <v>0</v>
      </c>
      <c r="P10" s="1">
        <f>建筑各项能耗拆分!$B$18*建筑各项能耗拆分!P69</f>
        <v>0</v>
      </c>
      <c r="Q10" s="1">
        <f>建筑各项能耗拆分!$B$18*建筑各项能耗拆分!Q69</f>
        <v>0</v>
      </c>
      <c r="R10" s="1">
        <f>建筑各项能耗拆分!$B$18*建筑各项能耗拆分!R69</f>
        <v>0</v>
      </c>
      <c r="S10" s="1">
        <f>建筑各项能耗拆分!$B$18*建筑各项能耗拆分!S69</f>
        <v>0</v>
      </c>
      <c r="T10" s="1">
        <f>建筑各项能耗拆分!$B$18*建筑各项能耗拆分!T69</f>
        <v>0</v>
      </c>
      <c r="U10" s="1">
        <f>建筑各项能耗拆分!$B$18*建筑各项能耗拆分!U69</f>
        <v>0</v>
      </c>
      <c r="V10" s="1">
        <f>建筑各项能耗拆分!$B$18*建筑各项能耗拆分!V69</f>
        <v>0</v>
      </c>
      <c r="W10" s="1">
        <f>建筑各项能耗拆分!$B$18*建筑各项能耗拆分!W69</f>
        <v>0</v>
      </c>
      <c r="X10" s="1">
        <f>建筑各项能耗拆分!$B$18*建筑各项能耗拆分!X69</f>
        <v>0</v>
      </c>
      <c r="Y10" s="1">
        <f>建筑各项能耗拆分!$B$18*建筑各项能耗拆分!Y69</f>
        <v>0</v>
      </c>
      <c r="Z10" s="1">
        <f>建筑各项能耗拆分!$B$18*建筑各项能耗拆分!Z69</f>
        <v>0</v>
      </c>
      <c r="AA10" s="1">
        <f>建筑各项能耗拆分!$B$18*建筑各项能耗拆分!AA69</f>
        <v>0</v>
      </c>
      <c r="AB10" s="1">
        <f>建筑各项能耗拆分!$B$18*建筑各项能耗拆分!AB69</f>
        <v>0</v>
      </c>
      <c r="AC10" s="1">
        <f>建筑各项能耗拆分!$B$18*建筑各项能耗拆分!AC69</f>
        <v>0</v>
      </c>
      <c r="AD10" s="1">
        <f>建筑各项能耗拆分!$B$18*建筑各项能耗拆分!AD69</f>
        <v>0</v>
      </c>
      <c r="AE10" s="1">
        <f>建筑各项能耗拆分!$B$18*建筑各项能耗拆分!AE69</f>
        <v>0</v>
      </c>
      <c r="AF10" s="1">
        <f>建筑各项能耗拆分!$B$18*建筑各项能耗拆分!AF69</f>
        <v>0</v>
      </c>
      <c r="AG10" s="1">
        <f>建筑各项能耗拆分!$B$18*建筑各项能耗拆分!AG69</f>
        <v>0</v>
      </c>
      <c r="AH10" s="1">
        <f>建筑各项能耗拆分!$B$18*建筑各项能耗拆分!AH69</f>
        <v>0</v>
      </c>
      <c r="AI10" s="1">
        <f>建筑各项能耗拆分!$B$18*建筑各项能耗拆分!AI69</f>
        <v>0</v>
      </c>
      <c r="AJ10" s="1">
        <f>建筑各项能耗拆分!$B$18*建筑各项能耗拆分!AJ69</f>
        <v>0</v>
      </c>
      <c r="AK10" s="1">
        <f>建筑各项能耗拆分!$B$18*建筑各项能耗拆分!AK69</f>
        <v>0</v>
      </c>
      <c r="AL10" s="1">
        <f>建筑各项能耗拆分!$B$18*建筑各项能耗拆分!AL69</f>
        <v>0</v>
      </c>
      <c r="AM10" s="1">
        <f>建筑各项能耗拆分!$B$18*建筑各项能耗拆分!AM69</f>
        <v>0</v>
      </c>
      <c r="AN10" s="1">
        <f>建筑各项能耗拆分!$B$18*建筑各项能耗拆分!AN69</f>
        <v>0</v>
      </c>
      <c r="AO10" s="1">
        <f>建筑各项能耗拆分!$B$18*建筑各项能耗拆分!AO69</f>
        <v>0</v>
      </c>
      <c r="AP10" s="1">
        <f>建筑各项能耗拆分!$B$18*建筑各项能耗拆分!AP69</f>
        <v>0</v>
      </c>
      <c r="AQ10" s="1">
        <f>建筑各项能耗拆分!$B$18*建筑各项能耗拆分!AQ69</f>
        <v>0</v>
      </c>
      <c r="AR10" s="1">
        <f>建筑各项能耗拆分!$B$18*建筑各项能耗拆分!AR69</f>
        <v>0</v>
      </c>
    </row>
    <row r="11" spans="1:44" x14ac:dyDescent="0.15">
      <c r="A11" t="s">
        <v>9</v>
      </c>
      <c r="B11" s="1">
        <f>建筑各项能耗拆分!$B$18*建筑各项能耗拆分!B70</f>
        <v>0</v>
      </c>
      <c r="C11" s="1">
        <f>建筑各项能耗拆分!$B$18*建筑各项能耗拆分!C70</f>
        <v>0</v>
      </c>
      <c r="D11" s="1">
        <f>建筑各项能耗拆分!$B$18*建筑各项能耗拆分!D70</f>
        <v>0</v>
      </c>
      <c r="E11" s="1">
        <f>建筑各项能耗拆分!$B$18*建筑各项能耗拆分!E70</f>
        <v>0</v>
      </c>
      <c r="F11" s="1">
        <f>建筑各项能耗拆分!$B$18*建筑各项能耗拆分!F70</f>
        <v>0</v>
      </c>
      <c r="G11" s="1">
        <f>建筑各项能耗拆分!$B$18*建筑各项能耗拆分!G70</f>
        <v>0</v>
      </c>
      <c r="H11" s="1">
        <f>建筑各项能耗拆分!$B$18*建筑各项能耗拆分!H70</f>
        <v>0</v>
      </c>
      <c r="I11" s="1">
        <f>建筑各项能耗拆分!$B$18*建筑各项能耗拆分!I70</f>
        <v>0</v>
      </c>
      <c r="J11" s="1">
        <f>建筑各项能耗拆分!$B$18*建筑各项能耗拆分!J70</f>
        <v>0</v>
      </c>
      <c r="K11" s="1">
        <f>建筑各项能耗拆分!$B$18*建筑各项能耗拆分!K70</f>
        <v>0</v>
      </c>
      <c r="L11" s="1">
        <f>建筑各项能耗拆分!$B$18*建筑各项能耗拆分!L70</f>
        <v>0</v>
      </c>
      <c r="M11" s="1">
        <f>建筑各项能耗拆分!$B$18*建筑各项能耗拆分!M70</f>
        <v>0</v>
      </c>
      <c r="N11" s="1">
        <f>建筑各项能耗拆分!$B$18*建筑各项能耗拆分!N70</f>
        <v>0</v>
      </c>
      <c r="O11" s="1">
        <f>建筑各项能耗拆分!$B$18*建筑各项能耗拆分!O70</f>
        <v>0</v>
      </c>
      <c r="P11" s="1">
        <f>建筑各项能耗拆分!$B$18*建筑各项能耗拆分!P70</f>
        <v>0</v>
      </c>
      <c r="Q11" s="1">
        <f>建筑各项能耗拆分!$B$18*建筑各项能耗拆分!Q70</f>
        <v>0</v>
      </c>
      <c r="R11" s="1">
        <f>建筑各项能耗拆分!$B$18*建筑各项能耗拆分!R70</f>
        <v>0</v>
      </c>
      <c r="S11" s="1">
        <f>建筑各项能耗拆分!$B$18*建筑各项能耗拆分!S70</f>
        <v>0</v>
      </c>
      <c r="T11" s="1">
        <f>建筑各项能耗拆分!$B$18*建筑各项能耗拆分!T70</f>
        <v>0</v>
      </c>
      <c r="U11" s="1">
        <f>建筑各项能耗拆分!$B$18*建筑各项能耗拆分!U70</f>
        <v>0</v>
      </c>
      <c r="V11" s="1">
        <f>建筑各项能耗拆分!$B$18*建筑各项能耗拆分!V70</f>
        <v>0</v>
      </c>
      <c r="W11" s="1">
        <f>建筑各项能耗拆分!$B$18*建筑各项能耗拆分!W70</f>
        <v>0</v>
      </c>
      <c r="X11" s="1">
        <f>建筑各项能耗拆分!$B$18*建筑各项能耗拆分!X70</f>
        <v>0</v>
      </c>
      <c r="Y11" s="1">
        <f>建筑各项能耗拆分!$B$18*建筑各项能耗拆分!Y70</f>
        <v>0</v>
      </c>
      <c r="Z11" s="1">
        <f>建筑各项能耗拆分!$B$18*建筑各项能耗拆分!Z70</f>
        <v>0</v>
      </c>
      <c r="AA11" s="1">
        <f>建筑各项能耗拆分!$B$18*建筑各项能耗拆分!AA70</f>
        <v>0</v>
      </c>
      <c r="AB11" s="1">
        <f>建筑各项能耗拆分!$B$18*建筑各项能耗拆分!AB70</f>
        <v>0</v>
      </c>
      <c r="AC11" s="1">
        <f>建筑各项能耗拆分!$B$18*建筑各项能耗拆分!AC70</f>
        <v>0</v>
      </c>
      <c r="AD11" s="1">
        <f>建筑各项能耗拆分!$B$18*建筑各项能耗拆分!AD70</f>
        <v>0</v>
      </c>
      <c r="AE11" s="1">
        <f>建筑各项能耗拆分!$B$18*建筑各项能耗拆分!AE70</f>
        <v>0</v>
      </c>
      <c r="AF11" s="1">
        <f>建筑各项能耗拆分!$B$18*建筑各项能耗拆分!AF70</f>
        <v>0</v>
      </c>
      <c r="AG11" s="1">
        <f>建筑各项能耗拆分!$B$18*建筑各项能耗拆分!AG70</f>
        <v>0</v>
      </c>
      <c r="AH11" s="1">
        <f>建筑各项能耗拆分!$B$18*建筑各项能耗拆分!AH70</f>
        <v>0</v>
      </c>
      <c r="AI11" s="1">
        <f>建筑各项能耗拆分!$B$18*建筑各项能耗拆分!AI70</f>
        <v>0</v>
      </c>
      <c r="AJ11" s="1">
        <f>建筑各项能耗拆分!$B$18*建筑各项能耗拆分!AJ70</f>
        <v>0</v>
      </c>
      <c r="AK11" s="1">
        <f>建筑各项能耗拆分!$B$18*建筑各项能耗拆分!AK70</f>
        <v>0</v>
      </c>
      <c r="AL11" s="1">
        <f>建筑各项能耗拆分!$B$18*建筑各项能耗拆分!AL70</f>
        <v>0</v>
      </c>
      <c r="AM11" s="1">
        <f>建筑各项能耗拆分!$B$18*建筑各项能耗拆分!AM70</f>
        <v>0</v>
      </c>
      <c r="AN11" s="1">
        <f>建筑各项能耗拆分!$B$18*建筑各项能耗拆分!AN70</f>
        <v>0</v>
      </c>
      <c r="AO11" s="1">
        <f>建筑各项能耗拆分!$B$18*建筑各项能耗拆分!AO70</f>
        <v>0</v>
      </c>
      <c r="AP11" s="1">
        <f>建筑各项能耗拆分!$B$18*建筑各项能耗拆分!AP70</f>
        <v>0</v>
      </c>
      <c r="AQ11" s="1">
        <f>建筑各项能耗拆分!$B$18*建筑各项能耗拆分!AQ70</f>
        <v>0</v>
      </c>
      <c r="AR11" s="1">
        <f>建筑各项能耗拆分!$B$18*建筑各项能耗拆分!AR70</f>
        <v>0</v>
      </c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928D-0A19-40C4-8AEA-544278F1BD1E}">
  <sheetPr>
    <tabColor rgb="FF00B0F0"/>
  </sheetPr>
  <dimension ref="A1:AR11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建筑各项能耗拆分!$B$18*建筑各项能耗拆分!B74</f>
        <v>1113684613570965.3</v>
      </c>
      <c r="C2" s="1">
        <f>建筑各项能耗拆分!$B$18*建筑各项能耗拆分!C74</f>
        <v>1136687694106383</v>
      </c>
      <c r="D2" s="1">
        <f>建筑各项能耗拆分!$B$18*建筑各项能耗拆分!D74</f>
        <v>1167054519341357.3</v>
      </c>
      <c r="E2" s="1">
        <f>建筑各项能耗拆分!$B$18*建筑各项能耗拆分!E74</f>
        <v>1182600690736436.3</v>
      </c>
      <c r="F2" s="1">
        <f>建筑各项能耗拆分!$B$18*建筑各项能耗拆分!F74</f>
        <v>1197771146553720.5</v>
      </c>
      <c r="G2" s="1">
        <f>建筑各项能耗拆分!$B$18*建筑各项能耗拆分!G74</f>
        <v>1212557520388162.3</v>
      </c>
      <c r="H2" s="1">
        <f>建筑各项能耗拆分!$B$18*建筑各项能耗拆分!H74</f>
        <v>1226952237441716.8</v>
      </c>
      <c r="I2" s="1">
        <f>建筑各项能耗拆分!$B$18*建筑各项能耗拆分!I74</f>
        <v>1240948635188421</v>
      </c>
      <c r="J2" s="1">
        <f>建筑各项能耗拆分!$B$18*建筑各项能耗拆分!J74</f>
        <v>1254540906565204.8</v>
      </c>
      <c r="K2" s="1">
        <f>建筑各项能耗拆分!$B$18*建筑各项能耗拆分!K74</f>
        <v>1267724271287288</v>
      </c>
      <c r="L2" s="1">
        <f>建筑各项能耗拆分!$B$18*建筑各项能耗拆分!L74</f>
        <v>1280494922197985.8</v>
      </c>
      <c r="M2" s="1">
        <f>建筑各项能耗拆分!$B$18*建筑各项能耗拆分!M74</f>
        <v>1292850141576690.5</v>
      </c>
      <c r="N2" s="1">
        <f>建筑各项能耗拆分!$B$18*建筑各项能耗拆分!N74</f>
        <v>1304788342369356.5</v>
      </c>
      <c r="O2" s="1">
        <f>建筑各项能耗拆分!$B$18*建筑各项能耗拆分!O74</f>
        <v>1316309099304210.5</v>
      </c>
      <c r="P2" s="1">
        <f>建筑各项能耗拆分!$B$18*建筑各项能耗拆分!P74</f>
        <v>1327413276027175.8</v>
      </c>
      <c r="Q2" s="1">
        <f>建筑各项能耗拆分!$B$18*建筑各项能耗拆分!Q74</f>
        <v>1338102993935188</v>
      </c>
      <c r="R2" s="1">
        <f>建筑各项能耗拆分!$B$18*建筑各项能耗拆分!R74</f>
        <v>1348381774403073</v>
      </c>
      <c r="S2" s="1">
        <f>建筑各项能耗拆分!$B$18*建筑各项能耗拆分!S74</f>
        <v>1358254554136214.8</v>
      </c>
      <c r="T2" s="1">
        <f>建筑各项能耗拆分!$B$18*建筑各项能耗拆分!T74</f>
        <v>1367727773096054</v>
      </c>
      <c r="U2" s="1">
        <f>建筑各项能耗拆分!$B$18*建筑各项能耗拆分!U74</f>
        <v>1376809461665490.5</v>
      </c>
      <c r="V2" s="1">
        <f>建筑各项能耗拆分!$B$18*建筑各项能耗拆分!V74</f>
        <v>1385509247235292</v>
      </c>
      <c r="W2" s="1">
        <f>建筑各项能耗拆分!$B$18*建筑各项能耗拆分!W74</f>
        <v>1393838493404369</v>
      </c>
      <c r="X2" s="1">
        <f>建筑各项能耗拆分!$B$18*建筑各项能耗拆分!X74</f>
        <v>1401810354053820.3</v>
      </c>
      <c r="Y2" s="1">
        <f>建筑各项能耗拆分!$B$18*建筑各项能耗拆分!Y74</f>
        <v>1409439855918889.5</v>
      </c>
      <c r="Z2" s="1">
        <f>建筑各项能耗拆分!$B$18*建筑各项能耗拆分!Z74</f>
        <v>1416743941780093.8</v>
      </c>
      <c r="AA2" s="1">
        <f>建筑各项能耗拆分!$B$18*建筑各项能耗拆分!AA74</f>
        <v>1423741580776911.3</v>
      </c>
      <c r="AB2" s="1">
        <f>建筑各项能耗拆分!$B$18*建筑各项能耗拆分!AB74</f>
        <v>1430453891881466.8</v>
      </c>
      <c r="AC2" s="1">
        <f>建筑各项能耗拆分!$B$18*建筑各项能耗拆分!AC74</f>
        <v>1436904153159314.5</v>
      </c>
      <c r="AD2" s="1">
        <f>建筑各项能耗拆分!$B$18*建筑各项能耗拆分!AD74</f>
        <v>1443117910651215</v>
      </c>
      <c r="AE2" s="1">
        <f>建筑各项能耗拆分!$B$18*建筑各项能耗拆分!AE74</f>
        <v>1449123153805822.5</v>
      </c>
      <c r="AF2" s="1">
        <f>建筑各项能耗拆分!$B$18*建筑各项能耗拆分!AF74</f>
        <v>1454950283658421</v>
      </c>
      <c r="AG2" s="1">
        <f>建筑各项能耗拆分!$B$18*建筑各项能耗拆分!AG74</f>
        <v>1460632277002762.8</v>
      </c>
      <c r="AH2" s="1">
        <f>建筑各项能耗拆分!$B$18*建筑各项能耗拆分!AH74</f>
        <v>1466204814854401.8</v>
      </c>
      <c r="AI2" s="1">
        <f>建筑各项能耗拆分!$B$18*建筑各项能耗拆分!AI74</f>
        <v>1471706283745552.8</v>
      </c>
      <c r="AJ2" s="1">
        <f>建筑各项能耗拆分!$B$18*建筑各项能耗拆分!AJ74</f>
        <v>1477178021221690.5</v>
      </c>
      <c r="AK2" s="1">
        <f>建筑各项能耗拆分!$B$18*建筑各项能耗拆分!AK74</f>
        <v>1482664259912520.3</v>
      </c>
      <c r="AL2" s="1">
        <f>建筑各项能耗拆分!$B$18*建筑各项能耗拆分!AL74</f>
        <v>1488212399570866.5</v>
      </c>
      <c r="AM2" s="1">
        <f>建筑各项能耗拆分!$B$18*建筑各项能耗拆分!AM74</f>
        <v>1493873019631360.5</v>
      </c>
      <c r="AN2" s="1">
        <f>建筑各项能耗拆分!$B$18*建筑各项能耗拆分!AN74</f>
        <v>1499700016049506.8</v>
      </c>
      <c r="AO2" s="1">
        <f>建筑各项能耗拆分!$B$18*建筑各项能耗拆分!AO74</f>
        <v>1505750726221549.5</v>
      </c>
      <c r="AP2" s="1">
        <f>建筑各项能耗拆分!$B$18*建筑各项能耗拆分!AP74</f>
        <v>1512086057458256.8</v>
      </c>
      <c r="AQ2" s="1">
        <f>建筑各项能耗拆分!$B$18*建筑各项能耗拆分!AQ74</f>
        <v>1518770649461690.8</v>
      </c>
      <c r="AR2" s="1">
        <f>建筑各项能耗拆分!$B$18*建筑各项能耗拆分!AR74</f>
        <v>1525872912311295.5</v>
      </c>
    </row>
    <row r="3" spans="1:44" x14ac:dyDescent="0.15">
      <c r="A3" t="s">
        <v>1</v>
      </c>
      <c r="B3" s="1">
        <f>建筑各项能耗拆分!$B$18*建筑各项能耗拆分!B75</f>
        <v>0</v>
      </c>
      <c r="C3" s="1">
        <f>建筑各项能耗拆分!$B$18*建筑各项能耗拆分!C75</f>
        <v>0</v>
      </c>
      <c r="D3" s="1">
        <f>建筑各项能耗拆分!$B$18*建筑各项能耗拆分!D75</f>
        <v>0</v>
      </c>
      <c r="E3" s="1">
        <f>建筑各项能耗拆分!$B$18*建筑各项能耗拆分!E75</f>
        <v>0</v>
      </c>
      <c r="F3" s="1">
        <f>建筑各项能耗拆分!$B$18*建筑各项能耗拆分!F75</f>
        <v>0</v>
      </c>
      <c r="G3" s="1">
        <f>建筑各项能耗拆分!$B$18*建筑各项能耗拆分!G75</f>
        <v>0</v>
      </c>
      <c r="H3" s="1">
        <f>建筑各项能耗拆分!$B$18*建筑各项能耗拆分!H75</f>
        <v>0</v>
      </c>
      <c r="I3" s="1">
        <f>建筑各项能耗拆分!$B$18*建筑各项能耗拆分!I75</f>
        <v>0</v>
      </c>
      <c r="J3" s="1">
        <f>建筑各项能耗拆分!$B$18*建筑各项能耗拆分!J75</f>
        <v>0</v>
      </c>
      <c r="K3" s="1">
        <f>建筑各项能耗拆分!$B$18*建筑各项能耗拆分!K75</f>
        <v>0</v>
      </c>
      <c r="L3" s="1">
        <f>建筑各项能耗拆分!$B$18*建筑各项能耗拆分!L75</f>
        <v>0</v>
      </c>
      <c r="M3" s="1">
        <f>建筑各项能耗拆分!$B$18*建筑各项能耗拆分!M75</f>
        <v>0</v>
      </c>
      <c r="N3" s="1">
        <f>建筑各项能耗拆分!$B$18*建筑各项能耗拆分!N75</f>
        <v>0</v>
      </c>
      <c r="O3" s="1">
        <f>建筑各项能耗拆分!$B$18*建筑各项能耗拆分!O75</f>
        <v>0</v>
      </c>
      <c r="P3" s="1">
        <f>建筑各项能耗拆分!$B$18*建筑各项能耗拆分!P75</f>
        <v>0</v>
      </c>
      <c r="Q3" s="1">
        <f>建筑各项能耗拆分!$B$18*建筑各项能耗拆分!Q75</f>
        <v>0</v>
      </c>
      <c r="R3" s="1">
        <f>建筑各项能耗拆分!$B$18*建筑各项能耗拆分!R75</f>
        <v>0</v>
      </c>
      <c r="S3" s="1">
        <f>建筑各项能耗拆分!$B$18*建筑各项能耗拆分!S75</f>
        <v>0</v>
      </c>
      <c r="T3" s="1">
        <f>建筑各项能耗拆分!$B$18*建筑各项能耗拆分!T75</f>
        <v>0</v>
      </c>
      <c r="U3" s="1">
        <f>建筑各项能耗拆分!$B$18*建筑各项能耗拆分!U75</f>
        <v>0</v>
      </c>
      <c r="V3" s="1">
        <f>建筑各项能耗拆分!$B$18*建筑各项能耗拆分!V75</f>
        <v>0</v>
      </c>
      <c r="W3" s="1">
        <f>建筑各项能耗拆分!$B$18*建筑各项能耗拆分!W75</f>
        <v>0</v>
      </c>
      <c r="X3" s="1">
        <f>建筑各项能耗拆分!$B$18*建筑各项能耗拆分!X75</f>
        <v>0</v>
      </c>
      <c r="Y3" s="1">
        <f>建筑各项能耗拆分!$B$18*建筑各项能耗拆分!Y75</f>
        <v>0</v>
      </c>
      <c r="Z3" s="1">
        <f>建筑各项能耗拆分!$B$18*建筑各项能耗拆分!Z75</f>
        <v>0</v>
      </c>
      <c r="AA3" s="1">
        <f>建筑各项能耗拆分!$B$18*建筑各项能耗拆分!AA75</f>
        <v>0</v>
      </c>
      <c r="AB3" s="1">
        <f>建筑各项能耗拆分!$B$18*建筑各项能耗拆分!AB75</f>
        <v>0</v>
      </c>
      <c r="AC3" s="1">
        <f>建筑各项能耗拆分!$B$18*建筑各项能耗拆分!AC75</f>
        <v>0</v>
      </c>
      <c r="AD3" s="1">
        <f>建筑各项能耗拆分!$B$18*建筑各项能耗拆分!AD75</f>
        <v>0</v>
      </c>
      <c r="AE3" s="1">
        <f>建筑各项能耗拆分!$B$18*建筑各项能耗拆分!AE75</f>
        <v>0</v>
      </c>
      <c r="AF3" s="1">
        <f>建筑各项能耗拆分!$B$18*建筑各项能耗拆分!AF75</f>
        <v>0</v>
      </c>
      <c r="AG3" s="1">
        <f>建筑各项能耗拆分!$B$18*建筑各项能耗拆分!AG75</f>
        <v>0</v>
      </c>
      <c r="AH3" s="1">
        <f>建筑各项能耗拆分!$B$18*建筑各项能耗拆分!AH75</f>
        <v>0</v>
      </c>
      <c r="AI3" s="1">
        <f>建筑各项能耗拆分!$B$18*建筑各项能耗拆分!AI75</f>
        <v>0</v>
      </c>
      <c r="AJ3" s="1">
        <f>建筑各项能耗拆分!$B$18*建筑各项能耗拆分!AJ75</f>
        <v>0</v>
      </c>
      <c r="AK3" s="1">
        <f>建筑各项能耗拆分!$B$18*建筑各项能耗拆分!AK75</f>
        <v>0</v>
      </c>
      <c r="AL3" s="1">
        <f>建筑各项能耗拆分!$B$18*建筑各项能耗拆分!AL75</f>
        <v>0</v>
      </c>
      <c r="AM3" s="1">
        <f>建筑各项能耗拆分!$B$18*建筑各项能耗拆分!AM75</f>
        <v>0</v>
      </c>
      <c r="AN3" s="1">
        <f>建筑各项能耗拆分!$B$18*建筑各项能耗拆分!AN75</f>
        <v>0</v>
      </c>
      <c r="AO3" s="1">
        <f>建筑各项能耗拆分!$B$18*建筑各项能耗拆分!AO75</f>
        <v>0</v>
      </c>
      <c r="AP3" s="1">
        <f>建筑各项能耗拆分!$B$18*建筑各项能耗拆分!AP75</f>
        <v>0</v>
      </c>
      <c r="AQ3" s="1">
        <f>建筑各项能耗拆分!$B$18*建筑各项能耗拆分!AQ75</f>
        <v>0</v>
      </c>
      <c r="AR3" s="1">
        <f>建筑各项能耗拆分!$B$18*建筑各项能耗拆分!AR75</f>
        <v>0</v>
      </c>
    </row>
    <row r="4" spans="1:44" x14ac:dyDescent="0.15">
      <c r="A4" t="s">
        <v>2</v>
      </c>
      <c r="B4" s="1">
        <f>建筑各项能耗拆分!$B$18*建筑各项能耗拆分!B76</f>
        <v>0</v>
      </c>
      <c r="C4" s="1">
        <f>建筑各项能耗拆分!$B$18*建筑各项能耗拆分!C76</f>
        <v>0</v>
      </c>
      <c r="D4" s="1">
        <f>建筑各项能耗拆分!$B$18*建筑各项能耗拆分!D76</f>
        <v>0</v>
      </c>
      <c r="E4" s="1">
        <f>建筑各项能耗拆分!$B$18*建筑各项能耗拆分!E76</f>
        <v>0</v>
      </c>
      <c r="F4" s="1">
        <f>建筑各项能耗拆分!$B$18*建筑各项能耗拆分!F76</f>
        <v>0</v>
      </c>
      <c r="G4" s="1">
        <f>建筑各项能耗拆分!$B$18*建筑各项能耗拆分!G76</f>
        <v>0</v>
      </c>
      <c r="H4" s="1">
        <f>建筑各项能耗拆分!$B$18*建筑各项能耗拆分!H76</f>
        <v>0</v>
      </c>
      <c r="I4" s="1">
        <f>建筑各项能耗拆分!$B$18*建筑各项能耗拆分!I76</f>
        <v>0</v>
      </c>
      <c r="J4" s="1">
        <f>建筑各项能耗拆分!$B$18*建筑各项能耗拆分!J76</f>
        <v>0</v>
      </c>
      <c r="K4" s="1">
        <f>建筑各项能耗拆分!$B$18*建筑各项能耗拆分!K76</f>
        <v>0</v>
      </c>
      <c r="L4" s="1">
        <f>建筑各项能耗拆分!$B$18*建筑各项能耗拆分!L76</f>
        <v>0</v>
      </c>
      <c r="M4" s="1">
        <f>建筑各项能耗拆分!$B$18*建筑各项能耗拆分!M76</f>
        <v>0</v>
      </c>
      <c r="N4" s="1">
        <f>建筑各项能耗拆分!$B$18*建筑各项能耗拆分!N76</f>
        <v>0</v>
      </c>
      <c r="O4" s="1">
        <f>建筑各项能耗拆分!$B$18*建筑各项能耗拆分!O76</f>
        <v>0</v>
      </c>
      <c r="P4" s="1">
        <f>建筑各项能耗拆分!$B$18*建筑各项能耗拆分!P76</f>
        <v>0</v>
      </c>
      <c r="Q4" s="1">
        <f>建筑各项能耗拆分!$B$18*建筑各项能耗拆分!Q76</f>
        <v>0</v>
      </c>
      <c r="R4" s="1">
        <f>建筑各项能耗拆分!$B$18*建筑各项能耗拆分!R76</f>
        <v>0</v>
      </c>
      <c r="S4" s="1">
        <f>建筑各项能耗拆分!$B$18*建筑各项能耗拆分!S76</f>
        <v>0</v>
      </c>
      <c r="T4" s="1">
        <f>建筑各项能耗拆分!$B$18*建筑各项能耗拆分!T76</f>
        <v>0</v>
      </c>
      <c r="U4" s="1">
        <f>建筑各项能耗拆分!$B$18*建筑各项能耗拆分!U76</f>
        <v>0</v>
      </c>
      <c r="V4" s="1">
        <f>建筑各项能耗拆分!$B$18*建筑各项能耗拆分!V76</f>
        <v>0</v>
      </c>
      <c r="W4" s="1">
        <f>建筑各项能耗拆分!$B$18*建筑各项能耗拆分!W76</f>
        <v>0</v>
      </c>
      <c r="X4" s="1">
        <f>建筑各项能耗拆分!$B$18*建筑各项能耗拆分!X76</f>
        <v>0</v>
      </c>
      <c r="Y4" s="1">
        <f>建筑各项能耗拆分!$B$18*建筑各项能耗拆分!Y76</f>
        <v>0</v>
      </c>
      <c r="Z4" s="1">
        <f>建筑各项能耗拆分!$B$18*建筑各项能耗拆分!Z76</f>
        <v>0</v>
      </c>
      <c r="AA4" s="1">
        <f>建筑各项能耗拆分!$B$18*建筑各项能耗拆分!AA76</f>
        <v>0</v>
      </c>
      <c r="AB4" s="1">
        <f>建筑各项能耗拆分!$B$18*建筑各项能耗拆分!AB76</f>
        <v>0</v>
      </c>
      <c r="AC4" s="1">
        <f>建筑各项能耗拆分!$B$18*建筑各项能耗拆分!AC76</f>
        <v>0</v>
      </c>
      <c r="AD4" s="1">
        <f>建筑各项能耗拆分!$B$18*建筑各项能耗拆分!AD76</f>
        <v>0</v>
      </c>
      <c r="AE4" s="1">
        <f>建筑各项能耗拆分!$B$18*建筑各项能耗拆分!AE76</f>
        <v>0</v>
      </c>
      <c r="AF4" s="1">
        <f>建筑各项能耗拆分!$B$18*建筑各项能耗拆分!AF76</f>
        <v>0</v>
      </c>
      <c r="AG4" s="1">
        <f>建筑各项能耗拆分!$B$18*建筑各项能耗拆分!AG76</f>
        <v>0</v>
      </c>
      <c r="AH4" s="1">
        <f>建筑各项能耗拆分!$B$18*建筑各项能耗拆分!AH76</f>
        <v>0</v>
      </c>
      <c r="AI4" s="1">
        <f>建筑各项能耗拆分!$B$18*建筑各项能耗拆分!AI76</f>
        <v>0</v>
      </c>
      <c r="AJ4" s="1">
        <f>建筑各项能耗拆分!$B$18*建筑各项能耗拆分!AJ76</f>
        <v>0</v>
      </c>
      <c r="AK4" s="1">
        <f>建筑各项能耗拆分!$B$18*建筑各项能耗拆分!AK76</f>
        <v>0</v>
      </c>
      <c r="AL4" s="1">
        <f>建筑各项能耗拆分!$B$18*建筑各项能耗拆分!AL76</f>
        <v>0</v>
      </c>
      <c r="AM4" s="1">
        <f>建筑各项能耗拆分!$B$18*建筑各项能耗拆分!AM76</f>
        <v>0</v>
      </c>
      <c r="AN4" s="1">
        <f>建筑各项能耗拆分!$B$18*建筑各项能耗拆分!AN76</f>
        <v>0</v>
      </c>
      <c r="AO4" s="1">
        <f>建筑各项能耗拆分!$B$18*建筑各项能耗拆分!AO76</f>
        <v>0</v>
      </c>
      <c r="AP4" s="1">
        <f>建筑各项能耗拆分!$B$18*建筑各项能耗拆分!AP76</f>
        <v>0</v>
      </c>
      <c r="AQ4" s="1">
        <f>建筑各项能耗拆分!$B$18*建筑各项能耗拆分!AQ76</f>
        <v>0</v>
      </c>
      <c r="AR4" s="1">
        <f>建筑各项能耗拆分!$B$18*建筑各项能耗拆分!AR76</f>
        <v>0</v>
      </c>
    </row>
    <row r="5" spans="1:44" x14ac:dyDescent="0.15">
      <c r="A5" t="s">
        <v>3</v>
      </c>
      <c r="B5" s="1">
        <f>建筑各项能耗拆分!$B$18*建筑各项能耗拆分!B77</f>
        <v>0</v>
      </c>
      <c r="C5" s="1">
        <f>建筑各项能耗拆分!$B$18*建筑各项能耗拆分!C77</f>
        <v>0</v>
      </c>
      <c r="D5" s="1">
        <f>建筑各项能耗拆分!$B$18*建筑各项能耗拆分!D77</f>
        <v>0</v>
      </c>
      <c r="E5" s="1">
        <f>建筑各项能耗拆分!$B$18*建筑各项能耗拆分!E77</f>
        <v>0</v>
      </c>
      <c r="F5" s="1">
        <f>建筑各项能耗拆分!$B$18*建筑各项能耗拆分!F77</f>
        <v>0</v>
      </c>
      <c r="G5" s="1">
        <f>建筑各项能耗拆分!$B$18*建筑各项能耗拆分!G77</f>
        <v>0</v>
      </c>
      <c r="H5" s="1">
        <f>建筑各项能耗拆分!$B$18*建筑各项能耗拆分!H77</f>
        <v>0</v>
      </c>
      <c r="I5" s="1">
        <f>建筑各项能耗拆分!$B$18*建筑各项能耗拆分!I77</f>
        <v>0</v>
      </c>
      <c r="J5" s="1">
        <f>建筑各项能耗拆分!$B$18*建筑各项能耗拆分!J77</f>
        <v>0</v>
      </c>
      <c r="K5" s="1">
        <f>建筑各项能耗拆分!$B$18*建筑各项能耗拆分!K77</f>
        <v>0</v>
      </c>
      <c r="L5" s="1">
        <f>建筑各项能耗拆分!$B$18*建筑各项能耗拆分!L77</f>
        <v>0</v>
      </c>
      <c r="M5" s="1">
        <f>建筑各项能耗拆分!$B$18*建筑各项能耗拆分!M77</f>
        <v>0</v>
      </c>
      <c r="N5" s="1">
        <f>建筑各项能耗拆分!$B$18*建筑各项能耗拆分!N77</f>
        <v>0</v>
      </c>
      <c r="O5" s="1">
        <f>建筑各项能耗拆分!$B$18*建筑各项能耗拆分!O77</f>
        <v>0</v>
      </c>
      <c r="P5" s="1">
        <f>建筑各项能耗拆分!$B$18*建筑各项能耗拆分!P77</f>
        <v>0</v>
      </c>
      <c r="Q5" s="1">
        <f>建筑各项能耗拆分!$B$18*建筑各项能耗拆分!Q77</f>
        <v>0</v>
      </c>
      <c r="R5" s="1">
        <f>建筑各项能耗拆分!$B$18*建筑各项能耗拆分!R77</f>
        <v>0</v>
      </c>
      <c r="S5" s="1">
        <f>建筑各项能耗拆分!$B$18*建筑各项能耗拆分!S77</f>
        <v>0</v>
      </c>
      <c r="T5" s="1">
        <f>建筑各项能耗拆分!$B$18*建筑各项能耗拆分!T77</f>
        <v>0</v>
      </c>
      <c r="U5" s="1">
        <f>建筑各项能耗拆分!$B$18*建筑各项能耗拆分!U77</f>
        <v>0</v>
      </c>
      <c r="V5" s="1">
        <f>建筑各项能耗拆分!$B$18*建筑各项能耗拆分!V77</f>
        <v>0</v>
      </c>
      <c r="W5" s="1">
        <f>建筑各项能耗拆分!$B$18*建筑各项能耗拆分!W77</f>
        <v>0</v>
      </c>
      <c r="X5" s="1">
        <f>建筑各项能耗拆分!$B$18*建筑各项能耗拆分!X77</f>
        <v>0</v>
      </c>
      <c r="Y5" s="1">
        <f>建筑各项能耗拆分!$B$18*建筑各项能耗拆分!Y77</f>
        <v>0</v>
      </c>
      <c r="Z5" s="1">
        <f>建筑各项能耗拆分!$B$18*建筑各项能耗拆分!Z77</f>
        <v>0</v>
      </c>
      <c r="AA5" s="1">
        <f>建筑各项能耗拆分!$B$18*建筑各项能耗拆分!AA77</f>
        <v>0</v>
      </c>
      <c r="AB5" s="1">
        <f>建筑各项能耗拆分!$B$18*建筑各项能耗拆分!AB77</f>
        <v>0</v>
      </c>
      <c r="AC5" s="1">
        <f>建筑各项能耗拆分!$B$18*建筑各项能耗拆分!AC77</f>
        <v>0</v>
      </c>
      <c r="AD5" s="1">
        <f>建筑各项能耗拆分!$B$18*建筑各项能耗拆分!AD77</f>
        <v>0</v>
      </c>
      <c r="AE5" s="1">
        <f>建筑各项能耗拆分!$B$18*建筑各项能耗拆分!AE77</f>
        <v>0</v>
      </c>
      <c r="AF5" s="1">
        <f>建筑各项能耗拆分!$B$18*建筑各项能耗拆分!AF77</f>
        <v>0</v>
      </c>
      <c r="AG5" s="1">
        <f>建筑各项能耗拆分!$B$18*建筑各项能耗拆分!AG77</f>
        <v>0</v>
      </c>
      <c r="AH5" s="1">
        <f>建筑各项能耗拆分!$B$18*建筑各项能耗拆分!AH77</f>
        <v>0</v>
      </c>
      <c r="AI5" s="1">
        <f>建筑各项能耗拆分!$B$18*建筑各项能耗拆分!AI77</f>
        <v>0</v>
      </c>
      <c r="AJ5" s="1">
        <f>建筑各项能耗拆分!$B$18*建筑各项能耗拆分!AJ77</f>
        <v>0</v>
      </c>
      <c r="AK5" s="1">
        <f>建筑各项能耗拆分!$B$18*建筑各项能耗拆分!AK77</f>
        <v>0</v>
      </c>
      <c r="AL5" s="1">
        <f>建筑各项能耗拆分!$B$18*建筑各项能耗拆分!AL77</f>
        <v>0</v>
      </c>
      <c r="AM5" s="1">
        <f>建筑各项能耗拆分!$B$18*建筑各项能耗拆分!AM77</f>
        <v>0</v>
      </c>
      <c r="AN5" s="1">
        <f>建筑各项能耗拆分!$B$18*建筑各项能耗拆分!AN77</f>
        <v>0</v>
      </c>
      <c r="AO5" s="1">
        <f>建筑各项能耗拆分!$B$18*建筑各项能耗拆分!AO77</f>
        <v>0</v>
      </c>
      <c r="AP5" s="1">
        <f>建筑各项能耗拆分!$B$18*建筑各项能耗拆分!AP77</f>
        <v>0</v>
      </c>
      <c r="AQ5" s="1">
        <f>建筑各项能耗拆分!$B$18*建筑各项能耗拆分!AQ77</f>
        <v>0</v>
      </c>
      <c r="AR5" s="1">
        <f>建筑各项能耗拆分!$B$18*建筑各项能耗拆分!AR77</f>
        <v>0</v>
      </c>
    </row>
    <row r="6" spans="1:44" x14ac:dyDescent="0.15">
      <c r="A6" t="s">
        <v>4</v>
      </c>
      <c r="B6" s="1">
        <f>建筑各项能耗拆分!$B$18*建筑各项能耗拆分!B78</f>
        <v>0</v>
      </c>
      <c r="C6" s="1">
        <f>建筑各项能耗拆分!$B$18*建筑各项能耗拆分!C78</f>
        <v>0</v>
      </c>
      <c r="D6" s="1">
        <f>建筑各项能耗拆分!$B$18*建筑各项能耗拆分!D78</f>
        <v>0</v>
      </c>
      <c r="E6" s="1">
        <f>建筑各项能耗拆分!$B$18*建筑各项能耗拆分!E78</f>
        <v>0</v>
      </c>
      <c r="F6" s="1">
        <f>建筑各项能耗拆分!$B$18*建筑各项能耗拆分!F78</f>
        <v>0</v>
      </c>
      <c r="G6" s="1">
        <f>建筑各项能耗拆分!$B$18*建筑各项能耗拆分!G78</f>
        <v>0</v>
      </c>
      <c r="H6" s="1">
        <f>建筑各项能耗拆分!$B$18*建筑各项能耗拆分!H78</f>
        <v>0</v>
      </c>
      <c r="I6" s="1">
        <f>建筑各项能耗拆分!$B$18*建筑各项能耗拆分!I78</f>
        <v>0</v>
      </c>
      <c r="J6" s="1">
        <f>建筑各项能耗拆分!$B$18*建筑各项能耗拆分!J78</f>
        <v>0</v>
      </c>
      <c r="K6" s="1">
        <f>建筑各项能耗拆分!$B$18*建筑各项能耗拆分!K78</f>
        <v>0</v>
      </c>
      <c r="L6" s="1">
        <f>建筑各项能耗拆分!$B$18*建筑各项能耗拆分!L78</f>
        <v>0</v>
      </c>
      <c r="M6" s="1">
        <f>建筑各项能耗拆分!$B$18*建筑各项能耗拆分!M78</f>
        <v>0</v>
      </c>
      <c r="N6" s="1">
        <f>建筑各项能耗拆分!$B$18*建筑各项能耗拆分!N78</f>
        <v>0</v>
      </c>
      <c r="O6" s="1">
        <f>建筑各项能耗拆分!$B$18*建筑各项能耗拆分!O78</f>
        <v>0</v>
      </c>
      <c r="P6" s="1">
        <f>建筑各项能耗拆分!$B$18*建筑各项能耗拆分!P78</f>
        <v>0</v>
      </c>
      <c r="Q6" s="1">
        <f>建筑各项能耗拆分!$B$18*建筑各项能耗拆分!Q78</f>
        <v>0</v>
      </c>
      <c r="R6" s="1">
        <f>建筑各项能耗拆分!$B$18*建筑各项能耗拆分!R78</f>
        <v>0</v>
      </c>
      <c r="S6" s="1">
        <f>建筑各项能耗拆分!$B$18*建筑各项能耗拆分!S78</f>
        <v>0</v>
      </c>
      <c r="T6" s="1">
        <f>建筑各项能耗拆分!$B$18*建筑各项能耗拆分!T78</f>
        <v>0</v>
      </c>
      <c r="U6" s="1">
        <f>建筑各项能耗拆分!$B$18*建筑各项能耗拆分!U78</f>
        <v>0</v>
      </c>
      <c r="V6" s="1">
        <f>建筑各项能耗拆分!$B$18*建筑各项能耗拆分!V78</f>
        <v>0</v>
      </c>
      <c r="W6" s="1">
        <f>建筑各项能耗拆分!$B$18*建筑各项能耗拆分!W78</f>
        <v>0</v>
      </c>
      <c r="X6" s="1">
        <f>建筑各项能耗拆分!$B$18*建筑各项能耗拆分!X78</f>
        <v>0</v>
      </c>
      <c r="Y6" s="1">
        <f>建筑各项能耗拆分!$B$18*建筑各项能耗拆分!Y78</f>
        <v>0</v>
      </c>
      <c r="Z6" s="1">
        <f>建筑各项能耗拆分!$B$18*建筑各项能耗拆分!Z78</f>
        <v>0</v>
      </c>
      <c r="AA6" s="1">
        <f>建筑各项能耗拆分!$B$18*建筑各项能耗拆分!AA78</f>
        <v>0</v>
      </c>
      <c r="AB6" s="1">
        <f>建筑各项能耗拆分!$B$18*建筑各项能耗拆分!AB78</f>
        <v>0</v>
      </c>
      <c r="AC6" s="1">
        <f>建筑各项能耗拆分!$B$18*建筑各项能耗拆分!AC78</f>
        <v>0</v>
      </c>
      <c r="AD6" s="1">
        <f>建筑各项能耗拆分!$B$18*建筑各项能耗拆分!AD78</f>
        <v>0</v>
      </c>
      <c r="AE6" s="1">
        <f>建筑各项能耗拆分!$B$18*建筑各项能耗拆分!AE78</f>
        <v>0</v>
      </c>
      <c r="AF6" s="1">
        <f>建筑各项能耗拆分!$B$18*建筑各项能耗拆分!AF78</f>
        <v>0</v>
      </c>
      <c r="AG6" s="1">
        <f>建筑各项能耗拆分!$B$18*建筑各项能耗拆分!AG78</f>
        <v>0</v>
      </c>
      <c r="AH6" s="1">
        <f>建筑各项能耗拆分!$B$18*建筑各项能耗拆分!AH78</f>
        <v>0</v>
      </c>
      <c r="AI6" s="1">
        <f>建筑各项能耗拆分!$B$18*建筑各项能耗拆分!AI78</f>
        <v>0</v>
      </c>
      <c r="AJ6" s="1">
        <f>建筑各项能耗拆分!$B$18*建筑各项能耗拆分!AJ78</f>
        <v>0</v>
      </c>
      <c r="AK6" s="1">
        <f>建筑各项能耗拆分!$B$18*建筑各项能耗拆分!AK78</f>
        <v>0</v>
      </c>
      <c r="AL6" s="1">
        <f>建筑各项能耗拆分!$B$18*建筑各项能耗拆分!AL78</f>
        <v>0</v>
      </c>
      <c r="AM6" s="1">
        <f>建筑各项能耗拆分!$B$18*建筑各项能耗拆分!AM78</f>
        <v>0</v>
      </c>
      <c r="AN6" s="1">
        <f>建筑各项能耗拆分!$B$18*建筑各项能耗拆分!AN78</f>
        <v>0</v>
      </c>
      <c r="AO6" s="1">
        <f>建筑各项能耗拆分!$B$18*建筑各项能耗拆分!AO78</f>
        <v>0</v>
      </c>
      <c r="AP6" s="1">
        <f>建筑各项能耗拆分!$B$18*建筑各项能耗拆分!AP78</f>
        <v>0</v>
      </c>
      <c r="AQ6" s="1">
        <f>建筑各项能耗拆分!$B$18*建筑各项能耗拆分!AQ78</f>
        <v>0</v>
      </c>
      <c r="AR6" s="1">
        <f>建筑各项能耗拆分!$B$18*建筑各项能耗拆分!AR78</f>
        <v>0</v>
      </c>
    </row>
    <row r="7" spans="1:44" x14ac:dyDescent="0.15">
      <c r="A7" t="s">
        <v>5</v>
      </c>
      <c r="B7" s="1">
        <f>建筑各项能耗拆分!$B$18*建筑各项能耗拆分!B79</f>
        <v>0</v>
      </c>
      <c r="C7" s="1">
        <f>建筑各项能耗拆分!$B$18*建筑各项能耗拆分!C79</f>
        <v>0</v>
      </c>
      <c r="D7" s="1">
        <f>建筑各项能耗拆分!$B$18*建筑各项能耗拆分!D79</f>
        <v>0</v>
      </c>
      <c r="E7" s="1">
        <f>建筑各项能耗拆分!$B$18*建筑各项能耗拆分!E79</f>
        <v>0</v>
      </c>
      <c r="F7" s="1">
        <f>建筑各项能耗拆分!$B$18*建筑各项能耗拆分!F79</f>
        <v>0</v>
      </c>
      <c r="G7" s="1">
        <f>建筑各项能耗拆分!$B$18*建筑各项能耗拆分!G79</f>
        <v>0</v>
      </c>
      <c r="H7" s="1">
        <f>建筑各项能耗拆分!$B$18*建筑各项能耗拆分!H79</f>
        <v>0</v>
      </c>
      <c r="I7" s="1">
        <f>建筑各项能耗拆分!$B$18*建筑各项能耗拆分!I79</f>
        <v>0</v>
      </c>
      <c r="J7" s="1">
        <f>建筑各项能耗拆分!$B$18*建筑各项能耗拆分!J79</f>
        <v>0</v>
      </c>
      <c r="K7" s="1">
        <f>建筑各项能耗拆分!$B$18*建筑各项能耗拆分!K79</f>
        <v>0</v>
      </c>
      <c r="L7" s="1">
        <f>建筑各项能耗拆分!$B$18*建筑各项能耗拆分!L79</f>
        <v>0</v>
      </c>
      <c r="M7" s="1">
        <f>建筑各项能耗拆分!$B$18*建筑各项能耗拆分!M79</f>
        <v>0</v>
      </c>
      <c r="N7" s="1">
        <f>建筑各项能耗拆分!$B$18*建筑各项能耗拆分!N79</f>
        <v>0</v>
      </c>
      <c r="O7" s="1">
        <f>建筑各项能耗拆分!$B$18*建筑各项能耗拆分!O79</f>
        <v>0</v>
      </c>
      <c r="P7" s="1">
        <f>建筑各项能耗拆分!$B$18*建筑各项能耗拆分!P79</f>
        <v>0</v>
      </c>
      <c r="Q7" s="1">
        <f>建筑各项能耗拆分!$B$18*建筑各项能耗拆分!Q79</f>
        <v>0</v>
      </c>
      <c r="R7" s="1">
        <f>建筑各项能耗拆分!$B$18*建筑各项能耗拆分!R79</f>
        <v>0</v>
      </c>
      <c r="S7" s="1">
        <f>建筑各项能耗拆分!$B$18*建筑各项能耗拆分!S79</f>
        <v>0</v>
      </c>
      <c r="T7" s="1">
        <f>建筑各项能耗拆分!$B$18*建筑各项能耗拆分!T79</f>
        <v>0</v>
      </c>
      <c r="U7" s="1">
        <f>建筑各项能耗拆分!$B$18*建筑各项能耗拆分!U79</f>
        <v>0</v>
      </c>
      <c r="V7" s="1">
        <f>建筑各项能耗拆分!$B$18*建筑各项能耗拆分!V79</f>
        <v>0</v>
      </c>
      <c r="W7" s="1">
        <f>建筑各项能耗拆分!$B$18*建筑各项能耗拆分!W79</f>
        <v>0</v>
      </c>
      <c r="X7" s="1">
        <f>建筑各项能耗拆分!$B$18*建筑各项能耗拆分!X79</f>
        <v>0</v>
      </c>
      <c r="Y7" s="1">
        <f>建筑各项能耗拆分!$B$18*建筑各项能耗拆分!Y79</f>
        <v>0</v>
      </c>
      <c r="Z7" s="1">
        <f>建筑各项能耗拆分!$B$18*建筑各项能耗拆分!Z79</f>
        <v>0</v>
      </c>
      <c r="AA7" s="1">
        <f>建筑各项能耗拆分!$B$18*建筑各项能耗拆分!AA79</f>
        <v>0</v>
      </c>
      <c r="AB7" s="1">
        <f>建筑各项能耗拆分!$B$18*建筑各项能耗拆分!AB79</f>
        <v>0</v>
      </c>
      <c r="AC7" s="1">
        <f>建筑各项能耗拆分!$B$18*建筑各项能耗拆分!AC79</f>
        <v>0</v>
      </c>
      <c r="AD7" s="1">
        <f>建筑各项能耗拆分!$B$18*建筑各项能耗拆分!AD79</f>
        <v>0</v>
      </c>
      <c r="AE7" s="1">
        <f>建筑各项能耗拆分!$B$18*建筑各项能耗拆分!AE79</f>
        <v>0</v>
      </c>
      <c r="AF7" s="1">
        <f>建筑各项能耗拆分!$B$18*建筑各项能耗拆分!AF79</f>
        <v>0</v>
      </c>
      <c r="AG7" s="1">
        <f>建筑各项能耗拆分!$B$18*建筑各项能耗拆分!AG79</f>
        <v>0</v>
      </c>
      <c r="AH7" s="1">
        <f>建筑各项能耗拆分!$B$18*建筑各项能耗拆分!AH79</f>
        <v>0</v>
      </c>
      <c r="AI7" s="1">
        <f>建筑各项能耗拆分!$B$18*建筑各项能耗拆分!AI79</f>
        <v>0</v>
      </c>
      <c r="AJ7" s="1">
        <f>建筑各项能耗拆分!$B$18*建筑各项能耗拆分!AJ79</f>
        <v>0</v>
      </c>
      <c r="AK7" s="1">
        <f>建筑各项能耗拆分!$B$18*建筑各项能耗拆分!AK79</f>
        <v>0</v>
      </c>
      <c r="AL7" s="1">
        <f>建筑各项能耗拆分!$B$18*建筑各项能耗拆分!AL79</f>
        <v>0</v>
      </c>
      <c r="AM7" s="1">
        <f>建筑各项能耗拆分!$B$18*建筑各项能耗拆分!AM79</f>
        <v>0</v>
      </c>
      <c r="AN7" s="1">
        <f>建筑各项能耗拆分!$B$18*建筑各项能耗拆分!AN79</f>
        <v>0</v>
      </c>
      <c r="AO7" s="1">
        <f>建筑各项能耗拆分!$B$18*建筑各项能耗拆分!AO79</f>
        <v>0</v>
      </c>
      <c r="AP7" s="1">
        <f>建筑各项能耗拆分!$B$18*建筑各项能耗拆分!AP79</f>
        <v>0</v>
      </c>
      <c r="AQ7" s="1">
        <f>建筑各项能耗拆分!$B$18*建筑各项能耗拆分!AQ79</f>
        <v>0</v>
      </c>
      <c r="AR7" s="1">
        <f>建筑各项能耗拆分!$B$18*建筑各项能耗拆分!AR79</f>
        <v>0</v>
      </c>
    </row>
    <row r="8" spans="1:44" x14ac:dyDescent="0.15">
      <c r="A8" t="s">
        <v>6</v>
      </c>
      <c r="B8" s="1">
        <f>建筑各项能耗拆分!$B$18*建筑各项能耗拆分!B80</f>
        <v>0</v>
      </c>
      <c r="C8" s="1">
        <f>建筑各项能耗拆分!$B$18*建筑各项能耗拆分!C80</f>
        <v>0</v>
      </c>
      <c r="D8" s="1">
        <f>建筑各项能耗拆分!$B$18*建筑各项能耗拆分!D80</f>
        <v>0</v>
      </c>
      <c r="E8" s="1">
        <f>建筑各项能耗拆分!$B$18*建筑各项能耗拆分!E80</f>
        <v>0</v>
      </c>
      <c r="F8" s="1">
        <f>建筑各项能耗拆分!$B$18*建筑各项能耗拆分!F80</f>
        <v>0</v>
      </c>
      <c r="G8" s="1">
        <f>建筑各项能耗拆分!$B$18*建筑各项能耗拆分!G80</f>
        <v>0</v>
      </c>
      <c r="H8" s="1">
        <f>建筑各项能耗拆分!$B$18*建筑各项能耗拆分!H80</f>
        <v>0</v>
      </c>
      <c r="I8" s="1">
        <f>建筑各项能耗拆分!$B$18*建筑各项能耗拆分!I80</f>
        <v>0</v>
      </c>
      <c r="J8" s="1">
        <f>建筑各项能耗拆分!$B$18*建筑各项能耗拆分!J80</f>
        <v>0</v>
      </c>
      <c r="K8" s="1">
        <f>建筑各项能耗拆分!$B$18*建筑各项能耗拆分!K80</f>
        <v>0</v>
      </c>
      <c r="L8" s="1">
        <f>建筑各项能耗拆分!$B$18*建筑各项能耗拆分!L80</f>
        <v>0</v>
      </c>
      <c r="M8" s="1">
        <f>建筑各项能耗拆分!$B$18*建筑各项能耗拆分!M80</f>
        <v>0</v>
      </c>
      <c r="N8" s="1">
        <f>建筑各项能耗拆分!$B$18*建筑各项能耗拆分!N80</f>
        <v>0</v>
      </c>
      <c r="O8" s="1">
        <f>建筑各项能耗拆分!$B$18*建筑各项能耗拆分!O80</f>
        <v>0</v>
      </c>
      <c r="P8" s="1">
        <f>建筑各项能耗拆分!$B$18*建筑各项能耗拆分!P80</f>
        <v>0</v>
      </c>
      <c r="Q8" s="1">
        <f>建筑各项能耗拆分!$B$18*建筑各项能耗拆分!Q80</f>
        <v>0</v>
      </c>
      <c r="R8" s="1">
        <f>建筑各项能耗拆分!$B$18*建筑各项能耗拆分!R80</f>
        <v>0</v>
      </c>
      <c r="S8" s="1">
        <f>建筑各项能耗拆分!$B$18*建筑各项能耗拆分!S80</f>
        <v>0</v>
      </c>
      <c r="T8" s="1">
        <f>建筑各项能耗拆分!$B$18*建筑各项能耗拆分!T80</f>
        <v>0</v>
      </c>
      <c r="U8" s="1">
        <f>建筑各项能耗拆分!$B$18*建筑各项能耗拆分!U80</f>
        <v>0</v>
      </c>
      <c r="V8" s="1">
        <f>建筑各项能耗拆分!$B$18*建筑各项能耗拆分!V80</f>
        <v>0</v>
      </c>
      <c r="W8" s="1">
        <f>建筑各项能耗拆分!$B$18*建筑各项能耗拆分!W80</f>
        <v>0</v>
      </c>
      <c r="X8" s="1">
        <f>建筑各项能耗拆分!$B$18*建筑各项能耗拆分!X80</f>
        <v>0</v>
      </c>
      <c r="Y8" s="1">
        <f>建筑各项能耗拆分!$B$18*建筑各项能耗拆分!Y80</f>
        <v>0</v>
      </c>
      <c r="Z8" s="1">
        <f>建筑各项能耗拆分!$B$18*建筑各项能耗拆分!Z80</f>
        <v>0</v>
      </c>
      <c r="AA8" s="1">
        <f>建筑各项能耗拆分!$B$18*建筑各项能耗拆分!AA80</f>
        <v>0</v>
      </c>
      <c r="AB8" s="1">
        <f>建筑各项能耗拆分!$B$18*建筑各项能耗拆分!AB80</f>
        <v>0</v>
      </c>
      <c r="AC8" s="1">
        <f>建筑各项能耗拆分!$B$18*建筑各项能耗拆分!AC80</f>
        <v>0</v>
      </c>
      <c r="AD8" s="1">
        <f>建筑各项能耗拆分!$B$18*建筑各项能耗拆分!AD80</f>
        <v>0</v>
      </c>
      <c r="AE8" s="1">
        <f>建筑各项能耗拆分!$B$18*建筑各项能耗拆分!AE80</f>
        <v>0</v>
      </c>
      <c r="AF8" s="1">
        <f>建筑各项能耗拆分!$B$18*建筑各项能耗拆分!AF80</f>
        <v>0</v>
      </c>
      <c r="AG8" s="1">
        <f>建筑各项能耗拆分!$B$18*建筑各项能耗拆分!AG80</f>
        <v>0</v>
      </c>
      <c r="AH8" s="1">
        <f>建筑各项能耗拆分!$B$18*建筑各项能耗拆分!AH80</f>
        <v>0</v>
      </c>
      <c r="AI8" s="1">
        <f>建筑各项能耗拆分!$B$18*建筑各项能耗拆分!AI80</f>
        <v>0</v>
      </c>
      <c r="AJ8" s="1">
        <f>建筑各项能耗拆分!$B$18*建筑各项能耗拆分!AJ80</f>
        <v>0</v>
      </c>
      <c r="AK8" s="1">
        <f>建筑各项能耗拆分!$B$18*建筑各项能耗拆分!AK80</f>
        <v>0</v>
      </c>
      <c r="AL8" s="1">
        <f>建筑各项能耗拆分!$B$18*建筑各项能耗拆分!AL80</f>
        <v>0</v>
      </c>
      <c r="AM8" s="1">
        <f>建筑各项能耗拆分!$B$18*建筑各项能耗拆分!AM80</f>
        <v>0</v>
      </c>
      <c r="AN8" s="1">
        <f>建筑各项能耗拆分!$B$18*建筑各项能耗拆分!AN80</f>
        <v>0</v>
      </c>
      <c r="AO8" s="1">
        <f>建筑各项能耗拆分!$B$18*建筑各项能耗拆分!AO80</f>
        <v>0</v>
      </c>
      <c r="AP8" s="1">
        <f>建筑各项能耗拆分!$B$18*建筑各项能耗拆分!AP80</f>
        <v>0</v>
      </c>
      <c r="AQ8" s="1">
        <f>建筑各项能耗拆分!$B$18*建筑各项能耗拆分!AQ80</f>
        <v>0</v>
      </c>
      <c r="AR8" s="1">
        <f>建筑各项能耗拆分!$B$18*建筑各项能耗拆分!AR80</f>
        <v>0</v>
      </c>
    </row>
    <row r="9" spans="1:44" x14ac:dyDescent="0.15">
      <c r="A9" t="s">
        <v>7</v>
      </c>
      <c r="B9" s="1">
        <f>建筑各项能耗拆分!$B$18*建筑各项能耗拆分!B81</f>
        <v>0</v>
      </c>
      <c r="C9" s="1">
        <f>建筑各项能耗拆分!$B$18*建筑各项能耗拆分!C81</f>
        <v>0</v>
      </c>
      <c r="D9" s="1">
        <f>建筑各项能耗拆分!$B$18*建筑各项能耗拆分!D81</f>
        <v>0</v>
      </c>
      <c r="E9" s="1">
        <f>建筑各项能耗拆分!$B$18*建筑各项能耗拆分!E81</f>
        <v>0</v>
      </c>
      <c r="F9" s="1">
        <f>建筑各项能耗拆分!$B$18*建筑各项能耗拆分!F81</f>
        <v>0</v>
      </c>
      <c r="G9" s="1">
        <f>建筑各项能耗拆分!$B$18*建筑各项能耗拆分!G81</f>
        <v>0</v>
      </c>
      <c r="H9" s="1">
        <f>建筑各项能耗拆分!$B$18*建筑各项能耗拆分!H81</f>
        <v>0</v>
      </c>
      <c r="I9" s="1">
        <f>建筑各项能耗拆分!$B$18*建筑各项能耗拆分!I81</f>
        <v>0</v>
      </c>
      <c r="J9" s="1">
        <f>建筑各项能耗拆分!$B$18*建筑各项能耗拆分!J81</f>
        <v>0</v>
      </c>
      <c r="K9" s="1">
        <f>建筑各项能耗拆分!$B$18*建筑各项能耗拆分!K81</f>
        <v>0</v>
      </c>
      <c r="L9" s="1">
        <f>建筑各项能耗拆分!$B$18*建筑各项能耗拆分!L81</f>
        <v>0</v>
      </c>
      <c r="M9" s="1">
        <f>建筑各项能耗拆分!$B$18*建筑各项能耗拆分!M81</f>
        <v>0</v>
      </c>
      <c r="N9" s="1">
        <f>建筑各项能耗拆分!$B$18*建筑各项能耗拆分!N81</f>
        <v>0</v>
      </c>
      <c r="O9" s="1">
        <f>建筑各项能耗拆分!$B$18*建筑各项能耗拆分!O81</f>
        <v>0</v>
      </c>
      <c r="P9" s="1">
        <f>建筑各项能耗拆分!$B$18*建筑各项能耗拆分!P81</f>
        <v>0</v>
      </c>
      <c r="Q9" s="1">
        <f>建筑各项能耗拆分!$B$18*建筑各项能耗拆分!Q81</f>
        <v>0</v>
      </c>
      <c r="R9" s="1">
        <f>建筑各项能耗拆分!$B$18*建筑各项能耗拆分!R81</f>
        <v>0</v>
      </c>
      <c r="S9" s="1">
        <f>建筑各项能耗拆分!$B$18*建筑各项能耗拆分!S81</f>
        <v>0</v>
      </c>
      <c r="T9" s="1">
        <f>建筑各项能耗拆分!$B$18*建筑各项能耗拆分!T81</f>
        <v>0</v>
      </c>
      <c r="U9" s="1">
        <f>建筑各项能耗拆分!$B$18*建筑各项能耗拆分!U81</f>
        <v>0</v>
      </c>
      <c r="V9" s="1">
        <f>建筑各项能耗拆分!$B$18*建筑各项能耗拆分!V81</f>
        <v>0</v>
      </c>
      <c r="W9" s="1">
        <f>建筑各项能耗拆分!$B$18*建筑各项能耗拆分!W81</f>
        <v>0</v>
      </c>
      <c r="X9" s="1">
        <f>建筑各项能耗拆分!$B$18*建筑各项能耗拆分!X81</f>
        <v>0</v>
      </c>
      <c r="Y9" s="1">
        <f>建筑各项能耗拆分!$B$18*建筑各项能耗拆分!Y81</f>
        <v>0</v>
      </c>
      <c r="Z9" s="1">
        <f>建筑各项能耗拆分!$B$18*建筑各项能耗拆分!Z81</f>
        <v>0</v>
      </c>
      <c r="AA9" s="1">
        <f>建筑各项能耗拆分!$B$18*建筑各项能耗拆分!AA81</f>
        <v>0</v>
      </c>
      <c r="AB9" s="1">
        <f>建筑各项能耗拆分!$B$18*建筑各项能耗拆分!AB81</f>
        <v>0</v>
      </c>
      <c r="AC9" s="1">
        <f>建筑各项能耗拆分!$B$18*建筑各项能耗拆分!AC81</f>
        <v>0</v>
      </c>
      <c r="AD9" s="1">
        <f>建筑各项能耗拆分!$B$18*建筑各项能耗拆分!AD81</f>
        <v>0</v>
      </c>
      <c r="AE9" s="1">
        <f>建筑各项能耗拆分!$B$18*建筑各项能耗拆分!AE81</f>
        <v>0</v>
      </c>
      <c r="AF9" s="1">
        <f>建筑各项能耗拆分!$B$18*建筑各项能耗拆分!AF81</f>
        <v>0</v>
      </c>
      <c r="AG9" s="1">
        <f>建筑各项能耗拆分!$B$18*建筑各项能耗拆分!AG81</f>
        <v>0</v>
      </c>
      <c r="AH9" s="1">
        <f>建筑各项能耗拆分!$B$18*建筑各项能耗拆分!AH81</f>
        <v>0</v>
      </c>
      <c r="AI9" s="1">
        <f>建筑各项能耗拆分!$B$18*建筑各项能耗拆分!AI81</f>
        <v>0</v>
      </c>
      <c r="AJ9" s="1">
        <f>建筑各项能耗拆分!$B$18*建筑各项能耗拆分!AJ81</f>
        <v>0</v>
      </c>
      <c r="AK9" s="1">
        <f>建筑各项能耗拆分!$B$18*建筑各项能耗拆分!AK81</f>
        <v>0</v>
      </c>
      <c r="AL9" s="1">
        <f>建筑各项能耗拆分!$B$18*建筑各项能耗拆分!AL81</f>
        <v>0</v>
      </c>
      <c r="AM9" s="1">
        <f>建筑各项能耗拆分!$B$18*建筑各项能耗拆分!AM81</f>
        <v>0</v>
      </c>
      <c r="AN9" s="1">
        <f>建筑各项能耗拆分!$B$18*建筑各项能耗拆分!AN81</f>
        <v>0</v>
      </c>
      <c r="AO9" s="1">
        <f>建筑各项能耗拆分!$B$18*建筑各项能耗拆分!AO81</f>
        <v>0</v>
      </c>
      <c r="AP9" s="1">
        <f>建筑各项能耗拆分!$B$18*建筑各项能耗拆分!AP81</f>
        <v>0</v>
      </c>
      <c r="AQ9" s="1">
        <f>建筑各项能耗拆分!$B$18*建筑各项能耗拆分!AQ81</f>
        <v>0</v>
      </c>
      <c r="AR9" s="1">
        <f>建筑各项能耗拆分!$B$18*建筑各项能耗拆分!AR81</f>
        <v>0</v>
      </c>
    </row>
    <row r="10" spans="1:44" x14ac:dyDescent="0.15">
      <c r="A10" t="s">
        <v>8</v>
      </c>
      <c r="B10" s="1">
        <f>建筑各项能耗拆分!$B$18*建筑各项能耗拆分!B82</f>
        <v>0</v>
      </c>
      <c r="C10" s="1">
        <f>建筑各项能耗拆分!$B$18*建筑各项能耗拆分!C82</f>
        <v>0</v>
      </c>
      <c r="D10" s="1">
        <f>建筑各项能耗拆分!$B$18*建筑各项能耗拆分!D82</f>
        <v>0</v>
      </c>
      <c r="E10" s="1">
        <f>建筑各项能耗拆分!$B$18*建筑各项能耗拆分!E82</f>
        <v>0</v>
      </c>
      <c r="F10" s="1">
        <f>建筑各项能耗拆分!$B$18*建筑各项能耗拆分!F82</f>
        <v>0</v>
      </c>
      <c r="G10" s="1">
        <f>建筑各项能耗拆分!$B$18*建筑各项能耗拆分!G82</f>
        <v>0</v>
      </c>
      <c r="H10" s="1">
        <f>建筑各项能耗拆分!$B$18*建筑各项能耗拆分!H82</f>
        <v>0</v>
      </c>
      <c r="I10" s="1">
        <f>建筑各项能耗拆分!$B$18*建筑各项能耗拆分!I82</f>
        <v>0</v>
      </c>
      <c r="J10" s="1">
        <f>建筑各项能耗拆分!$B$18*建筑各项能耗拆分!J82</f>
        <v>0</v>
      </c>
      <c r="K10" s="1">
        <f>建筑各项能耗拆分!$B$18*建筑各项能耗拆分!K82</f>
        <v>0</v>
      </c>
      <c r="L10" s="1">
        <f>建筑各项能耗拆分!$B$18*建筑各项能耗拆分!L82</f>
        <v>0</v>
      </c>
      <c r="M10" s="1">
        <f>建筑各项能耗拆分!$B$18*建筑各项能耗拆分!M82</f>
        <v>0</v>
      </c>
      <c r="N10" s="1">
        <f>建筑各项能耗拆分!$B$18*建筑各项能耗拆分!N82</f>
        <v>0</v>
      </c>
      <c r="O10" s="1">
        <f>建筑各项能耗拆分!$B$18*建筑各项能耗拆分!O82</f>
        <v>0</v>
      </c>
      <c r="P10" s="1">
        <f>建筑各项能耗拆分!$B$18*建筑各项能耗拆分!P82</f>
        <v>0</v>
      </c>
      <c r="Q10" s="1">
        <f>建筑各项能耗拆分!$B$18*建筑各项能耗拆分!Q82</f>
        <v>0</v>
      </c>
      <c r="R10" s="1">
        <f>建筑各项能耗拆分!$B$18*建筑各项能耗拆分!R82</f>
        <v>0</v>
      </c>
      <c r="S10" s="1">
        <f>建筑各项能耗拆分!$B$18*建筑各项能耗拆分!S82</f>
        <v>0</v>
      </c>
      <c r="T10" s="1">
        <f>建筑各项能耗拆分!$B$18*建筑各项能耗拆分!T82</f>
        <v>0</v>
      </c>
      <c r="U10" s="1">
        <f>建筑各项能耗拆分!$B$18*建筑各项能耗拆分!U82</f>
        <v>0</v>
      </c>
      <c r="V10" s="1">
        <f>建筑各项能耗拆分!$B$18*建筑各项能耗拆分!V82</f>
        <v>0</v>
      </c>
      <c r="W10" s="1">
        <f>建筑各项能耗拆分!$B$18*建筑各项能耗拆分!W82</f>
        <v>0</v>
      </c>
      <c r="X10" s="1">
        <f>建筑各项能耗拆分!$B$18*建筑各项能耗拆分!X82</f>
        <v>0</v>
      </c>
      <c r="Y10" s="1">
        <f>建筑各项能耗拆分!$B$18*建筑各项能耗拆分!Y82</f>
        <v>0</v>
      </c>
      <c r="Z10" s="1">
        <f>建筑各项能耗拆分!$B$18*建筑各项能耗拆分!Z82</f>
        <v>0</v>
      </c>
      <c r="AA10" s="1">
        <f>建筑各项能耗拆分!$B$18*建筑各项能耗拆分!AA82</f>
        <v>0</v>
      </c>
      <c r="AB10" s="1">
        <f>建筑各项能耗拆分!$B$18*建筑各项能耗拆分!AB82</f>
        <v>0</v>
      </c>
      <c r="AC10" s="1">
        <f>建筑各项能耗拆分!$B$18*建筑各项能耗拆分!AC82</f>
        <v>0</v>
      </c>
      <c r="AD10" s="1">
        <f>建筑各项能耗拆分!$B$18*建筑各项能耗拆分!AD82</f>
        <v>0</v>
      </c>
      <c r="AE10" s="1">
        <f>建筑各项能耗拆分!$B$18*建筑各项能耗拆分!AE82</f>
        <v>0</v>
      </c>
      <c r="AF10" s="1">
        <f>建筑各项能耗拆分!$B$18*建筑各项能耗拆分!AF82</f>
        <v>0</v>
      </c>
      <c r="AG10" s="1">
        <f>建筑各项能耗拆分!$B$18*建筑各项能耗拆分!AG82</f>
        <v>0</v>
      </c>
      <c r="AH10" s="1">
        <f>建筑各项能耗拆分!$B$18*建筑各项能耗拆分!AH82</f>
        <v>0</v>
      </c>
      <c r="AI10" s="1">
        <f>建筑各项能耗拆分!$B$18*建筑各项能耗拆分!AI82</f>
        <v>0</v>
      </c>
      <c r="AJ10" s="1">
        <f>建筑各项能耗拆分!$B$18*建筑各项能耗拆分!AJ82</f>
        <v>0</v>
      </c>
      <c r="AK10" s="1">
        <f>建筑各项能耗拆分!$B$18*建筑各项能耗拆分!AK82</f>
        <v>0</v>
      </c>
      <c r="AL10" s="1">
        <f>建筑各项能耗拆分!$B$18*建筑各项能耗拆分!AL82</f>
        <v>0</v>
      </c>
      <c r="AM10" s="1">
        <f>建筑各项能耗拆分!$B$18*建筑各项能耗拆分!AM82</f>
        <v>0</v>
      </c>
      <c r="AN10" s="1">
        <f>建筑各项能耗拆分!$B$18*建筑各项能耗拆分!AN82</f>
        <v>0</v>
      </c>
      <c r="AO10" s="1">
        <f>建筑各项能耗拆分!$B$18*建筑各项能耗拆分!AO82</f>
        <v>0</v>
      </c>
      <c r="AP10" s="1">
        <f>建筑各项能耗拆分!$B$18*建筑各项能耗拆分!AP82</f>
        <v>0</v>
      </c>
      <c r="AQ10" s="1">
        <f>建筑各项能耗拆分!$B$18*建筑各项能耗拆分!AQ82</f>
        <v>0</v>
      </c>
      <c r="AR10" s="1">
        <f>建筑各项能耗拆分!$B$18*建筑各项能耗拆分!AR82</f>
        <v>0</v>
      </c>
    </row>
    <row r="11" spans="1:44" x14ac:dyDescent="0.15">
      <c r="A11" t="s">
        <v>9</v>
      </c>
      <c r="B11" s="1">
        <f>建筑各项能耗拆分!$B$18*建筑各项能耗拆分!B83</f>
        <v>0</v>
      </c>
      <c r="C11" s="1">
        <f>建筑各项能耗拆分!$B$18*建筑各项能耗拆分!C83</f>
        <v>0</v>
      </c>
      <c r="D11" s="1">
        <f>建筑各项能耗拆分!$B$18*建筑各项能耗拆分!D83</f>
        <v>0</v>
      </c>
      <c r="E11" s="1">
        <f>建筑各项能耗拆分!$B$18*建筑各项能耗拆分!E83</f>
        <v>0</v>
      </c>
      <c r="F11" s="1">
        <f>建筑各项能耗拆分!$B$18*建筑各项能耗拆分!F83</f>
        <v>0</v>
      </c>
      <c r="G11" s="1">
        <f>建筑各项能耗拆分!$B$18*建筑各项能耗拆分!G83</f>
        <v>0</v>
      </c>
      <c r="H11" s="1">
        <f>建筑各项能耗拆分!$B$18*建筑各项能耗拆分!H83</f>
        <v>0</v>
      </c>
      <c r="I11" s="1">
        <f>建筑各项能耗拆分!$B$18*建筑各项能耗拆分!I83</f>
        <v>0</v>
      </c>
      <c r="J11" s="1">
        <f>建筑各项能耗拆分!$B$18*建筑各项能耗拆分!J83</f>
        <v>0</v>
      </c>
      <c r="K11" s="1">
        <f>建筑各项能耗拆分!$B$18*建筑各项能耗拆分!K83</f>
        <v>0</v>
      </c>
      <c r="L11" s="1">
        <f>建筑各项能耗拆分!$B$18*建筑各项能耗拆分!L83</f>
        <v>0</v>
      </c>
      <c r="M11" s="1">
        <f>建筑各项能耗拆分!$B$18*建筑各项能耗拆分!M83</f>
        <v>0</v>
      </c>
      <c r="N11" s="1">
        <f>建筑各项能耗拆分!$B$18*建筑各项能耗拆分!N83</f>
        <v>0</v>
      </c>
      <c r="O11" s="1">
        <f>建筑各项能耗拆分!$B$18*建筑各项能耗拆分!O83</f>
        <v>0</v>
      </c>
      <c r="P11" s="1">
        <f>建筑各项能耗拆分!$B$18*建筑各项能耗拆分!P83</f>
        <v>0</v>
      </c>
      <c r="Q11" s="1">
        <f>建筑各项能耗拆分!$B$18*建筑各项能耗拆分!Q83</f>
        <v>0</v>
      </c>
      <c r="R11" s="1">
        <f>建筑各项能耗拆分!$B$18*建筑各项能耗拆分!R83</f>
        <v>0</v>
      </c>
      <c r="S11" s="1">
        <f>建筑各项能耗拆分!$B$18*建筑各项能耗拆分!S83</f>
        <v>0</v>
      </c>
      <c r="T11" s="1">
        <f>建筑各项能耗拆分!$B$18*建筑各项能耗拆分!T83</f>
        <v>0</v>
      </c>
      <c r="U11" s="1">
        <f>建筑各项能耗拆分!$B$18*建筑各项能耗拆分!U83</f>
        <v>0</v>
      </c>
      <c r="V11" s="1">
        <f>建筑各项能耗拆分!$B$18*建筑各项能耗拆分!V83</f>
        <v>0</v>
      </c>
      <c r="W11" s="1">
        <f>建筑各项能耗拆分!$B$18*建筑各项能耗拆分!W83</f>
        <v>0</v>
      </c>
      <c r="X11" s="1">
        <f>建筑各项能耗拆分!$B$18*建筑各项能耗拆分!X83</f>
        <v>0</v>
      </c>
      <c r="Y11" s="1">
        <f>建筑各项能耗拆分!$B$18*建筑各项能耗拆分!Y83</f>
        <v>0</v>
      </c>
      <c r="Z11" s="1">
        <f>建筑各项能耗拆分!$B$18*建筑各项能耗拆分!Z83</f>
        <v>0</v>
      </c>
      <c r="AA11" s="1">
        <f>建筑各项能耗拆分!$B$18*建筑各项能耗拆分!AA83</f>
        <v>0</v>
      </c>
      <c r="AB11" s="1">
        <f>建筑各项能耗拆分!$B$18*建筑各项能耗拆分!AB83</f>
        <v>0</v>
      </c>
      <c r="AC11" s="1">
        <f>建筑各项能耗拆分!$B$18*建筑各项能耗拆分!AC83</f>
        <v>0</v>
      </c>
      <c r="AD11" s="1">
        <f>建筑各项能耗拆分!$B$18*建筑各项能耗拆分!AD83</f>
        <v>0</v>
      </c>
      <c r="AE11" s="1">
        <f>建筑各项能耗拆分!$B$18*建筑各项能耗拆分!AE83</f>
        <v>0</v>
      </c>
      <c r="AF11" s="1">
        <f>建筑各项能耗拆分!$B$18*建筑各项能耗拆分!AF83</f>
        <v>0</v>
      </c>
      <c r="AG11" s="1">
        <f>建筑各项能耗拆分!$B$18*建筑各项能耗拆分!AG83</f>
        <v>0</v>
      </c>
      <c r="AH11" s="1">
        <f>建筑各项能耗拆分!$B$18*建筑各项能耗拆分!AH83</f>
        <v>0</v>
      </c>
      <c r="AI11" s="1">
        <f>建筑各项能耗拆分!$B$18*建筑各项能耗拆分!AI83</f>
        <v>0</v>
      </c>
      <c r="AJ11" s="1">
        <f>建筑各项能耗拆分!$B$18*建筑各项能耗拆分!AJ83</f>
        <v>0</v>
      </c>
      <c r="AK11" s="1">
        <f>建筑各项能耗拆分!$B$18*建筑各项能耗拆分!AK83</f>
        <v>0</v>
      </c>
      <c r="AL11" s="1">
        <f>建筑各项能耗拆分!$B$18*建筑各项能耗拆分!AL83</f>
        <v>0</v>
      </c>
      <c r="AM11" s="1">
        <f>建筑各项能耗拆分!$B$18*建筑各项能耗拆分!AM83</f>
        <v>0</v>
      </c>
      <c r="AN11" s="1">
        <f>建筑各项能耗拆分!$B$18*建筑各项能耗拆分!AN83</f>
        <v>0</v>
      </c>
      <c r="AO11" s="1">
        <f>建筑各项能耗拆分!$B$18*建筑各项能耗拆分!AO83</f>
        <v>0</v>
      </c>
      <c r="AP11" s="1">
        <f>建筑各项能耗拆分!$B$18*建筑各项能耗拆分!AP83</f>
        <v>0</v>
      </c>
      <c r="AQ11" s="1">
        <f>建筑各项能耗拆分!$B$18*建筑各项能耗拆分!AQ83</f>
        <v>0</v>
      </c>
      <c r="AR11" s="1">
        <f>建筑各项能耗拆分!$B$18*建筑各项能耗拆分!AR83</f>
        <v>0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65C2-05DC-40D9-AF57-82244A28A59B}">
  <sheetPr>
    <tabColor rgb="FF00B0F0"/>
  </sheetPr>
  <dimension ref="A1:AR11"/>
  <sheetViews>
    <sheetView workbookViewId="0">
      <selection activeCell="B6" sqref="B6:AR6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建筑各项能耗拆分!$B$18*建筑各项能耗拆分!B22</f>
        <v>219861274754135.56</v>
      </c>
      <c r="C2" s="1">
        <f>建筑各项能耗拆分!$B$18*建筑各项能耗拆分!C22</f>
        <v>218300259703381.16</v>
      </c>
      <c r="D2" s="1">
        <f>建筑各项能耗拆分!$B$18*建筑各项能耗拆分!D22</f>
        <v>223641358036819.31</v>
      </c>
      <c r="E2" s="1">
        <f>建筑各项能耗拆分!$B$18*建筑各项能耗拆分!E22</f>
        <v>226450901171730.69</v>
      </c>
      <c r="F2" s="1">
        <f>建筑各项能耗拆分!$B$18*建筑各项能耗拆分!F22</f>
        <v>229178734611101.28</v>
      </c>
      <c r="G2" s="1">
        <f>建筑各项能耗拆分!$B$18*建筑各项能耗拆分!G22</f>
        <v>231824359015838.13</v>
      </c>
      <c r="H2" s="1">
        <f>建筑各项能耗拆分!$B$18*建筑各项能耗拆分!H22</f>
        <v>234387400420350.44</v>
      </c>
      <c r="I2" s="1">
        <f>建筑各项能耗拆分!$B$18*建筑各项能耗拆分!I22</f>
        <v>236867643881999.59</v>
      </c>
      <c r="J2" s="1">
        <f>建筑各项能耗拆分!$B$18*建筑各项能耗拆分!J22</f>
        <v>239265007988049.28</v>
      </c>
      <c r="K2" s="1">
        <f>建筑各项能耗拆分!$B$18*建筑各项能耗拆分!K22</f>
        <v>241579572423935.5</v>
      </c>
      <c r="L2" s="1">
        <f>建筑各项能耗拆分!$B$18*建筑各项能耗拆分!L22</f>
        <v>243811578634649.25</v>
      </c>
      <c r="M2" s="1">
        <f>建筑各项能耗拆分!$B$18*建筑各项能耗拆分!M22</f>
        <v>245961435813829.06</v>
      </c>
      <c r="N2" s="1">
        <f>建筑各项能耗拆分!$B$18*建筑各项能耗拆分!N22</f>
        <v>248029729821688.03</v>
      </c>
      <c r="O2" s="1">
        <f>建筑各项能耗拆分!$B$18*建筑各项能耗拆分!O22</f>
        <v>250017229579858.72</v>
      </c>
      <c r="P2" s="1">
        <f>建筑各项能耗拆分!$B$18*建筑各项能耗拆分!P22</f>
        <v>251924902901979.19</v>
      </c>
      <c r="Q2" s="1">
        <f>建筑各项能耗拆分!$B$18*建筑各项能耗拆分!Q22</f>
        <v>253753908835586.38</v>
      </c>
      <c r="R2" s="1">
        <f>建筑各项能耗拆分!$B$18*建筑各项能耗拆分!R22</f>
        <v>255505624286131.97</v>
      </c>
      <c r="S2" s="1">
        <f>建筑各项能耗拆分!$B$18*建筑各项能耗拆分!S22</f>
        <v>257181643995113.59</v>
      </c>
      <c r="T2" s="1">
        <f>建筑各项能耗拆分!$B$18*建筑各项能耗拆分!T22</f>
        <v>258783784295655.81</v>
      </c>
      <c r="U2" s="1">
        <f>建筑各项能耗拆分!$B$18*建筑各项能耗拆分!U22</f>
        <v>260314104514293.22</v>
      </c>
      <c r="V2" s="1">
        <f>建筑各项能耗拆分!$B$18*建筑各项能耗拆分!V22</f>
        <v>261774903878895.88</v>
      </c>
      <c r="W2" s="1">
        <f>建筑各项能耗拆分!$B$18*建筑各项能耗拆分!W22</f>
        <v>263168739063904.16</v>
      </c>
      <c r="X2" s="1">
        <f>建筑各项能耗拆分!$B$18*建筑各项能耗拆分!X22</f>
        <v>264498435116430.91</v>
      </c>
      <c r="Y2" s="1">
        <f>建筑各项能耗拆分!$B$18*建筑各项能耗拆分!Y22</f>
        <v>265767097106763.34</v>
      </c>
      <c r="Z2" s="1">
        <f>建筑各项能耗拆分!$B$18*建筑各项能耗拆分!Z22</f>
        <v>266978106632289.63</v>
      </c>
      <c r="AA2" s="1">
        <f>建筑各项能耗拆分!$B$18*建筑各项能耗拆分!AA22</f>
        <v>268135149859355.84</v>
      </c>
      <c r="AB2" s="1">
        <f>建筑各项能耗拆分!$B$18*建筑各项能耗拆分!AB22</f>
        <v>269242221383035.56</v>
      </c>
      <c r="AC2" s="1">
        <f>建筑各项能耗拆分!$B$18*建筑各项能耗拆分!AC22</f>
        <v>270303638173614.72</v>
      </c>
      <c r="AD2" s="1">
        <f>建筑各项能耗拆分!$B$18*建筑各项能耗拆分!AD22</f>
        <v>271324036977887.41</v>
      </c>
      <c r="AE2" s="1">
        <f>建筑各项能耗拆分!$B$18*建筑各项能耗拆分!AE22</f>
        <v>272308419340721.28</v>
      </c>
      <c r="AF2" s="1">
        <f>建筑各项能耗拆分!$B$18*建筑各项能耗拆分!AF22</f>
        <v>273262128294481.28</v>
      </c>
      <c r="AG2" s="1">
        <f>建筑各项能耗拆分!$B$18*建筑各项能耗拆分!AG22</f>
        <v>274190883028277.59</v>
      </c>
      <c r="AH2" s="1">
        <f>建筑各项能耗拆分!$B$18*建筑各项能耗拆分!AH22</f>
        <v>275100788048054.97</v>
      </c>
      <c r="AI2" s="1">
        <f>建筑各项能耗拆分!$B$18*建筑各项能耗拆分!AI22</f>
        <v>275998327979473.13</v>
      </c>
      <c r="AJ2" s="1">
        <f>建筑各项能耗拆分!$B$18*建筑各项能耗拆分!AJ22</f>
        <v>276890423878471.5</v>
      </c>
      <c r="AK2" s="1">
        <f>建筑各项能耗拆分!$B$18*建筑各项能耗拆分!AK22</f>
        <v>277784398347903.06</v>
      </c>
      <c r="AL2" s="1">
        <f>建筑各项能耗拆分!$B$18*建筑各项能耗拆分!AL22</f>
        <v>278688025016473.25</v>
      </c>
      <c r="AM2" s="1">
        <f>建筑各项能耗拆分!$B$18*建筑各项能耗拆分!AM22</f>
        <v>279609532279219.5</v>
      </c>
      <c r="AN2" s="1">
        <f>建筑各项能耗拆分!$B$18*建筑各项能耗拆分!AN22</f>
        <v>280557605764672.34</v>
      </c>
      <c r="AO2" s="1">
        <f>建筑各项能耗拆分!$B$18*建筑各项能耗拆分!AO22</f>
        <v>281541428142877.63</v>
      </c>
      <c r="AP2" s="1">
        <f>建筑各项能耗拆分!$B$18*建筑各项能耗拆分!AP22</f>
        <v>282570674243312.19</v>
      </c>
      <c r="AQ2" s="1">
        <f>建筑各项能耗拆分!$B$18*建筑各项能耗拆分!AQ22</f>
        <v>283655554278493.5</v>
      </c>
      <c r="AR2" s="1">
        <f>建筑各项能耗拆分!$B$18*建筑各项能耗拆分!AR22</f>
        <v>284806794226926.25</v>
      </c>
    </row>
    <row r="3" spans="1:44" x14ac:dyDescent="0.15">
      <c r="A3" t="s">
        <v>1</v>
      </c>
      <c r="B3" s="1">
        <f>建筑各项能耗拆分!$B$18*建筑各项能耗拆分!B23</f>
        <v>173065198640224.88</v>
      </c>
      <c r="C3" s="1">
        <f>建筑各项能耗拆分!$B$18*建筑各项能耗拆分!C23</f>
        <v>171836435729879.22</v>
      </c>
      <c r="D3" s="1">
        <f>建筑各项能耗拆分!$B$18*建筑各项能耗拆分!D23</f>
        <v>176040715201410.25</v>
      </c>
      <c r="E3" s="1">
        <f>建筑各项能耗拆分!$B$18*建筑各项能耗拆分!E23</f>
        <v>178252264921912.22</v>
      </c>
      <c r="F3" s="1">
        <f>建筑各项能耗拆分!$B$18*建筑各项能耗拆分!F23</f>
        <v>180399496336676.13</v>
      </c>
      <c r="G3" s="1">
        <f>建筑各项能耗拆分!$B$18*建筑各项能耗拆分!G23</f>
        <v>182482016387763.94</v>
      </c>
      <c r="H3" s="1">
        <f>建筑各项能耗拆分!$B$18*建筑各项能耗拆分!H23</f>
        <v>184499530705785.94</v>
      </c>
      <c r="I3" s="1">
        <f>建筑各项能耗拆分!$B$18*建筑各项能耗拆分!I23</f>
        <v>186451870097279.28</v>
      </c>
      <c r="J3" s="1">
        <f>建筑各项能耗拆分!$B$18*建筑各项能耗拆分!J23</f>
        <v>188338970477691.41</v>
      </c>
      <c r="K3" s="1">
        <f>建筑各项能耗拆分!$B$18*建筑各项能耗拆分!K23</f>
        <v>190160894571919.44</v>
      </c>
      <c r="L3" s="1">
        <f>建筑各项能耗拆分!$B$18*建筑各项能耗拆分!L23</f>
        <v>191917832434921.28</v>
      </c>
      <c r="M3" s="1">
        <f>建筑各项能耗拆分!$B$18*建筑各项能耗拆分!M23</f>
        <v>193610106166068.03</v>
      </c>
      <c r="N3" s="1">
        <f>建筑各项能耗拆分!$B$18*建筑各项能耗拆分!N23</f>
        <v>195238176928947</v>
      </c>
      <c r="O3" s="1">
        <f>建筑各项能耗拆分!$B$18*建筑各项能耗拆分!O23</f>
        <v>196802649985104.13</v>
      </c>
      <c r="P3" s="1">
        <f>建筑各项能耗拆分!$B$18*建筑各项能耗拆分!P23</f>
        <v>198304287155190.78</v>
      </c>
      <c r="Q3" s="1">
        <f>建筑各项能耗拆分!$B$18*建筑各项能耗拆分!Q23</f>
        <v>199744000790836.03</v>
      </c>
      <c r="R3" s="1">
        <f>建筑各项能耗拆分!$B$18*建筑各项能耗拆分!R23</f>
        <v>201122874731910.19</v>
      </c>
      <c r="S3" s="1">
        <f>建筑各项能耗拆分!$B$18*建筑各项能耗拆分!S23</f>
        <v>202442164289310.41</v>
      </c>
      <c r="T3" s="1">
        <f>建筑各项能耗拆分!$B$18*建筑各项能耗拆分!T23</f>
        <v>203703299201190.25</v>
      </c>
      <c r="U3" s="1">
        <f>建筑各项能耗拆分!$B$18*建筑各项能耗拆分!U23</f>
        <v>204907900479509.06</v>
      </c>
      <c r="V3" s="1">
        <f>建筑各项能耗拆分!$B$18*建筑各项能耗拆分!V23</f>
        <v>206057777976085.91</v>
      </c>
      <c r="W3" s="1">
        <f>建筑各项能耗拆分!$B$18*建筑各项能耗拆分!W23</f>
        <v>207154944193442.53</v>
      </c>
      <c r="X3" s="1">
        <f>建筑各项能耗拆分!$B$18*建筑各项能耗拆分!X23</f>
        <v>208201622885354.03</v>
      </c>
      <c r="Y3" s="1">
        <f>建筑各项能耗拆分!$B$18*建筑各项能耗拆分!Y23</f>
        <v>209200258227615.69</v>
      </c>
      <c r="Z3" s="1">
        <f>建筑各项能耗拆分!$B$18*建筑各项能耗拆分!Z23</f>
        <v>210153512066086.28</v>
      </c>
      <c r="AA3" s="1">
        <f>建筑各项能耗拆分!$B$18*建筑各项能耗拆分!AA23</f>
        <v>211064285990013.88</v>
      </c>
      <c r="AB3" s="1">
        <f>建筑各项能耗拆分!$B$18*建筑各项能耗拆分!AB23</f>
        <v>211935724370278.03</v>
      </c>
      <c r="AC3" s="1">
        <f>建筑各项能耗拆分!$B$18*建筑各项能耗拆分!AC23</f>
        <v>212771225337454.16</v>
      </c>
      <c r="AD3" s="1">
        <f>建筑各项能耗拆分!$B$18*建筑各项能耗拆分!AD23</f>
        <v>213574438736226.53</v>
      </c>
      <c r="AE3" s="1">
        <f>建筑各项能耗拆分!$B$18*建筑各项能耗拆分!AE23</f>
        <v>214349301564399.84</v>
      </c>
      <c r="AF3" s="1">
        <f>建筑各项能耗拆分!$B$18*建筑各项能耗拆分!AF23</f>
        <v>215100019623830.78</v>
      </c>
      <c r="AG3" s="1">
        <f>建筑各项能耗拆分!$B$18*建筑各项能耗拆分!AG23</f>
        <v>215831094810546.84</v>
      </c>
      <c r="AH3" s="1">
        <f>建筑各项能耗拆分!$B$18*建筑各项能耗拆分!AH23</f>
        <v>216547332325168.78</v>
      </c>
      <c r="AI3" s="1">
        <f>建筑各项能耗拆分!$B$18*建筑各项能耗拆分!AI23</f>
        <v>217253836581964.88</v>
      </c>
      <c r="AJ3" s="1">
        <f>建筑各项能耗拆分!$B$18*建筑各项能耗拆分!AJ23</f>
        <v>217956055534069.75</v>
      </c>
      <c r="AK3" s="1">
        <f>建筑各项能耗拆分!$B$18*建筑各项能耗拆分!AK23</f>
        <v>218659753214820.78</v>
      </c>
      <c r="AL3" s="1">
        <f>建筑各项能耗拆分!$B$18*建筑各项能耗拆分!AL23</f>
        <v>219371048685419.63</v>
      </c>
      <c r="AM3" s="1">
        <f>建筑各项能耗拆分!$B$18*建筑各项能耗拆分!AM23</f>
        <v>220096418979274</v>
      </c>
      <c r="AN3" s="1">
        <f>建筑各项能耗拆分!$B$18*建筑各项能耗拆分!AN23</f>
        <v>220842701044039.16</v>
      </c>
      <c r="AO3" s="1">
        <f>建筑各项能耗拆分!$B$18*建筑各项能耗拆分!AO23</f>
        <v>221617123076755.91</v>
      </c>
      <c r="AP3" s="1">
        <f>建筑各项能耗拆分!$B$18*建筑各项能耗拆分!AP23</f>
        <v>222427300680886.44</v>
      </c>
      <c r="AQ3" s="1">
        <f>建筑各项能耗拆分!$B$18*建筑各项能耗拆分!AQ23</f>
        <v>223281270890053.22</v>
      </c>
      <c r="AR3" s="1">
        <f>建筑各项能耗拆分!$B$18*建筑各项能耗拆分!AR23</f>
        <v>224187476726351.09</v>
      </c>
    </row>
    <row r="4" spans="1:44" x14ac:dyDescent="0.15">
      <c r="A4" t="s">
        <v>2</v>
      </c>
      <c r="B4" s="1">
        <f>建筑各项能耗拆分!$B$18*建筑各项能耗拆分!B24</f>
        <v>409097731481957.38</v>
      </c>
      <c r="C4" s="1">
        <f>建筑各项能耗拆分!$B$18*建筑各项能耗拆分!C24</f>
        <v>406193137588435.38</v>
      </c>
      <c r="D4" s="1">
        <f>建筑各项能耗拆分!$B$18*建筑各项能耗拆分!D24</f>
        <v>416131364382922.38</v>
      </c>
      <c r="E4" s="1">
        <f>建筑各项能耗拆分!$B$18*建筑各项能耗拆分!E24</f>
        <v>421359105031102.81</v>
      </c>
      <c r="F4" s="1">
        <f>建筑各项能耗拆分!$B$18*建筑各项能耗拆分!F24</f>
        <v>426434807758447.88</v>
      </c>
      <c r="G4" s="1">
        <f>建筑各项能耗拆分!$B$18*建筑各项能耗拆分!G24</f>
        <v>431357543440488.63</v>
      </c>
      <c r="H4" s="1">
        <f>建筑各项能耗拆分!$B$18*建筑各项能耗拆分!H24</f>
        <v>436126616236290.69</v>
      </c>
      <c r="I4" s="1">
        <f>建筑各项能耗拆分!$B$18*建筑各项能耗拆分!I24</f>
        <v>440741626200270.5</v>
      </c>
      <c r="J4" s="1">
        <f>建筑各项能耗拆分!$B$18*建筑各项能耗拆分!J24</f>
        <v>445202421847061.63</v>
      </c>
      <c r="K4" s="1">
        <f>建筑各项能耗拆分!$B$18*建筑各项能耗拆分!K24</f>
        <v>449509151448028.13</v>
      </c>
      <c r="L4" s="1">
        <f>建筑各项能耗拆分!$B$18*建筑各项能耗拆分!L24</f>
        <v>453662264261904.75</v>
      </c>
      <c r="M4" s="1">
        <f>建筑各项能耗拆分!$B$18*建筑各项能耗拆分!M24</f>
        <v>457662521678751.63</v>
      </c>
      <c r="N4" s="1">
        <f>建筑各项能耗拆分!$B$18*建筑各项能耗拆分!N24</f>
        <v>461511013813617.38</v>
      </c>
      <c r="O4" s="1">
        <f>建筑各项能耗拆分!$B$18*建筑各项能耗拆分!O24</f>
        <v>465209171405479.75</v>
      </c>
      <c r="P4" s="1">
        <f>建筑各项能耗拆分!$B$18*建筑各项能耗拆分!P24</f>
        <v>468758795273352.25</v>
      </c>
      <c r="Q4" s="1">
        <f>建筑各项能耗拆分!$B$18*建筑各项能耗拆分!Q24</f>
        <v>472162042066779</v>
      </c>
      <c r="R4" s="1">
        <f>建筑各项能耗拆分!$B$18*建筑各项能耗拆分!R24</f>
        <v>475421473805367.25</v>
      </c>
      <c r="S4" s="1">
        <f>建筑各项能耗拆分!$B$18*建筑各项能耗拆分!S24</f>
        <v>478540057838095.13</v>
      </c>
      <c r="T4" s="1">
        <f>建筑各项能耗拆分!$B$18*建筑各项能耗拆分!T24</f>
        <v>481521173831353.06</v>
      </c>
      <c r="U4" s="1">
        <f>建筑各项能耗拆分!$B$18*建筑各项能耗拆分!U24</f>
        <v>484368653591422.75</v>
      </c>
      <c r="V4" s="1">
        <f>建筑各项能耗拆分!$B$18*建筑各项能耗拆分!V24</f>
        <v>487086775311027.69</v>
      </c>
      <c r="W4" s="1">
        <f>建筑各项能耗拆分!$B$18*建筑各项能耗拆分!W24</f>
        <v>489680296215899.56</v>
      </c>
      <c r="X4" s="1">
        <f>建筑各项能耗拆分!$B$18*建筑各项能耗拆分!X24</f>
        <v>492154472895069.31</v>
      </c>
      <c r="Y4" s="1">
        <f>建筑各项能耗拆分!$B$18*建筑各项能耗拆分!Y24</f>
        <v>494515082979054.19</v>
      </c>
      <c r="Z4" s="1">
        <f>建筑各项能耗拆分!$B$18*建筑各项能耗拆分!Z24</f>
        <v>496768418634684.63</v>
      </c>
      <c r="AA4" s="1">
        <f>建筑各项能耗拆分!$B$18*建筑各项能耗拆分!AA24</f>
        <v>498921338742824</v>
      </c>
      <c r="AB4" s="1">
        <f>建筑各项能耗拆分!$B$18*建筑各项能耗拆分!AB24</f>
        <v>500981276080275.06</v>
      </c>
      <c r="AC4" s="1">
        <f>建筑各项能耗拆分!$B$18*建筑各项能耗拆分!AC24</f>
        <v>502956263270121.88</v>
      </c>
      <c r="AD4" s="1">
        <f>建筑各项能耗拆分!$B$18*建筑各项能耗拆分!AD24</f>
        <v>504854927946298.56</v>
      </c>
      <c r="AE4" s="1">
        <f>建筑各项能耗拆分!$B$18*建筑各项能耗拆分!AE24</f>
        <v>506686576525597.13</v>
      </c>
      <c r="AF4" s="1">
        <f>建筑各项能耗拆分!$B$18*建筑各项能耗拆分!AF24</f>
        <v>508461150833480.88</v>
      </c>
      <c r="AG4" s="1">
        <f>建筑各项能耗拆分!$B$18*建筑各项能耗拆分!AG24</f>
        <v>510189292613446.81</v>
      </c>
      <c r="AH4" s="1">
        <f>建筑各项能耗拆分!$B$18*建筑各项能耗拆分!AH24</f>
        <v>511882360571281.88</v>
      </c>
      <c r="AI4" s="1">
        <f>建筑各项能耗拆分!$B$18*建筑各项能耗拆分!AI24</f>
        <v>513552420704737.5</v>
      </c>
      <c r="AJ4" s="1">
        <f>建筑各项能耗拆分!$B$18*建筑各项能耗拆分!AJ24</f>
        <v>515212351081074.69</v>
      </c>
      <c r="AK4" s="1">
        <f>建筑各项能耗拆分!$B$18*建筑各项能耗拆分!AK24</f>
        <v>516875776929288.31</v>
      </c>
      <c r="AL4" s="1">
        <f>建筑各项能耗拆分!$B$18*建筑各项能耗拆分!AL24</f>
        <v>518557162705988</v>
      </c>
      <c r="AM4" s="1">
        <f>建筑各项能耗拆分!$B$18*建筑各项能耗拆分!AM24</f>
        <v>520271819055339.31</v>
      </c>
      <c r="AN4" s="1">
        <f>建筑各项能耗拆分!$B$18*建筑各项能耗拆分!AN24</f>
        <v>522035907399731.31</v>
      </c>
      <c r="AO4" s="1">
        <f>建筑各项能耗拆分!$B$18*建筑各项能耗拆分!AO24</f>
        <v>523866514010900.25</v>
      </c>
      <c r="AP4" s="1">
        <f>建筑各项能耗拆分!$B$18*建筑各项能耗拆分!AP24</f>
        <v>525781640925793.81</v>
      </c>
      <c r="AQ4" s="1">
        <f>建筑各项能耗拆分!$B$18*建筑各项能耗拆分!AQ24</f>
        <v>527800286373106.19</v>
      </c>
      <c r="AR4" s="1">
        <f>建筑各项能耗拆分!$B$18*建筑各项能耗拆分!AR24</f>
        <v>529942408271662.13</v>
      </c>
    </row>
    <row r="5" spans="1:44" x14ac:dyDescent="0.15">
      <c r="A5" t="s">
        <v>3</v>
      </c>
      <c r="B5" s="1">
        <f>建筑各项能耗拆分!$B$18*建筑各项能耗拆分!B25</f>
        <v>3226699481806.6943</v>
      </c>
      <c r="C5" s="1">
        <f>建筑各项能耗拆分!$B$18*建筑各项能耗拆分!C25</f>
        <v>3203789915485.8662</v>
      </c>
      <c r="D5" s="1">
        <f>建筑各项能耗拆分!$B$18*建筑各项能耗拆分!D25</f>
        <v>3282176249068.5127</v>
      </c>
      <c r="E5" s="1">
        <f>建筑各项能耗拆分!$B$18*建筑各项能耗拆分!E25</f>
        <v>3323409301081.2871</v>
      </c>
      <c r="F5" s="1">
        <f>建筑各项能耗拆分!$B$18*建筑各项能耗拆分!F25</f>
        <v>3363443175873.9937</v>
      </c>
      <c r="G5" s="1">
        <f>建筑各项能耗拆分!$B$18*建筑各项能耗拆分!G25</f>
        <v>3402270545111.0996</v>
      </c>
      <c r="H5" s="1">
        <f>建筑各项能耗拆分!$B$18*建筑各项能耗拆分!H25</f>
        <v>3439885920447.3755</v>
      </c>
      <c r="I5" s="1">
        <f>建筑各项能耗拆分!$B$18*建筑各项能耗拆分!I25</f>
        <v>3476286147369.5894</v>
      </c>
      <c r="J5" s="1">
        <f>建筑各项能耗拆分!$B$18*建筑各项能耗拆分!J25</f>
        <v>3511470031058.7158</v>
      </c>
      <c r="K5" s="1">
        <f>建筑各项能耗拆分!$B$18*建筑各项能耗拆分!K25</f>
        <v>3545438740983.7993</v>
      </c>
      <c r="L5" s="1">
        <f>建筑各项能耗拆分!$B$18*建筑各项能耗拆分!L25</f>
        <v>3578195820608.4541</v>
      </c>
      <c r="M5" s="1">
        <f>建筑各项能耗拆分!$B$18*建筑各项能耗拆分!M25</f>
        <v>3609747275287.2061</v>
      </c>
      <c r="N5" s="1">
        <f>建筑各项能耗拆分!$B$18*建筑各项能耗拆分!N25</f>
        <v>3640101703145.6172</v>
      </c>
      <c r="O5" s="1">
        <f>建筑各项能耗拆分!$B$18*建筑各项能耗拆分!O25</f>
        <v>3669270388931.4688</v>
      </c>
      <c r="P5" s="1">
        <f>建筑各项能耗拆分!$B$18*建筑各项能耗拆分!P25</f>
        <v>3697267536345.5654</v>
      </c>
      <c r="Q5" s="1">
        <f>建筑各项能耗拆分!$B$18*建筑各项能耗拆分!Q25</f>
        <v>3724110155650.8115</v>
      </c>
      <c r="R5" s="1">
        <f>建筑各项能耗拆分!$B$18*建筑各项能耗拆分!R25</f>
        <v>3749818454408.1489</v>
      </c>
      <c r="S5" s="1">
        <f>建筑各项能耗拆分!$B$18*建筑各项能耗拆分!S25</f>
        <v>3774415837155.5947</v>
      </c>
      <c r="T5" s="1">
        <f>建筑各项能耗拆分!$B$18*建筑各项能耗拆分!T25</f>
        <v>3797928960525.4209</v>
      </c>
      <c r="U5" s="1">
        <f>建筑各项能耗拆分!$B$18*建筑各项能耗拆分!U25</f>
        <v>3820388047338.2192</v>
      </c>
      <c r="V5" s="1">
        <f>建筑各项能耗拆分!$B$18*建筑各项能耗拆分!V25</f>
        <v>3841826841223.3999</v>
      </c>
      <c r="W5" s="1">
        <f>建筑各项能耗拆分!$B$18*建筑各项能耗拆分!W25</f>
        <v>3862282864114.2866</v>
      </c>
      <c r="X5" s="1">
        <f>建筑各项能耗拆分!$B$18*建筑各项能耗拆分!X25</f>
        <v>3881797576600.3599</v>
      </c>
      <c r="Y5" s="1">
        <f>建筑各项能耗拆分!$B$18*建筑各项能耗拆分!Y25</f>
        <v>3900416548910.8364</v>
      </c>
      <c r="Z5" s="1">
        <f>建筑各项能耗拆分!$B$18*建筑各项能耗拆分!Z25</f>
        <v>3918189409606.0566</v>
      </c>
      <c r="AA5" s="1">
        <f>建筑各项能耗拆分!$B$18*建筑各项能耗拆分!AA25</f>
        <v>3935170257121.7344</v>
      </c>
      <c r="AB5" s="1">
        <f>建筑各项能耗拆分!$B$18*建筑各项能耗拆分!AB25</f>
        <v>3951417716415.2134</v>
      </c>
      <c r="AC5" s="1">
        <f>建筑各项能耗拆分!$B$18*建筑各项能耗拆分!AC25</f>
        <v>3966995143645.0547</v>
      </c>
      <c r="AD5" s="1">
        <f>建筑各项能耗拆分!$B$18*建筑各项能耗拆分!AD25</f>
        <v>3981970588032.2705</v>
      </c>
      <c r="AE5" s="1">
        <f>建筑各项能耗拆分!$B$18*建筑各项能耗拆分!AE25</f>
        <v>3996417452599.9741</v>
      </c>
      <c r="AF5" s="1">
        <f>建筑各项能耗拆分!$B$18*建筑各项能耗拆分!AF25</f>
        <v>4010414152065.731</v>
      </c>
      <c r="AG5" s="1">
        <f>建筑各项能耗拆分!$B$18*建筑各项能耗拆分!AG25</f>
        <v>4024044621649.8691</v>
      </c>
      <c r="AH5" s="1">
        <f>建筑各项能耗拆分!$B$18*建筑各项能耗拆分!AH25</f>
        <v>4037398451509.5942</v>
      </c>
      <c r="AI5" s="1">
        <f>建筑各项能耗拆分!$B$18*建筑各项能耗拆分!AI25</f>
        <v>4050570810465.6963</v>
      </c>
      <c r="AJ5" s="1">
        <f>建筑各项能耗拆分!$B$18*建筑各项能耗拆分!AJ25</f>
        <v>4063663272420.3496</v>
      </c>
      <c r="AK5" s="1">
        <f>建筑各项能耗拆分!$B$18*建筑各项能耗拆分!AK25</f>
        <v>4076783304406.3774</v>
      </c>
      <c r="AL5" s="1">
        <f>建筑各项能耗拆分!$B$18*建筑各项能耗拆分!AL25</f>
        <v>4090044992743.6377</v>
      </c>
      <c r="AM5" s="1">
        <f>建筑各项能耗拆分!$B$18*建筑各项能耗拆分!AM25</f>
        <v>4103569097934.5571</v>
      </c>
      <c r="AN5" s="1">
        <f>建筑各项能耗拆分!$B$18*建筑各项能耗拆分!AN25</f>
        <v>4117483090872.3594</v>
      </c>
      <c r="AO5" s="1">
        <f>建筑各项能耗拆分!$B$18*建筑各项能耗拆分!AO25</f>
        <v>4131921737066.3955</v>
      </c>
      <c r="AP5" s="1">
        <f>建筑各项能耗拆分!$B$18*建筑各项能耗拆分!AP25</f>
        <v>4147027024992.3286</v>
      </c>
      <c r="AQ5" s="1">
        <f>建筑各项能耗拆分!$B$18*建筑各项能耗拆分!AQ25</f>
        <v>4162948800444.8569</v>
      </c>
      <c r="AR5" s="1">
        <f>建筑各项能耗拆分!$B$18*建筑各项能耗拆分!AR25</f>
        <v>4179844478636.4673</v>
      </c>
    </row>
    <row r="6" spans="1:44" x14ac:dyDescent="0.1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</row>
    <row r="7" spans="1:44" x14ac:dyDescent="0.15">
      <c r="A7" t="s">
        <v>5</v>
      </c>
      <c r="B7" s="1">
        <f>建筑各项能耗拆分!$B$18*建筑各项能耗拆分!B27</f>
        <v>14770350673161.422</v>
      </c>
      <c r="C7" s="1">
        <f>建筑各项能耗拆分!$B$18*建筑各项能耗拆分!C27</f>
        <v>14665481183381.971</v>
      </c>
      <c r="D7" s="1">
        <f>建筑各项能耗拆分!$B$18*建筑各项能耗拆分!D27</f>
        <v>15024297875648.219</v>
      </c>
      <c r="E7" s="1">
        <f>建筑各项能耗拆分!$B$18*建筑各项能耗拆分!E27</f>
        <v>15213043880966.438</v>
      </c>
      <c r="F7" s="1">
        <f>建筑各项能耗拆分!$B$18*建筑各项能耗拆分!F27</f>
        <v>15396300602835.877</v>
      </c>
      <c r="G7" s="1">
        <f>建筑各项能耗拆分!$B$18*建筑各项能耗拆分!G27</f>
        <v>15574034495496.768</v>
      </c>
      <c r="H7" s="1">
        <f>建筑各项能耗拆分!$B$18*建筑各项能耗拆分!H27</f>
        <v>15746220435821.242</v>
      </c>
      <c r="I7" s="1">
        <f>建筑各项能耗拆分!$B$18*建筑各项能耗拆分!I27</f>
        <v>15912843983894.184</v>
      </c>
      <c r="J7" s="1">
        <f>建筑各项能耗拆分!$B$18*建筑各项能耗拆分!J27</f>
        <v>16073899670381.955</v>
      </c>
      <c r="K7" s="1">
        <f>建筑各项能耗拆分!$B$18*建筑各项能耗拆分!K27</f>
        <v>16229392848577.607</v>
      </c>
      <c r="L7" s="1">
        <f>建筑各项能耗拆分!$B$18*建筑各项能耗拆分!L27</f>
        <v>16379339738832.756</v>
      </c>
      <c r="M7" s="1">
        <f>建筑各项能耗拆分!$B$18*建筑各项能耗拆分!M27</f>
        <v>16523767830906.764</v>
      </c>
      <c r="N7" s="1">
        <f>建筑各项能耗拆分!$B$18*建筑各项能耗拆分!N27</f>
        <v>16662716483075.906</v>
      </c>
      <c r="O7" s="1">
        <f>建筑各项能耗拆分!$B$18*建筑各项能耗拆分!O27</f>
        <v>16796237351741.076</v>
      </c>
      <c r="P7" s="1">
        <f>建筑各项能耗拆分!$B$18*建筑各项能耗拆分!P27</f>
        <v>16924395454931.666</v>
      </c>
      <c r="Q7" s="1">
        <f>建筑各项能耗拆分!$B$18*建筑各项能耗拆分!Q27</f>
        <v>17047268657831.451</v>
      </c>
      <c r="R7" s="1">
        <f>建筑各项能耗拆分!$B$18*建筑各项能耗拆分!R27</f>
        <v>17164949461388.545</v>
      </c>
      <c r="S7" s="1">
        <f>建筑各项能耗拆分!$B$18*建筑各项能耗拆分!S27</f>
        <v>17277545000846.197</v>
      </c>
      <c r="T7" s="1">
        <f>建筑各项能耗拆分!$B$18*建筑各项能耗拆分!T27</f>
        <v>17385177298043.943</v>
      </c>
      <c r="U7" s="1">
        <f>建筑各项能耗拆分!$B$18*建筑各项能耗拆分!U27</f>
        <v>17487984699196.24</v>
      </c>
      <c r="V7" s="1">
        <f>建筑各项能耗拆分!$B$18*建筑各项能耗拆分!V27</f>
        <v>17586121667165.889</v>
      </c>
      <c r="W7" s="1">
        <f>建筑各项能耗拆分!$B$18*建筑各项能耗拆分!W27</f>
        <v>17679759960158.531</v>
      </c>
      <c r="X7" s="1">
        <f>建筑各项能耗拆分!$B$18*建筑各项能耗拆分!X27</f>
        <v>17769089365741.668</v>
      </c>
      <c r="Y7" s="1">
        <f>建筑各项能耗拆分!$B$18*建筑各项能耗拆分!Y27</f>
        <v>17854318483529.125</v>
      </c>
      <c r="Z7" s="1">
        <f>建筑各项能耗拆分!$B$18*建筑各项能耗拆分!Z27</f>
        <v>17935674490313.699</v>
      </c>
      <c r="AA7" s="1">
        <f>建筑各项能耗拆分!$B$18*建筑各项能耗拆分!AA27</f>
        <v>18013405023928.066</v>
      </c>
      <c r="AB7" s="1">
        <f>建筑各项能耗拆分!$B$18*建筑各项能耗拆分!AB27</f>
        <v>18087778442545.355</v>
      </c>
      <c r="AC7" s="1">
        <f>建筑各项能耗拆分!$B$18*建筑各项能耗拆分!AC27</f>
        <v>18159084761608.445</v>
      </c>
      <c r="AD7" s="1">
        <f>建筑各项能耗拆分!$B$18*建筑各项能耗拆分!AD27</f>
        <v>18227635479248.18</v>
      </c>
      <c r="AE7" s="1">
        <f>建筑各项能耗拆分!$B$18*建筑各项能耗拆分!AE27</f>
        <v>18293766600846.516</v>
      </c>
      <c r="AF7" s="1">
        <f>建筑各项能耗拆分!$B$18*建筑各项能耗拆分!AF27</f>
        <v>18357837073024.586</v>
      </c>
      <c r="AG7" s="1">
        <f>建筑各项能耗拆分!$B$18*建筑各项能耗拆分!AG27</f>
        <v>18420231112733.805</v>
      </c>
      <c r="AH7" s="1">
        <f>建筑各项能耗拆分!$B$18*建筑各项能耗拆分!AH27</f>
        <v>18481358822633.66</v>
      </c>
      <c r="AI7" s="1">
        <f>建筑各项能耗拆分!$B$18*建筑各项能耗拆分!AI27</f>
        <v>18541655841947.48</v>
      </c>
      <c r="AJ7" s="1">
        <f>建筑各项能耗拆分!$B$18*建筑各项能耗拆分!AJ27</f>
        <v>18601587129424.23</v>
      </c>
      <c r="AK7" s="1">
        <f>建筑各项能耗拆分!$B$18*建筑各项能耗拆分!AK27</f>
        <v>18661644619862.793</v>
      </c>
      <c r="AL7" s="1">
        <f>建筑各项能耗拆分!$B$18*建筑各项能耗拆分!AL27</f>
        <v>18722350548122.91</v>
      </c>
      <c r="AM7" s="1">
        <f>建筑各项能耗拆分!$B$18*建筑各项能耗拆分!AM27</f>
        <v>18784257700411.777</v>
      </c>
      <c r="AN7" s="1">
        <f>建筑各项能耗拆分!$B$18*建筑各项能耗拆分!AN27</f>
        <v>18847949580028.703</v>
      </c>
      <c r="AO7" s="1">
        <f>建筑各项能耗拆分!$B$18*建筑各项能耗拆分!AO27</f>
        <v>18914043081680.805</v>
      </c>
      <c r="AP7" s="1">
        <f>建筑各项能耗拆分!$B$18*建筑各项能耗拆分!AP27</f>
        <v>18983188163502.98</v>
      </c>
      <c r="AQ7" s="1">
        <f>建筑各项能耗拆分!$B$18*建筑各项能耗拆分!AQ27</f>
        <v>19056070750833.828</v>
      </c>
      <c r="AR7" s="1">
        <f>建筑各项能耗拆分!$B$18*建筑各项能耗拆分!AR27</f>
        <v>19133411418335.73</v>
      </c>
    </row>
    <row r="8" spans="1:44" x14ac:dyDescent="0.15">
      <c r="A8" t="s">
        <v>6</v>
      </c>
      <c r="B8" s="1">
        <f>建筑各项能耗拆分!$B$18*建筑各项能耗拆分!B28</f>
        <v>93678544300.799988</v>
      </c>
      <c r="C8" s="1">
        <f>建筑各项能耗拆分!$B$18*建筑各项能耗拆分!C28</f>
        <v>93013426636.264282</v>
      </c>
      <c r="D8" s="1">
        <f>建筑各项能耗拆分!$B$18*建筑各项能耗拆分!D28</f>
        <v>95289163086.002594</v>
      </c>
      <c r="E8" s="1">
        <f>建筑各项能耗拆分!$B$18*建筑各项能耗拆分!E28</f>
        <v>96486253893.936493</v>
      </c>
      <c r="F8" s="1">
        <f>建筑各项能耗拆分!$B$18*建筑各项能耗拆分!F28</f>
        <v>97648529815.337585</v>
      </c>
      <c r="G8" s="1">
        <f>建筑各项能耗拆分!$B$18*建筑各项能耗拆分!G28</f>
        <v>98775778091.686249</v>
      </c>
      <c r="H8" s="1">
        <f>建筑各项能耗拆分!$B$18*建筑各项能耗拆分!H28</f>
        <v>99867839383.634506</v>
      </c>
      <c r="I8" s="1">
        <f>建筑各项能耗拆分!$B$18*建筑各项能耗拆分!I28</f>
        <v>100924622108.3717</v>
      </c>
      <c r="J8" s="1">
        <f>建筑各项能耗拆分!$B$18*建筑各项能耗拆分!J28</f>
        <v>101946091577.53976</v>
      </c>
      <c r="K8" s="1">
        <f>建筑各项能耗拆分!$B$18*建筑各项能耗拆分!K28</f>
        <v>102932281743.52827</v>
      </c>
      <c r="L8" s="1">
        <f>建筑各项能耗拆分!$B$18*建筑各项能耗拆分!L28</f>
        <v>103883295481.27644</v>
      </c>
      <c r="M8" s="1">
        <f>建筑各项能耗拆分!$B$18*建筑各项能耗拆分!M28</f>
        <v>104799307140.10722</v>
      </c>
      <c r="N8" s="1">
        <f>建筑各项能耗拆分!$B$18*建筑各项能耗拆分!N28</f>
        <v>105680566343.47975</v>
      </c>
      <c r="O8" s="1">
        <f>建筑各项能耗拆分!$B$18*建筑各项能耗拆分!O28</f>
        <v>106527400713.7063</v>
      </c>
      <c r="P8" s="1">
        <f>建筑各项能耗拆分!$B$18*建筑各项能耗拆分!P28</f>
        <v>107340222617.05223</v>
      </c>
      <c r="Q8" s="1">
        <f>建筑各项能耗拆分!$B$18*建筑各项能耗拆分!Q28</f>
        <v>108119525900.76804</v>
      </c>
      <c r="R8" s="1">
        <f>建筑各项能耗拆分!$B$18*建筑各项能耗拆分!R28</f>
        <v>108865897237.0565</v>
      </c>
      <c r="S8" s="1">
        <f>建筑各项能耗拆分!$B$18*建筑各项能耗拆分!S28</f>
        <v>109580016113.75468</v>
      </c>
      <c r="T8" s="1">
        <f>建筑各项能耗拆分!$B$18*建筑各项能耗拆分!T28</f>
        <v>110262656434.51274</v>
      </c>
      <c r="U8" s="1">
        <f>建筑各项能耗拆分!$B$18*建筑各项能耗拆分!U28</f>
        <v>110914695637.67096</v>
      </c>
      <c r="V8" s="1">
        <f>建筑各项能耗拆分!$B$18*建筑各项能耗拆分!V28</f>
        <v>111537113378.78767</v>
      </c>
      <c r="W8" s="1">
        <f>建筑各项能耗拆分!$B$18*建筑各项能耗拆分!W28</f>
        <v>112130999006.31726</v>
      </c>
      <c r="X8" s="1">
        <f>建筑各项能耗拆分!$B$18*建筑各项能耗拆分!X28</f>
        <v>112697556217.00623</v>
      </c>
      <c r="Y8" s="1">
        <f>建筑各项能耗拆分!$B$18*建筑各项能耗拆分!Y28</f>
        <v>113238108019.94196</v>
      </c>
      <c r="Z8" s="1">
        <f>建筑各项能耗拆分!$B$18*建筑各项能耗拆分!Z28</f>
        <v>113754095246.94485</v>
      </c>
      <c r="AA8" s="1">
        <f>建筑各项能耗拆分!$B$18*建筑各项能耗拆分!AA28</f>
        <v>114247088500.64935</v>
      </c>
      <c r="AB8" s="1">
        <f>建筑各项能耗拆分!$B$18*建筑各项能耗拆分!AB28</f>
        <v>114718789799.07564</v>
      </c>
      <c r="AC8" s="1">
        <f>建筑各项能耗拆分!$B$18*建筑各项能耗拆分!AC28</f>
        <v>115171038517.95111</v>
      </c>
      <c r="AD8" s="1">
        <f>建筑各项能耗拆分!$B$18*建筑各项能耗拆分!AD28</f>
        <v>115605810283.45387</v>
      </c>
      <c r="AE8" s="1">
        <f>建筑各项能耗拆分!$B$18*建筑各项能耗拆分!AE28</f>
        <v>116025236155.01208</v>
      </c>
      <c r="AF8" s="1">
        <f>建筑各项能耗拆分!$B$18*建筑各项能耗拆分!AF28</f>
        <v>116431592693.12816</v>
      </c>
      <c r="AG8" s="1">
        <f>建筑各项能耗拆分!$B$18*建筑各项能耗拆分!AG28</f>
        <v>116827316731.25998</v>
      </c>
      <c r="AH8" s="1">
        <f>建筑各项能耗拆分!$B$18*建筑各项能耗拆分!AH28</f>
        <v>117215009278.7541</v>
      </c>
      <c r="AI8" s="1">
        <f>建筑各项能耗拆分!$B$18*建筑各项能耗拆分!AI28</f>
        <v>117597433306.45575</v>
      </c>
      <c r="AJ8" s="1">
        <f>建筑各项能耗拆分!$B$18*建筑各项能耗拆分!AJ28</f>
        <v>117977537739.52763</v>
      </c>
      <c r="AK8" s="1">
        <f>建筑各项能耗拆分!$B$18*建筑各项能耗拆分!AK28</f>
        <v>118358442594.33699</v>
      </c>
      <c r="AL8" s="1">
        <f>建筑各项能耗拆分!$B$18*建筑各项能耗拆分!AL28</f>
        <v>118743460060.45374</v>
      </c>
      <c r="AM8" s="1">
        <f>建筑各项能耗拆分!$B$18*建筑各项能耗拆分!AM28</f>
        <v>119136096094.39481</v>
      </c>
      <c r="AN8" s="1">
        <f>建筑各项能耗拆分!$B$18*建筑各项能耗拆分!AN28</f>
        <v>119540051470.83261</v>
      </c>
      <c r="AO8" s="1">
        <f>建筑各项能耗拆分!$B$18*建筑各项能耗拆分!AO28</f>
        <v>119959238744.00696</v>
      </c>
      <c r="AP8" s="1">
        <f>建筑各项能耗拆分!$B$18*建筑各项能耗拆分!AP28</f>
        <v>120397780167.56511</v>
      </c>
      <c r="AQ8" s="1">
        <f>建筑各项能耗拆分!$B$18*建筑各项能耗拆分!AQ28</f>
        <v>120860026111.28772</v>
      </c>
      <c r="AR8" s="1">
        <f>建筑各项能耗拆分!$B$18*建筑各项能耗拆分!AR28</f>
        <v>121350546702.65022</v>
      </c>
    </row>
    <row r="9" spans="1:44" x14ac:dyDescent="0.15">
      <c r="A9" t="s">
        <v>7</v>
      </c>
      <c r="B9" s="1">
        <f>建筑各项能耗拆分!$B$18*建筑各项能耗拆分!B29</f>
        <v>0</v>
      </c>
      <c r="C9" s="1">
        <f>建筑各项能耗拆分!$B$18*建筑各项能耗拆分!C29</f>
        <v>0</v>
      </c>
      <c r="D9" s="1">
        <f>建筑各项能耗拆分!$B$18*建筑各项能耗拆分!D29</f>
        <v>0</v>
      </c>
      <c r="E9" s="1">
        <f>建筑各项能耗拆分!$B$18*建筑各项能耗拆分!E29</f>
        <v>0</v>
      </c>
      <c r="F9" s="1">
        <f>建筑各项能耗拆分!$B$18*建筑各项能耗拆分!F29</f>
        <v>0</v>
      </c>
      <c r="G9" s="1">
        <f>建筑各项能耗拆分!$B$18*建筑各项能耗拆分!G29</f>
        <v>0</v>
      </c>
      <c r="H9" s="1">
        <f>建筑各项能耗拆分!$B$18*建筑各项能耗拆分!H29</f>
        <v>0</v>
      </c>
      <c r="I9" s="1">
        <f>建筑各项能耗拆分!$B$18*建筑各项能耗拆分!I29</f>
        <v>0</v>
      </c>
      <c r="J9" s="1">
        <f>建筑各项能耗拆分!$B$18*建筑各项能耗拆分!J29</f>
        <v>0</v>
      </c>
      <c r="K9" s="1">
        <f>建筑各项能耗拆分!$B$18*建筑各项能耗拆分!K29</f>
        <v>0</v>
      </c>
      <c r="L9" s="1">
        <f>建筑各项能耗拆分!$B$18*建筑各项能耗拆分!L29</f>
        <v>0</v>
      </c>
      <c r="M9" s="1">
        <f>建筑各项能耗拆分!$B$18*建筑各项能耗拆分!M29</f>
        <v>0</v>
      </c>
      <c r="N9" s="1">
        <f>建筑各项能耗拆分!$B$18*建筑各项能耗拆分!N29</f>
        <v>0</v>
      </c>
      <c r="O9" s="1">
        <f>建筑各项能耗拆分!$B$18*建筑各项能耗拆分!O29</f>
        <v>0</v>
      </c>
      <c r="P9" s="1">
        <f>建筑各项能耗拆分!$B$18*建筑各项能耗拆分!P29</f>
        <v>0</v>
      </c>
      <c r="Q9" s="1">
        <f>建筑各项能耗拆分!$B$18*建筑各项能耗拆分!Q29</f>
        <v>0</v>
      </c>
      <c r="R9" s="1">
        <f>建筑各项能耗拆分!$B$18*建筑各项能耗拆分!R29</f>
        <v>0</v>
      </c>
      <c r="S9" s="1">
        <f>建筑各项能耗拆分!$B$18*建筑各项能耗拆分!S29</f>
        <v>0</v>
      </c>
      <c r="T9" s="1">
        <f>建筑各项能耗拆分!$B$18*建筑各项能耗拆分!T29</f>
        <v>0</v>
      </c>
      <c r="U9" s="1">
        <f>建筑各项能耗拆分!$B$18*建筑各项能耗拆分!U29</f>
        <v>0</v>
      </c>
      <c r="V9" s="1">
        <f>建筑各项能耗拆分!$B$18*建筑各项能耗拆分!V29</f>
        <v>0</v>
      </c>
      <c r="W9" s="1">
        <f>建筑各项能耗拆分!$B$18*建筑各项能耗拆分!W29</f>
        <v>0</v>
      </c>
      <c r="X9" s="1">
        <f>建筑各项能耗拆分!$B$18*建筑各项能耗拆分!X29</f>
        <v>0</v>
      </c>
      <c r="Y9" s="1">
        <f>建筑各项能耗拆分!$B$18*建筑各项能耗拆分!Y29</f>
        <v>0</v>
      </c>
      <c r="Z9" s="1">
        <f>建筑各项能耗拆分!$B$18*建筑各项能耗拆分!Z29</f>
        <v>0</v>
      </c>
      <c r="AA9" s="1">
        <f>建筑各项能耗拆分!$B$18*建筑各项能耗拆分!AA29</f>
        <v>0</v>
      </c>
      <c r="AB9" s="1">
        <f>建筑各项能耗拆分!$B$18*建筑各项能耗拆分!AB29</f>
        <v>0</v>
      </c>
      <c r="AC9" s="1">
        <f>建筑各项能耗拆分!$B$18*建筑各项能耗拆分!AC29</f>
        <v>0</v>
      </c>
      <c r="AD9" s="1">
        <f>建筑各项能耗拆分!$B$18*建筑各项能耗拆分!AD29</f>
        <v>0</v>
      </c>
      <c r="AE9" s="1">
        <f>建筑各项能耗拆分!$B$18*建筑各项能耗拆分!AE29</f>
        <v>0</v>
      </c>
      <c r="AF9" s="1">
        <f>建筑各项能耗拆分!$B$18*建筑各项能耗拆分!AF29</f>
        <v>0</v>
      </c>
      <c r="AG9" s="1">
        <f>建筑各项能耗拆分!$B$18*建筑各项能耗拆分!AG29</f>
        <v>0</v>
      </c>
      <c r="AH9" s="1">
        <f>建筑各项能耗拆分!$B$18*建筑各项能耗拆分!AH29</f>
        <v>0</v>
      </c>
      <c r="AI9" s="1">
        <f>建筑各项能耗拆分!$B$18*建筑各项能耗拆分!AI29</f>
        <v>0</v>
      </c>
      <c r="AJ9" s="1">
        <f>建筑各项能耗拆分!$B$18*建筑各项能耗拆分!AJ29</f>
        <v>0</v>
      </c>
      <c r="AK9" s="1">
        <f>建筑各项能耗拆分!$B$18*建筑各项能耗拆分!AK29</f>
        <v>0</v>
      </c>
      <c r="AL9" s="1">
        <f>建筑各项能耗拆分!$B$18*建筑各项能耗拆分!AL29</f>
        <v>0</v>
      </c>
      <c r="AM9" s="1">
        <f>建筑各项能耗拆分!$B$18*建筑各项能耗拆分!AM29</f>
        <v>0</v>
      </c>
      <c r="AN9" s="1">
        <f>建筑各项能耗拆分!$B$18*建筑各项能耗拆分!AN29</f>
        <v>0</v>
      </c>
      <c r="AO9" s="1">
        <f>建筑各项能耗拆分!$B$18*建筑各项能耗拆分!AO29</f>
        <v>0</v>
      </c>
      <c r="AP9" s="1">
        <f>建筑各项能耗拆分!$B$18*建筑各项能耗拆分!AP29</f>
        <v>0</v>
      </c>
      <c r="AQ9" s="1">
        <f>建筑各项能耗拆分!$B$18*建筑各项能耗拆分!AQ29</f>
        <v>0</v>
      </c>
      <c r="AR9" s="1">
        <f>建筑各项能耗拆分!$B$18*建筑各项能耗拆分!AR29</f>
        <v>0</v>
      </c>
    </row>
    <row r="10" spans="1:44" x14ac:dyDescent="0.15">
      <c r="A10" t="s">
        <v>8</v>
      </c>
      <c r="B10" s="1">
        <f>建筑各项能耗拆分!$B$18*建筑各项能耗拆分!B30</f>
        <v>91291436048641.234</v>
      </c>
      <c r="C10" s="1">
        <f>建筑各项能耗拆分!$B$18*建筑各项能耗拆分!C30</f>
        <v>90643266852695.859</v>
      </c>
      <c r="D10" s="1">
        <f>建筑各项能耗拆分!$B$18*建筑各项能耗拆分!D30</f>
        <v>92861013190616.641</v>
      </c>
      <c r="E10" s="1">
        <f>建筑各项能耗拆分!$B$18*建筑各项能耗拆分!E30</f>
        <v>94027599838099.156</v>
      </c>
      <c r="F10" s="1">
        <f>建筑各项能耗拆分!$B$18*建筑各项能耗拆分!F30</f>
        <v>95160258748860.609</v>
      </c>
      <c r="G10" s="1">
        <f>建筑各项能耗拆分!$B$18*建筑各项能耗拆分!G30</f>
        <v>96258782585874.875</v>
      </c>
      <c r="H10" s="1">
        <f>建筑各项能耗拆分!$B$18*建筑各项能耗拆分!H30</f>
        <v>97323016070064.891</v>
      </c>
      <c r="I10" s="1">
        <f>建筑各项能耗拆分!$B$18*建筑各项能耗拆分!I30</f>
        <v>98352869952325</v>
      </c>
      <c r="J10" s="1">
        <f>建筑各项能耗拆分!$B$18*建筑各项能耗拆分!J30</f>
        <v>99348310428222.766</v>
      </c>
      <c r="K10" s="1">
        <f>建筑各项能耗拆分!$B$18*建筑各项能耗拆分!K30</f>
        <v>100309370584975.95</v>
      </c>
      <c r="L10" s="1">
        <f>建筑各项能耗拆分!$B$18*建筑各项能耗拆分!L30</f>
        <v>101236150676073.89</v>
      </c>
      <c r="M10" s="1">
        <f>建筑各项能耗拆分!$B$18*建筑各项能耗拆分!M30</f>
        <v>102128820608085.69</v>
      </c>
      <c r="N10" s="1">
        <f>建筑各项能耗拆分!$B$18*建筑各项能耗拆分!N30</f>
        <v>102987623643587.95</v>
      </c>
      <c r="O10" s="1">
        <f>建筑各项能耗拆分!$B$18*建筑各项能耗拆分!O30</f>
        <v>103812879056450.58</v>
      </c>
      <c r="P10" s="1">
        <f>建筑各项能耗拆分!$B$18*建筑各项能耗拆分!P30</f>
        <v>104604988705058.84</v>
      </c>
      <c r="Q10" s="1">
        <f>建筑各项能耗拆分!$B$18*建筑各项能耗拆分!Q30</f>
        <v>105364433852491.94</v>
      </c>
      <c r="R10" s="1">
        <f>建筑各项能耗拆分!$B$18*建筑各项能耗拆分!R30</f>
        <v>106091786221424.25</v>
      </c>
      <c r="S10" s="1">
        <f>建筑各项能耗拆分!$B$18*建筑各项能耗拆分!S30</f>
        <v>106787707985044.81</v>
      </c>
      <c r="T10" s="1">
        <f>建筑各项能耗拆分!$B$18*建筑各项能耗拆分!T30</f>
        <v>107452953326460.48</v>
      </c>
      <c r="U10" s="1">
        <f>建筑各项能耗拆分!$B$18*建筑各项能耗拆分!U30</f>
        <v>108088377325206.52</v>
      </c>
      <c r="V10" s="1">
        <f>建筑各项能耗拆分!$B$18*建筑各项能耗拆分!V30</f>
        <v>108694934673346.41</v>
      </c>
      <c r="W10" s="1">
        <f>建筑各项能耗拆分!$B$18*建筑各项能耗拆分!W30</f>
        <v>109273686960654.97</v>
      </c>
      <c r="X10" s="1">
        <f>建筑各项能耗拆分!$B$18*建筑各项能耗拆分!X30</f>
        <v>109825807211386.36</v>
      </c>
      <c r="Y10" s="1">
        <f>建筑各项能耗拆分!$B$18*建筑各项能耗拆分!Y30</f>
        <v>110352584721829.19</v>
      </c>
      <c r="Z10" s="1">
        <f>建筑各项能耗拆分!$B$18*建筑各项能耗拆分!Z30</f>
        <v>110855423608656.86</v>
      </c>
      <c r="AA10" s="1">
        <f>建筑各项能耗拆分!$B$18*建筑各项能耗拆分!AA30</f>
        <v>111335854452548.52</v>
      </c>
      <c r="AB10" s="1">
        <f>建筑各项能耗拆分!$B$18*建筑各项能耗拆分!AB30</f>
        <v>111795535900854.03</v>
      </c>
      <c r="AC10" s="1">
        <f>建筑各项能耗拆分!$B$18*建筑各项能耗拆分!AC30</f>
        <v>112236260458493.72</v>
      </c>
      <c r="AD10" s="1">
        <f>建筑各项能耗拆分!$B$18*建筑各项能耗拆分!AD30</f>
        <v>112659953408916.86</v>
      </c>
      <c r="AE10" s="1">
        <f>建筑各项能耗拆分!$B$18*建筑各项能耗拆分!AE30</f>
        <v>113068691508086.66</v>
      </c>
      <c r="AF10" s="1">
        <f>建筑各项能耗拆分!$B$18*建筑各项能耗拆分!AF30</f>
        <v>113464693305395.27</v>
      </c>
      <c r="AG10" s="1">
        <f>建筑各项能耗拆分!$B$18*建筑各项能耗拆分!AG30</f>
        <v>113850333539129.27</v>
      </c>
      <c r="AH10" s="1">
        <f>建筑各项能耗拆分!$B$18*建筑各项能耗拆分!AH30</f>
        <v>114228146939948.66</v>
      </c>
      <c r="AI10" s="1">
        <f>建筑各项能耗拆分!$B$18*建筑各项能耗拆分!AI30</f>
        <v>114600826072923.7</v>
      </c>
      <c r="AJ10" s="1">
        <f>建筑各项能耗拆分!$B$18*建筑各项能耗拆分!AJ30</f>
        <v>114971244718971.05</v>
      </c>
      <c r="AK10" s="1">
        <f>建筑各项能耗拆分!$B$18*建筑各项能耗拆分!AK30</f>
        <v>115342443390481.02</v>
      </c>
      <c r="AL10" s="1">
        <f>建筑各项能耗拆分!$B$18*建筑各项能耗拆分!AL30</f>
        <v>115717649876106.44</v>
      </c>
      <c r="AM10" s="1">
        <f>建筑各项能耗拆分!$B$18*建筑各项能耗拆分!AM30</f>
        <v>116100280793895.09</v>
      </c>
      <c r="AN10" s="1">
        <f>建筑各项能耗拆分!$B$18*建筑各项能耗拆分!AN30</f>
        <v>116493942615711.67</v>
      </c>
      <c r="AO10" s="1">
        <f>建筑各项能耗拆分!$B$18*建筑各项能耗拆分!AO30</f>
        <v>116902448196440.19</v>
      </c>
      <c r="AP10" s="1">
        <f>建筑各项能耗拆分!$B$18*建筑各项能耗拆分!AP30</f>
        <v>117329814746830.7</v>
      </c>
      <c r="AQ10" s="1">
        <f>建筑各项能耗拆分!$B$18*建筑各项能耗拆分!AQ30</f>
        <v>117780281780931.89</v>
      </c>
      <c r="AR10" s="1">
        <f>建筑各项能耗拆分!$B$18*建筑各项能耗拆分!AR30</f>
        <v>118258302970641.27</v>
      </c>
    </row>
    <row r="11" spans="1:44" x14ac:dyDescent="0.15">
      <c r="A11" t="s">
        <v>9</v>
      </c>
      <c r="B11" s="1">
        <f>建筑各项能耗拆分!$B$18*建筑各项能耗拆分!B31</f>
        <v>0</v>
      </c>
      <c r="C11" s="1">
        <f>建筑各项能耗拆分!$B$18*建筑各项能耗拆分!C31</f>
        <v>0</v>
      </c>
      <c r="D11" s="1">
        <f>建筑各项能耗拆分!$B$18*建筑各项能耗拆分!D31</f>
        <v>0</v>
      </c>
      <c r="E11" s="1">
        <f>建筑各项能耗拆分!$B$18*建筑各项能耗拆分!E31</f>
        <v>0</v>
      </c>
      <c r="F11" s="1">
        <f>建筑各项能耗拆分!$B$18*建筑各项能耗拆分!F31</f>
        <v>0</v>
      </c>
      <c r="G11" s="1">
        <f>建筑各项能耗拆分!$B$18*建筑各项能耗拆分!G31</f>
        <v>0</v>
      </c>
      <c r="H11" s="1">
        <f>建筑各项能耗拆分!$B$18*建筑各项能耗拆分!H31</f>
        <v>0</v>
      </c>
      <c r="I11" s="1">
        <f>建筑各项能耗拆分!$B$18*建筑各项能耗拆分!I31</f>
        <v>0</v>
      </c>
      <c r="J11" s="1">
        <f>建筑各项能耗拆分!$B$18*建筑各项能耗拆分!J31</f>
        <v>0</v>
      </c>
      <c r="K11" s="1">
        <f>建筑各项能耗拆分!$B$18*建筑各项能耗拆分!K31</f>
        <v>0</v>
      </c>
      <c r="L11" s="1">
        <f>建筑各项能耗拆分!$B$18*建筑各项能耗拆分!L31</f>
        <v>0</v>
      </c>
      <c r="M11" s="1">
        <f>建筑各项能耗拆分!$B$18*建筑各项能耗拆分!M31</f>
        <v>0</v>
      </c>
      <c r="N11" s="1">
        <f>建筑各项能耗拆分!$B$18*建筑各项能耗拆分!N31</f>
        <v>0</v>
      </c>
      <c r="O11" s="1">
        <f>建筑各项能耗拆分!$B$18*建筑各项能耗拆分!O31</f>
        <v>0</v>
      </c>
      <c r="P11" s="1">
        <f>建筑各项能耗拆分!$B$18*建筑各项能耗拆分!P31</f>
        <v>0</v>
      </c>
      <c r="Q11" s="1">
        <f>建筑各项能耗拆分!$B$18*建筑各项能耗拆分!Q31</f>
        <v>0</v>
      </c>
      <c r="R11" s="1">
        <f>建筑各项能耗拆分!$B$18*建筑各项能耗拆分!R31</f>
        <v>0</v>
      </c>
      <c r="S11" s="1">
        <f>建筑各项能耗拆分!$B$18*建筑各项能耗拆分!S31</f>
        <v>0</v>
      </c>
      <c r="T11" s="1">
        <f>建筑各项能耗拆分!$B$18*建筑各项能耗拆分!T31</f>
        <v>0</v>
      </c>
      <c r="U11" s="1">
        <f>建筑各项能耗拆分!$B$18*建筑各项能耗拆分!U31</f>
        <v>0</v>
      </c>
      <c r="V11" s="1">
        <f>建筑各项能耗拆分!$B$18*建筑各项能耗拆分!V31</f>
        <v>0</v>
      </c>
      <c r="W11" s="1">
        <f>建筑各项能耗拆分!$B$18*建筑各项能耗拆分!W31</f>
        <v>0</v>
      </c>
      <c r="X11" s="1">
        <f>建筑各项能耗拆分!$B$18*建筑各项能耗拆分!X31</f>
        <v>0</v>
      </c>
      <c r="Y11" s="1">
        <f>建筑各项能耗拆分!$B$18*建筑各项能耗拆分!Y31</f>
        <v>0</v>
      </c>
      <c r="Z11" s="1">
        <f>建筑各项能耗拆分!$B$18*建筑各项能耗拆分!Z31</f>
        <v>0</v>
      </c>
      <c r="AA11" s="1">
        <f>建筑各项能耗拆分!$B$18*建筑各项能耗拆分!AA31</f>
        <v>0</v>
      </c>
      <c r="AB11" s="1">
        <f>建筑各项能耗拆分!$B$18*建筑各项能耗拆分!AB31</f>
        <v>0</v>
      </c>
      <c r="AC11" s="1">
        <f>建筑各项能耗拆分!$B$18*建筑各项能耗拆分!AC31</f>
        <v>0</v>
      </c>
      <c r="AD11" s="1">
        <f>建筑各项能耗拆分!$B$18*建筑各项能耗拆分!AD31</f>
        <v>0</v>
      </c>
      <c r="AE11" s="1">
        <f>建筑各项能耗拆分!$B$18*建筑各项能耗拆分!AE31</f>
        <v>0</v>
      </c>
      <c r="AF11" s="1">
        <f>建筑各项能耗拆分!$B$18*建筑各项能耗拆分!AF31</f>
        <v>0</v>
      </c>
      <c r="AG11" s="1">
        <f>建筑各项能耗拆分!$B$18*建筑各项能耗拆分!AG31</f>
        <v>0</v>
      </c>
      <c r="AH11" s="1">
        <f>建筑各项能耗拆分!$B$18*建筑各项能耗拆分!AH31</f>
        <v>0</v>
      </c>
      <c r="AI11" s="1">
        <f>建筑各项能耗拆分!$B$18*建筑各项能耗拆分!AI31</f>
        <v>0</v>
      </c>
      <c r="AJ11" s="1">
        <f>建筑各项能耗拆分!$B$18*建筑各项能耗拆分!AJ31</f>
        <v>0</v>
      </c>
      <c r="AK11" s="1">
        <f>建筑各项能耗拆分!$B$18*建筑各项能耗拆分!AK31</f>
        <v>0</v>
      </c>
      <c r="AL11" s="1">
        <f>建筑各项能耗拆分!$B$18*建筑各项能耗拆分!AL31</f>
        <v>0</v>
      </c>
      <c r="AM11" s="1">
        <f>建筑各项能耗拆分!$B$18*建筑各项能耗拆分!AM31</f>
        <v>0</v>
      </c>
      <c r="AN11" s="1">
        <f>建筑各项能耗拆分!$B$18*建筑各项能耗拆分!AN31</f>
        <v>0</v>
      </c>
      <c r="AO11" s="1">
        <f>建筑各项能耗拆分!$B$18*建筑各项能耗拆分!AO31</f>
        <v>0</v>
      </c>
      <c r="AP11" s="1">
        <f>建筑各项能耗拆分!$B$18*建筑各项能耗拆分!AP31</f>
        <v>0</v>
      </c>
      <c r="AQ11" s="1">
        <f>建筑各项能耗拆分!$B$18*建筑各项能耗拆分!AQ31</f>
        <v>0</v>
      </c>
      <c r="AR11" s="1">
        <f>建筑各项能耗拆分!$B$18*建筑各项能耗拆分!AR31</f>
        <v>0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70B0-A8DB-4DDF-B421-7B353D35FA07}">
  <sheetPr>
    <tabColor rgb="FF00B0F0"/>
  </sheetPr>
  <dimension ref="A1:AR12"/>
  <sheetViews>
    <sheetView workbookViewId="0"/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建筑各项能耗拆分!$B$18*建筑各项能耗拆分!B87</f>
        <v>698782502632762.38</v>
      </c>
      <c r="C2" s="1">
        <f>建筑各项能耗拆分!$B$18*建筑各项能耗拆分!C87</f>
        <v>713215808066750.13</v>
      </c>
      <c r="D2" s="1">
        <f>建筑各项能耗拆分!$B$18*建筑各项能耗拆分!D87</f>
        <v>732269502331832.13</v>
      </c>
      <c r="E2" s="1">
        <f>建筑各项能耗拆分!$B$18*建筑各项能耗拆分!E87</f>
        <v>742023962815019</v>
      </c>
      <c r="F2" s="1">
        <f>建筑各项能耗拆分!$B$18*建筑各项能耗拆分!F87</f>
        <v>751542680190569.88</v>
      </c>
      <c r="G2" s="1">
        <f>建筑各项能耗拆分!$B$18*建筑各项能耗拆分!G87</f>
        <v>760820404949435.38</v>
      </c>
      <c r="H2" s="1">
        <f>建筑各项能耗拆分!$B$18*建筑各项能耗拆分!H87</f>
        <v>769852384277155.63</v>
      </c>
      <c r="I2" s="1">
        <f>建筑各项能耗拆分!$B$18*建筑各项能耗拆分!I87</f>
        <v>778634437765283.75</v>
      </c>
      <c r="J2" s="1">
        <f>建筑各项能耗拆分!$B$18*建筑各项能耗拆分!J87</f>
        <v>787162921766403</v>
      </c>
      <c r="K2" s="1">
        <f>建筑各项能耗拆分!$B$18*建筑各项能耗拆分!K87</f>
        <v>795434836886141.5</v>
      </c>
      <c r="L2" s="1">
        <f>建筑各项能耗拆分!$B$18*建筑各项能耗拆分!L87</f>
        <v>803447794320305.13</v>
      </c>
      <c r="M2" s="1">
        <f>建筑各项能耗拆分!$B$18*建筑各项能耗拆分!M87</f>
        <v>811200088832433.25</v>
      </c>
      <c r="N2" s="1">
        <f>建筑各项能耗拆分!$B$18*建筑各项能耗拆分!N87</f>
        <v>818690724623910.13</v>
      </c>
      <c r="O2" s="1">
        <f>建筑各项能耗拆分!$B$18*建筑各项能耗拆分!O87</f>
        <v>825919434857544</v>
      </c>
      <c r="P2" s="1">
        <f>建筑各项能耗拆分!$B$18*建筑各项能耗拆分!P87</f>
        <v>832886761428816.13</v>
      </c>
      <c r="Q2" s="1">
        <f>建筑各项能耗拆分!$B$18*建筑各项能耗拆分!Q87</f>
        <v>839594035410314</v>
      </c>
      <c r="R2" s="1">
        <f>建筑各项能耗拆分!$B$18*建筑各项能耗拆分!R87</f>
        <v>846043466292124.38</v>
      </c>
      <c r="S2" s="1">
        <f>建筑各项能耗拆分!$B$18*建筑各项能耗拆分!S87</f>
        <v>852238151614879.88</v>
      </c>
      <c r="T2" s="1">
        <f>建筑各项能耗拆分!$B$18*建筑各项能耗拆分!T87</f>
        <v>858182132138700.5</v>
      </c>
      <c r="U2" s="1">
        <f>建筑各项能耗拆分!$B$18*建筑各项能耗拆分!U87</f>
        <v>863880446535209.63</v>
      </c>
      <c r="V2" s="1">
        <f>建筑各项能耗拆分!$B$18*建筑各项能耗拆分!V87</f>
        <v>869339135520183.25</v>
      </c>
      <c r="W2" s="1">
        <f>建筑各项能耗拆分!$B$18*建筑各项能耗拆分!W87</f>
        <v>874565329194898.13</v>
      </c>
      <c r="X2" s="1">
        <f>建筑各项能耗拆分!$B$18*建筑各项能耗拆分!X87</f>
        <v>879567280974946</v>
      </c>
      <c r="Y2" s="1">
        <f>建筑各项能耗拆分!$B$18*建筑各项能耗拆分!Y87</f>
        <v>884354419400087.5</v>
      </c>
      <c r="Z2" s="1">
        <f>建筑各项能耗拆分!$B$18*建筑各项能耗拆分!Z87</f>
        <v>888937375234568.88</v>
      </c>
      <c r="AA2" s="1">
        <f>建筑各项能耗拆分!$B$18*建筑各项能耗拆分!AA87</f>
        <v>893328050683552.38</v>
      </c>
      <c r="AB2" s="1">
        <f>建筑各项能耗拆分!$B$18*建筑各项能耗拆分!AB87</f>
        <v>897539696866802.75</v>
      </c>
      <c r="AC2" s="1">
        <f>建筑各项能耗拆分!$B$18*建筑各项能耗拆分!AC87</f>
        <v>901586919629373.88</v>
      </c>
      <c r="AD2" s="1">
        <f>建筑各项能耗拆分!$B$18*建筑各项能耗拆分!AD87</f>
        <v>905485747859585.88</v>
      </c>
      <c r="AE2" s="1">
        <f>建筑各项能耗拆分!$B$18*建筑各项能耗拆分!AE87</f>
        <v>909253743564437.63</v>
      </c>
      <c r="AF2" s="1">
        <f>建筑各项能耗拆分!$B$18*建筑各项能耗拆分!AF87</f>
        <v>912909981903323.13</v>
      </c>
      <c r="AG2" s="1">
        <f>建筑各项能耗拆分!$B$18*建筑各项能耗拆分!AG87</f>
        <v>916475154197812</v>
      </c>
      <c r="AH2" s="1">
        <f>建筑各项能耗拆分!$B$18*建筑各项能耗拆分!AH87</f>
        <v>919971648536095.38</v>
      </c>
      <c r="AI2" s="1">
        <f>建筑各项能耗拆分!$B$18*建筑各项能耗拆分!AI87</f>
        <v>923423550585444.88</v>
      </c>
      <c r="AJ2" s="1">
        <f>建筑各项能耗拆分!$B$18*建筑各项能耗拆分!AJ87</f>
        <v>926856797629296.13</v>
      </c>
      <c r="AK2" s="1">
        <f>建筑各项能耗拆分!$B$18*建筑各项能耗拆分!AK87</f>
        <v>930299143474522.63</v>
      </c>
      <c r="AL2" s="1">
        <f>建筑各项能耗拆分!$B$18*建筑各项能耗拆分!AL87</f>
        <v>933780329142504.75</v>
      </c>
      <c r="AM2" s="1">
        <f>建筑各项能耗拆分!$B$18*建筑各项能耗拆分!AM87</f>
        <v>937332090749089</v>
      </c>
      <c r="AN2" s="1">
        <f>建筑各项能耗拆分!$B$18*建筑各项能耗拆分!AN87</f>
        <v>940988245364396.5</v>
      </c>
      <c r="AO2" s="1">
        <f>建筑各项能耗拆分!$B$18*建筑各项能耗拆分!AO87</f>
        <v>944784769393913.63</v>
      </c>
      <c r="AP2" s="1">
        <f>建筑各项能耗拆分!$B$18*建筑各项能耗拆分!AP87</f>
        <v>948759879189494.63</v>
      </c>
      <c r="AQ2" s="1">
        <f>建筑各项能耗拆分!$B$18*建筑各项能耗拆分!AQ87</f>
        <v>952954132995570.63</v>
      </c>
      <c r="AR2" s="1">
        <f>建筑各项能耗拆分!$B$18*建筑各项能耗拆分!AR87</f>
        <v>957410454783557.88</v>
      </c>
    </row>
    <row r="3" spans="1:44" x14ac:dyDescent="0.15">
      <c r="A3" t="s">
        <v>1</v>
      </c>
      <c r="B3" s="1">
        <f>建筑各项能耗拆分!$B$18*建筑各项能耗拆分!B88</f>
        <v>21462228500102.211</v>
      </c>
      <c r="C3" s="1">
        <f>建筑各项能耗拆分!$B$18*建筑各项能耗拆分!C88</f>
        <v>21905529381376.293</v>
      </c>
      <c r="D3" s="1">
        <f>建筑各项能耗拆分!$B$18*建筑各项能耗拆分!D88</f>
        <v>22490739712985.273</v>
      </c>
      <c r="E3" s="1">
        <f>建筑各项能耗拆分!$B$18*建筑各项能耗拆分!E88</f>
        <v>22790335737494.488</v>
      </c>
      <c r="F3" s="1">
        <f>建筑各项能耗拆分!$B$18*建筑各项能耗拆分!F88</f>
        <v>23082691208005.359</v>
      </c>
      <c r="G3" s="1">
        <f>建筑各项能耗拆分!$B$18*建筑各项能耗拆分!G88</f>
        <v>23367644892428.789</v>
      </c>
      <c r="H3" s="1">
        <f>建筑各项能耗拆分!$B$18*建筑各项能耗拆分!H88</f>
        <v>23645050814027.266</v>
      </c>
      <c r="I3" s="1">
        <f>建筑各项能耗拆分!$B$18*建筑各项能耗拆分!I88</f>
        <v>23914780576796.355</v>
      </c>
      <c r="J3" s="1">
        <f>建筑各项能耗拆分!$B$18*建筑各项能耗拆分!J88</f>
        <v>24176722270673.711</v>
      </c>
      <c r="K3" s="1">
        <f>建筑各项能耗拆分!$B$18*建筑各项能耗拆分!K88</f>
        <v>24430783773021.578</v>
      </c>
      <c r="L3" s="1">
        <f>建筑各项能耗拆分!$B$18*建筑各项能耗拆分!L88</f>
        <v>24676891714713.973</v>
      </c>
      <c r="M3" s="1">
        <f>建筑各项能耗拆分!$B$18*建筑各项能耗拆分!M88</f>
        <v>24914993721550.887</v>
      </c>
      <c r="N3" s="1">
        <f>建筑各项能耗拆分!$B$18*建筑各项能耗拆分!N88</f>
        <v>25145059208826.273</v>
      </c>
      <c r="O3" s="1">
        <f>建筑各项能耗拆分!$B$18*建筑各项能耗拆分!O88</f>
        <v>25367079980970.324</v>
      </c>
      <c r="P3" s="1">
        <f>建筑各项能耗拆分!$B$18*建筑各项能耗拆分!P88</f>
        <v>25581072681623.367</v>
      </c>
      <c r="Q3" s="1">
        <f>建筑各项能耗拆分!$B$18*建筑各项能耗拆分!Q88</f>
        <v>25787078193011.152</v>
      </c>
      <c r="R3" s="1">
        <f>建筑各项能耗拆分!$B$18*建筑各项能耗拆分!R88</f>
        <v>25985164376851.633</v>
      </c>
      <c r="S3" s="1">
        <f>建筑各项能耗拆分!$B$18*建筑各项能耗拆分!S88</f>
        <v>26175426370221.957</v>
      </c>
      <c r="T3" s="1">
        <f>建筑各项能耗拆分!$B$18*建筑各项能耗拆分!T88</f>
        <v>26357988280003.262</v>
      </c>
      <c r="U3" s="1">
        <f>建筑各项能耗拆分!$B$18*建筑各项能耗拆分!U88</f>
        <v>26533004862677.445</v>
      </c>
      <c r="V3" s="1">
        <f>建筑各项能耗拆分!$B$18*建筑各项能耗拆分!V88</f>
        <v>26700661651256.285</v>
      </c>
      <c r="W3" s="1">
        <f>建筑各项能耗拆分!$B$18*建筑各项能耗拆分!W88</f>
        <v>26861177637861.445</v>
      </c>
      <c r="X3" s="1">
        <f>建筑各项能耗拆分!$B$18*建筑各项能耗拆分!X88</f>
        <v>27014806315805.465</v>
      </c>
      <c r="Y3" s="1">
        <f>建筑各项能耗拆分!$B$18*建筑各项能耗拆分!Y88</f>
        <v>27161837270866.457</v>
      </c>
      <c r="Z3" s="1">
        <f>建筑各项能耗拆分!$B$18*建筑各项能耗拆分!Z88</f>
        <v>27302597013640.391</v>
      </c>
      <c r="AA3" s="1">
        <f>建筑各项能耗拆分!$B$18*建筑各项能耗拆分!AA88</f>
        <v>27437451105436.953</v>
      </c>
      <c r="AB3" s="1">
        <f>建筑各项能耗拆分!$B$18*建筑各项能耗拆分!AB88</f>
        <v>27566806537786.707</v>
      </c>
      <c r="AC3" s="1">
        <f>建筑各项能耗拆分!$B$18*建筑各项能耗拆分!AC88</f>
        <v>27691111910909.031</v>
      </c>
      <c r="AD3" s="1">
        <f>建筑各项能耗拆分!$B$18*建筑各项能耗拆分!AD88</f>
        <v>27810859532013.156</v>
      </c>
      <c r="AE3" s="1">
        <f>建筑各项能耗拆分!$B$18*建筑各项能耗拆分!AE88</f>
        <v>27926588796126.445</v>
      </c>
      <c r="AF3" s="1">
        <f>建筑各项能耗拆分!$B$18*建筑各项能耗拆分!AF88</f>
        <v>28038885572855.027</v>
      </c>
      <c r="AG3" s="1">
        <f>建筑各项能耗拆分!$B$18*建筑各项能耗拆分!AG88</f>
        <v>28148385370200.082</v>
      </c>
      <c r="AH3" s="1">
        <f>建筑各项能耗拆分!$B$18*建筑各项能耗拆分!AH88</f>
        <v>28255775810222.285</v>
      </c>
      <c r="AI3" s="1">
        <f>建筑各项能耗拆分!$B$18*建筑各项能耗拆分!AI88</f>
        <v>28361796653995.535</v>
      </c>
      <c r="AJ3" s="1">
        <f>建筑各项能耗拆分!$B$18*建筑各项能耗拆分!AJ88</f>
        <v>28467244532662.813</v>
      </c>
      <c r="AK3" s="1">
        <f>建筑各项能耗拆分!$B$18*建筑各项能耗拆分!AK88</f>
        <v>28572971869607.105</v>
      </c>
      <c r="AL3" s="1">
        <f>建筑各项能耗拆分!$B$18*建筑各项能耗拆分!AL88</f>
        <v>28679892123013.59</v>
      </c>
      <c r="AM3" s="1">
        <f>建筑各项能耗拆分!$B$18*建筑各项能耗拆分!AM88</f>
        <v>28788980027892.715</v>
      </c>
      <c r="AN3" s="1">
        <f>建筑各项能耗拆分!$B$18*建筑各项能耗拆分!AN88</f>
        <v>28901274233156.57</v>
      </c>
      <c r="AO3" s="1">
        <f>建筑各项能耗拆分!$B$18*建筑各项能耗拆分!AO88</f>
        <v>29017879708995.809</v>
      </c>
      <c r="AP3" s="1">
        <f>建筑各项能耗拆分!$B$18*建筑各项能耗拆分!AP88</f>
        <v>29139970222745.531</v>
      </c>
      <c r="AQ3" s="1">
        <f>建筑各项能耗拆分!$B$18*建筑各项能耗拆分!AQ88</f>
        <v>29268791470035.32</v>
      </c>
      <c r="AR3" s="1">
        <f>建筑各项能耗拆分!$B$18*建筑各项能耗拆分!AR88</f>
        <v>29405661806833.137</v>
      </c>
    </row>
    <row r="4" spans="1:44" x14ac:dyDescent="0.15">
      <c r="A4" t="s">
        <v>2</v>
      </c>
      <c r="B4" s="1">
        <f>建筑各项能耗拆分!$B$18*建筑各项能耗拆分!B89</f>
        <v>1109287534884791.9</v>
      </c>
      <c r="C4" s="1">
        <f>建筑各项能耗拆分!$B$18*建筑各项能耗拆分!C89</f>
        <v>1132199794056687.3</v>
      </c>
      <c r="D4" s="1">
        <f>建筑各项能耗拆分!$B$18*建筑各项能耗拆分!D89</f>
        <v>1162446724198939.5</v>
      </c>
      <c r="E4" s="1">
        <f>建筑各项能耗拆分!$B$18*建筑各项能耗拆分!E89</f>
        <v>1177931515793974.5</v>
      </c>
      <c r="F4" s="1">
        <f>建筑各项能耗拆分!$B$18*建筑各项能耗拆分!F89</f>
        <v>1193042075221274.5</v>
      </c>
      <c r="G4" s="1">
        <f>建筑各项能耗拆分!$B$18*建筑各项能耗拆分!G89</f>
        <v>1207770069108251.3</v>
      </c>
      <c r="H4" s="1">
        <f>建筑各项能耗拆分!$B$18*建筑各项能耗拆分!H89</f>
        <v>1222107952563874.5</v>
      </c>
      <c r="I4" s="1">
        <f>建筑各项能耗拆分!$B$18*建筑各项能耗拆分!I89</f>
        <v>1236049089367341.3</v>
      </c>
      <c r="J4" s="1">
        <f>建筑各项能耗拆分!$B$18*建筑各项能耗拆分!J89</f>
        <v>1249587695383178.8</v>
      </c>
      <c r="K4" s="1">
        <f>建筑各项能耗拆分!$B$18*建筑各项能耗拆分!K89</f>
        <v>1262719009200252.3</v>
      </c>
      <c r="L4" s="1">
        <f>建筑各项能耗拆分!$B$18*建筑各项能耗拆分!L89</f>
        <v>1275439238693393</v>
      </c>
      <c r="M4" s="1">
        <f>建筑各项能耗拆分!$B$18*建筑各项能耗拆分!M89</f>
        <v>1287745676872168</v>
      </c>
      <c r="N4" s="1">
        <f>建筑各项能耗拆分!$B$18*建筑各项能耗拆分!N89</f>
        <v>1299636742948580.5</v>
      </c>
      <c r="O4" s="1">
        <f>建筑各项能耗拆分!$B$18*建筑各项能耗拆分!O89</f>
        <v>1311112013329926</v>
      </c>
      <c r="P4" s="1">
        <f>建筑各项能耗拆分!$B$18*建筑各项能耗拆分!P89</f>
        <v>1322172348252258</v>
      </c>
      <c r="Q4" s="1">
        <f>建筑各项能耗拆分!$B$18*建筑各项能耗拆分!Q89</f>
        <v>1332819860736758.5</v>
      </c>
      <c r="R4" s="1">
        <f>建筑各项能耗拆分!$B$18*建筑各项能耗拆分!R89</f>
        <v>1343058058255068.5</v>
      </c>
      <c r="S4" s="1">
        <f>建筑各项能耗拆分!$B$18*建筑各项能耗拆分!S89</f>
        <v>1352891858021342.5</v>
      </c>
      <c r="T4" s="1">
        <f>建筑各项能耗拆分!$B$18*建筑各项能耗拆分!T89</f>
        <v>1362327674570598</v>
      </c>
      <c r="U4" s="1">
        <f>建筑各项能耗拆分!$B$18*建筑各项能耗拆分!U89</f>
        <v>1371373506579966.3</v>
      </c>
      <c r="V4" s="1">
        <f>建筑各项能耗拆分!$B$18*建筑各项能耗拆分!V89</f>
        <v>1380038943429100.8</v>
      </c>
      <c r="W4" s="1">
        <f>建筑各项能耗拆分!$B$18*建筑各项能耗拆分!W89</f>
        <v>1388335303850852.5</v>
      </c>
      <c r="X4" s="1">
        <f>建筑各项能耗拆分!$B$18*建筑各项能耗拆分!X89</f>
        <v>1396275689791823.5</v>
      </c>
      <c r="Y4" s="1">
        <f>建筑各项能耗拆分!$B$18*建筑各项能耗拆分!Y89</f>
        <v>1403875068658309.3</v>
      </c>
      <c r="Z4" s="1">
        <f>建筑各项能耗拆分!$B$18*建筑各项能耗拆分!Z89</f>
        <v>1411150316336898.3</v>
      </c>
      <c r="AA4" s="1">
        <f>建筑各项能耗拆分!$B$18*建筑各项能耗拆分!AA89</f>
        <v>1418120327072616</v>
      </c>
      <c r="AB4" s="1">
        <f>建筑各项能耗拆分!$B$18*建筑各项能耗拆分!AB89</f>
        <v>1424806136455110.3</v>
      </c>
      <c r="AC4" s="1">
        <f>建筑各项能耗拆分!$B$18*建筑各项能耗拆分!AC89</f>
        <v>1431230930642868.3</v>
      </c>
      <c r="AD4" s="1">
        <f>建筑各项能耗拆分!$B$18*建筑各项能耗拆分!AD89</f>
        <v>1437420154815105.8</v>
      </c>
      <c r="AE4" s="1">
        <f>建筑各项能耗拆分!$B$18*建筑各项能耗拆分!AE89</f>
        <v>1443401687911804.3</v>
      </c>
      <c r="AF4" s="1">
        <f>建筑各项能耗拆分!$B$18*建筑各项能耗拆分!AF89</f>
        <v>1449205810938085.5</v>
      </c>
      <c r="AG4" s="1">
        <f>建筑各项能耗拆分!$B$18*建筑各项能耗拆分!AG89</f>
        <v>1454865370487863.5</v>
      </c>
      <c r="AH4" s="1">
        <f>建筑各项能耗拆分!$B$18*建筑各项能耗拆分!AH89</f>
        <v>1460415906699975</v>
      </c>
      <c r="AI4" s="1">
        <f>建筑各项能耗拆分!$B$18*建筑各项能耗拆分!AI89</f>
        <v>1465895654547924.5</v>
      </c>
      <c r="AJ4" s="1">
        <f>建筑各项能耗拆分!$B$18*建筑各项能耗拆分!AJ89</f>
        <v>1471345788367210.5</v>
      </c>
      <c r="AK4" s="1">
        <f>建筑各项能耗拆分!$B$18*建筑各项能耗拆分!AK89</f>
        <v>1476810366147114</v>
      </c>
      <c r="AL4" s="1">
        <f>建筑各项能耗拆分!$B$18*建筑各项能耗拆分!AL89</f>
        <v>1482336600495517</v>
      </c>
      <c r="AM4" s="1">
        <f>建筑各项能耗拆分!$B$18*建筑各项能耗拆分!AM89</f>
        <v>1487974871148005</v>
      </c>
      <c r="AN4" s="1">
        <f>建筑各项能耗拆分!$B$18*建筑各项能耗拆分!AN89</f>
        <v>1493778861266663.5</v>
      </c>
      <c r="AO4" s="1">
        <f>建筑各项能耗拆分!$B$18*建筑各项能耗拆分!AO89</f>
        <v>1499805681866731</v>
      </c>
      <c r="AP4" s="1">
        <f>建筑各项能耗拆分!$B$18*建筑各项能耗拆分!AP89</f>
        <v>1506115999783139.5</v>
      </c>
      <c r="AQ4" s="1">
        <f>建筑各项能耗拆分!$B$18*建筑各项能耗拆分!AQ89</f>
        <v>1512774199505791.5</v>
      </c>
      <c r="AR4" s="1">
        <f>建筑各项能耗拆分!$B$18*建筑各项能耗拆分!AR89</f>
        <v>1519848421015667.8</v>
      </c>
    </row>
    <row r="5" spans="1:44" x14ac:dyDescent="0.15">
      <c r="A5" t="s">
        <v>3</v>
      </c>
      <c r="B5" s="1">
        <f>建筑各项能耗拆分!$B$18*建筑各项能耗拆分!B90</f>
        <v>0</v>
      </c>
      <c r="C5" s="1">
        <f>建筑各项能耗拆分!$B$18*建筑各项能耗拆分!C90</f>
        <v>0</v>
      </c>
      <c r="D5" s="1">
        <f>建筑各项能耗拆分!$B$18*建筑各项能耗拆分!D90</f>
        <v>0</v>
      </c>
      <c r="E5" s="1">
        <f>建筑各项能耗拆分!$B$18*建筑各项能耗拆分!E90</f>
        <v>0</v>
      </c>
      <c r="F5" s="1">
        <f>建筑各项能耗拆分!$B$18*建筑各项能耗拆分!F90</f>
        <v>0</v>
      </c>
      <c r="G5" s="1">
        <f>建筑各项能耗拆分!$B$18*建筑各项能耗拆分!G90</f>
        <v>0</v>
      </c>
      <c r="H5" s="1">
        <f>建筑各项能耗拆分!$B$18*建筑各项能耗拆分!H90</f>
        <v>0</v>
      </c>
      <c r="I5" s="1">
        <f>建筑各项能耗拆分!$B$18*建筑各项能耗拆分!I90</f>
        <v>0</v>
      </c>
      <c r="J5" s="1">
        <f>建筑各项能耗拆分!$B$18*建筑各项能耗拆分!J90</f>
        <v>0</v>
      </c>
      <c r="K5" s="1">
        <f>建筑各项能耗拆分!$B$18*建筑各项能耗拆分!K90</f>
        <v>0</v>
      </c>
      <c r="L5" s="1">
        <f>建筑各项能耗拆分!$B$18*建筑各项能耗拆分!L90</f>
        <v>0</v>
      </c>
      <c r="M5" s="1">
        <f>建筑各项能耗拆分!$B$18*建筑各项能耗拆分!M90</f>
        <v>0</v>
      </c>
      <c r="N5" s="1">
        <f>建筑各项能耗拆分!$B$18*建筑各项能耗拆分!N90</f>
        <v>0</v>
      </c>
      <c r="O5" s="1">
        <f>建筑各项能耗拆分!$B$18*建筑各项能耗拆分!O90</f>
        <v>0</v>
      </c>
      <c r="P5" s="1">
        <f>建筑各项能耗拆分!$B$18*建筑各项能耗拆分!P90</f>
        <v>0</v>
      </c>
      <c r="Q5" s="1">
        <f>建筑各项能耗拆分!$B$18*建筑各项能耗拆分!Q90</f>
        <v>0</v>
      </c>
      <c r="R5" s="1">
        <f>建筑各项能耗拆分!$B$18*建筑各项能耗拆分!R90</f>
        <v>0</v>
      </c>
      <c r="S5" s="1">
        <f>建筑各项能耗拆分!$B$18*建筑各项能耗拆分!S90</f>
        <v>0</v>
      </c>
      <c r="T5" s="1">
        <f>建筑各项能耗拆分!$B$18*建筑各项能耗拆分!T90</f>
        <v>0</v>
      </c>
      <c r="U5" s="1">
        <f>建筑各项能耗拆分!$B$18*建筑各项能耗拆分!U90</f>
        <v>0</v>
      </c>
      <c r="V5" s="1">
        <f>建筑各项能耗拆分!$B$18*建筑各项能耗拆分!V90</f>
        <v>0</v>
      </c>
      <c r="W5" s="1">
        <f>建筑各项能耗拆分!$B$18*建筑各项能耗拆分!W90</f>
        <v>0</v>
      </c>
      <c r="X5" s="1">
        <f>建筑各项能耗拆分!$B$18*建筑各项能耗拆分!X90</f>
        <v>0</v>
      </c>
      <c r="Y5" s="1">
        <f>建筑各项能耗拆分!$B$18*建筑各项能耗拆分!Y90</f>
        <v>0</v>
      </c>
      <c r="Z5" s="1">
        <f>建筑各项能耗拆分!$B$18*建筑各项能耗拆分!Z90</f>
        <v>0</v>
      </c>
      <c r="AA5" s="1">
        <f>建筑各项能耗拆分!$B$18*建筑各项能耗拆分!AA90</f>
        <v>0</v>
      </c>
      <c r="AB5" s="1">
        <f>建筑各项能耗拆分!$B$18*建筑各项能耗拆分!AB90</f>
        <v>0</v>
      </c>
      <c r="AC5" s="1">
        <f>建筑各项能耗拆分!$B$18*建筑各项能耗拆分!AC90</f>
        <v>0</v>
      </c>
      <c r="AD5" s="1">
        <f>建筑各项能耗拆分!$B$18*建筑各项能耗拆分!AD90</f>
        <v>0</v>
      </c>
      <c r="AE5" s="1">
        <f>建筑各项能耗拆分!$B$18*建筑各项能耗拆分!AE90</f>
        <v>0</v>
      </c>
      <c r="AF5" s="1">
        <f>建筑各项能耗拆分!$B$18*建筑各项能耗拆分!AF90</f>
        <v>0</v>
      </c>
      <c r="AG5" s="1">
        <f>建筑各项能耗拆分!$B$18*建筑各项能耗拆分!AG90</f>
        <v>0</v>
      </c>
      <c r="AH5" s="1">
        <f>建筑各项能耗拆分!$B$18*建筑各项能耗拆分!AH90</f>
        <v>0</v>
      </c>
      <c r="AI5" s="1">
        <f>建筑各项能耗拆分!$B$18*建筑各项能耗拆分!AI90</f>
        <v>0</v>
      </c>
      <c r="AJ5" s="1">
        <f>建筑各项能耗拆分!$B$18*建筑各项能耗拆分!AJ90</f>
        <v>0</v>
      </c>
      <c r="AK5" s="1">
        <f>建筑各项能耗拆分!$B$18*建筑各项能耗拆分!AK90</f>
        <v>0</v>
      </c>
      <c r="AL5" s="1">
        <f>建筑各项能耗拆分!$B$18*建筑各项能耗拆分!AL90</f>
        <v>0</v>
      </c>
      <c r="AM5" s="1">
        <f>建筑各项能耗拆分!$B$18*建筑各项能耗拆分!AM90</f>
        <v>0</v>
      </c>
      <c r="AN5" s="1">
        <f>建筑各项能耗拆分!$B$18*建筑各项能耗拆分!AN90</f>
        <v>0</v>
      </c>
      <c r="AO5" s="1">
        <f>建筑各项能耗拆分!$B$18*建筑各项能耗拆分!AO90</f>
        <v>0</v>
      </c>
      <c r="AP5" s="1">
        <f>建筑各项能耗拆分!$B$18*建筑各项能耗拆分!AP90</f>
        <v>0</v>
      </c>
      <c r="AQ5" s="1">
        <f>建筑各项能耗拆分!$B$18*建筑各项能耗拆分!AQ90</f>
        <v>0</v>
      </c>
      <c r="AR5" s="1">
        <f>建筑各项能耗拆分!$B$18*建筑各项能耗拆分!AR90</f>
        <v>0</v>
      </c>
    </row>
    <row r="6" spans="1:44" x14ac:dyDescent="0.15">
      <c r="A6" t="s">
        <v>4</v>
      </c>
      <c r="B6" s="1">
        <f>建筑各项能耗拆分!$B$18*建筑各项能耗拆分!B91</f>
        <v>0</v>
      </c>
      <c r="C6" s="1">
        <f>建筑各项能耗拆分!$B$18*建筑各项能耗拆分!C91</f>
        <v>0</v>
      </c>
      <c r="D6" s="1">
        <f>建筑各项能耗拆分!$B$18*建筑各项能耗拆分!D91</f>
        <v>0</v>
      </c>
      <c r="E6" s="1">
        <f>建筑各项能耗拆分!$B$18*建筑各项能耗拆分!E91</f>
        <v>0</v>
      </c>
      <c r="F6" s="1">
        <f>建筑各项能耗拆分!$B$18*建筑各项能耗拆分!F91</f>
        <v>0</v>
      </c>
      <c r="G6" s="1">
        <f>建筑各项能耗拆分!$B$18*建筑各项能耗拆分!G91</f>
        <v>0</v>
      </c>
      <c r="H6" s="1">
        <f>建筑各项能耗拆分!$B$18*建筑各项能耗拆分!H91</f>
        <v>0</v>
      </c>
      <c r="I6" s="1">
        <f>建筑各项能耗拆分!$B$18*建筑各项能耗拆分!I91</f>
        <v>0</v>
      </c>
      <c r="J6" s="1">
        <f>建筑各项能耗拆分!$B$18*建筑各项能耗拆分!J91</f>
        <v>0</v>
      </c>
      <c r="K6" s="1">
        <f>建筑各项能耗拆分!$B$18*建筑各项能耗拆分!K91</f>
        <v>0</v>
      </c>
      <c r="L6" s="1">
        <f>建筑各项能耗拆分!$B$18*建筑各项能耗拆分!L91</f>
        <v>0</v>
      </c>
      <c r="M6" s="1">
        <f>建筑各项能耗拆分!$B$18*建筑各项能耗拆分!M91</f>
        <v>0</v>
      </c>
      <c r="N6" s="1">
        <f>建筑各项能耗拆分!$B$18*建筑各项能耗拆分!N91</f>
        <v>0</v>
      </c>
      <c r="O6" s="1">
        <f>建筑各项能耗拆分!$B$18*建筑各项能耗拆分!O91</f>
        <v>0</v>
      </c>
      <c r="P6" s="1">
        <f>建筑各项能耗拆分!$B$18*建筑各项能耗拆分!P91</f>
        <v>0</v>
      </c>
      <c r="Q6" s="1">
        <f>建筑各项能耗拆分!$B$18*建筑各项能耗拆分!Q91</f>
        <v>0</v>
      </c>
      <c r="R6" s="1">
        <f>建筑各项能耗拆分!$B$18*建筑各项能耗拆分!R91</f>
        <v>0</v>
      </c>
      <c r="S6" s="1">
        <f>建筑各项能耗拆分!$B$18*建筑各项能耗拆分!S91</f>
        <v>0</v>
      </c>
      <c r="T6" s="1">
        <f>建筑各项能耗拆分!$B$18*建筑各项能耗拆分!T91</f>
        <v>0</v>
      </c>
      <c r="U6" s="1">
        <f>建筑各项能耗拆分!$B$18*建筑各项能耗拆分!U91</f>
        <v>0</v>
      </c>
      <c r="V6" s="1">
        <f>建筑各项能耗拆分!$B$18*建筑各项能耗拆分!V91</f>
        <v>0</v>
      </c>
      <c r="W6" s="1">
        <f>建筑各项能耗拆分!$B$18*建筑各项能耗拆分!W91</f>
        <v>0</v>
      </c>
      <c r="X6" s="1">
        <f>建筑各项能耗拆分!$B$18*建筑各项能耗拆分!X91</f>
        <v>0</v>
      </c>
      <c r="Y6" s="1">
        <f>建筑各项能耗拆分!$B$18*建筑各项能耗拆分!Y91</f>
        <v>0</v>
      </c>
      <c r="Z6" s="1">
        <f>建筑各项能耗拆分!$B$18*建筑各项能耗拆分!Z91</f>
        <v>0</v>
      </c>
      <c r="AA6" s="1">
        <f>建筑各项能耗拆分!$B$18*建筑各项能耗拆分!AA91</f>
        <v>0</v>
      </c>
      <c r="AB6" s="1">
        <f>建筑各项能耗拆分!$B$18*建筑各项能耗拆分!AB91</f>
        <v>0</v>
      </c>
      <c r="AC6" s="1">
        <f>建筑各项能耗拆分!$B$18*建筑各项能耗拆分!AC91</f>
        <v>0</v>
      </c>
      <c r="AD6" s="1">
        <f>建筑各项能耗拆分!$B$18*建筑各项能耗拆分!AD91</f>
        <v>0</v>
      </c>
      <c r="AE6" s="1">
        <f>建筑各项能耗拆分!$B$18*建筑各项能耗拆分!AE91</f>
        <v>0</v>
      </c>
      <c r="AF6" s="1">
        <f>建筑各项能耗拆分!$B$18*建筑各项能耗拆分!AF91</f>
        <v>0</v>
      </c>
      <c r="AG6" s="1">
        <f>建筑各项能耗拆分!$B$18*建筑各项能耗拆分!AG91</f>
        <v>0</v>
      </c>
      <c r="AH6" s="1">
        <f>建筑各项能耗拆分!$B$18*建筑各项能耗拆分!AH91</f>
        <v>0</v>
      </c>
      <c r="AI6" s="1">
        <f>建筑各项能耗拆分!$B$18*建筑各项能耗拆分!AI91</f>
        <v>0</v>
      </c>
      <c r="AJ6" s="1">
        <f>建筑各项能耗拆分!$B$18*建筑各项能耗拆分!AJ91</f>
        <v>0</v>
      </c>
      <c r="AK6" s="1">
        <f>建筑各项能耗拆分!$B$18*建筑各项能耗拆分!AK91</f>
        <v>0</v>
      </c>
      <c r="AL6" s="1">
        <f>建筑各项能耗拆分!$B$18*建筑各项能耗拆分!AL91</f>
        <v>0</v>
      </c>
      <c r="AM6" s="1">
        <f>建筑各项能耗拆分!$B$18*建筑各项能耗拆分!AM91</f>
        <v>0</v>
      </c>
      <c r="AN6" s="1">
        <f>建筑各项能耗拆分!$B$18*建筑各项能耗拆分!AN91</f>
        <v>0</v>
      </c>
      <c r="AO6" s="1">
        <f>建筑各项能耗拆分!$B$18*建筑各项能耗拆分!AO91</f>
        <v>0</v>
      </c>
      <c r="AP6" s="1">
        <f>建筑各项能耗拆分!$B$18*建筑各项能耗拆分!AP91</f>
        <v>0</v>
      </c>
      <c r="AQ6" s="1">
        <f>建筑各项能耗拆分!$B$18*建筑各项能耗拆分!AQ91</f>
        <v>0</v>
      </c>
      <c r="AR6" s="1">
        <f>建筑各项能耗拆分!$B$18*建筑各项能耗拆分!AR91</f>
        <v>0</v>
      </c>
    </row>
    <row r="7" spans="1:44" x14ac:dyDescent="0.15">
      <c r="A7" t="s">
        <v>5</v>
      </c>
      <c r="B7" s="1">
        <f>建筑各项能耗拆分!$B$18*建筑各项能耗拆分!B92</f>
        <v>14399013478129.811</v>
      </c>
      <c r="C7" s="1">
        <f>建筑各项能耗拆分!$B$18*建筑各项能耗拆分!C92</f>
        <v>14696424129791.725</v>
      </c>
      <c r="D7" s="1">
        <f>建筑各项能耗拆分!$B$18*建筑各项能耗拆分!D92</f>
        <v>15089041860627.012</v>
      </c>
      <c r="E7" s="1">
        <f>建筑各项能耗拆分!$B$18*建筑各项能耗拆分!E92</f>
        <v>15290040894575.5</v>
      </c>
      <c r="F7" s="1">
        <f>建筑各项能耗拆分!$B$18*建筑各项能耗拆分!F92</f>
        <v>15486182239369.727</v>
      </c>
      <c r="G7" s="1">
        <f>建筑各项能耗拆分!$B$18*建筑各项能耗拆分!G92</f>
        <v>15677357724368.227</v>
      </c>
      <c r="H7" s="1">
        <f>建筑各项能耗拆分!$B$18*建筑各项能耗拆分!H92</f>
        <v>15863469413748.033</v>
      </c>
      <c r="I7" s="1">
        <f>建筑各项能耗拆分!$B$18*建筑各项能耗拆分!I92</f>
        <v>16044431166603.586</v>
      </c>
      <c r="J7" s="1">
        <f>建筑各项能耗拆分!$B$18*建筑各项能耗拆分!J92</f>
        <v>16220167902451.232</v>
      </c>
      <c r="K7" s="1">
        <f>建筑各项能耗拆分!$B$18*建筑各项能耗拆分!K92</f>
        <v>16390617816194.504</v>
      </c>
      <c r="L7" s="1">
        <f>建筑各项能耗拆分!$B$18*建筑各项能耗拆分!L92</f>
        <v>16555731684471.82</v>
      </c>
      <c r="M7" s="1">
        <f>建筑各项能耗拆分!$B$18*建筑各项能耗拆分!M92</f>
        <v>16715474369421.717</v>
      </c>
      <c r="N7" s="1">
        <f>建筑各项能耗拆分!$B$18*建筑各项能耗拆分!N92</f>
        <v>16869825351758.664</v>
      </c>
      <c r="O7" s="1">
        <f>建筑各项能耗拆分!$B$18*建筑各项能耗拆分!O92</f>
        <v>17018779133073.207</v>
      </c>
      <c r="P7" s="1">
        <f>建筑各项能耗拆分!$B$18*建筑各项能耗拆分!P92</f>
        <v>17162346879587.035</v>
      </c>
      <c r="Q7" s="1">
        <f>建筑各项能耗拆分!$B$18*建筑各项能耗拆分!Q92</f>
        <v>17300556019193.746</v>
      </c>
      <c r="R7" s="1">
        <f>建筑各项能耗拆分!$B$18*建筑各项能耗拆分!R92</f>
        <v>17433452080333.754</v>
      </c>
      <c r="S7" s="1">
        <f>建筑各项能耗拆分!$B$18*建筑各项能耗拆分!S92</f>
        <v>17561098890491.516</v>
      </c>
      <c r="T7" s="1">
        <f>建筑各项能耗拆分!$B$18*建筑各项能耗拆分!T92</f>
        <v>17683579712998.91</v>
      </c>
      <c r="U7" s="1">
        <f>建筑各项能耗拆分!$B$18*建筑各项能耗拆分!U92</f>
        <v>17800998374011.199</v>
      </c>
      <c r="V7" s="1">
        <f>建筑各项能耗拆分!$B$18*建筑各项能耗拆分!V92</f>
        <v>17913479347663.832</v>
      </c>
      <c r="W7" s="1">
        <f>建筑各项能耗拆分!$B$18*建筑各项能耗拆分!W92</f>
        <v>18021169555815.883</v>
      </c>
      <c r="X7" s="1">
        <f>建筑各项能耗拆分!$B$18*建筑各项能耗拆分!X92</f>
        <v>18124239067182.453</v>
      </c>
      <c r="Y7" s="1">
        <f>建筑各项能耗拆分!$B$18*建筑各项能耗拆分!Y92</f>
        <v>18222882164921.137</v>
      </c>
      <c r="Z7" s="1">
        <f>建筑各项能耗拆分!$B$18*建筑各项能耗拆分!Z92</f>
        <v>18317317905057.359</v>
      </c>
      <c r="AA7" s="1">
        <f>建筑各项能耗拆分!$B$18*建筑各项能耗拆分!AA92</f>
        <v>18407791542748.359</v>
      </c>
      <c r="AB7" s="1">
        <f>建筑各项能耗拆分!$B$18*建筑各项能耗拆分!AB92</f>
        <v>18494576128694.992</v>
      </c>
      <c r="AC7" s="1">
        <f>建筑各项能耗拆分!$B$18*建筑各项能耗拆分!AC92</f>
        <v>18577972628875.941</v>
      </c>
      <c r="AD7" s="1">
        <f>建筑各项能耗拆分!$B$18*建筑各项能耗拆分!AD92</f>
        <v>18658311332298.281</v>
      </c>
      <c r="AE7" s="1">
        <f>建筑各项能耗拆分!$B$18*建筑各项能耗拆分!AE92</f>
        <v>18735954119195.898</v>
      </c>
      <c r="AF7" s="1">
        <f>建筑各项能耗拆分!$B$18*建筑各项能耗拆分!AF92</f>
        <v>18811294049607.023</v>
      </c>
      <c r="AG7" s="1">
        <f>建筑各项能耗拆分!$B$18*建筑各项能耗拆分!AG92</f>
        <v>18884757485979.273</v>
      </c>
      <c r="AH7" s="1">
        <f>建筑各项能耗拆分!$B$18*建筑各项能耗拆分!AH92</f>
        <v>18956805754093.398</v>
      </c>
      <c r="AI7" s="1">
        <f>建筑各项能耗拆分!$B$18*建筑各项能耗拆分!AI92</f>
        <v>19027935159804.758</v>
      </c>
      <c r="AJ7" s="1">
        <f>建筑各项能耗拆分!$B$18*建筑各项能耗拆分!AJ92</f>
        <v>19098680163109.66</v>
      </c>
      <c r="AK7" s="1">
        <f>建筑各项能耗拆分!$B$18*建筑各项能耗拆分!AK92</f>
        <v>19169612655029.613</v>
      </c>
      <c r="AL7" s="1">
        <f>建筑各项能耗拆分!$B$18*建筑各项能耗拆分!AL92</f>
        <v>19241345474847.359</v>
      </c>
      <c r="AM7" s="1">
        <f>建筑各项能耗拆分!$B$18*建筑各项能耗拆分!AM92</f>
        <v>19314532572480.203</v>
      </c>
      <c r="AN7" s="1">
        <f>建筑各项能耗拆分!$B$18*建筑各项能耗拆分!AN92</f>
        <v>19389870777695.121</v>
      </c>
      <c r="AO7" s="1">
        <f>建筑各项能耗拆分!$B$18*建筑各项能耗拆分!AO92</f>
        <v>19468101415218.383</v>
      </c>
      <c r="AP7" s="1">
        <f>建筑各项能耗拆分!$B$18*建筑各项能耗拆分!AP92</f>
        <v>19550011965794.512</v>
      </c>
      <c r="AQ7" s="1">
        <f>建筑各项能耗拆分!$B$18*建筑各项能耗拆分!AQ92</f>
        <v>19636438166875.461</v>
      </c>
      <c r="AR7" s="1">
        <f>建筑各项能耗拆分!$B$18*建筑各项能耗拆分!AR92</f>
        <v>19728264503749.031</v>
      </c>
    </row>
    <row r="8" spans="1:44" x14ac:dyDescent="0.15">
      <c r="A8" t="s">
        <v>6</v>
      </c>
      <c r="B8" s="1">
        <f>建筑各项能耗拆分!$B$18*建筑各项能耗拆分!B93</f>
        <v>0</v>
      </c>
      <c r="C8" s="1">
        <f>建筑各项能耗拆分!$B$18*建筑各项能耗拆分!C93</f>
        <v>0</v>
      </c>
      <c r="D8" s="1">
        <f>建筑各项能耗拆分!$B$18*建筑各项能耗拆分!D93</f>
        <v>0</v>
      </c>
      <c r="E8" s="1">
        <f>建筑各项能耗拆分!$B$18*建筑各项能耗拆分!E93</f>
        <v>0</v>
      </c>
      <c r="F8" s="1">
        <f>建筑各项能耗拆分!$B$18*建筑各项能耗拆分!F93</f>
        <v>0</v>
      </c>
      <c r="G8" s="1">
        <f>建筑各项能耗拆分!$B$18*建筑各项能耗拆分!G93</f>
        <v>0</v>
      </c>
      <c r="H8" s="1">
        <f>建筑各项能耗拆分!$B$18*建筑各项能耗拆分!H93</f>
        <v>0</v>
      </c>
      <c r="I8" s="1">
        <f>建筑各项能耗拆分!$B$18*建筑各项能耗拆分!I93</f>
        <v>0</v>
      </c>
      <c r="J8" s="1">
        <f>建筑各项能耗拆分!$B$18*建筑各项能耗拆分!J93</f>
        <v>0</v>
      </c>
      <c r="K8" s="1">
        <f>建筑各项能耗拆分!$B$18*建筑各项能耗拆分!K93</f>
        <v>0</v>
      </c>
      <c r="L8" s="1">
        <f>建筑各项能耗拆分!$B$18*建筑各项能耗拆分!L93</f>
        <v>0</v>
      </c>
      <c r="M8" s="1">
        <f>建筑各项能耗拆分!$B$18*建筑各项能耗拆分!M93</f>
        <v>0</v>
      </c>
      <c r="N8" s="1">
        <f>建筑各项能耗拆分!$B$18*建筑各项能耗拆分!N93</f>
        <v>0</v>
      </c>
      <c r="O8" s="1">
        <f>建筑各项能耗拆分!$B$18*建筑各项能耗拆分!O93</f>
        <v>0</v>
      </c>
      <c r="P8" s="1">
        <f>建筑各项能耗拆分!$B$18*建筑各项能耗拆分!P93</f>
        <v>0</v>
      </c>
      <c r="Q8" s="1">
        <f>建筑各项能耗拆分!$B$18*建筑各项能耗拆分!Q93</f>
        <v>0</v>
      </c>
      <c r="R8" s="1">
        <f>建筑各项能耗拆分!$B$18*建筑各项能耗拆分!R93</f>
        <v>0</v>
      </c>
      <c r="S8" s="1">
        <f>建筑各项能耗拆分!$B$18*建筑各项能耗拆分!S93</f>
        <v>0</v>
      </c>
      <c r="T8" s="1">
        <f>建筑各项能耗拆分!$B$18*建筑各项能耗拆分!T93</f>
        <v>0</v>
      </c>
      <c r="U8" s="1">
        <f>建筑各项能耗拆分!$B$18*建筑各项能耗拆分!U93</f>
        <v>0</v>
      </c>
      <c r="V8" s="1">
        <f>建筑各项能耗拆分!$B$18*建筑各项能耗拆分!V93</f>
        <v>0</v>
      </c>
      <c r="W8" s="1">
        <f>建筑各项能耗拆分!$B$18*建筑各项能耗拆分!W93</f>
        <v>0</v>
      </c>
      <c r="X8" s="1">
        <f>建筑各项能耗拆分!$B$18*建筑各项能耗拆分!X93</f>
        <v>0</v>
      </c>
      <c r="Y8" s="1">
        <f>建筑各项能耗拆分!$B$18*建筑各项能耗拆分!Y93</f>
        <v>0</v>
      </c>
      <c r="Z8" s="1">
        <f>建筑各项能耗拆分!$B$18*建筑各项能耗拆分!Z93</f>
        <v>0</v>
      </c>
      <c r="AA8" s="1">
        <f>建筑各项能耗拆分!$B$18*建筑各项能耗拆分!AA93</f>
        <v>0</v>
      </c>
      <c r="AB8" s="1">
        <f>建筑各项能耗拆分!$B$18*建筑各项能耗拆分!AB93</f>
        <v>0</v>
      </c>
      <c r="AC8" s="1">
        <f>建筑各项能耗拆分!$B$18*建筑各项能耗拆分!AC93</f>
        <v>0</v>
      </c>
      <c r="AD8" s="1">
        <f>建筑各项能耗拆分!$B$18*建筑各项能耗拆分!AD93</f>
        <v>0</v>
      </c>
      <c r="AE8" s="1">
        <f>建筑各项能耗拆分!$B$18*建筑各项能耗拆分!AE93</f>
        <v>0</v>
      </c>
      <c r="AF8" s="1">
        <f>建筑各项能耗拆分!$B$18*建筑各项能耗拆分!AF93</f>
        <v>0</v>
      </c>
      <c r="AG8" s="1">
        <f>建筑各项能耗拆分!$B$18*建筑各项能耗拆分!AG93</f>
        <v>0</v>
      </c>
      <c r="AH8" s="1">
        <f>建筑各项能耗拆分!$B$18*建筑各项能耗拆分!AH93</f>
        <v>0</v>
      </c>
      <c r="AI8" s="1">
        <f>建筑各项能耗拆分!$B$18*建筑各项能耗拆分!AI93</f>
        <v>0</v>
      </c>
      <c r="AJ8" s="1">
        <f>建筑各项能耗拆分!$B$18*建筑各项能耗拆分!AJ93</f>
        <v>0</v>
      </c>
      <c r="AK8" s="1">
        <f>建筑各项能耗拆分!$B$18*建筑各项能耗拆分!AK93</f>
        <v>0</v>
      </c>
      <c r="AL8" s="1">
        <f>建筑各项能耗拆分!$B$18*建筑各项能耗拆分!AL93</f>
        <v>0</v>
      </c>
      <c r="AM8" s="1">
        <f>建筑各项能耗拆分!$B$18*建筑各项能耗拆分!AM93</f>
        <v>0</v>
      </c>
      <c r="AN8" s="1">
        <f>建筑各项能耗拆分!$B$18*建筑各项能耗拆分!AN93</f>
        <v>0</v>
      </c>
      <c r="AO8" s="1">
        <f>建筑各项能耗拆分!$B$18*建筑各项能耗拆分!AO93</f>
        <v>0</v>
      </c>
      <c r="AP8" s="1">
        <f>建筑各项能耗拆分!$B$18*建筑各项能耗拆分!AP93</f>
        <v>0</v>
      </c>
      <c r="AQ8" s="1">
        <f>建筑各项能耗拆分!$B$18*建筑各项能耗拆分!AQ93</f>
        <v>0</v>
      </c>
      <c r="AR8" s="1">
        <f>建筑各项能耗拆分!$B$18*建筑各项能耗拆分!AR93</f>
        <v>0</v>
      </c>
    </row>
    <row r="9" spans="1:44" x14ac:dyDescent="0.15">
      <c r="A9" t="s">
        <v>7</v>
      </c>
      <c r="B9" s="1">
        <f>建筑各项能耗拆分!$B$18*建筑各项能耗拆分!B94</f>
        <v>0</v>
      </c>
      <c r="C9" s="1">
        <f>建筑各项能耗拆分!$B$18*建筑各项能耗拆分!C94</f>
        <v>0</v>
      </c>
      <c r="D9" s="1">
        <f>建筑各项能耗拆分!$B$18*建筑各项能耗拆分!D94</f>
        <v>0</v>
      </c>
      <c r="E9" s="1">
        <f>建筑各项能耗拆分!$B$18*建筑各项能耗拆分!E94</f>
        <v>0</v>
      </c>
      <c r="F9" s="1">
        <f>建筑各项能耗拆分!$B$18*建筑各项能耗拆分!F94</f>
        <v>0</v>
      </c>
      <c r="G9" s="1">
        <f>建筑各项能耗拆分!$B$18*建筑各项能耗拆分!G94</f>
        <v>0</v>
      </c>
      <c r="H9" s="1">
        <f>建筑各项能耗拆分!$B$18*建筑各项能耗拆分!H94</f>
        <v>0</v>
      </c>
      <c r="I9" s="1">
        <f>建筑各项能耗拆分!$B$18*建筑各项能耗拆分!I94</f>
        <v>0</v>
      </c>
      <c r="J9" s="1">
        <f>建筑各项能耗拆分!$B$18*建筑各项能耗拆分!J94</f>
        <v>0</v>
      </c>
      <c r="K9" s="1">
        <f>建筑各项能耗拆分!$B$18*建筑各项能耗拆分!K94</f>
        <v>0</v>
      </c>
      <c r="L9" s="1">
        <f>建筑各项能耗拆分!$B$18*建筑各项能耗拆分!L94</f>
        <v>0</v>
      </c>
      <c r="M9" s="1">
        <f>建筑各项能耗拆分!$B$18*建筑各项能耗拆分!M94</f>
        <v>0</v>
      </c>
      <c r="N9" s="1">
        <f>建筑各项能耗拆分!$B$18*建筑各项能耗拆分!N94</f>
        <v>0</v>
      </c>
      <c r="O9" s="1">
        <f>建筑各项能耗拆分!$B$18*建筑各项能耗拆分!O94</f>
        <v>0</v>
      </c>
      <c r="P9" s="1">
        <f>建筑各项能耗拆分!$B$18*建筑各项能耗拆分!P94</f>
        <v>0</v>
      </c>
      <c r="Q9" s="1">
        <f>建筑各项能耗拆分!$B$18*建筑各项能耗拆分!Q94</f>
        <v>0</v>
      </c>
      <c r="R9" s="1">
        <f>建筑各项能耗拆分!$B$18*建筑各项能耗拆分!R94</f>
        <v>0</v>
      </c>
      <c r="S9" s="1">
        <f>建筑各项能耗拆分!$B$18*建筑各项能耗拆分!S94</f>
        <v>0</v>
      </c>
      <c r="T9" s="1">
        <f>建筑各项能耗拆分!$B$18*建筑各项能耗拆分!T94</f>
        <v>0</v>
      </c>
      <c r="U9" s="1">
        <f>建筑各项能耗拆分!$B$18*建筑各项能耗拆分!U94</f>
        <v>0</v>
      </c>
      <c r="V9" s="1">
        <f>建筑各项能耗拆分!$B$18*建筑各项能耗拆分!V94</f>
        <v>0</v>
      </c>
      <c r="W9" s="1">
        <f>建筑各项能耗拆分!$B$18*建筑各项能耗拆分!W94</f>
        <v>0</v>
      </c>
      <c r="X9" s="1">
        <f>建筑各项能耗拆分!$B$18*建筑各项能耗拆分!X94</f>
        <v>0</v>
      </c>
      <c r="Y9" s="1">
        <f>建筑各项能耗拆分!$B$18*建筑各项能耗拆分!Y94</f>
        <v>0</v>
      </c>
      <c r="Z9" s="1">
        <f>建筑各项能耗拆分!$B$18*建筑各项能耗拆分!Z94</f>
        <v>0</v>
      </c>
      <c r="AA9" s="1">
        <f>建筑各项能耗拆分!$B$18*建筑各项能耗拆分!AA94</f>
        <v>0</v>
      </c>
      <c r="AB9" s="1">
        <f>建筑各项能耗拆分!$B$18*建筑各项能耗拆分!AB94</f>
        <v>0</v>
      </c>
      <c r="AC9" s="1">
        <f>建筑各项能耗拆分!$B$18*建筑各项能耗拆分!AC94</f>
        <v>0</v>
      </c>
      <c r="AD9" s="1">
        <f>建筑各项能耗拆分!$B$18*建筑各项能耗拆分!AD94</f>
        <v>0</v>
      </c>
      <c r="AE9" s="1">
        <f>建筑各项能耗拆分!$B$18*建筑各项能耗拆分!AE94</f>
        <v>0</v>
      </c>
      <c r="AF9" s="1">
        <f>建筑各项能耗拆分!$B$18*建筑各项能耗拆分!AF94</f>
        <v>0</v>
      </c>
      <c r="AG9" s="1">
        <f>建筑各项能耗拆分!$B$18*建筑各项能耗拆分!AG94</f>
        <v>0</v>
      </c>
      <c r="AH9" s="1">
        <f>建筑各项能耗拆分!$B$18*建筑各项能耗拆分!AH94</f>
        <v>0</v>
      </c>
      <c r="AI9" s="1">
        <f>建筑各项能耗拆分!$B$18*建筑各项能耗拆分!AI94</f>
        <v>0</v>
      </c>
      <c r="AJ9" s="1">
        <f>建筑各项能耗拆分!$B$18*建筑各项能耗拆分!AJ94</f>
        <v>0</v>
      </c>
      <c r="AK9" s="1">
        <f>建筑各项能耗拆分!$B$18*建筑各项能耗拆分!AK94</f>
        <v>0</v>
      </c>
      <c r="AL9" s="1">
        <f>建筑各项能耗拆分!$B$18*建筑各项能耗拆分!AL94</f>
        <v>0</v>
      </c>
      <c r="AM9" s="1">
        <f>建筑各项能耗拆分!$B$18*建筑各项能耗拆分!AM94</f>
        <v>0</v>
      </c>
      <c r="AN9" s="1">
        <f>建筑各项能耗拆分!$B$18*建筑各项能耗拆分!AN94</f>
        <v>0</v>
      </c>
      <c r="AO9" s="1">
        <f>建筑各项能耗拆分!$B$18*建筑各项能耗拆分!AO94</f>
        <v>0</v>
      </c>
      <c r="AP9" s="1">
        <f>建筑各项能耗拆分!$B$18*建筑各项能耗拆分!AP94</f>
        <v>0</v>
      </c>
      <c r="AQ9" s="1">
        <f>建筑各项能耗拆分!$B$18*建筑各项能耗拆分!AQ94</f>
        <v>0</v>
      </c>
      <c r="AR9" s="1">
        <f>建筑各项能耗拆分!$B$18*建筑各项能耗拆分!AR94</f>
        <v>0</v>
      </c>
    </row>
    <row r="10" spans="1:44" x14ac:dyDescent="0.15">
      <c r="A10" t="s">
        <v>8</v>
      </c>
      <c r="B10" s="1">
        <f>建筑各项能耗拆分!$B$18*建筑各项能耗拆分!B95</f>
        <v>625631206863719.13</v>
      </c>
      <c r="C10" s="1">
        <f>建筑各项能耗拆分!$B$18*建筑各项能耗拆分!C95</f>
        <v>638553577220270.5</v>
      </c>
      <c r="D10" s="1">
        <f>建筑各项能耗拆分!$B$18*建筑各项能耗拆分!D95</f>
        <v>655612655965606.88</v>
      </c>
      <c r="E10" s="1">
        <f>建筑各项能耗拆分!$B$18*建筑各项能耗拆分!E95</f>
        <v>664345981229774</v>
      </c>
      <c r="F10" s="1">
        <f>建筑各项能耗拆分!$B$18*建筑各项能耗拆分!F95</f>
        <v>672868241900330.88</v>
      </c>
      <c r="G10" s="1">
        <f>建筑各项能耗拆分!$B$18*建筑各项能耗拆分!G95</f>
        <v>681174738007445.13</v>
      </c>
      <c r="H10" s="1">
        <f>建筑各项能耗拆分!$B$18*建筑各项能耗拆分!H95</f>
        <v>689261214279933.38</v>
      </c>
      <c r="I10" s="1">
        <f>建筑各项能耗拆分!$B$18*建筑各项能耗拆分!I95</f>
        <v>697123927930917.25</v>
      </c>
      <c r="J10" s="1">
        <f>建筑各项能耗拆分!$B$18*建筑各项能耗拆分!J95</f>
        <v>704759616744296.5</v>
      </c>
      <c r="K10" s="1">
        <f>建筑各项能耗拆分!$B$18*建筑各项能耗拆分!K95</f>
        <v>712165595314077.63</v>
      </c>
      <c r="L10" s="1">
        <f>建筑各项能耗拆分!$B$18*建筑各项能耗拆分!L95</f>
        <v>719339724905467.63</v>
      </c>
      <c r="M10" s="1">
        <f>建筑各项能耗拆分!$B$18*建筑各项能耗拆分!M95</f>
        <v>726280478792853.75</v>
      </c>
      <c r="N10" s="1">
        <f>建筑各项能耗拆分!$B$18*建筑各项能耗拆分!N95</f>
        <v>732986965421728.63</v>
      </c>
      <c r="O10" s="1">
        <f>建筑各项能耗拆分!$B$18*建筑各项能耗拆分!O95</f>
        <v>739458945888465.13</v>
      </c>
      <c r="P10" s="1">
        <f>建筑各项能耗拆分!$B$18*建筑各项能耗拆分!P95</f>
        <v>745696905360798.13</v>
      </c>
      <c r="Q10" s="1">
        <f>建筑各项能耗拆分!$B$18*建筑各项能耗拆分!Q95</f>
        <v>751702035569411.13</v>
      </c>
      <c r="R10" s="1">
        <f>建筑各项能耗拆分!$B$18*建筑各项能耗拆分!R95</f>
        <v>757476314706293.88</v>
      </c>
      <c r="S10" s="1">
        <f>建筑各项能耗拆分!$B$18*建筑各项能耗拆分!S95</f>
        <v>763022516049365</v>
      </c>
      <c r="T10" s="1">
        <f>建筑各项能耗拆分!$B$18*建筑各项能耗拆分!T95</f>
        <v>768344257356111.5</v>
      </c>
      <c r="U10" s="1">
        <f>建筑各项能耗拆分!$B$18*建筑各项能耗拆分!U95</f>
        <v>773446049830229.13</v>
      </c>
      <c r="V10" s="1">
        <f>建筑各项能耗拆分!$B$18*建筑各项能耗拆分!V95</f>
        <v>778333301821651.13</v>
      </c>
      <c r="W10" s="1">
        <f>建筑各项能耗拆分!$B$18*建筑各项能耗拆分!W95</f>
        <v>783012397024660</v>
      </c>
      <c r="X10" s="1">
        <f>建筑各项能耗拆分!$B$18*建筑各项能耗拆分!X95</f>
        <v>787490724854900.38</v>
      </c>
      <c r="Y10" s="1">
        <f>建筑各项能耗拆分!$B$18*建筑各项能耗拆分!Y95</f>
        <v>791776726835575.25</v>
      </c>
      <c r="Z10" s="1">
        <f>建筑各项能耗拆分!$B$18*建筑各项能耗拆分!Z95</f>
        <v>795879920860793.13</v>
      </c>
      <c r="AA10" s="1">
        <f>建筑各项能耗拆分!$B$18*建筑各项能耗拆分!AA95</f>
        <v>799810963166152.88</v>
      </c>
      <c r="AB10" s="1">
        <f>建筑各项能耗拆分!$B$18*建筑各项能耗拆分!AB95</f>
        <v>803581717692178.38</v>
      </c>
      <c r="AC10" s="1">
        <f>建筑各项能耗拆分!$B$18*建筑各项能耗拆分!AC95</f>
        <v>807205261286721.38</v>
      </c>
      <c r="AD10" s="1">
        <f>建筑各项能耗拆分!$B$18*建筑各项能耗拆分!AD95</f>
        <v>810695944871144</v>
      </c>
      <c r="AE10" s="1">
        <f>建筑各项能耗拆分!$B$18*建筑各项能耗拆分!AE95</f>
        <v>814069491992604.63</v>
      </c>
      <c r="AF10" s="1">
        <f>建筑各项能耗拆分!$B$18*建筑各项能耗拆分!AF95</f>
        <v>817342980947923.25</v>
      </c>
      <c r="AG10" s="1">
        <f>建筑各项能耗拆分!$B$18*建筑各项能耗拆分!AG95</f>
        <v>820534937009894.63</v>
      </c>
      <c r="AH10" s="1">
        <f>建筑各项能耗拆分!$B$18*建筑各项能耗拆分!AH95</f>
        <v>823665404593743</v>
      </c>
      <c r="AI10" s="1">
        <f>建筑各项能耗拆分!$B$18*建筑各项能耗拆分!AI95</f>
        <v>826755947984530.75</v>
      </c>
      <c r="AJ10" s="1">
        <f>建筑各项能耗拆分!$B$18*建筑各项能耗拆分!AJ95</f>
        <v>829829789249034.75</v>
      </c>
      <c r="AK10" s="1">
        <f>建筑各项能耗拆分!$B$18*建筑各项能耗拆分!AK95</f>
        <v>832911776816664.63</v>
      </c>
      <c r="AL10" s="1">
        <f>建筑各项能耗拆分!$B$18*建筑各项能耗拆分!AL95</f>
        <v>836028538301920.13</v>
      </c>
      <c r="AM10" s="1">
        <f>建筑各项能耗拆分!$B$18*建筑各项能耗拆分!AM95</f>
        <v>839208487559446.63</v>
      </c>
      <c r="AN10" s="1">
        <f>建筑各项能耗拆分!$B$18*建筑各项能耗拆分!AN95</f>
        <v>842481901555700.38</v>
      </c>
      <c r="AO10" s="1">
        <f>建筑各项能耗拆分!$B$18*建筑各项能耗拆分!AO95</f>
        <v>845880990544799</v>
      </c>
      <c r="AP10" s="1">
        <f>建筑各项能耗拆分!$B$18*建筑各项能耗拆分!AP95</f>
        <v>849439970240849.13</v>
      </c>
      <c r="AQ10" s="1">
        <f>建筑各项能耗拆分!$B$18*建筑各项能耗拆分!AQ95</f>
        <v>853195153092024.88</v>
      </c>
      <c r="AR10" s="1">
        <f>建筑各项能耗拆分!$B$18*建筑各项能耗拆分!AR95</f>
        <v>857184969619896.25</v>
      </c>
    </row>
    <row r="11" spans="1:44" x14ac:dyDescent="0.15">
      <c r="A11" t="s">
        <v>9</v>
      </c>
      <c r="B11" s="1">
        <f>建筑各项能耗拆分!$B$18*建筑各项能耗拆分!B96</f>
        <v>0</v>
      </c>
      <c r="C11" s="1">
        <f>建筑各项能耗拆分!$B$18*建筑各项能耗拆分!C96</f>
        <v>0</v>
      </c>
      <c r="D11" s="1">
        <f>建筑各项能耗拆分!$B$18*建筑各项能耗拆分!D96</f>
        <v>0</v>
      </c>
      <c r="E11" s="1">
        <f>建筑各项能耗拆分!$B$18*建筑各项能耗拆分!E96</f>
        <v>0</v>
      </c>
      <c r="F11" s="1">
        <f>建筑各项能耗拆分!$B$18*建筑各项能耗拆分!F96</f>
        <v>0</v>
      </c>
      <c r="G11" s="1">
        <f>建筑各项能耗拆分!$B$18*建筑各项能耗拆分!G96</f>
        <v>0</v>
      </c>
      <c r="H11" s="1">
        <f>建筑各项能耗拆分!$B$18*建筑各项能耗拆分!H96</f>
        <v>0</v>
      </c>
      <c r="I11" s="1">
        <f>建筑各项能耗拆分!$B$18*建筑各项能耗拆分!I96</f>
        <v>0</v>
      </c>
      <c r="J11" s="1">
        <f>建筑各项能耗拆分!$B$18*建筑各项能耗拆分!J96</f>
        <v>0</v>
      </c>
      <c r="K11" s="1">
        <f>建筑各项能耗拆分!$B$18*建筑各项能耗拆分!K96</f>
        <v>0</v>
      </c>
      <c r="L11" s="1">
        <f>建筑各项能耗拆分!$B$18*建筑各项能耗拆分!L96</f>
        <v>0</v>
      </c>
      <c r="M11" s="1">
        <f>建筑各项能耗拆分!$B$18*建筑各项能耗拆分!M96</f>
        <v>0</v>
      </c>
      <c r="N11" s="1">
        <f>建筑各项能耗拆分!$B$18*建筑各项能耗拆分!N96</f>
        <v>0</v>
      </c>
      <c r="O11" s="1">
        <f>建筑各项能耗拆分!$B$18*建筑各项能耗拆分!O96</f>
        <v>0</v>
      </c>
      <c r="P11" s="1">
        <f>建筑各项能耗拆分!$B$18*建筑各项能耗拆分!P96</f>
        <v>0</v>
      </c>
      <c r="Q11" s="1">
        <f>建筑各项能耗拆分!$B$18*建筑各项能耗拆分!Q96</f>
        <v>0</v>
      </c>
      <c r="R11" s="1">
        <f>建筑各项能耗拆分!$B$18*建筑各项能耗拆分!R96</f>
        <v>0</v>
      </c>
      <c r="S11" s="1">
        <f>建筑各项能耗拆分!$B$18*建筑各项能耗拆分!S96</f>
        <v>0</v>
      </c>
      <c r="T11" s="1">
        <f>建筑各项能耗拆分!$B$18*建筑各项能耗拆分!T96</f>
        <v>0</v>
      </c>
      <c r="U11" s="1">
        <f>建筑各项能耗拆分!$B$18*建筑各项能耗拆分!U96</f>
        <v>0</v>
      </c>
      <c r="V11" s="1">
        <f>建筑各项能耗拆分!$B$18*建筑各项能耗拆分!V96</f>
        <v>0</v>
      </c>
      <c r="W11" s="1">
        <f>建筑各项能耗拆分!$B$18*建筑各项能耗拆分!W96</f>
        <v>0</v>
      </c>
      <c r="X11" s="1">
        <f>建筑各项能耗拆分!$B$18*建筑各项能耗拆分!X96</f>
        <v>0</v>
      </c>
      <c r="Y11" s="1">
        <f>建筑各项能耗拆分!$B$18*建筑各项能耗拆分!Y96</f>
        <v>0</v>
      </c>
      <c r="Z11" s="1">
        <f>建筑各项能耗拆分!$B$18*建筑各项能耗拆分!Z96</f>
        <v>0</v>
      </c>
      <c r="AA11" s="1">
        <f>建筑各项能耗拆分!$B$18*建筑各项能耗拆分!AA96</f>
        <v>0</v>
      </c>
      <c r="AB11" s="1">
        <f>建筑各项能耗拆分!$B$18*建筑各项能耗拆分!AB96</f>
        <v>0</v>
      </c>
      <c r="AC11" s="1">
        <f>建筑各项能耗拆分!$B$18*建筑各项能耗拆分!AC96</f>
        <v>0</v>
      </c>
      <c r="AD11" s="1">
        <f>建筑各项能耗拆分!$B$18*建筑各项能耗拆分!AD96</f>
        <v>0</v>
      </c>
      <c r="AE11" s="1">
        <f>建筑各项能耗拆分!$B$18*建筑各项能耗拆分!AE96</f>
        <v>0</v>
      </c>
      <c r="AF11" s="1">
        <f>建筑各项能耗拆分!$B$18*建筑各项能耗拆分!AF96</f>
        <v>0</v>
      </c>
      <c r="AG11" s="1">
        <f>建筑各项能耗拆分!$B$18*建筑各项能耗拆分!AG96</f>
        <v>0</v>
      </c>
      <c r="AH11" s="1">
        <f>建筑各项能耗拆分!$B$18*建筑各项能耗拆分!AH96</f>
        <v>0</v>
      </c>
      <c r="AI11" s="1">
        <f>建筑各项能耗拆分!$B$18*建筑各项能耗拆分!AI96</f>
        <v>0</v>
      </c>
      <c r="AJ11" s="1">
        <f>建筑各项能耗拆分!$B$18*建筑各项能耗拆分!AJ96</f>
        <v>0</v>
      </c>
      <c r="AK11" s="1">
        <f>建筑各项能耗拆分!$B$18*建筑各项能耗拆分!AK96</f>
        <v>0</v>
      </c>
      <c r="AL11" s="1">
        <f>建筑各项能耗拆分!$B$18*建筑各项能耗拆分!AL96</f>
        <v>0</v>
      </c>
      <c r="AM11" s="1">
        <f>建筑各项能耗拆分!$B$18*建筑各项能耗拆分!AM96</f>
        <v>0</v>
      </c>
      <c r="AN11" s="1">
        <f>建筑各项能耗拆分!$B$18*建筑各项能耗拆分!AN96</f>
        <v>0</v>
      </c>
      <c r="AO11" s="1">
        <f>建筑各项能耗拆分!$B$18*建筑各项能耗拆分!AO96</f>
        <v>0</v>
      </c>
      <c r="AP11" s="1">
        <f>建筑各项能耗拆分!$B$18*建筑各项能耗拆分!AP96</f>
        <v>0</v>
      </c>
      <c r="AQ11" s="1">
        <f>建筑各项能耗拆分!$B$18*建筑各项能耗拆分!AQ96</f>
        <v>0</v>
      </c>
      <c r="AR11" s="1">
        <f>建筑各项能耗拆分!$B$18*建筑各项能耗拆分!AR96</f>
        <v>0</v>
      </c>
    </row>
    <row r="12" spans="1:44" x14ac:dyDescent="0.15">
      <c r="A12" t="s">
        <v>1160</v>
      </c>
      <c r="B12" s="1">
        <f>SUM(B2:B11)</f>
        <v>2469562486359505.5</v>
      </c>
      <c r="C12" s="1">
        <f t="shared" ref="C12:AP12" si="0">SUM(C2:C11)</f>
        <v>2520571132854876</v>
      </c>
      <c r="D12" s="1">
        <f t="shared" si="0"/>
        <v>2587908664069991</v>
      </c>
      <c r="E12" s="1">
        <f t="shared" si="0"/>
        <v>2622381836470837.5</v>
      </c>
      <c r="F12" s="1">
        <f t="shared" si="0"/>
        <v>2656021870759550.5</v>
      </c>
      <c r="G12" s="1">
        <f t="shared" si="0"/>
        <v>2688810214681929</v>
      </c>
      <c r="H12" s="1">
        <f t="shared" si="0"/>
        <v>2720730071348739</v>
      </c>
      <c r="I12" s="1">
        <f t="shared" si="0"/>
        <v>2751766666806942</v>
      </c>
      <c r="J12" s="1">
        <f t="shared" si="0"/>
        <v>2781907124067003</v>
      </c>
      <c r="K12" s="1">
        <f t="shared" si="0"/>
        <v>2811140842989687.5</v>
      </c>
      <c r="L12" s="1">
        <f t="shared" si="0"/>
        <v>2839459381318351.5</v>
      </c>
      <c r="M12" s="1">
        <f t="shared" si="0"/>
        <v>2866856712588427.5</v>
      </c>
      <c r="N12" s="1">
        <f t="shared" si="0"/>
        <v>2893329317554804.5</v>
      </c>
      <c r="O12" s="1">
        <f t="shared" si="0"/>
        <v>2918876253189979</v>
      </c>
      <c r="P12" s="1">
        <f t="shared" si="0"/>
        <v>2943499434603082.5</v>
      </c>
      <c r="Q12" s="1">
        <f t="shared" si="0"/>
        <v>2967203565928688.5</v>
      </c>
      <c r="R12" s="1">
        <f t="shared" si="0"/>
        <v>2989996455710672</v>
      </c>
      <c r="S12" s="1">
        <f t="shared" si="0"/>
        <v>3011889050946301</v>
      </c>
      <c r="T12" s="1">
        <f t="shared" si="0"/>
        <v>3032895632058412</v>
      </c>
      <c r="U12" s="1">
        <f t="shared" si="0"/>
        <v>3053034006182093.5</v>
      </c>
      <c r="V12" s="1">
        <f t="shared" si="0"/>
        <v>3072325521769855</v>
      </c>
      <c r="W12" s="1">
        <f t="shared" si="0"/>
        <v>3090795377264088</v>
      </c>
      <c r="X12" s="1">
        <f t="shared" si="0"/>
        <v>3108472741004658</v>
      </c>
      <c r="Y12" s="1">
        <f t="shared" si="0"/>
        <v>3125390934329759</v>
      </c>
      <c r="Z12" s="1">
        <f t="shared" si="0"/>
        <v>3141587527350958</v>
      </c>
      <c r="AA12" s="1">
        <f t="shared" si="0"/>
        <v>3157104583570507</v>
      </c>
      <c r="AB12" s="1">
        <f t="shared" si="0"/>
        <v>3171988933680573.5</v>
      </c>
      <c r="AC12" s="1">
        <f t="shared" si="0"/>
        <v>3186292196098748.5</v>
      </c>
      <c r="AD12" s="1">
        <f t="shared" si="0"/>
        <v>3200071018410147.5</v>
      </c>
      <c r="AE12" s="1">
        <f t="shared" si="0"/>
        <v>3213387466384169</v>
      </c>
      <c r="AF12" s="1">
        <f t="shared" si="0"/>
        <v>3226308953411794</v>
      </c>
      <c r="AG12" s="1">
        <f t="shared" si="0"/>
        <v>3238908604551749.5</v>
      </c>
      <c r="AH12" s="1">
        <f t="shared" si="0"/>
        <v>3251265541394129</v>
      </c>
      <c r="AI12" s="1">
        <f t="shared" si="0"/>
        <v>3263464884931701</v>
      </c>
      <c r="AJ12" s="1">
        <f t="shared" si="0"/>
        <v>3275598299941314</v>
      </c>
      <c r="AK12" s="1">
        <f t="shared" si="0"/>
        <v>3287763870962938</v>
      </c>
      <c r="AL12" s="1">
        <f t="shared" si="0"/>
        <v>3300066705537803</v>
      </c>
      <c r="AM12" s="1">
        <f t="shared" si="0"/>
        <v>3312618962056913.5</v>
      </c>
      <c r="AN12" s="1">
        <f t="shared" si="0"/>
        <v>3325540153197612</v>
      </c>
      <c r="AO12" s="1">
        <f t="shared" si="0"/>
        <v>3338957422929658</v>
      </c>
      <c r="AP12" s="1">
        <f t="shared" si="0"/>
        <v>3353005831402023</v>
      </c>
      <c r="AQ12" s="1">
        <f>SUM(AQ2:AQ11)</f>
        <v>3367828715230298</v>
      </c>
      <c r="AR12" s="1">
        <f t="shared" ref="AR12" si="1">SUM(AR2:AR11)</f>
        <v>3383577771729704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0946-A802-48C3-B7CD-AD459584C013}">
  <sheetPr>
    <tabColor rgb="FF00B0F0"/>
  </sheetPr>
  <dimension ref="A1:AR12"/>
  <sheetViews>
    <sheetView workbookViewId="0">
      <selection activeCell="B2" sqref="B2:AR11"/>
    </sheetView>
  </sheetViews>
  <sheetFormatPr defaultRowHeight="13.5" x14ac:dyDescent="0.15"/>
  <cols>
    <col min="1" max="1" width="37.25" customWidth="1"/>
    <col min="2" max="44" width="13.625" customWidth="1"/>
  </cols>
  <sheetData>
    <row r="1" spans="1:44" x14ac:dyDescent="0.15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15">
      <c r="A2" t="s">
        <v>0</v>
      </c>
      <c r="B2" s="1">
        <f>建筑各项能耗拆分!$B$18*建筑各项能耗拆分!B87+建筑各项能耗拆分!$B$18*建筑各项能耗拆分!B74</f>
        <v>1812467116203727.5</v>
      </c>
      <c r="C2" s="1">
        <f>建筑各项能耗拆分!$B$18*建筑各项能耗拆分!C87+建筑各项能耗拆分!$B$18*建筑各项能耗拆分!C74</f>
        <v>1849903502173133</v>
      </c>
      <c r="D2" s="1">
        <f>建筑各项能耗拆分!$B$18*建筑各项能耗拆分!D87+建筑各项能耗拆分!$B$18*建筑各项能耗拆分!D74</f>
        <v>1899324021673189.5</v>
      </c>
      <c r="E2" s="1">
        <f>建筑各项能耗拆分!$B$18*建筑各项能耗拆分!E87+建筑各项能耗拆分!$B$18*建筑各项能耗拆分!E74</f>
        <v>1924624653551455.3</v>
      </c>
      <c r="F2" s="1">
        <f>建筑各项能耗拆分!$B$18*建筑各项能耗拆分!F87+建筑各项能耗拆分!$B$18*建筑各项能耗拆分!F74</f>
        <v>1949313826744290.5</v>
      </c>
      <c r="G2" s="1">
        <f>建筑各项能耗拆分!$B$18*建筑各项能耗拆分!G87+建筑各项能耗拆分!$B$18*建筑各项能耗拆分!G74</f>
        <v>1973377925337597.5</v>
      </c>
      <c r="H2" s="1">
        <f>建筑各项能耗拆分!$B$18*建筑各项能耗拆分!H87+建筑各项能耗拆分!$B$18*建筑各项能耗拆分!H74</f>
        <v>1996804621718872.5</v>
      </c>
      <c r="I2" s="1">
        <f>建筑各项能耗拆分!$B$18*建筑各项能耗拆分!I87+建筑各项能耗拆分!$B$18*建筑各项能耗拆分!I74</f>
        <v>2019583072953704.8</v>
      </c>
      <c r="J2" s="1">
        <f>建筑各项能耗拆分!$B$18*建筑各项能耗拆分!J87+建筑各项能耗拆分!$B$18*建筑各项能耗拆分!J74</f>
        <v>2041703828331607.8</v>
      </c>
      <c r="K2" s="1">
        <f>建筑各项能耗拆分!$B$18*建筑各项能耗拆分!K87+建筑各项能耗拆分!$B$18*建筑各项能耗拆分!K74</f>
        <v>2063159108173429.5</v>
      </c>
      <c r="L2" s="1">
        <f>建筑各项能耗拆分!$B$18*建筑各项能耗拆分!L87+建筑各项能耗拆分!$B$18*建筑各项能耗拆分!L74</f>
        <v>2083942716518291</v>
      </c>
      <c r="M2" s="1">
        <f>建筑各项能耗拆分!$B$18*建筑各项能耗拆分!M87+建筑各项能耗拆分!$B$18*建筑各项能耗拆分!M74</f>
        <v>2104050230409123.8</v>
      </c>
      <c r="N2" s="1">
        <f>建筑各项能耗拆分!$B$18*建筑各项能耗拆分!N87+建筑各项能耗拆分!$B$18*建筑各项能耗拆分!N74</f>
        <v>2123479066993266.5</v>
      </c>
      <c r="O2" s="1">
        <f>建筑各项能耗拆分!$B$18*建筑各项能耗拆分!O87+建筑各项能耗拆分!$B$18*建筑各项能耗拆分!O74</f>
        <v>2142228534161754.5</v>
      </c>
      <c r="P2" s="1">
        <f>建筑各项能耗拆分!$B$18*建筑各项能耗拆分!P87+建筑各项能耗拆分!$B$18*建筑各项能耗拆分!P74</f>
        <v>2160300037455992</v>
      </c>
      <c r="Q2" s="1">
        <f>建筑各项能耗拆分!$B$18*建筑各项能耗拆分!Q87+建筑各项能耗拆分!$B$18*建筑各项能耗拆分!Q74</f>
        <v>2177697029345502</v>
      </c>
      <c r="R2" s="1">
        <f>建筑各项能耗拆分!$B$18*建筑各项能耗拆分!R87+建筑各项能耗拆分!$B$18*建筑各项能耗拆分!R74</f>
        <v>2194425240695197.5</v>
      </c>
      <c r="S2" s="1">
        <f>建筑各项能耗拆分!$B$18*建筑各项能耗拆分!S87+建筑各项能耗拆分!$B$18*建筑各项能耗拆分!S74</f>
        <v>2210492705751094.5</v>
      </c>
      <c r="T2" s="1">
        <f>建筑各项能耗拆分!$B$18*建筑各项能耗拆分!T87+建筑各项能耗拆分!$B$18*建筑各项能耗拆分!T74</f>
        <v>2225909905234754.5</v>
      </c>
      <c r="U2" s="1">
        <f>建筑各项能耗拆分!$B$18*建筑各项能耗拆分!U87+建筑各项能耗拆分!$B$18*建筑各项能耗拆分!U74</f>
        <v>2240689908200700</v>
      </c>
      <c r="V2" s="1">
        <f>建筑各项能耗拆分!$B$18*建筑各项能耗拆分!V87+建筑各项能耗拆分!$B$18*建筑各项能耗拆分!V74</f>
        <v>2254848382755475</v>
      </c>
      <c r="W2" s="1">
        <f>建筑各项能耗拆分!$B$18*建筑各项能耗拆分!W87+建筑各项能耗拆分!$B$18*建筑各项能耗拆分!W74</f>
        <v>2268403822599267</v>
      </c>
      <c r="X2" s="1">
        <f>建筑各项能耗拆分!$B$18*建筑各项能耗拆分!X87+建筑各项能耗拆分!$B$18*建筑各项能耗拆分!X74</f>
        <v>2281377635028766</v>
      </c>
      <c r="Y2" s="1">
        <f>建筑各项能耗拆分!$B$18*建筑各项能耗拆分!Y87+建筑各项能耗拆分!$B$18*建筑各项能耗拆分!Y74</f>
        <v>2293794275318977</v>
      </c>
      <c r="Z2" s="1">
        <f>建筑各项能耗拆分!$B$18*建筑各项能耗拆分!Z87+建筑各项能耗拆分!$B$18*建筑各项能耗拆分!Z74</f>
        <v>2305681317014662.5</v>
      </c>
      <c r="AA2" s="1">
        <f>建筑各项能耗拆分!$B$18*建筑各项能耗拆分!AA87+建筑各项能耗拆分!$B$18*建筑各项能耗拆分!AA74</f>
        <v>2317069631460463.5</v>
      </c>
      <c r="AB2" s="1">
        <f>建筑各项能耗拆分!$B$18*建筑各项能耗拆分!AB87+建筑各项能耗拆分!$B$18*建筑各项能耗拆分!AB74</f>
        <v>2327993588748269.5</v>
      </c>
      <c r="AC2" s="1">
        <f>建筑各项能耗拆分!$B$18*建筑各项能耗拆分!AC87+建筑各项能耗拆分!$B$18*建筑各项能耗拆分!AC74</f>
        <v>2338491072788688.5</v>
      </c>
      <c r="AD2" s="1">
        <f>建筑各项能耗拆分!$B$18*建筑各项能耗拆分!AD87+建筑各项能耗拆分!$B$18*建筑各项能耗拆分!AD74</f>
        <v>2348603658510801</v>
      </c>
      <c r="AE2" s="1">
        <f>建筑各项能耗拆分!$B$18*建筑各项能耗拆分!AE87+建筑各项能耗拆分!$B$18*建筑各项能耗拆分!AE74</f>
        <v>2358376897370260</v>
      </c>
      <c r="AF2" s="1">
        <f>建筑各项能耗拆分!$B$18*建筑各项能耗拆分!AF87+建筑各项能耗拆分!$B$18*建筑各项能耗拆分!AF74</f>
        <v>2367860265561744</v>
      </c>
      <c r="AG2" s="1">
        <f>建筑各项能耗拆分!$B$18*建筑各项能耗拆分!AG87+建筑各项能耗拆分!$B$18*建筑各项能耗拆分!AG74</f>
        <v>2377107431200575</v>
      </c>
      <c r="AH2" s="1">
        <f>建筑各项能耗拆分!$B$18*建筑各项能耗拆分!AH87+建筑各项能耗拆分!$B$18*建筑各项能耗拆分!AH74</f>
        <v>2386176463390497</v>
      </c>
      <c r="AI2" s="1">
        <f>建筑各项能耗拆分!$B$18*建筑各项能耗拆分!AI87+建筑各项能耗拆分!$B$18*建筑各项能耗拆分!AI74</f>
        <v>2395129834330997.5</v>
      </c>
      <c r="AJ2" s="1">
        <f>建筑各项能耗拆分!$B$18*建筑各项能耗拆分!AJ87+建筑各项能耗拆分!$B$18*建筑各项能耗拆分!AJ74</f>
        <v>2404034818850986.5</v>
      </c>
      <c r="AK2" s="1">
        <f>建筑各项能耗拆分!$B$18*建筑各项能耗拆分!AK87+建筑各项能耗拆分!$B$18*建筑各项能耗拆分!AK74</f>
        <v>2412963403387043</v>
      </c>
      <c r="AL2" s="1">
        <f>建筑各项能耗拆分!$B$18*建筑各项能耗拆分!AL87+建筑各项能耗拆分!$B$18*建筑各项能耗拆分!AL74</f>
        <v>2421992728713371</v>
      </c>
      <c r="AM2" s="1">
        <f>建筑各项能耗拆分!$B$18*建筑各项能耗拆分!AM87+建筑各项能耗拆分!$B$18*建筑各项能耗拆分!AM74</f>
        <v>2431205110380449.5</v>
      </c>
      <c r="AN2" s="1">
        <f>建筑各项能耗拆分!$B$18*建筑各项能耗拆分!AN87+建筑各项能耗拆分!$B$18*建筑各项能耗拆分!AN74</f>
        <v>2440688261413903</v>
      </c>
      <c r="AO2" s="1">
        <f>建筑各项能耗拆分!$B$18*建筑各项能耗拆分!AO87+建筑各项能耗拆分!$B$18*建筑各项能耗拆分!AO74</f>
        <v>2450535495615463</v>
      </c>
      <c r="AP2" s="1">
        <f>建筑各项能耗拆分!$B$18*建筑各项能耗拆分!AP87+建筑各项能耗拆分!$B$18*建筑各项能耗拆分!AP74</f>
        <v>2460845936647751.5</v>
      </c>
      <c r="AQ2" s="1">
        <f>建筑各项能耗拆分!$B$18*建筑各项能耗拆分!AQ87+建筑各项能耗拆分!$B$18*建筑各项能耗拆分!AQ74</f>
        <v>2471724782457261.5</v>
      </c>
      <c r="AR2" s="1">
        <f>建筑各项能耗拆分!$B$18*建筑各项能耗拆分!AR87+建筑各项能耗拆分!$B$18*建筑各项能耗拆分!AR74</f>
        <v>2483283367094853.5</v>
      </c>
    </row>
    <row r="3" spans="1:44" x14ac:dyDescent="0.15">
      <c r="A3" t="s">
        <v>1</v>
      </c>
      <c r="B3" s="1">
        <f>建筑各项能耗拆分!$B$18*建筑各项能耗拆分!B88+建筑各项能耗拆分!$B$18*建筑各项能耗拆分!B75</f>
        <v>21462228500102.211</v>
      </c>
      <c r="C3" s="1">
        <f>建筑各项能耗拆分!$B$18*建筑各项能耗拆分!C88+建筑各项能耗拆分!$B$18*建筑各项能耗拆分!C75</f>
        <v>21905529381376.293</v>
      </c>
      <c r="D3" s="1">
        <f>建筑各项能耗拆分!$B$18*建筑各项能耗拆分!D88+建筑各项能耗拆分!$B$18*建筑各项能耗拆分!D75</f>
        <v>22490739712985.273</v>
      </c>
      <c r="E3" s="1">
        <f>建筑各项能耗拆分!$B$18*建筑各项能耗拆分!E88+建筑各项能耗拆分!$B$18*建筑各项能耗拆分!E75</f>
        <v>22790335737494.488</v>
      </c>
      <c r="F3" s="1">
        <f>建筑各项能耗拆分!$B$18*建筑各项能耗拆分!F88+建筑各项能耗拆分!$B$18*建筑各项能耗拆分!F75</f>
        <v>23082691208005.359</v>
      </c>
      <c r="G3" s="1">
        <f>建筑各项能耗拆分!$B$18*建筑各项能耗拆分!G88+建筑各项能耗拆分!$B$18*建筑各项能耗拆分!G75</f>
        <v>23367644892428.789</v>
      </c>
      <c r="H3" s="1">
        <f>建筑各项能耗拆分!$B$18*建筑各项能耗拆分!H88+建筑各项能耗拆分!$B$18*建筑各项能耗拆分!H75</f>
        <v>23645050814027.266</v>
      </c>
      <c r="I3" s="1">
        <f>建筑各项能耗拆分!$B$18*建筑各项能耗拆分!I88+建筑各项能耗拆分!$B$18*建筑各项能耗拆分!I75</f>
        <v>23914780576796.355</v>
      </c>
      <c r="J3" s="1">
        <f>建筑各项能耗拆分!$B$18*建筑各项能耗拆分!J88+建筑各项能耗拆分!$B$18*建筑各项能耗拆分!J75</f>
        <v>24176722270673.711</v>
      </c>
      <c r="K3" s="1">
        <f>建筑各项能耗拆分!$B$18*建筑各项能耗拆分!K88+建筑各项能耗拆分!$B$18*建筑各项能耗拆分!K75</f>
        <v>24430783773021.578</v>
      </c>
      <c r="L3" s="1">
        <f>建筑各项能耗拆分!$B$18*建筑各项能耗拆分!L88+建筑各项能耗拆分!$B$18*建筑各项能耗拆分!L75</f>
        <v>24676891714713.973</v>
      </c>
      <c r="M3" s="1">
        <f>建筑各项能耗拆分!$B$18*建筑各项能耗拆分!M88+建筑各项能耗拆分!$B$18*建筑各项能耗拆分!M75</f>
        <v>24914993721550.887</v>
      </c>
      <c r="N3" s="1">
        <f>建筑各项能耗拆分!$B$18*建筑各项能耗拆分!N88+建筑各项能耗拆分!$B$18*建筑各项能耗拆分!N75</f>
        <v>25145059208826.273</v>
      </c>
      <c r="O3" s="1">
        <f>建筑各项能耗拆分!$B$18*建筑各项能耗拆分!O88+建筑各项能耗拆分!$B$18*建筑各项能耗拆分!O75</f>
        <v>25367079980970.324</v>
      </c>
      <c r="P3" s="1">
        <f>建筑各项能耗拆分!$B$18*建筑各项能耗拆分!P88+建筑各项能耗拆分!$B$18*建筑各项能耗拆分!P75</f>
        <v>25581072681623.367</v>
      </c>
      <c r="Q3" s="1">
        <f>建筑各项能耗拆分!$B$18*建筑各项能耗拆分!Q88+建筑各项能耗拆分!$B$18*建筑各项能耗拆分!Q75</f>
        <v>25787078193011.152</v>
      </c>
      <c r="R3" s="1">
        <f>建筑各项能耗拆分!$B$18*建筑各项能耗拆分!R88+建筑各项能耗拆分!$B$18*建筑各项能耗拆分!R75</f>
        <v>25985164376851.633</v>
      </c>
      <c r="S3" s="1">
        <f>建筑各项能耗拆分!$B$18*建筑各项能耗拆分!S88+建筑各项能耗拆分!$B$18*建筑各项能耗拆分!S75</f>
        <v>26175426370221.957</v>
      </c>
      <c r="T3" s="1">
        <f>建筑各项能耗拆分!$B$18*建筑各项能耗拆分!T88+建筑各项能耗拆分!$B$18*建筑各项能耗拆分!T75</f>
        <v>26357988280003.262</v>
      </c>
      <c r="U3" s="1">
        <f>建筑各项能耗拆分!$B$18*建筑各项能耗拆分!U88+建筑各项能耗拆分!$B$18*建筑各项能耗拆分!U75</f>
        <v>26533004862677.445</v>
      </c>
      <c r="V3" s="1">
        <f>建筑各项能耗拆分!$B$18*建筑各项能耗拆分!V88+建筑各项能耗拆分!$B$18*建筑各项能耗拆分!V75</f>
        <v>26700661651256.285</v>
      </c>
      <c r="W3" s="1">
        <f>建筑各项能耗拆分!$B$18*建筑各项能耗拆分!W88+建筑各项能耗拆分!$B$18*建筑各项能耗拆分!W75</f>
        <v>26861177637861.445</v>
      </c>
      <c r="X3" s="1">
        <f>建筑各项能耗拆分!$B$18*建筑各项能耗拆分!X88+建筑各项能耗拆分!$B$18*建筑各项能耗拆分!X75</f>
        <v>27014806315805.465</v>
      </c>
      <c r="Y3" s="1">
        <f>建筑各项能耗拆分!$B$18*建筑各项能耗拆分!Y88+建筑各项能耗拆分!$B$18*建筑各项能耗拆分!Y75</f>
        <v>27161837270866.457</v>
      </c>
      <c r="Z3" s="1">
        <f>建筑各项能耗拆分!$B$18*建筑各项能耗拆分!Z88+建筑各项能耗拆分!$B$18*建筑各项能耗拆分!Z75</f>
        <v>27302597013640.391</v>
      </c>
      <c r="AA3" s="1">
        <f>建筑各项能耗拆分!$B$18*建筑各项能耗拆分!AA88+建筑各项能耗拆分!$B$18*建筑各项能耗拆分!AA75</f>
        <v>27437451105436.953</v>
      </c>
      <c r="AB3" s="1">
        <f>建筑各项能耗拆分!$B$18*建筑各项能耗拆分!AB88+建筑各项能耗拆分!$B$18*建筑各项能耗拆分!AB75</f>
        <v>27566806537786.707</v>
      </c>
      <c r="AC3" s="1">
        <f>建筑各项能耗拆分!$B$18*建筑各项能耗拆分!AC88+建筑各项能耗拆分!$B$18*建筑各项能耗拆分!AC75</f>
        <v>27691111910909.031</v>
      </c>
      <c r="AD3" s="1">
        <f>建筑各项能耗拆分!$B$18*建筑各项能耗拆分!AD88+建筑各项能耗拆分!$B$18*建筑各项能耗拆分!AD75</f>
        <v>27810859532013.156</v>
      </c>
      <c r="AE3" s="1">
        <f>建筑各项能耗拆分!$B$18*建筑各项能耗拆分!AE88+建筑各项能耗拆分!$B$18*建筑各项能耗拆分!AE75</f>
        <v>27926588796126.445</v>
      </c>
      <c r="AF3" s="1">
        <f>建筑各项能耗拆分!$B$18*建筑各项能耗拆分!AF88+建筑各项能耗拆分!$B$18*建筑各项能耗拆分!AF75</f>
        <v>28038885572855.027</v>
      </c>
      <c r="AG3" s="1">
        <f>建筑各项能耗拆分!$B$18*建筑各项能耗拆分!AG88+建筑各项能耗拆分!$B$18*建筑各项能耗拆分!AG75</f>
        <v>28148385370200.082</v>
      </c>
      <c r="AH3" s="1">
        <f>建筑各项能耗拆分!$B$18*建筑各项能耗拆分!AH88+建筑各项能耗拆分!$B$18*建筑各项能耗拆分!AH75</f>
        <v>28255775810222.285</v>
      </c>
      <c r="AI3" s="1">
        <f>建筑各项能耗拆分!$B$18*建筑各项能耗拆分!AI88+建筑各项能耗拆分!$B$18*建筑各项能耗拆分!AI75</f>
        <v>28361796653995.535</v>
      </c>
      <c r="AJ3" s="1">
        <f>建筑各项能耗拆分!$B$18*建筑各项能耗拆分!AJ88+建筑各项能耗拆分!$B$18*建筑各项能耗拆分!AJ75</f>
        <v>28467244532662.813</v>
      </c>
      <c r="AK3" s="1">
        <f>建筑各项能耗拆分!$B$18*建筑各项能耗拆分!AK88+建筑各项能耗拆分!$B$18*建筑各项能耗拆分!AK75</f>
        <v>28572971869607.105</v>
      </c>
      <c r="AL3" s="1">
        <f>建筑各项能耗拆分!$B$18*建筑各项能耗拆分!AL88+建筑各项能耗拆分!$B$18*建筑各项能耗拆分!AL75</f>
        <v>28679892123013.59</v>
      </c>
      <c r="AM3" s="1">
        <f>建筑各项能耗拆分!$B$18*建筑各项能耗拆分!AM88+建筑各项能耗拆分!$B$18*建筑各项能耗拆分!AM75</f>
        <v>28788980027892.715</v>
      </c>
      <c r="AN3" s="1">
        <f>建筑各项能耗拆分!$B$18*建筑各项能耗拆分!AN88+建筑各项能耗拆分!$B$18*建筑各项能耗拆分!AN75</f>
        <v>28901274233156.57</v>
      </c>
      <c r="AO3" s="1">
        <f>建筑各项能耗拆分!$B$18*建筑各项能耗拆分!AO88+建筑各项能耗拆分!$B$18*建筑各项能耗拆分!AO75</f>
        <v>29017879708995.809</v>
      </c>
      <c r="AP3" s="1">
        <f>建筑各项能耗拆分!$B$18*建筑各项能耗拆分!AP88+建筑各项能耗拆分!$B$18*建筑各项能耗拆分!AP75</f>
        <v>29139970222745.531</v>
      </c>
      <c r="AQ3" s="1">
        <f>建筑各项能耗拆分!$B$18*建筑各项能耗拆分!AQ88+建筑各项能耗拆分!$B$18*建筑各项能耗拆分!AQ75</f>
        <v>29268791470035.32</v>
      </c>
      <c r="AR3" s="1">
        <f>建筑各项能耗拆分!$B$18*建筑各项能耗拆分!AR88+建筑各项能耗拆分!$B$18*建筑各项能耗拆分!AR75</f>
        <v>29405661806833.137</v>
      </c>
    </row>
    <row r="4" spans="1:44" x14ac:dyDescent="0.15">
      <c r="A4" t="s">
        <v>2</v>
      </c>
      <c r="B4" s="1">
        <f>建筑各项能耗拆分!$B$18*建筑各项能耗拆分!B89+建筑各项能耗拆分!$B$18*建筑各项能耗拆分!B76</f>
        <v>1109287534884791.9</v>
      </c>
      <c r="C4" s="1">
        <f>建筑各项能耗拆分!$B$18*建筑各项能耗拆分!C89+建筑各项能耗拆分!$B$18*建筑各项能耗拆分!C76</f>
        <v>1132199794056687.3</v>
      </c>
      <c r="D4" s="1">
        <f>建筑各项能耗拆分!$B$18*建筑各项能耗拆分!D89+建筑各项能耗拆分!$B$18*建筑各项能耗拆分!D76</f>
        <v>1162446724198939.5</v>
      </c>
      <c r="E4" s="1">
        <f>建筑各项能耗拆分!$B$18*建筑各项能耗拆分!E89+建筑各项能耗拆分!$B$18*建筑各项能耗拆分!E76</f>
        <v>1177931515793974.5</v>
      </c>
      <c r="F4" s="1">
        <f>建筑各项能耗拆分!$B$18*建筑各项能耗拆分!F89+建筑各项能耗拆分!$B$18*建筑各项能耗拆分!F76</f>
        <v>1193042075221274.5</v>
      </c>
      <c r="G4" s="1">
        <f>建筑各项能耗拆分!$B$18*建筑各项能耗拆分!G89+建筑各项能耗拆分!$B$18*建筑各项能耗拆分!G76</f>
        <v>1207770069108251.3</v>
      </c>
      <c r="H4" s="1">
        <f>建筑各项能耗拆分!$B$18*建筑各项能耗拆分!H89+建筑各项能耗拆分!$B$18*建筑各项能耗拆分!H76</f>
        <v>1222107952563874.5</v>
      </c>
      <c r="I4" s="1">
        <f>建筑各项能耗拆分!$B$18*建筑各项能耗拆分!I89+建筑各项能耗拆分!$B$18*建筑各项能耗拆分!I76</f>
        <v>1236049089367341.3</v>
      </c>
      <c r="J4" s="1">
        <f>建筑各项能耗拆分!$B$18*建筑各项能耗拆分!J89+建筑各项能耗拆分!$B$18*建筑各项能耗拆分!J76</f>
        <v>1249587695383178.8</v>
      </c>
      <c r="K4" s="1">
        <f>建筑各项能耗拆分!$B$18*建筑各项能耗拆分!K89+建筑各项能耗拆分!$B$18*建筑各项能耗拆分!K76</f>
        <v>1262719009200252.3</v>
      </c>
      <c r="L4" s="1">
        <f>建筑各项能耗拆分!$B$18*建筑各项能耗拆分!L89+建筑各项能耗拆分!$B$18*建筑各项能耗拆分!L76</f>
        <v>1275439238693393</v>
      </c>
      <c r="M4" s="1">
        <f>建筑各项能耗拆分!$B$18*建筑各项能耗拆分!M89+建筑各项能耗拆分!$B$18*建筑各项能耗拆分!M76</f>
        <v>1287745676872168</v>
      </c>
      <c r="N4" s="1">
        <f>建筑各项能耗拆分!$B$18*建筑各项能耗拆分!N89+建筑各项能耗拆分!$B$18*建筑各项能耗拆分!N76</f>
        <v>1299636742948580.5</v>
      </c>
      <c r="O4" s="1">
        <f>建筑各项能耗拆分!$B$18*建筑各项能耗拆分!O89+建筑各项能耗拆分!$B$18*建筑各项能耗拆分!O76</f>
        <v>1311112013329926</v>
      </c>
      <c r="P4" s="1">
        <f>建筑各项能耗拆分!$B$18*建筑各项能耗拆分!P89+建筑各项能耗拆分!$B$18*建筑各项能耗拆分!P76</f>
        <v>1322172348252258</v>
      </c>
      <c r="Q4" s="1">
        <f>建筑各项能耗拆分!$B$18*建筑各项能耗拆分!Q89+建筑各项能耗拆分!$B$18*建筑各项能耗拆分!Q76</f>
        <v>1332819860736758.5</v>
      </c>
      <c r="R4" s="1">
        <f>建筑各项能耗拆分!$B$18*建筑各项能耗拆分!R89+建筑各项能耗拆分!$B$18*建筑各项能耗拆分!R76</f>
        <v>1343058058255068.5</v>
      </c>
      <c r="S4" s="1">
        <f>建筑各项能耗拆分!$B$18*建筑各项能耗拆分!S89+建筑各项能耗拆分!$B$18*建筑各项能耗拆分!S76</f>
        <v>1352891858021342.5</v>
      </c>
      <c r="T4" s="1">
        <f>建筑各项能耗拆分!$B$18*建筑各项能耗拆分!T89+建筑各项能耗拆分!$B$18*建筑各项能耗拆分!T76</f>
        <v>1362327674570598</v>
      </c>
      <c r="U4" s="1">
        <f>建筑各项能耗拆分!$B$18*建筑各项能耗拆分!U89+建筑各项能耗拆分!$B$18*建筑各项能耗拆分!U76</f>
        <v>1371373506579966.3</v>
      </c>
      <c r="V4" s="1">
        <f>建筑各项能耗拆分!$B$18*建筑各项能耗拆分!V89+建筑各项能耗拆分!$B$18*建筑各项能耗拆分!V76</f>
        <v>1380038943429100.8</v>
      </c>
      <c r="W4" s="1">
        <f>建筑各项能耗拆分!$B$18*建筑各项能耗拆分!W89+建筑各项能耗拆分!$B$18*建筑各项能耗拆分!W76</f>
        <v>1388335303850852.5</v>
      </c>
      <c r="X4" s="1">
        <f>建筑各项能耗拆分!$B$18*建筑各项能耗拆分!X89+建筑各项能耗拆分!$B$18*建筑各项能耗拆分!X76</f>
        <v>1396275689791823.5</v>
      </c>
      <c r="Y4" s="1">
        <f>建筑各项能耗拆分!$B$18*建筑各项能耗拆分!Y89+建筑各项能耗拆分!$B$18*建筑各项能耗拆分!Y76</f>
        <v>1403875068658309.3</v>
      </c>
      <c r="Z4" s="1">
        <f>建筑各项能耗拆分!$B$18*建筑各项能耗拆分!Z89+建筑各项能耗拆分!$B$18*建筑各项能耗拆分!Z76</f>
        <v>1411150316336898.3</v>
      </c>
      <c r="AA4" s="1">
        <f>建筑各项能耗拆分!$B$18*建筑各项能耗拆分!AA89+建筑各项能耗拆分!$B$18*建筑各项能耗拆分!AA76</f>
        <v>1418120327072616</v>
      </c>
      <c r="AB4" s="1">
        <f>建筑各项能耗拆分!$B$18*建筑各项能耗拆分!AB89+建筑各项能耗拆分!$B$18*建筑各项能耗拆分!AB76</f>
        <v>1424806136455110.3</v>
      </c>
      <c r="AC4" s="1">
        <f>建筑各项能耗拆分!$B$18*建筑各项能耗拆分!AC89+建筑各项能耗拆分!$B$18*建筑各项能耗拆分!AC76</f>
        <v>1431230930642868.3</v>
      </c>
      <c r="AD4" s="1">
        <f>建筑各项能耗拆分!$B$18*建筑各项能耗拆分!AD89+建筑各项能耗拆分!$B$18*建筑各项能耗拆分!AD76</f>
        <v>1437420154815105.8</v>
      </c>
      <c r="AE4" s="1">
        <f>建筑各项能耗拆分!$B$18*建筑各项能耗拆分!AE89+建筑各项能耗拆分!$B$18*建筑各项能耗拆分!AE76</f>
        <v>1443401687911804.3</v>
      </c>
      <c r="AF4" s="1">
        <f>建筑各项能耗拆分!$B$18*建筑各项能耗拆分!AF89+建筑各项能耗拆分!$B$18*建筑各项能耗拆分!AF76</f>
        <v>1449205810938085.5</v>
      </c>
      <c r="AG4" s="1">
        <f>建筑各项能耗拆分!$B$18*建筑各项能耗拆分!AG89+建筑各项能耗拆分!$B$18*建筑各项能耗拆分!AG76</f>
        <v>1454865370487863.5</v>
      </c>
      <c r="AH4" s="1">
        <f>建筑各项能耗拆分!$B$18*建筑各项能耗拆分!AH89+建筑各项能耗拆分!$B$18*建筑各项能耗拆分!AH76</f>
        <v>1460415906699975</v>
      </c>
      <c r="AI4" s="1">
        <f>建筑各项能耗拆分!$B$18*建筑各项能耗拆分!AI89+建筑各项能耗拆分!$B$18*建筑各项能耗拆分!AI76</f>
        <v>1465895654547924.5</v>
      </c>
      <c r="AJ4" s="1">
        <f>建筑各项能耗拆分!$B$18*建筑各项能耗拆分!AJ89+建筑各项能耗拆分!$B$18*建筑各项能耗拆分!AJ76</f>
        <v>1471345788367210.5</v>
      </c>
      <c r="AK4" s="1">
        <f>建筑各项能耗拆分!$B$18*建筑各项能耗拆分!AK89+建筑各项能耗拆分!$B$18*建筑各项能耗拆分!AK76</f>
        <v>1476810366147114</v>
      </c>
      <c r="AL4" s="1">
        <f>建筑各项能耗拆分!$B$18*建筑各项能耗拆分!AL89+建筑各项能耗拆分!$B$18*建筑各项能耗拆分!AL76</f>
        <v>1482336600495517</v>
      </c>
      <c r="AM4" s="1">
        <f>建筑各项能耗拆分!$B$18*建筑各项能耗拆分!AM89+建筑各项能耗拆分!$B$18*建筑各项能耗拆分!AM76</f>
        <v>1487974871148005</v>
      </c>
      <c r="AN4" s="1">
        <f>建筑各项能耗拆分!$B$18*建筑各项能耗拆分!AN89+建筑各项能耗拆分!$B$18*建筑各项能耗拆分!AN76</f>
        <v>1493778861266663.5</v>
      </c>
      <c r="AO4" s="1">
        <f>建筑各项能耗拆分!$B$18*建筑各项能耗拆分!AO89+建筑各项能耗拆分!$B$18*建筑各项能耗拆分!AO76</f>
        <v>1499805681866731</v>
      </c>
      <c r="AP4" s="1">
        <f>建筑各项能耗拆分!$B$18*建筑各项能耗拆分!AP89+建筑各项能耗拆分!$B$18*建筑各项能耗拆分!AP76</f>
        <v>1506115999783139.5</v>
      </c>
      <c r="AQ4" s="1">
        <f>建筑各项能耗拆分!$B$18*建筑各项能耗拆分!AQ89+建筑各项能耗拆分!$B$18*建筑各项能耗拆分!AQ76</f>
        <v>1512774199505791.5</v>
      </c>
      <c r="AR4" s="1">
        <f>建筑各项能耗拆分!$B$18*建筑各项能耗拆分!AR89+建筑各项能耗拆分!$B$18*建筑各项能耗拆分!AR76</f>
        <v>1519848421015667.8</v>
      </c>
    </row>
    <row r="5" spans="1:44" x14ac:dyDescent="0.15">
      <c r="A5" t="s">
        <v>3</v>
      </c>
      <c r="B5" s="1">
        <f>建筑各项能耗拆分!$B$18*建筑各项能耗拆分!B90+建筑各项能耗拆分!$B$18*建筑各项能耗拆分!B77</f>
        <v>0</v>
      </c>
      <c r="C5" s="1">
        <f>建筑各项能耗拆分!$B$18*建筑各项能耗拆分!C90+建筑各项能耗拆分!$B$18*建筑各项能耗拆分!C77</f>
        <v>0</v>
      </c>
      <c r="D5" s="1">
        <f>建筑各项能耗拆分!$B$18*建筑各项能耗拆分!D90+建筑各项能耗拆分!$B$18*建筑各项能耗拆分!D77</f>
        <v>0</v>
      </c>
      <c r="E5" s="1">
        <f>建筑各项能耗拆分!$B$18*建筑各项能耗拆分!E90+建筑各项能耗拆分!$B$18*建筑各项能耗拆分!E77</f>
        <v>0</v>
      </c>
      <c r="F5" s="1">
        <f>建筑各项能耗拆分!$B$18*建筑各项能耗拆分!F90+建筑各项能耗拆分!$B$18*建筑各项能耗拆分!F77</f>
        <v>0</v>
      </c>
      <c r="G5" s="1">
        <f>建筑各项能耗拆分!$B$18*建筑各项能耗拆分!G90+建筑各项能耗拆分!$B$18*建筑各项能耗拆分!G77</f>
        <v>0</v>
      </c>
      <c r="H5" s="1">
        <f>建筑各项能耗拆分!$B$18*建筑各项能耗拆分!H90+建筑各项能耗拆分!$B$18*建筑各项能耗拆分!H77</f>
        <v>0</v>
      </c>
      <c r="I5" s="1">
        <f>建筑各项能耗拆分!$B$18*建筑各项能耗拆分!I90+建筑各项能耗拆分!$B$18*建筑各项能耗拆分!I77</f>
        <v>0</v>
      </c>
      <c r="J5" s="1">
        <f>建筑各项能耗拆分!$B$18*建筑各项能耗拆分!J90+建筑各项能耗拆分!$B$18*建筑各项能耗拆分!J77</f>
        <v>0</v>
      </c>
      <c r="K5" s="1">
        <f>建筑各项能耗拆分!$B$18*建筑各项能耗拆分!K90+建筑各项能耗拆分!$B$18*建筑各项能耗拆分!K77</f>
        <v>0</v>
      </c>
      <c r="L5" s="1">
        <f>建筑各项能耗拆分!$B$18*建筑各项能耗拆分!L90+建筑各项能耗拆分!$B$18*建筑各项能耗拆分!L77</f>
        <v>0</v>
      </c>
      <c r="M5" s="1">
        <f>建筑各项能耗拆分!$B$18*建筑各项能耗拆分!M90+建筑各项能耗拆分!$B$18*建筑各项能耗拆分!M77</f>
        <v>0</v>
      </c>
      <c r="N5" s="1">
        <f>建筑各项能耗拆分!$B$18*建筑各项能耗拆分!N90+建筑各项能耗拆分!$B$18*建筑各项能耗拆分!N77</f>
        <v>0</v>
      </c>
      <c r="O5" s="1">
        <f>建筑各项能耗拆分!$B$18*建筑各项能耗拆分!O90+建筑各项能耗拆分!$B$18*建筑各项能耗拆分!O77</f>
        <v>0</v>
      </c>
      <c r="P5" s="1">
        <f>建筑各项能耗拆分!$B$18*建筑各项能耗拆分!P90+建筑各项能耗拆分!$B$18*建筑各项能耗拆分!P77</f>
        <v>0</v>
      </c>
      <c r="Q5" s="1">
        <f>建筑各项能耗拆分!$B$18*建筑各项能耗拆分!Q90+建筑各项能耗拆分!$B$18*建筑各项能耗拆分!Q77</f>
        <v>0</v>
      </c>
      <c r="R5" s="1">
        <f>建筑各项能耗拆分!$B$18*建筑各项能耗拆分!R90+建筑各项能耗拆分!$B$18*建筑各项能耗拆分!R77</f>
        <v>0</v>
      </c>
      <c r="S5" s="1">
        <f>建筑各项能耗拆分!$B$18*建筑各项能耗拆分!S90+建筑各项能耗拆分!$B$18*建筑各项能耗拆分!S77</f>
        <v>0</v>
      </c>
      <c r="T5" s="1">
        <f>建筑各项能耗拆分!$B$18*建筑各项能耗拆分!T90+建筑各项能耗拆分!$B$18*建筑各项能耗拆分!T77</f>
        <v>0</v>
      </c>
      <c r="U5" s="1">
        <f>建筑各项能耗拆分!$B$18*建筑各项能耗拆分!U90+建筑各项能耗拆分!$B$18*建筑各项能耗拆分!U77</f>
        <v>0</v>
      </c>
      <c r="V5" s="1">
        <f>建筑各项能耗拆分!$B$18*建筑各项能耗拆分!V90+建筑各项能耗拆分!$B$18*建筑各项能耗拆分!V77</f>
        <v>0</v>
      </c>
      <c r="W5" s="1">
        <f>建筑各项能耗拆分!$B$18*建筑各项能耗拆分!W90+建筑各项能耗拆分!$B$18*建筑各项能耗拆分!W77</f>
        <v>0</v>
      </c>
      <c r="X5" s="1">
        <f>建筑各项能耗拆分!$B$18*建筑各项能耗拆分!X90+建筑各项能耗拆分!$B$18*建筑各项能耗拆分!X77</f>
        <v>0</v>
      </c>
      <c r="Y5" s="1">
        <f>建筑各项能耗拆分!$B$18*建筑各项能耗拆分!Y90+建筑各项能耗拆分!$B$18*建筑各项能耗拆分!Y77</f>
        <v>0</v>
      </c>
      <c r="Z5" s="1">
        <f>建筑各项能耗拆分!$B$18*建筑各项能耗拆分!Z90+建筑各项能耗拆分!$B$18*建筑各项能耗拆分!Z77</f>
        <v>0</v>
      </c>
      <c r="AA5" s="1">
        <f>建筑各项能耗拆分!$B$18*建筑各项能耗拆分!AA90+建筑各项能耗拆分!$B$18*建筑各项能耗拆分!AA77</f>
        <v>0</v>
      </c>
      <c r="AB5" s="1">
        <f>建筑各项能耗拆分!$B$18*建筑各项能耗拆分!AB90+建筑各项能耗拆分!$B$18*建筑各项能耗拆分!AB77</f>
        <v>0</v>
      </c>
      <c r="AC5" s="1">
        <f>建筑各项能耗拆分!$B$18*建筑各项能耗拆分!AC90+建筑各项能耗拆分!$B$18*建筑各项能耗拆分!AC77</f>
        <v>0</v>
      </c>
      <c r="AD5" s="1">
        <f>建筑各项能耗拆分!$B$18*建筑各项能耗拆分!AD90+建筑各项能耗拆分!$B$18*建筑各项能耗拆分!AD77</f>
        <v>0</v>
      </c>
      <c r="AE5" s="1">
        <f>建筑各项能耗拆分!$B$18*建筑各项能耗拆分!AE90+建筑各项能耗拆分!$B$18*建筑各项能耗拆分!AE77</f>
        <v>0</v>
      </c>
      <c r="AF5" s="1">
        <f>建筑各项能耗拆分!$B$18*建筑各项能耗拆分!AF90+建筑各项能耗拆分!$B$18*建筑各项能耗拆分!AF77</f>
        <v>0</v>
      </c>
      <c r="AG5" s="1">
        <f>建筑各项能耗拆分!$B$18*建筑各项能耗拆分!AG90+建筑各项能耗拆分!$B$18*建筑各项能耗拆分!AG77</f>
        <v>0</v>
      </c>
      <c r="AH5" s="1">
        <f>建筑各项能耗拆分!$B$18*建筑各项能耗拆分!AH90+建筑各项能耗拆分!$B$18*建筑各项能耗拆分!AH77</f>
        <v>0</v>
      </c>
      <c r="AI5" s="1">
        <f>建筑各项能耗拆分!$B$18*建筑各项能耗拆分!AI90+建筑各项能耗拆分!$B$18*建筑各项能耗拆分!AI77</f>
        <v>0</v>
      </c>
      <c r="AJ5" s="1">
        <f>建筑各项能耗拆分!$B$18*建筑各项能耗拆分!AJ90+建筑各项能耗拆分!$B$18*建筑各项能耗拆分!AJ77</f>
        <v>0</v>
      </c>
      <c r="AK5" s="1">
        <f>建筑各项能耗拆分!$B$18*建筑各项能耗拆分!AK90+建筑各项能耗拆分!$B$18*建筑各项能耗拆分!AK77</f>
        <v>0</v>
      </c>
      <c r="AL5" s="1">
        <f>建筑各项能耗拆分!$B$18*建筑各项能耗拆分!AL90+建筑各项能耗拆分!$B$18*建筑各项能耗拆分!AL77</f>
        <v>0</v>
      </c>
      <c r="AM5" s="1">
        <f>建筑各项能耗拆分!$B$18*建筑各项能耗拆分!AM90+建筑各项能耗拆分!$B$18*建筑各项能耗拆分!AM77</f>
        <v>0</v>
      </c>
      <c r="AN5" s="1">
        <f>建筑各项能耗拆分!$B$18*建筑各项能耗拆分!AN90+建筑各项能耗拆分!$B$18*建筑各项能耗拆分!AN77</f>
        <v>0</v>
      </c>
      <c r="AO5" s="1">
        <f>建筑各项能耗拆分!$B$18*建筑各项能耗拆分!AO90+建筑各项能耗拆分!$B$18*建筑各项能耗拆分!AO77</f>
        <v>0</v>
      </c>
      <c r="AP5" s="1">
        <f>建筑各项能耗拆分!$B$18*建筑各项能耗拆分!AP90+建筑各项能耗拆分!$B$18*建筑各项能耗拆分!AP77</f>
        <v>0</v>
      </c>
      <c r="AQ5" s="1">
        <f>建筑各项能耗拆分!$B$18*建筑各项能耗拆分!AQ90+建筑各项能耗拆分!$B$18*建筑各项能耗拆分!AQ77</f>
        <v>0</v>
      </c>
      <c r="AR5" s="1">
        <f>建筑各项能耗拆分!$B$18*建筑各项能耗拆分!AR90+建筑各项能耗拆分!$B$18*建筑各项能耗拆分!AR77</f>
        <v>0</v>
      </c>
    </row>
    <row r="6" spans="1:44" x14ac:dyDescent="0.15">
      <c r="A6" t="s">
        <v>4</v>
      </c>
      <c r="B6" s="1">
        <f>建筑各项能耗拆分!$B$18*建筑各项能耗拆分!B91+建筑各项能耗拆分!$B$18*建筑各项能耗拆分!B78</f>
        <v>0</v>
      </c>
      <c r="C6" s="1">
        <f>建筑各项能耗拆分!$B$18*建筑各项能耗拆分!C91+建筑各项能耗拆分!$B$18*建筑各项能耗拆分!C78</f>
        <v>0</v>
      </c>
      <c r="D6" s="1">
        <f>建筑各项能耗拆分!$B$18*建筑各项能耗拆分!D91+建筑各项能耗拆分!$B$18*建筑各项能耗拆分!D78</f>
        <v>0</v>
      </c>
      <c r="E6" s="1">
        <f>建筑各项能耗拆分!$B$18*建筑各项能耗拆分!E91+建筑各项能耗拆分!$B$18*建筑各项能耗拆分!E78</f>
        <v>0</v>
      </c>
      <c r="F6" s="1">
        <f>建筑各项能耗拆分!$B$18*建筑各项能耗拆分!F91+建筑各项能耗拆分!$B$18*建筑各项能耗拆分!F78</f>
        <v>0</v>
      </c>
      <c r="G6" s="1">
        <f>建筑各项能耗拆分!$B$18*建筑各项能耗拆分!G91+建筑各项能耗拆分!$B$18*建筑各项能耗拆分!G78</f>
        <v>0</v>
      </c>
      <c r="H6" s="1">
        <f>建筑各项能耗拆分!$B$18*建筑各项能耗拆分!H91+建筑各项能耗拆分!$B$18*建筑各项能耗拆分!H78</f>
        <v>0</v>
      </c>
      <c r="I6" s="1">
        <f>建筑各项能耗拆分!$B$18*建筑各项能耗拆分!I91+建筑各项能耗拆分!$B$18*建筑各项能耗拆分!I78</f>
        <v>0</v>
      </c>
      <c r="J6" s="1">
        <f>建筑各项能耗拆分!$B$18*建筑各项能耗拆分!J91+建筑各项能耗拆分!$B$18*建筑各项能耗拆分!J78</f>
        <v>0</v>
      </c>
      <c r="K6" s="1">
        <f>建筑各项能耗拆分!$B$18*建筑各项能耗拆分!K91+建筑各项能耗拆分!$B$18*建筑各项能耗拆分!K78</f>
        <v>0</v>
      </c>
      <c r="L6" s="1">
        <f>建筑各项能耗拆分!$B$18*建筑各项能耗拆分!L91+建筑各项能耗拆分!$B$18*建筑各项能耗拆分!L78</f>
        <v>0</v>
      </c>
      <c r="M6" s="1">
        <f>建筑各项能耗拆分!$B$18*建筑各项能耗拆分!M91+建筑各项能耗拆分!$B$18*建筑各项能耗拆分!M78</f>
        <v>0</v>
      </c>
      <c r="N6" s="1">
        <f>建筑各项能耗拆分!$B$18*建筑各项能耗拆分!N91+建筑各项能耗拆分!$B$18*建筑各项能耗拆分!N78</f>
        <v>0</v>
      </c>
      <c r="O6" s="1">
        <f>建筑各项能耗拆分!$B$18*建筑各项能耗拆分!O91+建筑各项能耗拆分!$B$18*建筑各项能耗拆分!O78</f>
        <v>0</v>
      </c>
      <c r="P6" s="1">
        <f>建筑各项能耗拆分!$B$18*建筑各项能耗拆分!P91+建筑各项能耗拆分!$B$18*建筑各项能耗拆分!P78</f>
        <v>0</v>
      </c>
      <c r="Q6" s="1">
        <f>建筑各项能耗拆分!$B$18*建筑各项能耗拆分!Q91+建筑各项能耗拆分!$B$18*建筑各项能耗拆分!Q78</f>
        <v>0</v>
      </c>
      <c r="R6" s="1">
        <f>建筑各项能耗拆分!$B$18*建筑各项能耗拆分!R91+建筑各项能耗拆分!$B$18*建筑各项能耗拆分!R78</f>
        <v>0</v>
      </c>
      <c r="S6" s="1">
        <f>建筑各项能耗拆分!$B$18*建筑各项能耗拆分!S91+建筑各项能耗拆分!$B$18*建筑各项能耗拆分!S78</f>
        <v>0</v>
      </c>
      <c r="T6" s="1">
        <f>建筑各项能耗拆分!$B$18*建筑各项能耗拆分!T91+建筑各项能耗拆分!$B$18*建筑各项能耗拆分!T78</f>
        <v>0</v>
      </c>
      <c r="U6" s="1">
        <f>建筑各项能耗拆分!$B$18*建筑各项能耗拆分!U91+建筑各项能耗拆分!$B$18*建筑各项能耗拆分!U78</f>
        <v>0</v>
      </c>
      <c r="V6" s="1">
        <f>建筑各项能耗拆分!$B$18*建筑各项能耗拆分!V91+建筑各项能耗拆分!$B$18*建筑各项能耗拆分!V78</f>
        <v>0</v>
      </c>
      <c r="W6" s="1">
        <f>建筑各项能耗拆分!$B$18*建筑各项能耗拆分!W91+建筑各项能耗拆分!$B$18*建筑各项能耗拆分!W78</f>
        <v>0</v>
      </c>
      <c r="X6" s="1">
        <f>建筑各项能耗拆分!$B$18*建筑各项能耗拆分!X91+建筑各项能耗拆分!$B$18*建筑各项能耗拆分!X78</f>
        <v>0</v>
      </c>
      <c r="Y6" s="1">
        <f>建筑各项能耗拆分!$B$18*建筑各项能耗拆分!Y91+建筑各项能耗拆分!$B$18*建筑各项能耗拆分!Y78</f>
        <v>0</v>
      </c>
      <c r="Z6" s="1">
        <f>建筑各项能耗拆分!$B$18*建筑各项能耗拆分!Z91+建筑各项能耗拆分!$B$18*建筑各项能耗拆分!Z78</f>
        <v>0</v>
      </c>
      <c r="AA6" s="1">
        <f>建筑各项能耗拆分!$B$18*建筑各项能耗拆分!AA91+建筑各项能耗拆分!$B$18*建筑各项能耗拆分!AA78</f>
        <v>0</v>
      </c>
      <c r="AB6" s="1">
        <f>建筑各项能耗拆分!$B$18*建筑各项能耗拆分!AB91+建筑各项能耗拆分!$B$18*建筑各项能耗拆分!AB78</f>
        <v>0</v>
      </c>
      <c r="AC6" s="1">
        <f>建筑各项能耗拆分!$B$18*建筑各项能耗拆分!AC91+建筑各项能耗拆分!$B$18*建筑各项能耗拆分!AC78</f>
        <v>0</v>
      </c>
      <c r="AD6" s="1">
        <f>建筑各项能耗拆分!$B$18*建筑各项能耗拆分!AD91+建筑各项能耗拆分!$B$18*建筑各项能耗拆分!AD78</f>
        <v>0</v>
      </c>
      <c r="AE6" s="1">
        <f>建筑各项能耗拆分!$B$18*建筑各项能耗拆分!AE91+建筑各项能耗拆分!$B$18*建筑各项能耗拆分!AE78</f>
        <v>0</v>
      </c>
      <c r="AF6" s="1">
        <f>建筑各项能耗拆分!$B$18*建筑各项能耗拆分!AF91+建筑各项能耗拆分!$B$18*建筑各项能耗拆分!AF78</f>
        <v>0</v>
      </c>
      <c r="AG6" s="1">
        <f>建筑各项能耗拆分!$B$18*建筑各项能耗拆分!AG91+建筑各项能耗拆分!$B$18*建筑各项能耗拆分!AG78</f>
        <v>0</v>
      </c>
      <c r="AH6" s="1">
        <f>建筑各项能耗拆分!$B$18*建筑各项能耗拆分!AH91+建筑各项能耗拆分!$B$18*建筑各项能耗拆分!AH78</f>
        <v>0</v>
      </c>
      <c r="AI6" s="1">
        <f>建筑各项能耗拆分!$B$18*建筑各项能耗拆分!AI91+建筑各项能耗拆分!$B$18*建筑各项能耗拆分!AI78</f>
        <v>0</v>
      </c>
      <c r="AJ6" s="1">
        <f>建筑各项能耗拆分!$B$18*建筑各项能耗拆分!AJ91+建筑各项能耗拆分!$B$18*建筑各项能耗拆分!AJ78</f>
        <v>0</v>
      </c>
      <c r="AK6" s="1">
        <f>建筑各项能耗拆分!$B$18*建筑各项能耗拆分!AK91+建筑各项能耗拆分!$B$18*建筑各项能耗拆分!AK78</f>
        <v>0</v>
      </c>
      <c r="AL6" s="1">
        <f>建筑各项能耗拆分!$B$18*建筑各项能耗拆分!AL91+建筑各项能耗拆分!$B$18*建筑各项能耗拆分!AL78</f>
        <v>0</v>
      </c>
      <c r="AM6" s="1">
        <f>建筑各项能耗拆分!$B$18*建筑各项能耗拆分!AM91+建筑各项能耗拆分!$B$18*建筑各项能耗拆分!AM78</f>
        <v>0</v>
      </c>
      <c r="AN6" s="1">
        <f>建筑各项能耗拆分!$B$18*建筑各项能耗拆分!AN91+建筑各项能耗拆分!$B$18*建筑各项能耗拆分!AN78</f>
        <v>0</v>
      </c>
      <c r="AO6" s="1">
        <f>建筑各项能耗拆分!$B$18*建筑各项能耗拆分!AO91+建筑各项能耗拆分!$B$18*建筑各项能耗拆分!AO78</f>
        <v>0</v>
      </c>
      <c r="AP6" s="1">
        <f>建筑各项能耗拆分!$B$18*建筑各项能耗拆分!AP91+建筑各项能耗拆分!$B$18*建筑各项能耗拆分!AP78</f>
        <v>0</v>
      </c>
      <c r="AQ6" s="1">
        <f>建筑各项能耗拆分!$B$18*建筑各项能耗拆分!AQ91+建筑各项能耗拆分!$B$18*建筑各项能耗拆分!AQ78</f>
        <v>0</v>
      </c>
      <c r="AR6" s="1">
        <f>建筑各项能耗拆分!$B$18*建筑各项能耗拆分!AR91+建筑各项能耗拆分!$B$18*建筑各项能耗拆分!AR78</f>
        <v>0</v>
      </c>
    </row>
    <row r="7" spans="1:44" x14ac:dyDescent="0.15">
      <c r="A7" t="s">
        <v>5</v>
      </c>
      <c r="B7" s="1">
        <f>建筑各项能耗拆分!$B$18*建筑各项能耗拆分!B92+建筑各项能耗拆分!$B$18*建筑各项能耗拆分!B79</f>
        <v>14399013478129.811</v>
      </c>
      <c r="C7" s="1">
        <f>建筑各项能耗拆分!$B$18*建筑各项能耗拆分!C92+建筑各项能耗拆分!$B$18*建筑各项能耗拆分!C79</f>
        <v>14696424129791.725</v>
      </c>
      <c r="D7" s="1">
        <f>建筑各项能耗拆分!$B$18*建筑各项能耗拆分!D92+建筑各项能耗拆分!$B$18*建筑各项能耗拆分!D79</f>
        <v>15089041860627.012</v>
      </c>
      <c r="E7" s="1">
        <f>建筑各项能耗拆分!$B$18*建筑各项能耗拆分!E92+建筑各项能耗拆分!$B$18*建筑各项能耗拆分!E79</f>
        <v>15290040894575.5</v>
      </c>
      <c r="F7" s="1">
        <f>建筑各项能耗拆分!$B$18*建筑各项能耗拆分!F92+建筑各项能耗拆分!$B$18*建筑各项能耗拆分!F79</f>
        <v>15486182239369.727</v>
      </c>
      <c r="G7" s="1">
        <f>建筑各项能耗拆分!$B$18*建筑各项能耗拆分!G92+建筑各项能耗拆分!$B$18*建筑各项能耗拆分!G79</f>
        <v>15677357724368.227</v>
      </c>
      <c r="H7" s="1">
        <f>建筑各项能耗拆分!$B$18*建筑各项能耗拆分!H92+建筑各项能耗拆分!$B$18*建筑各项能耗拆分!H79</f>
        <v>15863469413748.033</v>
      </c>
      <c r="I7" s="1">
        <f>建筑各项能耗拆分!$B$18*建筑各项能耗拆分!I92+建筑各项能耗拆分!$B$18*建筑各项能耗拆分!I79</f>
        <v>16044431166603.586</v>
      </c>
      <c r="J7" s="1">
        <f>建筑各项能耗拆分!$B$18*建筑各项能耗拆分!J92+建筑各项能耗拆分!$B$18*建筑各项能耗拆分!J79</f>
        <v>16220167902451.232</v>
      </c>
      <c r="K7" s="1">
        <f>建筑各项能耗拆分!$B$18*建筑各项能耗拆分!K92+建筑各项能耗拆分!$B$18*建筑各项能耗拆分!K79</f>
        <v>16390617816194.504</v>
      </c>
      <c r="L7" s="1">
        <f>建筑各项能耗拆分!$B$18*建筑各项能耗拆分!L92+建筑各项能耗拆分!$B$18*建筑各项能耗拆分!L79</f>
        <v>16555731684471.82</v>
      </c>
      <c r="M7" s="1">
        <f>建筑各项能耗拆分!$B$18*建筑各项能耗拆分!M92+建筑各项能耗拆分!$B$18*建筑各项能耗拆分!M79</f>
        <v>16715474369421.717</v>
      </c>
      <c r="N7" s="1">
        <f>建筑各项能耗拆分!$B$18*建筑各项能耗拆分!N92+建筑各项能耗拆分!$B$18*建筑各项能耗拆分!N79</f>
        <v>16869825351758.664</v>
      </c>
      <c r="O7" s="1">
        <f>建筑各项能耗拆分!$B$18*建筑各项能耗拆分!O92+建筑各项能耗拆分!$B$18*建筑各项能耗拆分!O79</f>
        <v>17018779133073.207</v>
      </c>
      <c r="P7" s="1">
        <f>建筑各项能耗拆分!$B$18*建筑各项能耗拆分!P92+建筑各项能耗拆分!$B$18*建筑各项能耗拆分!P79</f>
        <v>17162346879587.035</v>
      </c>
      <c r="Q7" s="1">
        <f>建筑各项能耗拆分!$B$18*建筑各项能耗拆分!Q92+建筑各项能耗拆分!$B$18*建筑各项能耗拆分!Q79</f>
        <v>17300556019193.746</v>
      </c>
      <c r="R7" s="1">
        <f>建筑各项能耗拆分!$B$18*建筑各项能耗拆分!R92+建筑各项能耗拆分!$B$18*建筑各项能耗拆分!R79</f>
        <v>17433452080333.754</v>
      </c>
      <c r="S7" s="1">
        <f>建筑各项能耗拆分!$B$18*建筑各项能耗拆分!S92+建筑各项能耗拆分!$B$18*建筑各项能耗拆分!S79</f>
        <v>17561098890491.516</v>
      </c>
      <c r="T7" s="1">
        <f>建筑各项能耗拆分!$B$18*建筑各项能耗拆分!T92+建筑各项能耗拆分!$B$18*建筑各项能耗拆分!T79</f>
        <v>17683579712998.91</v>
      </c>
      <c r="U7" s="1">
        <f>建筑各项能耗拆分!$B$18*建筑各项能耗拆分!U92+建筑各项能耗拆分!$B$18*建筑各项能耗拆分!U79</f>
        <v>17800998374011.199</v>
      </c>
      <c r="V7" s="1">
        <f>建筑各项能耗拆分!$B$18*建筑各项能耗拆分!V92+建筑各项能耗拆分!$B$18*建筑各项能耗拆分!V79</f>
        <v>17913479347663.832</v>
      </c>
      <c r="W7" s="1">
        <f>建筑各项能耗拆分!$B$18*建筑各项能耗拆分!W92+建筑各项能耗拆分!$B$18*建筑各项能耗拆分!W79</f>
        <v>18021169555815.883</v>
      </c>
      <c r="X7" s="1">
        <f>建筑各项能耗拆分!$B$18*建筑各项能耗拆分!X92+建筑各项能耗拆分!$B$18*建筑各项能耗拆分!X79</f>
        <v>18124239067182.453</v>
      </c>
      <c r="Y7" s="1">
        <f>建筑各项能耗拆分!$B$18*建筑各项能耗拆分!Y92+建筑各项能耗拆分!$B$18*建筑各项能耗拆分!Y79</f>
        <v>18222882164921.137</v>
      </c>
      <c r="Z7" s="1">
        <f>建筑各项能耗拆分!$B$18*建筑各项能耗拆分!Z92+建筑各项能耗拆分!$B$18*建筑各项能耗拆分!Z79</f>
        <v>18317317905057.359</v>
      </c>
      <c r="AA7" s="1">
        <f>建筑各项能耗拆分!$B$18*建筑各项能耗拆分!AA92+建筑各项能耗拆分!$B$18*建筑各项能耗拆分!AA79</f>
        <v>18407791542748.359</v>
      </c>
      <c r="AB7" s="1">
        <f>建筑各项能耗拆分!$B$18*建筑各项能耗拆分!AB92+建筑各项能耗拆分!$B$18*建筑各项能耗拆分!AB79</f>
        <v>18494576128694.992</v>
      </c>
      <c r="AC7" s="1">
        <f>建筑各项能耗拆分!$B$18*建筑各项能耗拆分!AC92+建筑各项能耗拆分!$B$18*建筑各项能耗拆分!AC79</f>
        <v>18577972628875.941</v>
      </c>
      <c r="AD7" s="1">
        <f>建筑各项能耗拆分!$B$18*建筑各项能耗拆分!AD92+建筑各项能耗拆分!$B$18*建筑各项能耗拆分!AD79</f>
        <v>18658311332298.281</v>
      </c>
      <c r="AE7" s="1">
        <f>建筑各项能耗拆分!$B$18*建筑各项能耗拆分!AE92+建筑各项能耗拆分!$B$18*建筑各项能耗拆分!AE79</f>
        <v>18735954119195.898</v>
      </c>
      <c r="AF7" s="1">
        <f>建筑各项能耗拆分!$B$18*建筑各项能耗拆分!AF92+建筑各项能耗拆分!$B$18*建筑各项能耗拆分!AF79</f>
        <v>18811294049607.023</v>
      </c>
      <c r="AG7" s="1">
        <f>建筑各项能耗拆分!$B$18*建筑各项能耗拆分!AG92+建筑各项能耗拆分!$B$18*建筑各项能耗拆分!AG79</f>
        <v>18884757485979.273</v>
      </c>
      <c r="AH7" s="1">
        <f>建筑各项能耗拆分!$B$18*建筑各项能耗拆分!AH92+建筑各项能耗拆分!$B$18*建筑各项能耗拆分!AH79</f>
        <v>18956805754093.398</v>
      </c>
      <c r="AI7" s="1">
        <f>建筑各项能耗拆分!$B$18*建筑各项能耗拆分!AI92+建筑各项能耗拆分!$B$18*建筑各项能耗拆分!AI79</f>
        <v>19027935159804.758</v>
      </c>
      <c r="AJ7" s="1">
        <f>建筑各项能耗拆分!$B$18*建筑各项能耗拆分!AJ92+建筑各项能耗拆分!$B$18*建筑各项能耗拆分!AJ79</f>
        <v>19098680163109.66</v>
      </c>
      <c r="AK7" s="1">
        <f>建筑各项能耗拆分!$B$18*建筑各项能耗拆分!AK92+建筑各项能耗拆分!$B$18*建筑各项能耗拆分!AK79</f>
        <v>19169612655029.613</v>
      </c>
      <c r="AL7" s="1">
        <f>建筑各项能耗拆分!$B$18*建筑各项能耗拆分!AL92+建筑各项能耗拆分!$B$18*建筑各项能耗拆分!AL79</f>
        <v>19241345474847.359</v>
      </c>
      <c r="AM7" s="1">
        <f>建筑各项能耗拆分!$B$18*建筑各项能耗拆分!AM92+建筑各项能耗拆分!$B$18*建筑各项能耗拆分!AM79</f>
        <v>19314532572480.203</v>
      </c>
      <c r="AN7" s="1">
        <f>建筑各项能耗拆分!$B$18*建筑各项能耗拆分!AN92+建筑各项能耗拆分!$B$18*建筑各项能耗拆分!AN79</f>
        <v>19389870777695.121</v>
      </c>
      <c r="AO7" s="1">
        <f>建筑各项能耗拆分!$B$18*建筑各项能耗拆分!AO92+建筑各项能耗拆分!$B$18*建筑各项能耗拆分!AO79</f>
        <v>19468101415218.383</v>
      </c>
      <c r="AP7" s="1">
        <f>建筑各项能耗拆分!$B$18*建筑各项能耗拆分!AP92+建筑各项能耗拆分!$B$18*建筑各项能耗拆分!AP79</f>
        <v>19550011965794.512</v>
      </c>
      <c r="AQ7" s="1">
        <f>建筑各项能耗拆分!$B$18*建筑各项能耗拆分!AQ92+建筑各项能耗拆分!$B$18*建筑各项能耗拆分!AQ79</f>
        <v>19636438166875.461</v>
      </c>
      <c r="AR7" s="1">
        <f>建筑各项能耗拆分!$B$18*建筑各项能耗拆分!AR92+建筑各项能耗拆分!$B$18*建筑各项能耗拆分!AR79</f>
        <v>19728264503749.031</v>
      </c>
    </row>
    <row r="8" spans="1:44" x14ac:dyDescent="0.15">
      <c r="A8" t="s">
        <v>6</v>
      </c>
      <c r="B8" s="1">
        <f>建筑各项能耗拆分!$B$18*建筑各项能耗拆分!B93+建筑各项能耗拆分!$B$18*建筑各项能耗拆分!B80</f>
        <v>0</v>
      </c>
      <c r="C8" s="1">
        <f>建筑各项能耗拆分!$B$18*建筑各项能耗拆分!C93+建筑各项能耗拆分!$B$18*建筑各项能耗拆分!C80</f>
        <v>0</v>
      </c>
      <c r="D8" s="1">
        <f>建筑各项能耗拆分!$B$18*建筑各项能耗拆分!D93+建筑各项能耗拆分!$B$18*建筑各项能耗拆分!D80</f>
        <v>0</v>
      </c>
      <c r="E8" s="1">
        <f>建筑各项能耗拆分!$B$18*建筑各项能耗拆分!E93+建筑各项能耗拆分!$B$18*建筑各项能耗拆分!E80</f>
        <v>0</v>
      </c>
      <c r="F8" s="1">
        <f>建筑各项能耗拆分!$B$18*建筑各项能耗拆分!F93+建筑各项能耗拆分!$B$18*建筑各项能耗拆分!F80</f>
        <v>0</v>
      </c>
      <c r="G8" s="1">
        <f>建筑各项能耗拆分!$B$18*建筑各项能耗拆分!G93+建筑各项能耗拆分!$B$18*建筑各项能耗拆分!G80</f>
        <v>0</v>
      </c>
      <c r="H8" s="1">
        <f>建筑各项能耗拆分!$B$18*建筑各项能耗拆分!H93+建筑各项能耗拆分!$B$18*建筑各项能耗拆分!H80</f>
        <v>0</v>
      </c>
      <c r="I8" s="1">
        <f>建筑各项能耗拆分!$B$18*建筑各项能耗拆分!I93+建筑各项能耗拆分!$B$18*建筑各项能耗拆分!I80</f>
        <v>0</v>
      </c>
      <c r="J8" s="1">
        <f>建筑各项能耗拆分!$B$18*建筑各项能耗拆分!J93+建筑各项能耗拆分!$B$18*建筑各项能耗拆分!J80</f>
        <v>0</v>
      </c>
      <c r="K8" s="1">
        <f>建筑各项能耗拆分!$B$18*建筑各项能耗拆分!K93+建筑各项能耗拆分!$B$18*建筑各项能耗拆分!K80</f>
        <v>0</v>
      </c>
      <c r="L8" s="1">
        <f>建筑各项能耗拆分!$B$18*建筑各项能耗拆分!L93+建筑各项能耗拆分!$B$18*建筑各项能耗拆分!L80</f>
        <v>0</v>
      </c>
      <c r="M8" s="1">
        <f>建筑各项能耗拆分!$B$18*建筑各项能耗拆分!M93+建筑各项能耗拆分!$B$18*建筑各项能耗拆分!M80</f>
        <v>0</v>
      </c>
      <c r="N8" s="1">
        <f>建筑各项能耗拆分!$B$18*建筑各项能耗拆分!N93+建筑各项能耗拆分!$B$18*建筑各项能耗拆分!N80</f>
        <v>0</v>
      </c>
      <c r="O8" s="1">
        <f>建筑各项能耗拆分!$B$18*建筑各项能耗拆分!O93+建筑各项能耗拆分!$B$18*建筑各项能耗拆分!O80</f>
        <v>0</v>
      </c>
      <c r="P8" s="1">
        <f>建筑各项能耗拆分!$B$18*建筑各项能耗拆分!P93+建筑各项能耗拆分!$B$18*建筑各项能耗拆分!P80</f>
        <v>0</v>
      </c>
      <c r="Q8" s="1">
        <f>建筑各项能耗拆分!$B$18*建筑各项能耗拆分!Q93+建筑各项能耗拆分!$B$18*建筑各项能耗拆分!Q80</f>
        <v>0</v>
      </c>
      <c r="R8" s="1">
        <f>建筑各项能耗拆分!$B$18*建筑各项能耗拆分!R93+建筑各项能耗拆分!$B$18*建筑各项能耗拆分!R80</f>
        <v>0</v>
      </c>
      <c r="S8" s="1">
        <f>建筑各项能耗拆分!$B$18*建筑各项能耗拆分!S93+建筑各项能耗拆分!$B$18*建筑各项能耗拆分!S80</f>
        <v>0</v>
      </c>
      <c r="T8" s="1">
        <f>建筑各项能耗拆分!$B$18*建筑各项能耗拆分!T93+建筑各项能耗拆分!$B$18*建筑各项能耗拆分!T80</f>
        <v>0</v>
      </c>
      <c r="U8" s="1">
        <f>建筑各项能耗拆分!$B$18*建筑各项能耗拆分!U93+建筑各项能耗拆分!$B$18*建筑各项能耗拆分!U80</f>
        <v>0</v>
      </c>
      <c r="V8" s="1">
        <f>建筑各项能耗拆分!$B$18*建筑各项能耗拆分!V93+建筑各项能耗拆分!$B$18*建筑各项能耗拆分!V80</f>
        <v>0</v>
      </c>
      <c r="W8" s="1">
        <f>建筑各项能耗拆分!$B$18*建筑各项能耗拆分!W93+建筑各项能耗拆分!$B$18*建筑各项能耗拆分!W80</f>
        <v>0</v>
      </c>
      <c r="X8" s="1">
        <f>建筑各项能耗拆分!$B$18*建筑各项能耗拆分!X93+建筑各项能耗拆分!$B$18*建筑各项能耗拆分!X80</f>
        <v>0</v>
      </c>
      <c r="Y8" s="1">
        <f>建筑各项能耗拆分!$B$18*建筑各项能耗拆分!Y93+建筑各项能耗拆分!$B$18*建筑各项能耗拆分!Y80</f>
        <v>0</v>
      </c>
      <c r="Z8" s="1">
        <f>建筑各项能耗拆分!$B$18*建筑各项能耗拆分!Z93+建筑各项能耗拆分!$B$18*建筑各项能耗拆分!Z80</f>
        <v>0</v>
      </c>
      <c r="AA8" s="1">
        <f>建筑各项能耗拆分!$B$18*建筑各项能耗拆分!AA93+建筑各项能耗拆分!$B$18*建筑各项能耗拆分!AA80</f>
        <v>0</v>
      </c>
      <c r="AB8" s="1">
        <f>建筑各项能耗拆分!$B$18*建筑各项能耗拆分!AB93+建筑各项能耗拆分!$B$18*建筑各项能耗拆分!AB80</f>
        <v>0</v>
      </c>
      <c r="AC8" s="1">
        <f>建筑各项能耗拆分!$B$18*建筑各项能耗拆分!AC93+建筑各项能耗拆分!$B$18*建筑各项能耗拆分!AC80</f>
        <v>0</v>
      </c>
      <c r="AD8" s="1">
        <f>建筑各项能耗拆分!$B$18*建筑各项能耗拆分!AD93+建筑各项能耗拆分!$B$18*建筑各项能耗拆分!AD80</f>
        <v>0</v>
      </c>
      <c r="AE8" s="1">
        <f>建筑各项能耗拆分!$B$18*建筑各项能耗拆分!AE93+建筑各项能耗拆分!$B$18*建筑各项能耗拆分!AE80</f>
        <v>0</v>
      </c>
      <c r="AF8" s="1">
        <f>建筑各项能耗拆分!$B$18*建筑各项能耗拆分!AF93+建筑各项能耗拆分!$B$18*建筑各项能耗拆分!AF80</f>
        <v>0</v>
      </c>
      <c r="AG8" s="1">
        <f>建筑各项能耗拆分!$B$18*建筑各项能耗拆分!AG93+建筑各项能耗拆分!$B$18*建筑各项能耗拆分!AG80</f>
        <v>0</v>
      </c>
      <c r="AH8" s="1">
        <f>建筑各项能耗拆分!$B$18*建筑各项能耗拆分!AH93+建筑各项能耗拆分!$B$18*建筑各项能耗拆分!AH80</f>
        <v>0</v>
      </c>
      <c r="AI8" s="1">
        <f>建筑各项能耗拆分!$B$18*建筑各项能耗拆分!AI93+建筑各项能耗拆分!$B$18*建筑各项能耗拆分!AI80</f>
        <v>0</v>
      </c>
      <c r="AJ8" s="1">
        <f>建筑各项能耗拆分!$B$18*建筑各项能耗拆分!AJ93+建筑各项能耗拆分!$B$18*建筑各项能耗拆分!AJ80</f>
        <v>0</v>
      </c>
      <c r="AK8" s="1">
        <f>建筑各项能耗拆分!$B$18*建筑各项能耗拆分!AK93+建筑各项能耗拆分!$B$18*建筑各项能耗拆分!AK80</f>
        <v>0</v>
      </c>
      <c r="AL8" s="1">
        <f>建筑各项能耗拆分!$B$18*建筑各项能耗拆分!AL93+建筑各项能耗拆分!$B$18*建筑各项能耗拆分!AL80</f>
        <v>0</v>
      </c>
      <c r="AM8" s="1">
        <f>建筑各项能耗拆分!$B$18*建筑各项能耗拆分!AM93+建筑各项能耗拆分!$B$18*建筑各项能耗拆分!AM80</f>
        <v>0</v>
      </c>
      <c r="AN8" s="1">
        <f>建筑各项能耗拆分!$B$18*建筑各项能耗拆分!AN93+建筑各项能耗拆分!$B$18*建筑各项能耗拆分!AN80</f>
        <v>0</v>
      </c>
      <c r="AO8" s="1">
        <f>建筑各项能耗拆分!$B$18*建筑各项能耗拆分!AO93+建筑各项能耗拆分!$B$18*建筑各项能耗拆分!AO80</f>
        <v>0</v>
      </c>
      <c r="AP8" s="1">
        <f>建筑各项能耗拆分!$B$18*建筑各项能耗拆分!AP93+建筑各项能耗拆分!$B$18*建筑各项能耗拆分!AP80</f>
        <v>0</v>
      </c>
      <c r="AQ8" s="1">
        <f>建筑各项能耗拆分!$B$18*建筑各项能耗拆分!AQ93+建筑各项能耗拆分!$B$18*建筑各项能耗拆分!AQ80</f>
        <v>0</v>
      </c>
      <c r="AR8" s="1">
        <f>建筑各项能耗拆分!$B$18*建筑各项能耗拆分!AR93+建筑各项能耗拆分!$B$18*建筑各项能耗拆分!AR80</f>
        <v>0</v>
      </c>
    </row>
    <row r="9" spans="1:44" x14ac:dyDescent="0.15">
      <c r="A9" t="s">
        <v>7</v>
      </c>
      <c r="B9" s="1">
        <f>建筑各项能耗拆分!$B$18*建筑各项能耗拆分!B94+建筑各项能耗拆分!$B$18*建筑各项能耗拆分!B81</f>
        <v>0</v>
      </c>
      <c r="C9" s="1">
        <f>建筑各项能耗拆分!$B$18*建筑各项能耗拆分!C94+建筑各项能耗拆分!$B$18*建筑各项能耗拆分!C81</f>
        <v>0</v>
      </c>
      <c r="D9" s="1">
        <f>建筑各项能耗拆分!$B$18*建筑各项能耗拆分!D94+建筑各项能耗拆分!$B$18*建筑各项能耗拆分!D81</f>
        <v>0</v>
      </c>
      <c r="E9" s="1">
        <f>建筑各项能耗拆分!$B$18*建筑各项能耗拆分!E94+建筑各项能耗拆分!$B$18*建筑各项能耗拆分!E81</f>
        <v>0</v>
      </c>
      <c r="F9" s="1">
        <f>建筑各项能耗拆分!$B$18*建筑各项能耗拆分!F94+建筑各项能耗拆分!$B$18*建筑各项能耗拆分!F81</f>
        <v>0</v>
      </c>
      <c r="G9" s="1">
        <f>建筑各项能耗拆分!$B$18*建筑各项能耗拆分!G94+建筑各项能耗拆分!$B$18*建筑各项能耗拆分!G81</f>
        <v>0</v>
      </c>
      <c r="H9" s="1">
        <f>建筑各项能耗拆分!$B$18*建筑各项能耗拆分!H94+建筑各项能耗拆分!$B$18*建筑各项能耗拆分!H81</f>
        <v>0</v>
      </c>
      <c r="I9" s="1">
        <f>建筑各项能耗拆分!$B$18*建筑各项能耗拆分!I94+建筑各项能耗拆分!$B$18*建筑各项能耗拆分!I81</f>
        <v>0</v>
      </c>
      <c r="J9" s="1">
        <f>建筑各项能耗拆分!$B$18*建筑各项能耗拆分!J94+建筑各项能耗拆分!$B$18*建筑各项能耗拆分!J81</f>
        <v>0</v>
      </c>
      <c r="K9" s="1">
        <f>建筑各项能耗拆分!$B$18*建筑各项能耗拆分!K94+建筑各项能耗拆分!$B$18*建筑各项能耗拆分!K81</f>
        <v>0</v>
      </c>
      <c r="L9" s="1">
        <f>建筑各项能耗拆分!$B$18*建筑各项能耗拆分!L94+建筑各项能耗拆分!$B$18*建筑各项能耗拆分!L81</f>
        <v>0</v>
      </c>
      <c r="M9" s="1">
        <f>建筑各项能耗拆分!$B$18*建筑各项能耗拆分!M94+建筑各项能耗拆分!$B$18*建筑各项能耗拆分!M81</f>
        <v>0</v>
      </c>
      <c r="N9" s="1">
        <f>建筑各项能耗拆分!$B$18*建筑各项能耗拆分!N94+建筑各项能耗拆分!$B$18*建筑各项能耗拆分!N81</f>
        <v>0</v>
      </c>
      <c r="O9" s="1">
        <f>建筑各项能耗拆分!$B$18*建筑各项能耗拆分!O94+建筑各项能耗拆分!$B$18*建筑各项能耗拆分!O81</f>
        <v>0</v>
      </c>
      <c r="P9" s="1">
        <f>建筑各项能耗拆分!$B$18*建筑各项能耗拆分!P94+建筑各项能耗拆分!$B$18*建筑各项能耗拆分!P81</f>
        <v>0</v>
      </c>
      <c r="Q9" s="1">
        <f>建筑各项能耗拆分!$B$18*建筑各项能耗拆分!Q94+建筑各项能耗拆分!$B$18*建筑各项能耗拆分!Q81</f>
        <v>0</v>
      </c>
      <c r="R9" s="1">
        <f>建筑各项能耗拆分!$B$18*建筑各项能耗拆分!R94+建筑各项能耗拆分!$B$18*建筑各项能耗拆分!R81</f>
        <v>0</v>
      </c>
      <c r="S9" s="1">
        <f>建筑各项能耗拆分!$B$18*建筑各项能耗拆分!S94+建筑各项能耗拆分!$B$18*建筑各项能耗拆分!S81</f>
        <v>0</v>
      </c>
      <c r="T9" s="1">
        <f>建筑各项能耗拆分!$B$18*建筑各项能耗拆分!T94+建筑各项能耗拆分!$B$18*建筑各项能耗拆分!T81</f>
        <v>0</v>
      </c>
      <c r="U9" s="1">
        <f>建筑各项能耗拆分!$B$18*建筑各项能耗拆分!U94+建筑各项能耗拆分!$B$18*建筑各项能耗拆分!U81</f>
        <v>0</v>
      </c>
      <c r="V9" s="1">
        <f>建筑各项能耗拆分!$B$18*建筑各项能耗拆分!V94+建筑各项能耗拆分!$B$18*建筑各项能耗拆分!V81</f>
        <v>0</v>
      </c>
      <c r="W9" s="1">
        <f>建筑各项能耗拆分!$B$18*建筑各项能耗拆分!W94+建筑各项能耗拆分!$B$18*建筑各项能耗拆分!W81</f>
        <v>0</v>
      </c>
      <c r="X9" s="1">
        <f>建筑各项能耗拆分!$B$18*建筑各项能耗拆分!X94+建筑各项能耗拆分!$B$18*建筑各项能耗拆分!X81</f>
        <v>0</v>
      </c>
      <c r="Y9" s="1">
        <f>建筑各项能耗拆分!$B$18*建筑各项能耗拆分!Y94+建筑各项能耗拆分!$B$18*建筑各项能耗拆分!Y81</f>
        <v>0</v>
      </c>
      <c r="Z9" s="1">
        <f>建筑各项能耗拆分!$B$18*建筑各项能耗拆分!Z94+建筑各项能耗拆分!$B$18*建筑各项能耗拆分!Z81</f>
        <v>0</v>
      </c>
      <c r="AA9" s="1">
        <f>建筑各项能耗拆分!$B$18*建筑各项能耗拆分!AA94+建筑各项能耗拆分!$B$18*建筑各项能耗拆分!AA81</f>
        <v>0</v>
      </c>
      <c r="AB9" s="1">
        <f>建筑各项能耗拆分!$B$18*建筑各项能耗拆分!AB94+建筑各项能耗拆分!$B$18*建筑各项能耗拆分!AB81</f>
        <v>0</v>
      </c>
      <c r="AC9" s="1">
        <f>建筑各项能耗拆分!$B$18*建筑各项能耗拆分!AC94+建筑各项能耗拆分!$B$18*建筑各项能耗拆分!AC81</f>
        <v>0</v>
      </c>
      <c r="AD9" s="1">
        <f>建筑各项能耗拆分!$B$18*建筑各项能耗拆分!AD94+建筑各项能耗拆分!$B$18*建筑各项能耗拆分!AD81</f>
        <v>0</v>
      </c>
      <c r="AE9" s="1">
        <f>建筑各项能耗拆分!$B$18*建筑各项能耗拆分!AE94+建筑各项能耗拆分!$B$18*建筑各项能耗拆分!AE81</f>
        <v>0</v>
      </c>
      <c r="AF9" s="1">
        <f>建筑各项能耗拆分!$B$18*建筑各项能耗拆分!AF94+建筑各项能耗拆分!$B$18*建筑各项能耗拆分!AF81</f>
        <v>0</v>
      </c>
      <c r="AG9" s="1">
        <f>建筑各项能耗拆分!$B$18*建筑各项能耗拆分!AG94+建筑各项能耗拆分!$B$18*建筑各项能耗拆分!AG81</f>
        <v>0</v>
      </c>
      <c r="AH9" s="1">
        <f>建筑各项能耗拆分!$B$18*建筑各项能耗拆分!AH94+建筑各项能耗拆分!$B$18*建筑各项能耗拆分!AH81</f>
        <v>0</v>
      </c>
      <c r="AI9" s="1">
        <f>建筑各项能耗拆分!$B$18*建筑各项能耗拆分!AI94+建筑各项能耗拆分!$B$18*建筑各项能耗拆分!AI81</f>
        <v>0</v>
      </c>
      <c r="AJ9" s="1">
        <f>建筑各项能耗拆分!$B$18*建筑各项能耗拆分!AJ94+建筑各项能耗拆分!$B$18*建筑各项能耗拆分!AJ81</f>
        <v>0</v>
      </c>
      <c r="AK9" s="1">
        <f>建筑各项能耗拆分!$B$18*建筑各项能耗拆分!AK94+建筑各项能耗拆分!$B$18*建筑各项能耗拆分!AK81</f>
        <v>0</v>
      </c>
      <c r="AL9" s="1">
        <f>建筑各项能耗拆分!$B$18*建筑各项能耗拆分!AL94+建筑各项能耗拆分!$B$18*建筑各项能耗拆分!AL81</f>
        <v>0</v>
      </c>
      <c r="AM9" s="1">
        <f>建筑各项能耗拆分!$B$18*建筑各项能耗拆分!AM94+建筑各项能耗拆分!$B$18*建筑各项能耗拆分!AM81</f>
        <v>0</v>
      </c>
      <c r="AN9" s="1">
        <f>建筑各项能耗拆分!$B$18*建筑各项能耗拆分!AN94+建筑各项能耗拆分!$B$18*建筑各项能耗拆分!AN81</f>
        <v>0</v>
      </c>
      <c r="AO9" s="1">
        <f>建筑各项能耗拆分!$B$18*建筑各项能耗拆分!AO94+建筑各项能耗拆分!$B$18*建筑各项能耗拆分!AO81</f>
        <v>0</v>
      </c>
      <c r="AP9" s="1">
        <f>建筑各项能耗拆分!$B$18*建筑各项能耗拆分!AP94+建筑各项能耗拆分!$B$18*建筑各项能耗拆分!AP81</f>
        <v>0</v>
      </c>
      <c r="AQ9" s="1">
        <f>建筑各项能耗拆分!$B$18*建筑各项能耗拆分!AQ94+建筑各项能耗拆分!$B$18*建筑各项能耗拆分!AQ81</f>
        <v>0</v>
      </c>
      <c r="AR9" s="1">
        <f>建筑各项能耗拆分!$B$18*建筑各项能耗拆分!AR94+建筑各项能耗拆分!$B$18*建筑各项能耗拆分!AR81</f>
        <v>0</v>
      </c>
    </row>
    <row r="10" spans="1:44" x14ac:dyDescent="0.15">
      <c r="A10" t="s">
        <v>8</v>
      </c>
      <c r="B10" s="1">
        <f>建筑各项能耗拆分!$B$18*建筑各项能耗拆分!B95+建筑各项能耗拆分!$B$18*建筑各项能耗拆分!B82</f>
        <v>625631206863719.13</v>
      </c>
      <c r="C10" s="1">
        <f>建筑各项能耗拆分!$B$18*建筑各项能耗拆分!C95+建筑各项能耗拆分!$B$18*建筑各项能耗拆分!C82</f>
        <v>638553577220270.5</v>
      </c>
      <c r="D10" s="1">
        <f>建筑各项能耗拆分!$B$18*建筑各项能耗拆分!D95+建筑各项能耗拆分!$B$18*建筑各项能耗拆分!D82</f>
        <v>655612655965606.88</v>
      </c>
      <c r="E10" s="1">
        <f>建筑各项能耗拆分!$B$18*建筑各项能耗拆分!E95+建筑各项能耗拆分!$B$18*建筑各项能耗拆分!E82</f>
        <v>664345981229774</v>
      </c>
      <c r="F10" s="1">
        <f>建筑各项能耗拆分!$B$18*建筑各项能耗拆分!F95+建筑各项能耗拆分!$B$18*建筑各项能耗拆分!F82</f>
        <v>672868241900330.88</v>
      </c>
      <c r="G10" s="1">
        <f>建筑各项能耗拆分!$B$18*建筑各项能耗拆分!G95+建筑各项能耗拆分!$B$18*建筑各项能耗拆分!G82</f>
        <v>681174738007445.13</v>
      </c>
      <c r="H10" s="1">
        <f>建筑各项能耗拆分!$B$18*建筑各项能耗拆分!H95+建筑各项能耗拆分!$B$18*建筑各项能耗拆分!H82</f>
        <v>689261214279933.38</v>
      </c>
      <c r="I10" s="1">
        <f>建筑各项能耗拆分!$B$18*建筑各项能耗拆分!I95+建筑各项能耗拆分!$B$18*建筑各项能耗拆分!I82</f>
        <v>697123927930917.25</v>
      </c>
      <c r="J10" s="1">
        <f>建筑各项能耗拆分!$B$18*建筑各项能耗拆分!J95+建筑各项能耗拆分!$B$18*建筑各项能耗拆分!J82</f>
        <v>704759616744296.5</v>
      </c>
      <c r="K10" s="1">
        <f>建筑各项能耗拆分!$B$18*建筑各项能耗拆分!K95+建筑各项能耗拆分!$B$18*建筑各项能耗拆分!K82</f>
        <v>712165595314077.63</v>
      </c>
      <c r="L10" s="1">
        <f>建筑各项能耗拆分!$B$18*建筑各项能耗拆分!L95+建筑各项能耗拆分!$B$18*建筑各项能耗拆分!L82</f>
        <v>719339724905467.63</v>
      </c>
      <c r="M10" s="1">
        <f>建筑各项能耗拆分!$B$18*建筑各项能耗拆分!M95+建筑各项能耗拆分!$B$18*建筑各项能耗拆分!M82</f>
        <v>726280478792853.75</v>
      </c>
      <c r="N10" s="1">
        <f>建筑各项能耗拆分!$B$18*建筑各项能耗拆分!N95+建筑各项能耗拆分!$B$18*建筑各项能耗拆分!N82</f>
        <v>732986965421728.63</v>
      </c>
      <c r="O10" s="1">
        <f>建筑各项能耗拆分!$B$18*建筑各项能耗拆分!O95+建筑各项能耗拆分!$B$18*建筑各项能耗拆分!O82</f>
        <v>739458945888465.13</v>
      </c>
      <c r="P10" s="1">
        <f>建筑各项能耗拆分!$B$18*建筑各项能耗拆分!P95+建筑各项能耗拆分!$B$18*建筑各项能耗拆分!P82</f>
        <v>745696905360798.13</v>
      </c>
      <c r="Q10" s="1">
        <f>建筑各项能耗拆分!$B$18*建筑各项能耗拆分!Q95+建筑各项能耗拆分!$B$18*建筑各项能耗拆分!Q82</f>
        <v>751702035569411.13</v>
      </c>
      <c r="R10" s="1">
        <f>建筑各项能耗拆分!$B$18*建筑各项能耗拆分!R95+建筑各项能耗拆分!$B$18*建筑各项能耗拆分!R82</f>
        <v>757476314706293.88</v>
      </c>
      <c r="S10" s="1">
        <f>建筑各项能耗拆分!$B$18*建筑各项能耗拆分!S95+建筑各项能耗拆分!$B$18*建筑各项能耗拆分!S82</f>
        <v>763022516049365</v>
      </c>
      <c r="T10" s="1">
        <f>建筑各项能耗拆分!$B$18*建筑各项能耗拆分!T95+建筑各项能耗拆分!$B$18*建筑各项能耗拆分!T82</f>
        <v>768344257356111.5</v>
      </c>
      <c r="U10" s="1">
        <f>建筑各项能耗拆分!$B$18*建筑各项能耗拆分!U95+建筑各项能耗拆分!$B$18*建筑各项能耗拆分!U82</f>
        <v>773446049830229.13</v>
      </c>
      <c r="V10" s="1">
        <f>建筑各项能耗拆分!$B$18*建筑各项能耗拆分!V95+建筑各项能耗拆分!$B$18*建筑各项能耗拆分!V82</f>
        <v>778333301821651.13</v>
      </c>
      <c r="W10" s="1">
        <f>建筑各项能耗拆分!$B$18*建筑各项能耗拆分!W95+建筑各项能耗拆分!$B$18*建筑各项能耗拆分!W82</f>
        <v>783012397024660</v>
      </c>
      <c r="X10" s="1">
        <f>建筑各项能耗拆分!$B$18*建筑各项能耗拆分!X95+建筑各项能耗拆分!$B$18*建筑各项能耗拆分!X82</f>
        <v>787490724854900.38</v>
      </c>
      <c r="Y10" s="1">
        <f>建筑各项能耗拆分!$B$18*建筑各项能耗拆分!Y95+建筑各项能耗拆分!$B$18*建筑各项能耗拆分!Y82</f>
        <v>791776726835575.25</v>
      </c>
      <c r="Z10" s="1">
        <f>建筑各项能耗拆分!$B$18*建筑各项能耗拆分!Z95+建筑各项能耗拆分!$B$18*建筑各项能耗拆分!Z82</f>
        <v>795879920860793.13</v>
      </c>
      <c r="AA10" s="1">
        <f>建筑各项能耗拆分!$B$18*建筑各项能耗拆分!AA95+建筑各项能耗拆分!$B$18*建筑各项能耗拆分!AA82</f>
        <v>799810963166152.88</v>
      </c>
      <c r="AB10" s="1">
        <f>建筑各项能耗拆分!$B$18*建筑各项能耗拆分!AB95+建筑各项能耗拆分!$B$18*建筑各项能耗拆分!AB82</f>
        <v>803581717692178.38</v>
      </c>
      <c r="AC10" s="1">
        <f>建筑各项能耗拆分!$B$18*建筑各项能耗拆分!AC95+建筑各项能耗拆分!$B$18*建筑各项能耗拆分!AC82</f>
        <v>807205261286721.38</v>
      </c>
      <c r="AD10" s="1">
        <f>建筑各项能耗拆分!$B$18*建筑各项能耗拆分!AD95+建筑各项能耗拆分!$B$18*建筑各项能耗拆分!AD82</f>
        <v>810695944871144</v>
      </c>
      <c r="AE10" s="1">
        <f>建筑各项能耗拆分!$B$18*建筑各项能耗拆分!AE95+建筑各项能耗拆分!$B$18*建筑各项能耗拆分!AE82</f>
        <v>814069491992604.63</v>
      </c>
      <c r="AF10" s="1">
        <f>建筑各项能耗拆分!$B$18*建筑各项能耗拆分!AF95+建筑各项能耗拆分!$B$18*建筑各项能耗拆分!AF82</f>
        <v>817342980947923.25</v>
      </c>
      <c r="AG10" s="1">
        <f>建筑各项能耗拆分!$B$18*建筑各项能耗拆分!AG95+建筑各项能耗拆分!$B$18*建筑各项能耗拆分!AG82</f>
        <v>820534937009894.63</v>
      </c>
      <c r="AH10" s="1">
        <f>建筑各项能耗拆分!$B$18*建筑各项能耗拆分!AH95+建筑各项能耗拆分!$B$18*建筑各项能耗拆分!AH82</f>
        <v>823665404593743</v>
      </c>
      <c r="AI10" s="1">
        <f>建筑各项能耗拆分!$B$18*建筑各项能耗拆分!AI95+建筑各项能耗拆分!$B$18*建筑各项能耗拆分!AI82</f>
        <v>826755947984530.75</v>
      </c>
      <c r="AJ10" s="1">
        <f>建筑各项能耗拆分!$B$18*建筑各项能耗拆分!AJ95+建筑各项能耗拆分!$B$18*建筑各项能耗拆分!AJ82</f>
        <v>829829789249034.75</v>
      </c>
      <c r="AK10" s="1">
        <f>建筑各项能耗拆分!$B$18*建筑各项能耗拆分!AK95+建筑各项能耗拆分!$B$18*建筑各项能耗拆分!AK82</f>
        <v>832911776816664.63</v>
      </c>
      <c r="AL10" s="1">
        <f>建筑各项能耗拆分!$B$18*建筑各项能耗拆分!AL95+建筑各项能耗拆分!$B$18*建筑各项能耗拆分!AL82</f>
        <v>836028538301920.13</v>
      </c>
      <c r="AM10" s="1">
        <f>建筑各项能耗拆分!$B$18*建筑各项能耗拆分!AM95+建筑各项能耗拆分!$B$18*建筑各项能耗拆分!AM82</f>
        <v>839208487559446.63</v>
      </c>
      <c r="AN10" s="1">
        <f>建筑各项能耗拆分!$B$18*建筑各项能耗拆分!AN95+建筑各项能耗拆分!$B$18*建筑各项能耗拆分!AN82</f>
        <v>842481901555700.38</v>
      </c>
      <c r="AO10" s="1">
        <f>建筑各项能耗拆分!$B$18*建筑各项能耗拆分!AO95+建筑各项能耗拆分!$B$18*建筑各项能耗拆分!AO82</f>
        <v>845880990544799</v>
      </c>
      <c r="AP10" s="1">
        <f>建筑各项能耗拆分!$B$18*建筑各项能耗拆分!AP95+建筑各项能耗拆分!$B$18*建筑各项能耗拆分!AP82</f>
        <v>849439970240849.13</v>
      </c>
      <c r="AQ10" s="1">
        <f>建筑各项能耗拆分!$B$18*建筑各项能耗拆分!AQ95+建筑各项能耗拆分!$B$18*建筑各项能耗拆分!AQ82</f>
        <v>853195153092024.88</v>
      </c>
      <c r="AR10" s="1">
        <f>建筑各项能耗拆分!$B$18*建筑各项能耗拆分!AR95+建筑各项能耗拆分!$B$18*建筑各项能耗拆分!AR82</f>
        <v>857184969619896.25</v>
      </c>
    </row>
    <row r="11" spans="1:44" x14ac:dyDescent="0.15">
      <c r="A11" t="s">
        <v>9</v>
      </c>
      <c r="B11" s="1">
        <f>建筑各项能耗拆分!$B$18*建筑各项能耗拆分!B96+建筑各项能耗拆分!$B$18*建筑各项能耗拆分!B83</f>
        <v>0</v>
      </c>
      <c r="C11" s="1">
        <f>建筑各项能耗拆分!$B$18*建筑各项能耗拆分!C96+建筑各项能耗拆分!$B$18*建筑各项能耗拆分!C83</f>
        <v>0</v>
      </c>
      <c r="D11" s="1">
        <f>建筑各项能耗拆分!$B$18*建筑各项能耗拆分!D96+建筑各项能耗拆分!$B$18*建筑各项能耗拆分!D83</f>
        <v>0</v>
      </c>
      <c r="E11" s="1">
        <f>建筑各项能耗拆分!$B$18*建筑各项能耗拆分!E96+建筑各项能耗拆分!$B$18*建筑各项能耗拆分!E83</f>
        <v>0</v>
      </c>
      <c r="F11" s="1">
        <f>建筑各项能耗拆分!$B$18*建筑各项能耗拆分!F96+建筑各项能耗拆分!$B$18*建筑各项能耗拆分!F83</f>
        <v>0</v>
      </c>
      <c r="G11" s="1">
        <f>建筑各项能耗拆分!$B$18*建筑各项能耗拆分!G96+建筑各项能耗拆分!$B$18*建筑各项能耗拆分!G83</f>
        <v>0</v>
      </c>
      <c r="H11" s="1">
        <f>建筑各项能耗拆分!$B$18*建筑各项能耗拆分!H96+建筑各项能耗拆分!$B$18*建筑各项能耗拆分!H83</f>
        <v>0</v>
      </c>
      <c r="I11" s="1">
        <f>建筑各项能耗拆分!$B$18*建筑各项能耗拆分!I96+建筑各项能耗拆分!$B$18*建筑各项能耗拆分!I83</f>
        <v>0</v>
      </c>
      <c r="J11" s="1">
        <f>建筑各项能耗拆分!$B$18*建筑各项能耗拆分!J96+建筑各项能耗拆分!$B$18*建筑各项能耗拆分!J83</f>
        <v>0</v>
      </c>
      <c r="K11" s="1">
        <f>建筑各项能耗拆分!$B$18*建筑各项能耗拆分!K96+建筑各项能耗拆分!$B$18*建筑各项能耗拆分!K83</f>
        <v>0</v>
      </c>
      <c r="L11" s="1">
        <f>建筑各项能耗拆分!$B$18*建筑各项能耗拆分!L96+建筑各项能耗拆分!$B$18*建筑各项能耗拆分!L83</f>
        <v>0</v>
      </c>
      <c r="M11" s="1">
        <f>建筑各项能耗拆分!$B$18*建筑各项能耗拆分!M96+建筑各项能耗拆分!$B$18*建筑各项能耗拆分!M83</f>
        <v>0</v>
      </c>
      <c r="N11" s="1">
        <f>建筑各项能耗拆分!$B$18*建筑各项能耗拆分!N96+建筑各项能耗拆分!$B$18*建筑各项能耗拆分!N83</f>
        <v>0</v>
      </c>
      <c r="O11" s="1">
        <f>建筑各项能耗拆分!$B$18*建筑各项能耗拆分!O96+建筑各项能耗拆分!$B$18*建筑各项能耗拆分!O83</f>
        <v>0</v>
      </c>
      <c r="P11" s="1">
        <f>建筑各项能耗拆分!$B$18*建筑各项能耗拆分!P96+建筑各项能耗拆分!$B$18*建筑各项能耗拆分!P83</f>
        <v>0</v>
      </c>
      <c r="Q11" s="1">
        <f>建筑各项能耗拆分!$B$18*建筑各项能耗拆分!Q96+建筑各项能耗拆分!$B$18*建筑各项能耗拆分!Q83</f>
        <v>0</v>
      </c>
      <c r="R11" s="1">
        <f>建筑各项能耗拆分!$B$18*建筑各项能耗拆分!R96+建筑各项能耗拆分!$B$18*建筑各项能耗拆分!R83</f>
        <v>0</v>
      </c>
      <c r="S11" s="1">
        <f>建筑各项能耗拆分!$B$18*建筑各项能耗拆分!S96+建筑各项能耗拆分!$B$18*建筑各项能耗拆分!S83</f>
        <v>0</v>
      </c>
      <c r="T11" s="1">
        <f>建筑各项能耗拆分!$B$18*建筑各项能耗拆分!T96+建筑各项能耗拆分!$B$18*建筑各项能耗拆分!T83</f>
        <v>0</v>
      </c>
      <c r="U11" s="1">
        <f>建筑各项能耗拆分!$B$18*建筑各项能耗拆分!U96+建筑各项能耗拆分!$B$18*建筑各项能耗拆分!U83</f>
        <v>0</v>
      </c>
      <c r="V11" s="1">
        <f>建筑各项能耗拆分!$B$18*建筑各项能耗拆分!V96+建筑各项能耗拆分!$B$18*建筑各项能耗拆分!V83</f>
        <v>0</v>
      </c>
      <c r="W11" s="1">
        <f>建筑各项能耗拆分!$B$18*建筑各项能耗拆分!W96+建筑各项能耗拆分!$B$18*建筑各项能耗拆分!W83</f>
        <v>0</v>
      </c>
      <c r="X11" s="1">
        <f>建筑各项能耗拆分!$B$18*建筑各项能耗拆分!X96+建筑各项能耗拆分!$B$18*建筑各项能耗拆分!X83</f>
        <v>0</v>
      </c>
      <c r="Y11" s="1">
        <f>建筑各项能耗拆分!$B$18*建筑各项能耗拆分!Y96+建筑各项能耗拆分!$B$18*建筑各项能耗拆分!Y83</f>
        <v>0</v>
      </c>
      <c r="Z11" s="1">
        <f>建筑各项能耗拆分!$B$18*建筑各项能耗拆分!Z96+建筑各项能耗拆分!$B$18*建筑各项能耗拆分!Z83</f>
        <v>0</v>
      </c>
      <c r="AA11" s="1">
        <f>建筑各项能耗拆分!$B$18*建筑各项能耗拆分!AA96+建筑各项能耗拆分!$B$18*建筑各项能耗拆分!AA83</f>
        <v>0</v>
      </c>
      <c r="AB11" s="1">
        <f>建筑各项能耗拆分!$B$18*建筑各项能耗拆分!AB96+建筑各项能耗拆分!$B$18*建筑各项能耗拆分!AB83</f>
        <v>0</v>
      </c>
      <c r="AC11" s="1">
        <f>建筑各项能耗拆分!$B$18*建筑各项能耗拆分!AC96+建筑各项能耗拆分!$B$18*建筑各项能耗拆分!AC83</f>
        <v>0</v>
      </c>
      <c r="AD11" s="1">
        <f>建筑各项能耗拆分!$B$18*建筑各项能耗拆分!AD96+建筑各项能耗拆分!$B$18*建筑各项能耗拆分!AD83</f>
        <v>0</v>
      </c>
      <c r="AE11" s="1">
        <f>建筑各项能耗拆分!$B$18*建筑各项能耗拆分!AE96+建筑各项能耗拆分!$B$18*建筑各项能耗拆分!AE83</f>
        <v>0</v>
      </c>
      <c r="AF11" s="1">
        <f>建筑各项能耗拆分!$B$18*建筑各项能耗拆分!AF96+建筑各项能耗拆分!$B$18*建筑各项能耗拆分!AF83</f>
        <v>0</v>
      </c>
      <c r="AG11" s="1">
        <f>建筑各项能耗拆分!$B$18*建筑各项能耗拆分!AG96+建筑各项能耗拆分!$B$18*建筑各项能耗拆分!AG83</f>
        <v>0</v>
      </c>
      <c r="AH11" s="1">
        <f>建筑各项能耗拆分!$B$18*建筑各项能耗拆分!AH96+建筑各项能耗拆分!$B$18*建筑各项能耗拆分!AH83</f>
        <v>0</v>
      </c>
      <c r="AI11" s="1">
        <f>建筑各项能耗拆分!$B$18*建筑各项能耗拆分!AI96+建筑各项能耗拆分!$B$18*建筑各项能耗拆分!AI83</f>
        <v>0</v>
      </c>
      <c r="AJ11" s="1">
        <f>建筑各项能耗拆分!$B$18*建筑各项能耗拆分!AJ96+建筑各项能耗拆分!$B$18*建筑各项能耗拆分!AJ83</f>
        <v>0</v>
      </c>
      <c r="AK11" s="1">
        <f>建筑各项能耗拆分!$B$18*建筑各项能耗拆分!AK96+建筑各项能耗拆分!$B$18*建筑各项能耗拆分!AK83</f>
        <v>0</v>
      </c>
      <c r="AL11" s="1">
        <f>建筑各项能耗拆分!$B$18*建筑各项能耗拆分!AL96+建筑各项能耗拆分!$B$18*建筑各项能耗拆分!AL83</f>
        <v>0</v>
      </c>
      <c r="AM11" s="1">
        <f>建筑各项能耗拆分!$B$18*建筑各项能耗拆分!AM96+建筑各项能耗拆分!$B$18*建筑各项能耗拆分!AM83</f>
        <v>0</v>
      </c>
      <c r="AN11" s="1">
        <f>建筑各项能耗拆分!$B$18*建筑各项能耗拆分!AN96+建筑各项能耗拆分!$B$18*建筑各项能耗拆分!AN83</f>
        <v>0</v>
      </c>
      <c r="AO11" s="1">
        <f>建筑各项能耗拆分!$B$18*建筑各项能耗拆分!AO96+建筑各项能耗拆分!$B$18*建筑各项能耗拆分!AO83</f>
        <v>0</v>
      </c>
      <c r="AP11" s="1">
        <f>建筑各项能耗拆分!$B$18*建筑各项能耗拆分!AP96+建筑各项能耗拆分!$B$18*建筑各项能耗拆分!AP83</f>
        <v>0</v>
      </c>
      <c r="AQ11" s="1">
        <f>建筑各项能耗拆分!$B$18*建筑各项能耗拆分!AQ96+建筑各项能耗拆分!$B$18*建筑各项能耗拆分!AQ83</f>
        <v>0</v>
      </c>
      <c r="AR11" s="1">
        <f>建筑各项能耗拆分!$B$18*建筑各项能耗拆分!AR96+建筑各项能耗拆分!$B$18*建筑各项能耗拆分!AR83</f>
        <v>0</v>
      </c>
    </row>
    <row r="12" spans="1:44" x14ac:dyDescent="0.15">
      <c r="A12" t="s">
        <v>911</v>
      </c>
      <c r="B12" s="1">
        <f>SUM(B2:B11)</f>
        <v>3583247099930470.5</v>
      </c>
      <c r="C12" s="1">
        <f t="shared" ref="C12:AP12" si="0">SUM(C2:C11)</f>
        <v>3657258826961258.5</v>
      </c>
      <c r="D12" s="1">
        <f t="shared" si="0"/>
        <v>3754963183411348</v>
      </c>
      <c r="E12" s="1">
        <f t="shared" si="0"/>
        <v>3804982527207273.5</v>
      </c>
      <c r="F12" s="1">
        <f t="shared" si="0"/>
        <v>3853793017313270.5</v>
      </c>
      <c r="G12" s="1">
        <f t="shared" si="0"/>
        <v>3901367735070090.5</v>
      </c>
      <c r="H12" s="1">
        <f t="shared" si="0"/>
        <v>3947682308790455.5</v>
      </c>
      <c r="I12" s="1">
        <f t="shared" si="0"/>
        <v>3992715301995363</v>
      </c>
      <c r="J12" s="1">
        <f t="shared" si="0"/>
        <v>4036448030632207.5</v>
      </c>
      <c r="K12" s="1">
        <f t="shared" si="0"/>
        <v>4078865114276975</v>
      </c>
      <c r="L12" s="1">
        <f t="shared" si="0"/>
        <v>4119954303516337.5</v>
      </c>
      <c r="M12" s="1">
        <f t="shared" si="0"/>
        <v>4159706854165118</v>
      </c>
      <c r="N12" s="1">
        <f t="shared" si="0"/>
        <v>4198117659924160</v>
      </c>
      <c r="O12" s="1">
        <f t="shared" si="0"/>
        <v>4235185352494189</v>
      </c>
      <c r="P12" s="1">
        <f t="shared" si="0"/>
        <v>4270912710630258</v>
      </c>
      <c r="Q12" s="1">
        <f t="shared" si="0"/>
        <v>4305306559863876.5</v>
      </c>
      <c r="R12" s="1">
        <f t="shared" si="0"/>
        <v>4338378230113746</v>
      </c>
      <c r="S12" s="1">
        <f t="shared" si="0"/>
        <v>4370143605082515.5</v>
      </c>
      <c r="T12" s="1">
        <f t="shared" si="0"/>
        <v>4400623405154466.5</v>
      </c>
      <c r="U12" s="1">
        <f t="shared" si="0"/>
        <v>4429843467847584</v>
      </c>
      <c r="V12" s="1">
        <f t="shared" si="0"/>
        <v>4457834769005147</v>
      </c>
      <c r="W12" s="1">
        <f t="shared" si="0"/>
        <v>4484633870668457</v>
      </c>
      <c r="X12" s="1">
        <f t="shared" si="0"/>
        <v>4510283095058478</v>
      </c>
      <c r="Y12" s="1">
        <f t="shared" si="0"/>
        <v>4534830790248649</v>
      </c>
      <c r="Z12" s="1">
        <f t="shared" si="0"/>
        <v>4558331469131052</v>
      </c>
      <c r="AA12" s="1">
        <f t="shared" si="0"/>
        <v>4580846164347418</v>
      </c>
      <c r="AB12" s="1">
        <f t="shared" si="0"/>
        <v>4602442825562039</v>
      </c>
      <c r="AC12" s="1">
        <f t="shared" si="0"/>
        <v>4623196349258063</v>
      </c>
      <c r="AD12" s="1">
        <f t="shared" si="0"/>
        <v>4643188929061362</v>
      </c>
      <c r="AE12" s="1">
        <f t="shared" si="0"/>
        <v>4662510620189992</v>
      </c>
      <c r="AF12" s="1">
        <f t="shared" si="0"/>
        <v>4681259237070215</v>
      </c>
      <c r="AG12" s="1">
        <f t="shared" si="0"/>
        <v>4699540881554513</v>
      </c>
      <c r="AH12" s="1">
        <f t="shared" si="0"/>
        <v>4717470356248531</v>
      </c>
      <c r="AI12" s="1">
        <f t="shared" si="0"/>
        <v>4735171168677253</v>
      </c>
      <c r="AJ12" s="1">
        <f t="shared" si="0"/>
        <v>4752776321163004</v>
      </c>
      <c r="AK12" s="1">
        <f t="shared" si="0"/>
        <v>4770428130875458</v>
      </c>
      <c r="AL12" s="1">
        <f t="shared" si="0"/>
        <v>4788279105108669</v>
      </c>
      <c r="AM12" s="1">
        <f t="shared" si="0"/>
        <v>4806491981688274</v>
      </c>
      <c r="AN12" s="1">
        <f t="shared" si="0"/>
        <v>4825240169247118</v>
      </c>
      <c r="AO12" s="1">
        <f t="shared" si="0"/>
        <v>4844708149151208</v>
      </c>
      <c r="AP12" s="1">
        <f t="shared" si="0"/>
        <v>4865091888860280</v>
      </c>
      <c r="AQ12" s="1">
        <f>SUM(AQ2:AQ11)</f>
        <v>4886599364691989</v>
      </c>
      <c r="AR12" s="1">
        <f t="shared" ref="AR12" si="1">SUM(AR2:AR11)</f>
        <v>4909450684040999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932F-1225-4F0D-80BA-66AAEDF0C817}">
  <sheetPr>
    <tabColor rgb="FF00B050"/>
  </sheetPr>
  <dimension ref="A1:AG11"/>
  <sheetViews>
    <sheetView workbookViewId="0"/>
  </sheetViews>
  <sheetFormatPr defaultRowHeight="13.5" x14ac:dyDescent="0.15"/>
  <sheetData>
    <row r="1" spans="1:33" x14ac:dyDescent="0.15">
      <c r="A1" t="s">
        <v>26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1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1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1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1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1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1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1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1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1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15">
      <c r="A11" t="s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20240130</vt:lpstr>
      <vt:lpstr>情景输入参数</vt:lpstr>
      <vt:lpstr>情景介绍 (2)</vt:lpstr>
      <vt:lpstr>情景介绍</vt:lpstr>
      <vt:lpstr>About中文</vt:lpstr>
      <vt:lpstr>人口变化预测</vt:lpstr>
      <vt:lpstr>BAU建筑面积计算</vt:lpstr>
      <vt:lpstr>改造情景建筑面积计算 </vt:lpstr>
      <vt:lpstr>BAU建筑总能耗计算</vt:lpstr>
      <vt:lpstr>建筑各项能耗拆分</vt:lpstr>
      <vt:lpstr>政策数据来源</vt:lpstr>
      <vt:lpstr>能源换算</vt:lpstr>
      <vt:lpstr>建筑新建率</vt:lpstr>
      <vt:lpstr>改造总比例（vensim直接输入）</vt:lpstr>
      <vt:lpstr>建筑改造情景参数</vt:lpstr>
      <vt:lpstr>BRESaC</vt:lpstr>
      <vt:lpstr>SoCEUTiNTY</vt:lpstr>
      <vt:lpstr>rural-residential-heating0</vt:lpstr>
      <vt:lpstr>rural-residential-heating1</vt:lpstr>
      <vt:lpstr>rural-residential-heating2</vt:lpstr>
      <vt:lpstr>rural-residential-cooling</vt:lpstr>
      <vt:lpstr>rural-residential-lighting</vt:lpstr>
      <vt:lpstr>rural-residential-appliance0</vt:lpstr>
      <vt:lpstr>rural-residential-appliance1</vt:lpstr>
      <vt:lpstr>rural-residential-other0</vt:lpstr>
      <vt:lpstr>rural-residential-other1</vt:lpstr>
      <vt:lpstr>commercial-heating0</vt:lpstr>
      <vt:lpstr>commercial-heating1</vt:lpstr>
      <vt:lpstr>commercial-heating2</vt:lpstr>
      <vt:lpstr>commercial-cooling</vt:lpstr>
      <vt:lpstr>commercial-lighting</vt:lpstr>
      <vt:lpstr>commercial-appliance0</vt:lpstr>
      <vt:lpstr>commercial-appliance1</vt:lpstr>
      <vt:lpstr>commercial-other0</vt:lpstr>
      <vt:lpstr>commercial-other1</vt:lpstr>
      <vt:lpstr>urban-residential-heating0</vt:lpstr>
      <vt:lpstr>urban-residential-heating1</vt:lpstr>
      <vt:lpstr>urban-residential-heating2</vt:lpstr>
      <vt:lpstr>urban-residential-cooling</vt:lpstr>
      <vt:lpstr>urban-residential-lighting</vt:lpstr>
      <vt:lpstr>urban-residential-appliance0</vt:lpstr>
      <vt:lpstr>urban-residential-appliance1</vt:lpstr>
      <vt:lpstr>urban-residential-other0</vt:lpstr>
      <vt:lpstr>urban-residential-other1</vt:lpstr>
      <vt:lpstr>BCEU-all-envelope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2022-03-01T02:46:31Z</dcterms:created>
  <dcterms:modified xsi:type="dcterms:W3CDTF">2024-02-01T06:46:17Z</dcterms:modified>
</cp:coreProperties>
</file>